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gerardo/Desktop/SLR-Ethereum/"/>
    </mc:Choice>
  </mc:AlternateContent>
  <xr:revisionPtr revIDLastSave="0" documentId="13_ncr:1_{EA467FB8-ADCC-CF4C-8C9F-DA4AD8D5A4C0}" xr6:coauthVersionLast="47" xr6:coauthVersionMax="47" xr10:uidLastSave="{00000000-0000-0000-0000-000000000000}"/>
  <bookViews>
    <workbookView xWindow="0" yWindow="500" windowWidth="28800" windowHeight="15720" activeTab="5" xr2:uid="{B81079E0-499A-4BBF-8F71-4BA1D3FA5BB9}"/>
  </bookViews>
  <sheets>
    <sheet name="Papers" sheetId="5" r:id="rId1"/>
    <sheet name="Vulnerabilities" sheetId="7" r:id="rId2"/>
    <sheet name="RQ1_ValidatedTaxonomy" sheetId="22" r:id="rId3"/>
    <sheet name="RQ2_Tools" sheetId="15" r:id="rId4"/>
    <sheet name="RQ3_Mapping" sheetId="20" r:id="rId5"/>
    <sheet name="RQ4_Dataset" sheetId="14" r:id="rId6"/>
  </sheets>
  <definedNames>
    <definedName name="_xlnm._FilterDatabase" localSheetId="0" hidden="1">Papers!$A$1:$T$221</definedName>
    <definedName name="_xlnm._FilterDatabase" localSheetId="3" hidden="1">RQ2_Tools!$K$4:$AN$222</definedName>
    <definedName name="_xlnm._FilterDatabase" localSheetId="4" hidden="1">RQ3_Mapping!$B$3:$EZ$166</definedName>
    <definedName name="_xlnm._FilterDatabase" localSheetId="5" hidden="1">RQ4_Dataset!$A$1:$J$133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8" i="20" l="1"/>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D262" i="20"/>
  <c r="D263" i="20"/>
  <c r="D264" i="20"/>
  <c r="D265" i="20"/>
  <c r="D266" i="20"/>
  <c r="D267" i="20"/>
  <c r="D268" i="20"/>
  <c r="D269" i="20"/>
  <c r="D270" i="20"/>
  <c r="D271" i="20"/>
  <c r="D272" i="20"/>
  <c r="D273" i="20"/>
  <c r="D274" i="20"/>
  <c r="D275" i="20"/>
  <c r="D276" i="20"/>
  <c r="D277" i="20"/>
  <c r="D278" i="20"/>
  <c r="D279" i="20"/>
  <c r="D280" i="20"/>
  <c r="D281" i="20"/>
  <c r="D282" i="20"/>
  <c r="D283" i="20"/>
  <c r="D284" i="20"/>
  <c r="D285" i="20"/>
  <c r="D286" i="20"/>
  <c r="D287" i="20"/>
  <c r="D288" i="20"/>
  <c r="D289" i="20"/>
  <c r="D290" i="20"/>
  <c r="D291" i="20"/>
  <c r="D292" i="20"/>
  <c r="D293" i="20"/>
  <c r="D294" i="20"/>
  <c r="D295" i="20"/>
  <c r="D296" i="20"/>
  <c r="D297" i="20"/>
  <c r="D298" i="20"/>
  <c r="D299" i="20"/>
  <c r="D300" i="20"/>
  <c r="D301" i="20"/>
  <c r="D302" i="20"/>
  <c r="D303" i="20"/>
  <c r="D304" i="20"/>
  <c r="D305" i="20"/>
  <c r="D306" i="20"/>
  <c r="D307" i="20"/>
  <c r="D308" i="20"/>
  <c r="D309" i="20"/>
  <c r="D310" i="20"/>
  <c r="D311" i="20"/>
  <c r="D312" i="20"/>
  <c r="D313" i="20"/>
  <c r="D314" i="20"/>
  <c r="D315" i="20"/>
  <c r="D316" i="20"/>
  <c r="D317" i="20"/>
  <c r="D318" i="20"/>
  <c r="D319" i="20"/>
  <c r="D320" i="20"/>
  <c r="D321" i="20"/>
  <c r="D322" i="20"/>
  <c r="D323" i="20"/>
  <c r="D324" i="20"/>
  <c r="D325" i="20"/>
  <c r="D326" i="20"/>
  <c r="D327" i="20"/>
  <c r="D328" i="20"/>
  <c r="D198" i="20"/>
  <c r="H167" i="20"/>
  <c r="I167" i="20"/>
  <c r="J167" i="20"/>
  <c r="K167" i="20"/>
  <c r="C191" i="20" s="1"/>
  <c r="D191" i="20" s="1"/>
  <c r="E191" i="20" s="1"/>
  <c r="L167" i="20"/>
  <c r="M167" i="20"/>
  <c r="C194" i="20" s="1"/>
  <c r="D194" i="20" s="1"/>
  <c r="E194" i="20" s="1"/>
  <c r="N167" i="20"/>
  <c r="O167" i="20"/>
  <c r="C192" i="20" s="1"/>
  <c r="D192" i="20" s="1"/>
  <c r="E192" i="20" s="1"/>
  <c r="P167" i="20"/>
  <c r="Q167" i="20"/>
  <c r="R167" i="20"/>
  <c r="C185" i="20" s="1"/>
  <c r="D185" i="20" s="1"/>
  <c r="E185" i="20" s="1"/>
  <c r="S167" i="20"/>
  <c r="C186" i="20" s="1"/>
  <c r="D186" i="20" s="1"/>
  <c r="E186" i="20" s="1"/>
  <c r="T167" i="20"/>
  <c r="U167" i="20"/>
  <c r="V167" i="20"/>
  <c r="W167" i="20"/>
  <c r="X167" i="20"/>
  <c r="Y167" i="20"/>
  <c r="C183" i="20" s="1"/>
  <c r="D183" i="20" s="1"/>
  <c r="E183" i="20" s="1"/>
  <c r="Z167" i="20"/>
  <c r="AA167" i="20"/>
  <c r="C187" i="20" s="1"/>
  <c r="D187" i="20" s="1"/>
  <c r="E187" i="20" s="1"/>
  <c r="AB167" i="20"/>
  <c r="C184" i="20" s="1"/>
  <c r="D184" i="20" s="1"/>
  <c r="E184" i="20" s="1"/>
  <c r="AC167" i="20"/>
  <c r="AD167" i="20"/>
  <c r="AE167" i="20"/>
  <c r="AF167" i="20"/>
  <c r="AG167" i="20"/>
  <c r="AH167" i="20"/>
  <c r="AI167" i="20"/>
  <c r="AJ167" i="20"/>
  <c r="AK167" i="20"/>
  <c r="AL167" i="20"/>
  <c r="AM167" i="20"/>
  <c r="AN167" i="20"/>
  <c r="AO167" i="20"/>
  <c r="AP167" i="20"/>
  <c r="AQ167" i="20"/>
  <c r="AR167" i="20"/>
  <c r="AS167" i="20"/>
  <c r="AT167" i="20"/>
  <c r="AU167" i="20"/>
  <c r="AV167" i="20"/>
  <c r="C189" i="20" s="1"/>
  <c r="D189" i="20" s="1"/>
  <c r="E189" i="20" s="1"/>
  <c r="AW167" i="20"/>
  <c r="AX167" i="20"/>
  <c r="AY167" i="20"/>
  <c r="AZ167" i="20"/>
  <c r="BA167" i="20"/>
  <c r="BB167" i="20"/>
  <c r="BC167" i="20"/>
  <c r="BD167" i="20"/>
  <c r="BE167" i="20"/>
  <c r="BF167" i="20"/>
  <c r="BG167" i="20"/>
  <c r="BH167" i="20"/>
  <c r="BI167" i="20"/>
  <c r="BJ167" i="20"/>
  <c r="BK167" i="20"/>
  <c r="BL167" i="20"/>
  <c r="BM167" i="20"/>
  <c r="BN167" i="20"/>
  <c r="BO167" i="20"/>
  <c r="BP167" i="20"/>
  <c r="BQ167" i="20"/>
  <c r="BR167" i="20"/>
  <c r="BS167" i="20"/>
  <c r="BT167" i="20"/>
  <c r="BU167" i="20"/>
  <c r="BV167" i="20"/>
  <c r="BW167" i="20"/>
  <c r="BX167" i="20"/>
  <c r="BY167" i="20"/>
  <c r="BZ167" i="20"/>
  <c r="CA167" i="20"/>
  <c r="CB167" i="20"/>
  <c r="CC167" i="20"/>
  <c r="CD167" i="20"/>
  <c r="CE167" i="20"/>
  <c r="CF167" i="20"/>
  <c r="CG167" i="20"/>
  <c r="CH167" i="20"/>
  <c r="CI167" i="20"/>
  <c r="CJ167" i="20"/>
  <c r="CK167" i="20"/>
  <c r="CL167" i="20"/>
  <c r="CM167" i="20"/>
  <c r="CN167" i="20"/>
  <c r="CO167" i="20"/>
  <c r="CP167" i="20"/>
  <c r="CQ167" i="20"/>
  <c r="CR167" i="20"/>
  <c r="CS167" i="20"/>
  <c r="CT167" i="20"/>
  <c r="CU167" i="20"/>
  <c r="CV167" i="20"/>
  <c r="CW167" i="20"/>
  <c r="CX167" i="20"/>
  <c r="CY167" i="20"/>
  <c r="CZ167" i="20"/>
  <c r="DA167" i="20"/>
  <c r="DB167" i="20"/>
  <c r="DC167" i="20"/>
  <c r="DD167" i="20"/>
  <c r="DE167" i="20"/>
  <c r="DF167" i="20"/>
  <c r="DG167" i="20"/>
  <c r="DH167" i="20"/>
  <c r="DI167" i="20"/>
  <c r="DJ167" i="20"/>
  <c r="DK167" i="20"/>
  <c r="DL167" i="20"/>
  <c r="DM167" i="20"/>
  <c r="DN167" i="20"/>
  <c r="DO167" i="20"/>
  <c r="DP167" i="20"/>
  <c r="DQ167" i="20"/>
  <c r="DR167" i="20"/>
  <c r="DS167" i="20"/>
  <c r="DT167" i="20"/>
  <c r="DU167" i="20"/>
  <c r="DV167" i="20"/>
  <c r="DW167" i="20"/>
  <c r="DX167" i="20"/>
  <c r="DY167" i="20"/>
  <c r="DZ167" i="20"/>
  <c r="EA167" i="20"/>
  <c r="EB167" i="20"/>
  <c r="EC167" i="20"/>
  <c r="ED167" i="20"/>
  <c r="EE167" i="20"/>
  <c r="EF167" i="20"/>
  <c r="EG167" i="20"/>
  <c r="EH167" i="20"/>
  <c r="EI167" i="20"/>
  <c r="EJ167" i="20"/>
  <c r="EK167" i="20"/>
  <c r="EL167" i="20"/>
  <c r="EM167" i="20"/>
  <c r="EN167" i="20"/>
  <c r="EO167" i="20"/>
  <c r="EP167" i="20"/>
  <c r="EQ167" i="20"/>
  <c r="ER167" i="20"/>
  <c r="ES167" i="20"/>
  <c r="ET167" i="20"/>
  <c r="EU167" i="20"/>
  <c r="EV167" i="20"/>
  <c r="EW167" i="20"/>
  <c r="EX167" i="20"/>
  <c r="EY167" i="20"/>
  <c r="EZ167" i="20"/>
  <c r="FA167" i="20"/>
  <c r="FB167" i="20"/>
  <c r="FC167" i="20"/>
  <c r="FD167" i="20"/>
  <c r="FE167" i="20"/>
  <c r="FF167" i="20"/>
  <c r="FG167" i="20"/>
  <c r="FH167" i="20"/>
  <c r="FI167" i="20"/>
  <c r="FJ167" i="20"/>
  <c r="FK167" i="20"/>
  <c r="FL167" i="20"/>
  <c r="FM167" i="20"/>
  <c r="FN167" i="20"/>
  <c r="FO167" i="20"/>
  <c r="FP167" i="20"/>
  <c r="FQ167" i="20"/>
  <c r="FR167" i="20"/>
  <c r="FS167" i="20"/>
  <c r="FT167" i="20"/>
  <c r="FU167" i="20"/>
  <c r="FV167" i="20"/>
  <c r="FW167" i="20"/>
  <c r="FX167" i="20"/>
  <c r="FY167" i="20"/>
  <c r="FZ167" i="20"/>
  <c r="GA167" i="20"/>
  <c r="GB167" i="20"/>
  <c r="GC167" i="20"/>
  <c r="GD167" i="20"/>
  <c r="GE167" i="20"/>
  <c r="GF167" i="20"/>
  <c r="GG167" i="20"/>
  <c r="GH167" i="20"/>
  <c r="GI167" i="20"/>
  <c r="GJ167" i="20"/>
  <c r="GK167" i="20"/>
  <c r="GL167" i="20"/>
  <c r="GM167" i="20"/>
  <c r="GN167" i="20"/>
  <c r="GO167" i="20"/>
  <c r="GP167" i="20"/>
  <c r="C190" i="20" l="1"/>
  <c r="D190" i="20" s="1"/>
  <c r="E190" i="20" s="1"/>
  <c r="C188" i="20"/>
  <c r="D188" i="20" s="1"/>
  <c r="E188" i="20" s="1"/>
  <c r="C193" i="20"/>
  <c r="D193" i="20" s="1"/>
  <c r="E193" i="20" s="1"/>
  <c r="HO167" i="20"/>
  <c r="HN167" i="20"/>
  <c r="HM167" i="20"/>
  <c r="HL167" i="20"/>
  <c r="HK167" i="20"/>
  <c r="HJ167" i="20"/>
  <c r="HI167" i="20"/>
  <c r="HH167" i="20"/>
  <c r="HG167" i="20"/>
  <c r="HF167" i="20"/>
  <c r="HE167" i="20"/>
  <c r="HD167" i="20"/>
  <c r="HC167" i="20"/>
  <c r="HB167" i="20"/>
  <c r="HA167" i="20"/>
  <c r="GZ167" i="20"/>
  <c r="GY167" i="20"/>
  <c r="GX167" i="20"/>
  <c r="GW167" i="20"/>
  <c r="GV167" i="20"/>
  <c r="GU167" i="20"/>
  <c r="GT167" i="20"/>
  <c r="GS167" i="20"/>
  <c r="GR167" i="20"/>
  <c r="G167" i="20"/>
  <c r="C182" i="20" s="1"/>
  <c r="D182" i="20" s="1"/>
  <c r="E182" i="20" s="1"/>
  <c r="B132" i="20"/>
  <c r="B131" i="20"/>
  <c r="B130" i="20"/>
  <c r="B128" i="20"/>
  <c r="B98" i="20"/>
  <c r="B55" i="20"/>
  <c r="B5" i="20"/>
  <c r="D1" i="20"/>
  <c r="C1" i="20"/>
  <c r="B1" i="20"/>
  <c r="B166" i="20"/>
  <c r="B165" i="20"/>
  <c r="B164" i="20"/>
  <c r="B163" i="20"/>
  <c r="B162" i="20"/>
  <c r="B161" i="20"/>
  <c r="B160" i="20"/>
  <c r="B159" i="20"/>
  <c r="B158" i="20"/>
  <c r="B157" i="20"/>
  <c r="B156" i="20"/>
  <c r="B155" i="20"/>
  <c r="B154" i="20"/>
  <c r="B153" i="20"/>
  <c r="B152" i="20"/>
  <c r="B151" i="20"/>
  <c r="B150" i="20"/>
  <c r="B149" i="20"/>
  <c r="B148" i="20"/>
  <c r="B147" i="20"/>
  <c r="B146" i="20"/>
  <c r="B145" i="20"/>
  <c r="B144" i="20"/>
  <c r="B143" i="20"/>
  <c r="B142" i="20"/>
  <c r="B141" i="20"/>
  <c r="B140" i="20"/>
  <c r="B139" i="20"/>
  <c r="B138" i="20"/>
  <c r="B137" i="20"/>
  <c r="B136" i="20"/>
  <c r="B135" i="20"/>
  <c r="B134" i="20"/>
  <c r="B133" i="20"/>
  <c r="B129" i="20"/>
  <c r="B127" i="20"/>
  <c r="B126" i="20"/>
  <c r="B125" i="20"/>
  <c r="B124" i="20"/>
  <c r="B123" i="20"/>
  <c r="B122" i="20"/>
  <c r="B121" i="20"/>
  <c r="B120" i="20"/>
  <c r="B119" i="20"/>
  <c r="B118" i="20"/>
  <c r="B117" i="20"/>
  <c r="B116" i="20"/>
  <c r="B115" i="20"/>
  <c r="B114" i="20"/>
  <c r="B113" i="20"/>
  <c r="B112" i="20"/>
  <c r="B111" i="20"/>
  <c r="B110" i="20"/>
  <c r="B109" i="20"/>
  <c r="B108" i="20"/>
  <c r="B107" i="20"/>
  <c r="B106" i="20"/>
  <c r="B105" i="20"/>
  <c r="B104" i="20"/>
  <c r="B103" i="20"/>
  <c r="B102" i="20"/>
  <c r="B101" i="20"/>
  <c r="B100" i="20"/>
  <c r="B99" i="20"/>
  <c r="B97" i="20"/>
  <c r="B96" i="20"/>
  <c r="B95" i="20"/>
  <c r="B94" i="20"/>
  <c r="B93" i="20"/>
  <c r="B92" i="20"/>
  <c r="B91" i="20"/>
  <c r="B90" i="20"/>
  <c r="B89" i="20"/>
  <c r="B88" i="20"/>
  <c r="B87" i="20"/>
  <c r="B86" i="20"/>
  <c r="B85" i="20"/>
  <c r="B84" i="20"/>
  <c r="B83" i="20"/>
  <c r="B82" i="20"/>
  <c r="B81" i="20"/>
  <c r="B80" i="20"/>
  <c r="B79" i="20"/>
  <c r="B78" i="20"/>
  <c r="B77" i="20"/>
  <c r="B76" i="20"/>
  <c r="B75" i="20"/>
  <c r="B74" i="20"/>
  <c r="B73" i="20"/>
  <c r="B72" i="20"/>
  <c r="B71" i="20"/>
  <c r="B70" i="20"/>
  <c r="B69" i="20"/>
  <c r="B68" i="20"/>
  <c r="B67" i="20"/>
  <c r="B66" i="20"/>
  <c r="B65" i="20"/>
  <c r="B64" i="20"/>
  <c r="B63" i="20"/>
  <c r="B62" i="20"/>
  <c r="B61" i="20"/>
  <c r="B60" i="20"/>
  <c r="B59" i="20"/>
  <c r="B58" i="20"/>
  <c r="B57" i="20"/>
  <c r="B56" i="20"/>
  <c r="B54" i="20"/>
  <c r="B53" i="20"/>
  <c r="B52" i="20"/>
  <c r="B51" i="20"/>
  <c r="B50" i="20"/>
  <c r="B49" i="20"/>
  <c r="B48" i="20"/>
  <c r="B47" i="20"/>
  <c r="B46" i="20"/>
  <c r="B45" i="20"/>
  <c r="B44" i="20"/>
  <c r="B43" i="20"/>
  <c r="B42" i="20"/>
  <c r="B41" i="20"/>
  <c r="B40" i="20"/>
  <c r="B39" i="20"/>
  <c r="B38" i="20"/>
  <c r="B37" i="20"/>
  <c r="B36" i="20"/>
  <c r="B35" i="20"/>
  <c r="B34" i="20"/>
  <c r="B33" i="20"/>
  <c r="B32" i="20"/>
  <c r="B31" i="20"/>
  <c r="B30" i="20"/>
  <c r="B29" i="20"/>
  <c r="B28" i="20"/>
  <c r="B27" i="20"/>
  <c r="B26" i="20"/>
  <c r="B25" i="20"/>
  <c r="B24" i="20"/>
  <c r="B23" i="20"/>
  <c r="B22" i="20"/>
  <c r="B21" i="20"/>
  <c r="B20" i="20"/>
  <c r="B19" i="20"/>
  <c r="B18" i="20"/>
  <c r="B17" i="20"/>
  <c r="B16" i="20"/>
  <c r="B15" i="20"/>
  <c r="B14" i="20"/>
  <c r="B13" i="20"/>
  <c r="B12" i="20"/>
  <c r="B11" i="20"/>
  <c r="B10" i="20"/>
  <c r="B9" i="20"/>
  <c r="B8" i="20"/>
  <c r="B7" i="20"/>
  <c r="B6" i="20"/>
  <c r="B4" i="20"/>
  <c r="D68" i="14"/>
  <c r="D50" i="14"/>
  <c r="E176" i="20" l="1"/>
  <c r="E170" i="20"/>
  <c r="E174" i="20" s="1"/>
  <c r="E172" i="20"/>
  <c r="D229" i="5"/>
  <c r="D230" i="5"/>
  <c r="D231" i="5"/>
  <c r="D232" i="5"/>
  <c r="D228" i="5"/>
  <c r="B120" i="5"/>
  <c r="B90" i="5"/>
  <c r="B89" i="5"/>
  <c r="B68" i="5"/>
  <c r="B58"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88" i="5"/>
  <c r="B87" i="5"/>
  <c r="B86" i="5"/>
  <c r="B85" i="5"/>
  <c r="B84" i="5"/>
  <c r="B83" i="5"/>
  <c r="B82" i="5"/>
  <c r="B81" i="5"/>
  <c r="B80" i="5"/>
  <c r="B79" i="5"/>
  <c r="B78" i="5"/>
  <c r="B77" i="5"/>
  <c r="B76" i="5"/>
  <c r="B75" i="5"/>
  <c r="B74" i="5"/>
  <c r="B73" i="5"/>
  <c r="B72" i="5"/>
  <c r="B71" i="5"/>
  <c r="B70" i="5"/>
  <c r="B69" i="5"/>
  <c r="B67" i="5"/>
  <c r="B66" i="5"/>
  <c r="B65" i="5"/>
  <c r="B64" i="5"/>
  <c r="B63" i="5"/>
  <c r="B62" i="5"/>
  <c r="B61" i="5"/>
  <c r="B60" i="5"/>
  <c r="B59"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2" i="5"/>
  <c r="D34" i="14"/>
  <c r="D2"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7" i="14"/>
  <c r="D66" i="14"/>
  <c r="D65" i="14"/>
  <c r="D64" i="14"/>
  <c r="D63" i="14"/>
  <c r="D62" i="14"/>
  <c r="D61" i="14"/>
  <c r="D60" i="14"/>
  <c r="D59" i="14"/>
  <c r="D58" i="14"/>
  <c r="D57" i="14"/>
  <c r="D56" i="14"/>
  <c r="D55" i="14"/>
  <c r="D54" i="14"/>
  <c r="D53" i="14"/>
  <c r="D52" i="14"/>
  <c r="D51" i="14"/>
  <c r="D49" i="14"/>
  <c r="D48" i="14"/>
  <c r="D47" i="14"/>
  <c r="D46" i="14"/>
  <c r="D45" i="14"/>
  <c r="D44" i="14"/>
  <c r="D43" i="14"/>
  <c r="D42" i="14"/>
  <c r="D41" i="14"/>
  <c r="D40" i="14"/>
  <c r="D39" i="14"/>
  <c r="D38" i="14"/>
  <c r="D37" i="14"/>
  <c r="D36" i="14"/>
  <c r="D35"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F223" i="15"/>
  <c r="F222" i="15"/>
  <c r="F221" i="15"/>
  <c r="F220" i="15"/>
  <c r="F219" i="15"/>
  <c r="F218" i="15"/>
  <c r="F217" i="15"/>
  <c r="F216" i="15"/>
  <c r="F215" i="15"/>
  <c r="F214" i="15"/>
  <c r="F213" i="15"/>
  <c r="F212" i="15"/>
  <c r="F211" i="15"/>
  <c r="F210" i="15"/>
  <c r="F209" i="15"/>
  <c r="F208" i="15"/>
  <c r="F207" i="15"/>
  <c r="F206" i="15"/>
  <c r="F205" i="15"/>
  <c r="F204" i="15"/>
  <c r="F203" i="15"/>
  <c r="F202" i="15"/>
  <c r="F201" i="15"/>
  <c r="F200" i="15"/>
  <c r="F199" i="15"/>
  <c r="F198" i="15"/>
  <c r="F197" i="15"/>
  <c r="F196" i="15"/>
  <c r="F195" i="15"/>
  <c r="F194" i="15"/>
  <c r="F193" i="15"/>
  <c r="F192" i="15"/>
  <c r="F191" i="15"/>
  <c r="F190" i="15"/>
  <c r="F189" i="15"/>
  <c r="F188" i="15"/>
  <c r="F187" i="15"/>
  <c r="F186" i="15"/>
  <c r="F185" i="15"/>
  <c r="F184" i="15"/>
  <c r="F183" i="15"/>
  <c r="F182" i="15"/>
  <c r="F181" i="15"/>
  <c r="F180" i="15"/>
  <c r="F179" i="15"/>
  <c r="F178" i="15"/>
  <c r="F177" i="15"/>
  <c r="F176" i="15"/>
  <c r="F175" i="15"/>
  <c r="F174" i="15"/>
  <c r="F173" i="15"/>
  <c r="F172" i="15"/>
  <c r="F171" i="15"/>
  <c r="F170" i="15"/>
  <c r="F169" i="15"/>
  <c r="F168" i="15"/>
  <c r="F167" i="15"/>
  <c r="F166" i="15"/>
  <c r="F165" i="15"/>
  <c r="F164" i="15"/>
  <c r="F163" i="15"/>
  <c r="F162" i="15"/>
  <c r="F161" i="15"/>
  <c r="F160" i="15"/>
  <c r="F159" i="15"/>
  <c r="F158" i="15"/>
  <c r="F157" i="15"/>
  <c r="F156" i="15"/>
  <c r="F155" i="15"/>
  <c r="F154" i="15"/>
  <c r="F153" i="15"/>
  <c r="F152" i="15"/>
  <c r="F151" i="15"/>
  <c r="F150" i="15"/>
  <c r="F149" i="15"/>
  <c r="F148" i="15"/>
  <c r="F147" i="15"/>
  <c r="F146" i="15"/>
  <c r="F145" i="15"/>
  <c r="F144" i="15"/>
  <c r="F143" i="15"/>
  <c r="F142" i="15"/>
  <c r="F141" i="15"/>
  <c r="F140" i="15"/>
  <c r="F139" i="15"/>
  <c r="F138" i="15"/>
  <c r="F137" i="15"/>
  <c r="F136" i="15"/>
  <c r="F135" i="15"/>
  <c r="F134" i="15"/>
  <c r="F133" i="15"/>
  <c r="F132" i="15"/>
  <c r="F131" i="15"/>
  <c r="F130" i="15"/>
  <c r="F129" i="15"/>
  <c r="F128" i="15"/>
  <c r="F127" i="15"/>
  <c r="F126" i="15"/>
  <c r="F125" i="15"/>
  <c r="F124" i="15"/>
  <c r="F123" i="15"/>
  <c r="F122" i="15"/>
  <c r="F121" i="15"/>
  <c r="F120" i="15"/>
  <c r="F119" i="15"/>
  <c r="F118" i="15"/>
  <c r="F117" i="15"/>
  <c r="F116" i="15"/>
  <c r="F115" i="15"/>
  <c r="F114" i="15"/>
  <c r="F113" i="15"/>
  <c r="F112" i="15"/>
  <c r="F111" i="15"/>
  <c r="F110" i="15"/>
  <c r="F109" i="15"/>
  <c r="F108" i="15"/>
  <c r="F107" i="15"/>
  <c r="F106" i="15"/>
  <c r="F105" i="15"/>
  <c r="F104" i="15"/>
  <c r="F103" i="15"/>
  <c r="F102" i="15"/>
  <c r="F101" i="15"/>
  <c r="F100" i="15"/>
  <c r="F99" i="15"/>
  <c r="F98" i="15"/>
  <c r="F97" i="15"/>
  <c r="F96" i="15"/>
  <c r="F95" i="15"/>
  <c r="F94" i="15"/>
  <c r="F93" i="15"/>
  <c r="F92" i="15"/>
  <c r="F91" i="15"/>
  <c r="F90" i="15"/>
  <c r="F89" i="15"/>
  <c r="F88" i="15"/>
  <c r="F87" i="15"/>
  <c r="F86" i="15"/>
  <c r="F85" i="15"/>
  <c r="F84" i="15"/>
  <c r="F83" i="15"/>
  <c r="F82" i="15"/>
  <c r="F81" i="15"/>
  <c r="F80" i="15"/>
  <c r="F79" i="15"/>
  <c r="F78" i="15"/>
  <c r="F77" i="15"/>
  <c r="F76" i="15"/>
  <c r="F75" i="15"/>
  <c r="F74" i="15"/>
  <c r="F73" i="15"/>
  <c r="F72" i="15"/>
  <c r="F71" i="15"/>
  <c r="F70" i="15"/>
  <c r="F69" i="15"/>
  <c r="F68" i="15"/>
  <c r="F67" i="15"/>
  <c r="F66" i="15"/>
  <c r="F65" i="15"/>
  <c r="F64"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Q223" i="5" l="1"/>
  <c r="R223" i="5" s="1"/>
  <c r="M3" i="15" l="1"/>
  <c r="A3" i="15"/>
  <c r="AL3" i="15"/>
  <c r="AM3" i="15"/>
  <c r="AN3" i="15"/>
  <c r="AK3" i="15"/>
  <c r="AH3" i="15"/>
  <c r="AI3" i="15"/>
  <c r="AJ3" i="15"/>
  <c r="AG3" i="15"/>
  <c r="AD3" i="15"/>
  <c r="AE3" i="15"/>
  <c r="AF3" i="15"/>
  <c r="AC3" i="15"/>
  <c r="W3" i="15"/>
  <c r="X3" i="15"/>
  <c r="Y3" i="15"/>
  <c r="Z3" i="15"/>
  <c r="AA3" i="15"/>
  <c r="AB3" i="15"/>
  <c r="V3" i="15"/>
  <c r="U3" i="15"/>
  <c r="T3" i="15"/>
  <c r="Q3" i="15"/>
  <c r="R3" i="15"/>
  <c r="S3" i="15"/>
  <c r="P3" i="15"/>
  <c r="N3" i="15"/>
  <c r="L3" i="15"/>
  <c r="K3" i="15"/>
  <c r="D233" i="5" l="1"/>
  <c r="D234" i="5"/>
  <c r="D235" i="5"/>
  <c r="F228" i="5" l="1"/>
  <c r="F233" i="5"/>
  <c r="O3" i="15" l="1"/>
  <c r="N230" i="5"/>
  <c r="N231" i="5"/>
  <c r="N229" i="5"/>
  <c r="O229" i="5"/>
  <c r="R230" i="5"/>
  <c r="R231" i="5"/>
  <c r="R229" i="5"/>
  <c r="Q231" i="5"/>
  <c r="Q230" i="5"/>
  <c r="Q229" i="5"/>
  <c r="P231" i="5"/>
  <c r="P230" i="5"/>
  <c r="P229" i="5"/>
  <c r="O230" i="5"/>
  <c r="O231" i="5"/>
  <c r="A121" i="14" l="1"/>
  <c r="O148" i="15" l="1"/>
  <c r="O147" i="15"/>
  <c r="O146" i="15"/>
  <c r="O145" i="15"/>
  <c r="O144" i="15"/>
  <c r="O143" i="15"/>
  <c r="O2" i="15" l="1"/>
  <c r="O121" i="15"/>
  <c r="R2" i="15" l="1"/>
  <c r="AC2" i="15"/>
  <c r="Y2" i="15"/>
  <c r="AD2" i="15"/>
  <c r="Z2" i="15"/>
  <c r="X2" i="15"/>
  <c r="AL2" i="15"/>
  <c r="V2" i="15"/>
  <c r="N2" i="15"/>
  <c r="Q2" i="15"/>
  <c r="M2" i="15"/>
  <c r="T2" i="15"/>
  <c r="AH2" i="15"/>
  <c r="P2" i="15"/>
  <c r="AB2" i="15"/>
  <c r="AE2" i="15"/>
  <c r="AN2" i="15"/>
  <c r="AG2" i="15"/>
  <c r="AF2" i="15"/>
  <c r="L2" i="15"/>
  <c r="AK2" i="15"/>
  <c r="AM2" i="15"/>
  <c r="S2" i="15"/>
  <c r="W2" i="15"/>
  <c r="K2" i="15"/>
  <c r="AJ2" i="15"/>
  <c r="AI2" i="15"/>
  <c r="U2" i="15"/>
  <c r="AA2" i="15"/>
  <c r="O136" i="15"/>
  <c r="O74" i="15"/>
  <c r="O66" i="15"/>
  <c r="O59" i="15"/>
  <c r="O44" i="15"/>
  <c r="O24" i="15"/>
  <c r="O10" i="15"/>
  <c r="O58" i="15"/>
  <c r="O131" i="15"/>
  <c r="O31" i="15"/>
  <c r="O129" i="15"/>
  <c r="O113" i="15"/>
  <c r="O105" i="15"/>
  <c r="O97" i="15"/>
  <c r="O89" i="15"/>
  <c r="O81" i="15"/>
  <c r="O36" i="15"/>
  <c r="O17" i="15"/>
  <c r="O65" i="15"/>
  <c r="O50" i="15"/>
  <c r="O30" i="15"/>
  <c r="O9" i="15"/>
  <c r="O26" i="15"/>
  <c r="O137" i="15"/>
  <c r="O45" i="15"/>
  <c r="O90" i="15"/>
  <c r="O37" i="15"/>
  <c r="O73" i="15"/>
  <c r="O91" i="15"/>
  <c r="O142" i="15"/>
  <c r="O135" i="15"/>
  <c r="O128" i="15"/>
  <c r="O120" i="15"/>
  <c r="O112" i="15"/>
  <c r="O104" i="15"/>
  <c r="O96" i="15"/>
  <c r="O88" i="15"/>
  <c r="O80" i="15"/>
  <c r="O43" i="15"/>
  <c r="O23" i="15"/>
  <c r="O16" i="15"/>
  <c r="O29" i="15"/>
  <c r="O95" i="15"/>
  <c r="O49" i="15"/>
  <c r="O22" i="15"/>
  <c r="O56" i="15"/>
  <c r="O140" i="15"/>
  <c r="O34" i="15"/>
  <c r="O7" i="15"/>
  <c r="O54" i="15"/>
  <c r="O6" i="15"/>
  <c r="O11" i="15"/>
  <c r="O122" i="15"/>
  <c r="O51" i="15"/>
  <c r="O72" i="15"/>
  <c r="O64" i="15"/>
  <c r="O35" i="15"/>
  <c r="O8" i="15"/>
  <c r="O103" i="15"/>
  <c r="O42" i="15"/>
  <c r="O15" i="15"/>
  <c r="O71" i="15"/>
  <c r="O28" i="15"/>
  <c r="O110" i="15"/>
  <c r="O94" i="15"/>
  <c r="O48" i="15"/>
  <c r="O14" i="15"/>
  <c r="O75" i="15"/>
  <c r="O98" i="15"/>
  <c r="O141" i="15"/>
  <c r="O134" i="15"/>
  <c r="O127" i="15"/>
  <c r="O119" i="15"/>
  <c r="O111" i="15"/>
  <c r="O87" i="15"/>
  <c r="O79" i="15"/>
  <c r="O63" i="15"/>
  <c r="O118" i="15"/>
  <c r="O83" i="15"/>
  <c r="O114" i="15"/>
  <c r="O126" i="15"/>
  <c r="O86" i="15"/>
  <c r="O78" i="15"/>
  <c r="O41" i="15"/>
  <c r="O99" i="15"/>
  <c r="O60" i="15"/>
  <c r="O102" i="15"/>
  <c r="O47" i="15"/>
  <c r="O82" i="15"/>
  <c r="O133" i="15"/>
  <c r="O70" i="15"/>
  <c r="O55" i="15"/>
  <c r="O27" i="15"/>
  <c r="O21" i="15"/>
  <c r="O125" i="15"/>
  <c r="O117" i="15"/>
  <c r="O109" i="15"/>
  <c r="O101" i="15"/>
  <c r="O93" i="15"/>
  <c r="O85" i="15"/>
  <c r="O62" i="15"/>
  <c r="O40" i="15"/>
  <c r="O13" i="15"/>
  <c r="O69" i="15"/>
  <c r="O38" i="15"/>
  <c r="O106" i="15"/>
  <c r="O139" i="15"/>
  <c r="O77" i="15"/>
  <c r="O33" i="15"/>
  <c r="O20" i="15"/>
  <c r="O19" i="15"/>
  <c r="O123" i="15"/>
  <c r="O138" i="15"/>
  <c r="O132" i="15"/>
  <c r="O124" i="15"/>
  <c r="O116" i="15"/>
  <c r="O108" i="15"/>
  <c r="O100" i="15"/>
  <c r="O92" i="15"/>
  <c r="O84" i="15"/>
  <c r="O76" i="15"/>
  <c r="O39" i="15"/>
  <c r="O52" i="15"/>
  <c r="O68" i="15"/>
  <c r="O61" i="15"/>
  <c r="O53" i="15"/>
  <c r="O46" i="15"/>
  <c r="O32" i="15"/>
  <c r="O12" i="15"/>
  <c r="O107" i="15"/>
  <c r="O25" i="15"/>
  <c r="O5" i="15"/>
  <c r="O130" i="15"/>
  <c r="O18" i="15"/>
  <c r="O115" i="15"/>
  <c r="O67" i="15"/>
  <c r="O57" i="15"/>
  <c r="A170" i="20" a="1"/>
  <c r="B179" i="20" l="1"/>
  <c r="B174" i="20"/>
  <c r="B173" i="20"/>
  <c r="B176" i="20"/>
  <c r="B171" i="20"/>
  <c r="B175" i="20"/>
  <c r="B177" i="20"/>
  <c r="B178" i="20"/>
  <c r="B172" i="20"/>
  <c r="A170" i="20"/>
  <c r="B170"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Gerardo Iuliano</author>
  </authors>
  <commentList>
    <comment ref="C126" authorId="0" shapeId="0" xr:uid="{D337E40A-9263-274E-BF34-B152AC29BD17}">
      <text>
        <r>
          <rPr>
            <b/>
            <sz val="10"/>
            <color rgb="FF000000"/>
            <rFont val="Tahoma"/>
            <family val="2"/>
          </rPr>
          <t>Gerardo Iuliano:</t>
        </r>
        <r>
          <rPr>
            <sz val="10"/>
            <color rgb="FF000000"/>
            <rFont val="Tahoma"/>
            <family val="2"/>
          </rPr>
          <t xml:space="preserve">
</t>
        </r>
        <r>
          <rPr>
            <sz val="10"/>
            <color rgb="FF000000"/>
            <rFont val="Tahoma"/>
            <family val="2"/>
          </rPr>
          <t>Bad Coding?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Gerardo Iuliano</author>
  </authors>
  <commentList>
    <comment ref="DT2" authorId="0" shapeId="0" xr:uid="{D4EB8783-4077-254C-B468-17E408251727}">
      <text>
        <r>
          <rPr>
            <b/>
            <sz val="10"/>
            <color rgb="FF000000"/>
            <rFont val="Tahoma"/>
            <family val="2"/>
          </rPr>
          <t>Gerardo Iuliano:</t>
        </r>
        <r>
          <rPr>
            <sz val="10"/>
            <color rgb="FF000000"/>
            <rFont val="Tahoma"/>
            <family val="2"/>
          </rPr>
          <t xml:space="preserve">
</t>
        </r>
        <r>
          <rPr>
            <sz val="10"/>
            <color rgb="FF000000"/>
            <rFont val="Tahoma"/>
            <family val="2"/>
          </rPr>
          <t>Bad Coding?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<sst xmlns="http://schemas.openxmlformats.org/spreadsheetml/2006/main" count="9251" uniqueCount="2998">
  <si>
    <t>Id</t>
  </si>
  <si>
    <t>Name</t>
  </si>
  <si>
    <t>Alternate Names/ Mapping</t>
  </si>
  <si>
    <t>Description</t>
  </si>
  <si>
    <t>Category/Class</t>
  </si>
  <si>
    <t>Paper</t>
  </si>
  <si>
    <t>1A</t>
  </si>
  <si>
    <t>Reentrancy</t>
  </si>
  <si>
    <t>Cross function race condition, race to empty, recursive call vulnerability</t>
  </si>
  <si>
    <t xml:space="preserve">The callee calls the caller back, before the initial call has completed and relevant checks and state changes have been performed. The classical example is an Ether transfer to a contract, whose fallback function is specifically crafted to call back the function emitting the original call. </t>
  </si>
  <si>
    <t>Malicious Environment, Transactions or Input</t>
  </si>
  <si>
    <t>RamenderEtAl2022</t>
  </si>
  <si>
    <t>SWE-107</t>
  </si>
  <si>
    <t>Reentrancy attacks, also known as recursive call attacks, occur when a malicious contract calls into the calling contract before the function's first invocation has concluded. This might lead to undesired interactions between the many invocations of the function.</t>
  </si>
  <si>
    <t>RE</t>
  </si>
  <si>
    <t>A function in a victim contract is re-entered and leads to a race condition on state variables</t>
  </si>
  <si>
    <t>Re-entrancy</t>
  </si>
  <si>
    <t>It is one of the most famous vulnerabilities related to the Ethereum smart contract. It was first reported in 2016 from the renowned DAO attack [26], which caused a loss of 60 million US dollars. It occurs due to repeatedly calling of a function of the caller contract by the callee contract before the function completed its execution. Due to this, the state variables of the function are not updated after each function call and create a very serious issue.</t>
  </si>
  <si>
    <t>CWE-691 (Pillar)</t>
  </si>
  <si>
    <t xml:space="preserve">This vulnerability occurs when a callee calls the calling function back before its completion. This call can lead to the repeated execution of functions designed to be executed only once. The situation can easily occur when a contract sends Ether to another. In fact, in Solidity, a fallback function is called whenever a contract receives Ether or when a given not existing function is called. If the fallback function performs a callback, it will lead to a loop of calls that may drain the funds of the paying contract (as in the DAO attack). If the malicious contract Eve calls the function withdraw of Alice to get its deposited credit, its execution invokes the Eve fallback function, generating a loop that will drain Alice's balance. This loop happens because the Eve credit update is performed after the payment instead of before. A possible countermeasure to this vulnerability is to ensure that any external contract is called only once, updating appropriate variables before performing the call. </t>
  </si>
  <si>
    <t>VivarEtAl2021</t>
  </si>
  <si>
    <t>Reentrancy-eth</t>
  </si>
  <si>
    <t>Message call to ext. Contract</t>
  </si>
  <si>
    <t>This contract executes a message call to the address of the transaction sender. Generally, it is not recommended to call user-supplied adresses using Solidity's call() construct. Note that attackers might leverage reentrancy attacks to exploit race conditions or manipulate this contract's state.</t>
  </si>
  <si>
    <t>Call without data</t>
  </si>
  <si>
    <t>Reentrancy-no-eth</t>
  </si>
  <si>
    <t>Reentrancy-benign</t>
  </si>
  <si>
    <t>The ”exploit” has the same effect as two successive calls. During our evaluation, if a tool flags a benign reentrancy in a contract, it is considered a false positive.</t>
  </si>
  <si>
    <t>State change after ext. cal</t>
  </si>
  <si>
    <t>The contract account state is changed after an external call. Consider that the called contract could re-enter the function before this state change takes place. This can lead to business logic vulnerabilities.</t>
  </si>
  <si>
    <t>1B</t>
  </si>
  <si>
    <t>Call to the unknown</t>
  </si>
  <si>
    <t>Unexpected fallback function</t>
  </si>
  <si>
    <t xml:space="preserve">An unrestricted CALL to an unknown address may lead to the execution of malicious code, e.g. the fallback function of the called contract. This vulnerability is a generalization of 1A Reentrancy, where the callee executes a call back to the caller. </t>
  </si>
  <si>
    <t>SWE-143</t>
  </si>
  <si>
    <t>SWE-143: This vulnerability happens when the smart contract calls another address without taking into consideration that this call may execute a fallback function in that address. This default behavior could cause some serious business logic vulnerabilities. Re-entrancy could be seen as a specific type of call to the unknown</t>
  </si>
  <si>
    <t>CWE-669 (Class)</t>
  </si>
  <si>
    <t>Some Solidity’s primitives for function invocation and Ether transfer (e.g., call, send) have the side effect of invoking the fallback function of the callee/recipient. This may lead to unexpected behaviours since an external portion of code is executed. Mitigation is to avoid external calls whenever possible.</t>
  </si>
  <si>
    <t>The cause of this vulnerability is the execution of the fallback function under certain conditions. The function with the given signature does not exist. This can happen due to the invocation of certain functions of Calle’s contract or the transfer of ether to another smart contract</t>
  </si>
  <si>
    <t>Missed to implement a fallback function</t>
  </si>
  <si>
    <t>Using call.value(x) can be problematic when the recipient function is not explicitly specified in the arguments of the call. By default, call invokes the default fallback function of the target contract so that the receiving contract can process the transferred balance. If a malicious contract deliberately does not implement a fallback function, any deposit made to it will not succeed, and the sender contract will not be able to function as intended due to failed transfers. This vulnerability is called missed to implement a fallback function, which can lead to DoS issues in sender contract.</t>
  </si>
  <si>
    <t>Malicious Environment, Transactions or Input OR Denial of Service</t>
  </si>
  <si>
    <t>1C</t>
  </si>
  <si>
    <t>Exact balance dependency</t>
  </si>
  <si>
    <t>Forcing Ether to contracts, unexpected Ether, manipulated balance, pre-sent Ether</t>
  </si>
  <si>
    <t xml:space="preserve">If the logic of a contract depends on maintaining the exact balance in storage (instead of querying the environment for the current balance), attackers can manipulate the contract by increasing its balance without triggering its code. This can be achieved by using the contract’s address as the beneficiary of a SELFDESTRUCT operation or as the receiver of a mining reward, or by predicting the contract’s  address and sending Ether before the contract gets deployed. </t>
  </si>
  <si>
    <t>Unprotected Ether Balance</t>
  </si>
  <si>
    <t>Transactions that depend on the balance of a smart contract should be adequately protected. For example, suppose a contract performs a critical transaction when its balance reaches a certain amount (or it is greater than zero). Then, it is always possible to forcibly send Ether to a contract (e.g., using selfdestruct) by changing its balance even when there are mechanisms to disable receiving Ether. This way, a failure to protect access to the operation makes the contract vulnerable; in the worst-case scenario, the vulnerability could lead to a DoS situation.</t>
  </si>
  <si>
    <t>SWE-132</t>
  </si>
  <si>
    <t>unexpected  balance</t>
  </si>
  <si>
    <t xml:space="preserve">SWE-132: When contracts rigorously presume a particular Ether balance. The funds could be sent to smart contract with multiple techniques that cannot be all controlled by developers. For example the use selfdestruct, mine to the account, or forcefully deliver ether to a contract. In the worst-case situation, this can result in conditions called DOS that might make the contract useless or change push the smart contract to behave erroneously. I.e. This smart contract tracks his balance and the balance of each user using a variable that only gets incremented using the usersFunds function. However, the attacker could send money to the contract without the need to pass through that function, which may have an impact on the business logic. </t>
  </si>
  <si>
    <t>Unexpected Ether balance</t>
  </si>
  <si>
    <t>Balance Equality</t>
  </si>
  <si>
    <t>Unexpected Ether balance (SWC)</t>
  </si>
  <si>
    <t>Contracts can behave erroneously when they strictly assume a specific Ether balance. It is always possible to forcibly send ether to a contract (without triggering its fallback function), using selfdestruct, or by mining to the account. In the worst case scenario this could lead to DOS conditions that might render the contract unusable.</t>
  </si>
  <si>
    <t>Strict Balance Equality</t>
  </si>
  <si>
    <t>Using strict balance quality to determine the execute logic</t>
  </si>
  <si>
    <t>CH_MCHFRB</t>
  </si>
  <si>
    <t>check on force to receive balance</t>
  </si>
  <si>
    <t>A contract failing to perform adequate checks on the balance received in a transaction can allow attackers to exploit the contract in harmful ways. It is essential to implement appropriate checks on the received balance to ensure the security of the contract and protect the participants' assets. Cause: Blockchain. Type: Balance transfer. Impact: unexpected balance transfer.</t>
  </si>
  <si>
    <t>1D</t>
  </si>
  <si>
    <t>Improper data validation</t>
  </si>
  <si>
    <t>untrustworthy data feeds, malicious libraries</t>
  </si>
  <si>
    <t xml:space="preserve">Failure to check data obtained from untrusted sources, such as external libraries or contracts, before using it. </t>
  </si>
  <si>
    <t>SWE-147</t>
  </si>
  <si>
    <t>Untrustworthy data feeds</t>
  </si>
  <si>
    <t>SWE-147: The smart contract should use trustworthy oracles to gather information from the outside. For example, using centralized data feeds API calls, which may lead to making the contract unusable if they get shut down by the owner</t>
  </si>
  <si>
    <t>Some smart contracts need data feeds from outside the blockchain, but there is no guarantee that the external data source is trustworthy. So, in the case when an attacker is intentionally sending wrong information to fail the smart contract operation then it will be a hazardous situation.</t>
  </si>
  <si>
    <t>Deprecated APIs</t>
  </si>
  <si>
    <t>Using discarded or unrecommended AIPs or instructions.</t>
  </si>
  <si>
    <t>Malicious Libraries</t>
  </si>
  <si>
    <t>CWE-668 (Class)</t>
  </si>
  <si>
    <t>Solidity permits building libraries that contracts can invoke. However, using libraries from untrusted sources may result in vulnerability by allowing the potential execution of malicious code.</t>
  </si>
  <si>
    <t>Use of untrusted arguments</t>
  </si>
  <si>
    <t>Arguments of a method could come from untrusted, user-provided input and should be validated before any use, including storing in memory.</t>
  </si>
  <si>
    <t>1E</t>
  </si>
  <si>
    <t>Vulnerable DELEGATECALL</t>
  </si>
  <si>
    <t xml:space="preserve">Performing a DELEGATECALL or CALLCODE instruction to an untrusted address. Code invoked via these types of calls is run in the caller’s context. A malicious callee can manipulate the caller’s state variables and has full control over the balance. </t>
  </si>
  <si>
    <t>SWE-112</t>
  </si>
  <si>
    <t>Delegatecall to Untrusted Callee</t>
  </si>
  <si>
    <t>Delegating a call to a third-party contract is a common practice in smart contract building. This practice allows developers to avoid rewriting the same code by executing the one that is already on the chain but with the context of the caller. This practice is the main idea behind proxies. However, using the source code of other smart contracts is not always safe. If the callee contract is not checked and trusted, then this would include serious vulnerabilities in  the smart contract. Moreover, if the callee smart contract is upgradable, then the business logic may change without realizing it, making the caller smart contract vulnerable</t>
  </si>
  <si>
    <t>Unsafe Delegatecall</t>
  </si>
  <si>
    <t>Delegated Call to Untrusted Callee</t>
  </si>
  <si>
    <t>The vulnerability was first observed in the Parity wallet attack. The primitive delegatecall generates a message call that executes the code at the target address in the context of the calling contracts. This way, an attacker can modify the state of the caller contract using the callee.</t>
  </si>
  <si>
    <t>Delegatecall to insecure contracts</t>
  </si>
  <si>
    <t>CH_MCHTADC</t>
  </si>
  <si>
    <t>check on target address in delegatecall</t>
  </si>
  <si>
    <t>Missing check on target address in delegatecall. Cause: language. Type: storage access. Impact: delegatecall and storage layout (SWC-112, SP-4)</t>
  </si>
  <si>
    <t>Delegate Call</t>
  </si>
  <si>
    <t>For calling another contract’s function, the target function’s ABI (Application Binary Interface - the standard way of interaction with smart contracts in the Ethereum blockchain environment) is required. If ABI is known then the target function’s signature can be used directly for calling purposes. But what if we don’t know the target function’s ABI, then we can use the ‘‘DELEGATECALL’’. The context preserving nature of ‘DELEGATECALL’ can create vulnerabilities when it runs in the context of other applications. It can lead to unexpected execution such as self-destruction and balance loss of contracts.</t>
  </si>
  <si>
    <t>It was first reported in one of the other famous attacks on the Ethereum smart contract Parity wallet. It occurs because of using EVM opcodes maliciously by the callee contract to update the state variables of the caller’s contract.</t>
  </si>
  <si>
    <t>2A</t>
  </si>
  <si>
    <t>Timestamp dependency</t>
  </si>
  <si>
    <t>Time constraints, time manipulation</t>
  </si>
  <si>
    <t xml:space="preserve">The timestamp or the number of the block should not be used for precise calculations or critical time dependencies in the contract logic. Miners have control over these values and can manipulate them to a certain extent, or the values may be subject to changes for other reasons. </t>
  </si>
  <si>
    <t>Blockchain/Environment Dependency</t>
  </si>
  <si>
    <t>It occurs when the block timestamp is used to trigger a condition to initiate the execution of a critical operation. If the block timestamp is used to create randomness, it can be compromised by the malicious attacker.</t>
  </si>
  <si>
    <t>It is classified as a security vulnerability by Maher and Alharby. It leads to a vulnerable situation when the triggered condition to execute the transaction is the block timestamp, because the dishonest miners can utilize the block timestamp value in an unethical way.</t>
  </si>
  <si>
    <t>Timestamp Dependency vulnerability result from the usage, in critical operations, of global timestamp variables. A malicious miner can manipulate this values.</t>
  </si>
  <si>
    <t>Time restriction</t>
  </si>
  <si>
    <t>Many applications have time restrictions to operate. Usually these restrictions use texttimestamps. In the case of smart contracts, the programmer can get the timestamp of when the block was mined, which is shared by all transactions in the block. The trouble is that miners in the early versions of the protocol could choose the timestamp of the block they were going to arbitrarily mine, which could be used to carry out attacks.</t>
  </si>
  <si>
    <t>Timestamp manipulation</t>
  </si>
  <si>
    <t>Block values as a proxy for time (SWC)</t>
  </si>
  <si>
    <t>Contracts often need access to time values to perform certain types of functionality. Values such as block.timestamp, and block.number can give you a sense of the current time or a time delta, however, they are not safe to use for most purposes. In the case of block.timestamp, developers often attempt to use it to trigger time-dependent events. As Ethereum is decentralized, nodes can synchronize time only to some degree. Moreover, malicious miners can alter the timestamp of their blocks, especially if they can gain advantages by doing so. However, miners can't set a timestamp smaller than the previous one (otherwise the block will be rejected), nor can they set the timestamp too far ahead in the future. Taking all of the above into consideration, developers can't rely on the preciseness of the provided timestamp. As for block.number, considering the block time on Ethereum is generally about 14 seconds, it's possible to predict the time delta between blocks. However, block times are not constant and are subject to change for a variety of reasons, e.g. fork reorganisations and the difficulty bomb. Due to variable block times, block.number should also not be relied on for precise calculations of time.</t>
  </si>
  <si>
    <t>Block Info Dependency</t>
  </si>
  <si>
    <t>Using block information related APIs to determine the execute logic</t>
  </si>
  <si>
    <t>BD</t>
  </si>
  <si>
    <t>Block State Dependency</t>
  </si>
  <si>
    <t>Block states (e.g. timestamp, number) decide ether transfer of a contract</t>
  </si>
  <si>
    <t>SWE-116</t>
  </si>
  <si>
    <t>Block values as a proxy for time</t>
  </si>
  <si>
    <t>Access to time values is frequently required for contracts to carry out specific sorts of functionality. However, using the value of block.timestamp, or block.number is not a safe operation as those values could be manipulated by the nodes that execute the smart contract. To fix this code, a developer should either use an Oracle system to check for the exact time or allow an error range. In the context of Ethereum Blockchain, a range of 900ms error could be applied as nodes are allowed to submit a value up to block.timestamp + 900. More than this value is considered wrong and leads to block not getting validated.</t>
  </si>
  <si>
    <t>2F</t>
  </si>
  <si>
    <t>Blockhash dependency</t>
  </si>
  <si>
    <t>Block number dependency</t>
  </si>
  <si>
    <t>Using the blockhash bears similar risks as using other block information like the timestamp or number and should not be used in critical operations, as miners can manipulate also the blockhash.</t>
  </si>
  <si>
    <t>Blockhash Usage</t>
  </si>
  <si>
    <t>Blockhash usage vulnerability result from the usage, in critical operations, of blockhash variables. A malicious miner can manipulate this values.</t>
  </si>
  <si>
    <t>Block-HashBlock Number</t>
  </si>
  <si>
    <t>It also occurs when the block hash, or block number is used to generate randomness by generating random numbers. But a miner can act maliciously to manipulate or modify the same for its benefit.</t>
  </si>
  <si>
    <t>2B</t>
  </si>
  <si>
    <t>Transaction-ordering dependency (TOD)</t>
  </si>
  <si>
    <t>Event-ordering bugs, front running, race condition</t>
  </si>
  <si>
    <t xml:space="preserve">The logic of a contract should not depend on the order, in which the transactions of a block are executed, as miners can compose the block in any order, and may do so deliberately for malicious reasons. Moreover, the state of a contract may change between the time a transaction is submitted to the network and the time it is included into a block, as other transactions, even when submitted later, may be prioritized by miners. </t>
  </si>
  <si>
    <t>SWE-114</t>
  </si>
  <si>
    <t>Blockchains that do not force a transaction order at which each one should be validated. Nodes usually choose the transaction with higher fees to maximize their gains. Therefore, if the smart contract depends on the order in which each transaction is validated, then a race condition could happen to create what we call in the Block-chain context a Transaction order dependence (TOD) vulnerability</t>
  </si>
  <si>
    <t>Transaction Ordering Dependence</t>
  </si>
  <si>
    <t>This vulnerability arises when a contract relies on the order in which transactions are executed since miners decide this. There is no guarantee that the execution order matches the order in which transactions were requested, and this can affect the state of the dependent contract. Using a pre-commit scheme could mitigate the vulnerability.</t>
  </si>
  <si>
    <t>TOD</t>
  </si>
  <si>
    <t>The Ethereum network operates through blocks where transactions are confirmed approximately every 17 seconds. Miners select transactions to include based on the gas price offered. This system can lead to race condition vulnerabilities, where the order of transactions affects outcomes. One example is in smart contracts, where rewards are given based on certain conditions. For instance, if a contract rewards the first solver of a problem, a race condition can occur if a malicious actor, observing a pending transaction, submits a similar transaction with a higher gas price, claiming the reward before the legitimate solver's transaction is processed. Another common occurrence is in the ERC20 token standard, particularly with the 'approve' function. If a user, Alice, approves another address, Eve, to spend tokens and then decides to modify this approval, Eve, who is monitoring the network, can exploit this by submitting a transaction to transfer tokens before Alice's approval modification transaction is processed. By offering a higher gas price, Eve can execute her transaction first, obtaining more tokens than allowed.</t>
  </si>
  <si>
    <t>This vulnerability is related to the execution order of two dependant transactions that are invoking the same smart contract. A malevolent user can utilize this vulnerability to attack if the transactions are not executed in the proper order. The order of transaction execution is decided by the miners, but if the adversary is the miner itself, then this will be a very disastrous situation</t>
  </si>
  <si>
    <t>2C</t>
  </si>
  <si>
    <t>Bad random number generation</t>
  </si>
  <si>
    <t>Generating randomness, block number dependency, bad randomness</t>
  </si>
  <si>
    <t xml:space="preserve">Truly random numbers are important for applications like lotteries and games, but are difficult to generate. Using global blockchain variables, such as timestamps, as seed is open to manipulation by malicious miners who can influence global variables. Moreover, other transactions in the same block, or other contracts invoked in the same transaction have access to the same global variables and may guess the random number. </t>
  </si>
  <si>
    <t>SWE-120</t>
  </si>
  <si>
    <t>Weak Sources of Randomness from Chain Attributes</t>
  </si>
  <si>
    <t>In a wide range of applications, having the ability to create random numbers is quite useful. However, it is difficult to build a reliable adequate source of randomness for apps in the Blockchain. In the Ethereum Blockchain for example smart contract using the blockhash block timestamp or any node-controlled global variable as a source of randomness is insecure as they can be controlled and known by the other smart contract in the same block</t>
  </si>
  <si>
    <t>Random numbers</t>
  </si>
  <si>
    <t>The execution of the Ethereum virtual machine code is deterministic. This means that the code executed with the same inputs must produce the same output in all the nodes that execute it. This presents a problem when generating random numbers. To simulate randomness, many contracts use a random number generator initialized with the same seed for all miners.</t>
  </si>
  <si>
    <t>Randomness Generation</t>
  </si>
  <si>
    <t>Generating Randomness</t>
  </si>
  <si>
    <t>CWE-330 (Class)</t>
  </si>
  <si>
    <t>The execution of EVM bytecode is deterministic. To simulate nondeterministic choices, many contracts generate pseudo-random numbers, using the timestamp or other information (retrieved from global variables) about a block that will be added at a given time on the Blockchain. Since miners control the blocks of the Blockchain, a malicious one could craft a block to bias specific values, thus discovering the randomness and managing to manipulate events. A possible countermeasure consists of using an external source via oracles.</t>
  </si>
  <si>
    <t>Randomness Using Block Hash</t>
  </si>
  <si>
    <t xml:space="preserve">Sometimes randomness is required in operations and block hash can be used for this purpose. However, it can be manipulated like timestamp because the same can be predictable by the miners. </t>
  </si>
  <si>
    <t>2D</t>
  </si>
  <si>
    <t>Leakage of confidential information</t>
  </si>
  <si>
    <t>Lack of transaction privacy, unencrypted private data on-chain, private information leakage, nothing is secret, confidentiality failure, keeping secrets, data exposure, secrecy failure</t>
  </si>
  <si>
    <t xml:space="preserve">All transactions as well as the state of all contracts are visible to all miners and the world out side of the blockchain, even if the visibility of variables is set to private or internal in the source code. Therefore it is important to use encryption and commitment schemes to protect secret information. </t>
  </si>
  <si>
    <t>Lack of transactional Privacy</t>
  </si>
  <si>
    <t>Transactions balance details of the users are publicly available. But, users want that their financial details and transactions should not be visible to others. It may limit the users of smart contracts since attackers can monitor the transactionrelated details of users. Attackers can use this information for various kinds of unethical uses.</t>
  </si>
  <si>
    <t xml:space="preserve">Secrecy Failure </t>
  </si>
  <si>
    <t>Declaring a variable as private does not guarantee its secrecy because of the public nature of the Blockchain. Other contracts can not access the variable, but anyone can inspect published values and infer possible subsequent ones. Using cryptographic techniques could mitigate the problem.</t>
  </si>
  <si>
    <t>Exposed secret</t>
  </si>
  <si>
    <t>A secret value is stored in a state variable and is used to gain rewards in gambling, quizzes, and gifts-based smart contracts. Although the secret setter function stores a hash value of such secret values, the plain text of the secret response is used in the transaction argument, which is recorded publicly in the blockchain. Since blockchain is an open platform, attackers can inspect such secret values by tracking previous transactions of a smart contract, resulting in an exposed secret vulnerability. Cause: Front Running Attack</t>
  </si>
  <si>
    <t xml:space="preserve">Secrets </t>
  </si>
  <si>
    <t>SWE-136</t>
  </si>
  <si>
    <t>unencrypted private data on-chain</t>
  </si>
  <si>
    <t>SWE-136: The private type variable can be read. Attackers can examine transactions to identify values kept in the contract state. Therefore, all the private data in the Blockchain have to be encrypted.</t>
  </si>
  <si>
    <t xml:space="preserve">On-chain oracle manipulation </t>
  </si>
  <si>
    <t>2E</t>
  </si>
  <si>
    <t>Unpredictable state (dynamic libraries)</t>
  </si>
  <si>
    <t>Dynamic library</t>
  </si>
  <si>
    <t xml:space="preserve">Calling contracts or libraries that can self-destruct or can be updated at a later stage will lead to unpredictable effects.  </t>
  </si>
  <si>
    <t>Unpredictable state</t>
  </si>
  <si>
    <t>All smart contracts contain a status based on the values of their fields and their balance sheet. However, there is no guaranteed that the state of a contract when we performed a transaction is the identical to the state when that transaction is pulled out and placed in the blockchain. In other words, it could happen that previous to processing our transaction, other transactions have already changed the state of the target contract and in addition to being fast, it does not guarantee us anything since the miners can mine the transactions in the order they wish. There is a further problem caused by the nature of blockchain, which is that a chain fork could occur if two miners continue to mine a valid block at the same time. This would make some miners try to put their block on one of the two chains and the others on the other. At any moment the shorter chain would be dismissed, losing the transactions contained in it and changing the state of the contracts to an indeterminate state.</t>
  </si>
  <si>
    <t>SWE-141</t>
  </si>
  <si>
    <t>Dynamic libraries</t>
  </si>
  <si>
    <t>SWE-141: This vulnerability happens when a smart contract depends on updatable components (other smart contracts). Therefore, if the attacker takes control over those contracts he can then change the contract logic.</t>
  </si>
  <si>
    <t>SWE-153</t>
  </si>
  <si>
    <t>Using components with known vulnerabilities</t>
  </si>
  <si>
    <t>SWE-153: Using existing libraries and open-source codes in a newly created project is a very useful practice to avoid reinventing the wheel. However, open-source codes and libraries are not all safe and might be vulnerable to a public exploit. Therefore, even if the newly created smart contract is safe, those added codes may introduce hidden vulnerabilities</t>
  </si>
  <si>
    <t>External Contract Referencing</t>
  </si>
  <si>
    <t>Smart contracts need to re-use other contracts’ codes sometimes by referencing their addresses. For example, a developer could initiate an outside library in his contract’s constructor. The library’s address will be provided during deployment. This seems legitimate and safe from code audit. However, if given a wrong address in the deployment, a security hole is created because a malicious contract (honey pot) may be called from that wrong address.</t>
  </si>
  <si>
    <t>Misuse of address parameters in the constructor</t>
  </si>
  <si>
    <t>Solidity allows programmers to use any address to refer to a specific contract, which enables attacker contracts to hide malicious code by passing an incorrect address to a smart contract constructor as a parameter. This leads to misuse of address parameters in the constructor. Address parameter avoidance asserts that addresses are not taken as parameters in the constructor function.</t>
  </si>
  <si>
    <t>References to destroyed contracts</t>
  </si>
  <si>
    <t>Eventual Contract Removal. Three events are involved in a transaction of the WalletLibrary contract, ’begin transaction,’ ’finish transaction,’ and ’remove killed contracts.’ The ’remove killed contracts’ transition removes any contract that was self-destructed during the transaction. This event is performed through the destroy instruction in the Wallet library. Not invoking this instruction may result in a vulnerability involving keeping references to the destroyed contracts. Eventual contract removal asserts that the WalletLibrary.destroy will eventually be invoked after ’begin transaction’.</t>
  </si>
  <si>
    <t>3A</t>
  </si>
  <si>
    <t>Unchecked low level call/send return values</t>
  </si>
  <si>
    <t>Unchecked/unsafe send, unchecked CALL return values, return value bypassing, send instead of transfer, unhandled exception</t>
  </si>
  <si>
    <t>Low level calls do not raise an exception on failure but return a Boolean status. Failing to check the return status and to handle errors adequately may lead to critical vulnerabilities.</t>
  </si>
  <si>
    <t>Exception &amp; Error Handling Disorders</t>
  </si>
  <si>
    <t>CH_MCHRV</t>
  </si>
  <si>
    <t>Check on return values for low level calls</t>
  </si>
  <si>
    <t>Missing check on return values for low level calls. Cause: Blockchain. Type: Contract interaction. Impact: DoS, Unchecked Low level call (SWC-104, DASP-4, SP-9)</t>
  </si>
  <si>
    <t>Unhandled Exception</t>
  </si>
  <si>
    <t>The vulnerability arises from calls between Ethernet smart contracts, which send tokens using statements such as &lt;address&gt;.send, &lt;address&gt;.call.value, or calling methods of other contracts using statements such as call. If there is an exception during the call, such as running out of gas, the call will terminate and roll back the state, returning false to the calling contract</t>
  </si>
  <si>
    <t>SWE-104</t>
  </si>
  <si>
    <t>Unchecked call return values</t>
  </si>
  <si>
    <t>The succeeding program logic may behave unexpectedly if the call fails accidentally or if an attacker forces the call to fail. Therefore, the smart contract should check the result of an external call</t>
  </si>
  <si>
    <t>Unchecked call return value</t>
  </si>
  <si>
    <t>The return value of a message call is not checked. Execution will resume even if the called contract throws an exception. If the call fails accidentally or an attacker forces the call to fail, this may cause unexpected behaviour in the subsequent program logic.</t>
  </si>
  <si>
    <t>CWE-703 (Pillar)</t>
  </si>
  <si>
    <t xml:space="preserve">Some Solidity functions for Ether transfer return the boolean value false in case of failure without raising an exception. Thus, a missing check of the return value results in a vulnerable condition, leading to unexpected behaviours. The vulnerability can be mitigated by handling the return value. </t>
  </si>
  <si>
    <t>Incorrect Blockhash</t>
  </si>
  <si>
    <t>Unchecked call return value (SWC)</t>
  </si>
  <si>
    <t>Unchecked external calls</t>
  </si>
  <si>
    <t xml:space="preserve">Do not check the return value of external call functions. </t>
  </si>
  <si>
    <t>Check on External Call</t>
  </si>
  <si>
    <t>Missing check on external call. Cause: Blockchain. Type: Contract interaction. Impact: DoS with revert (SWC-113, SP-11)</t>
  </si>
  <si>
    <t>Unchecked call</t>
  </si>
  <si>
    <t>It occurs due to improper exception handling in the solidity code. When the return value of execution is not adequately checked and proper measures are not taken, the malicious user can benefit from that</t>
  </si>
  <si>
    <t>Unchecked send</t>
  </si>
  <si>
    <t>Unchecked send is a vulnerability produced by using the primitive function send. The primitive returns a boolean value; Therefore, the use of the send primitive is discouraged.</t>
  </si>
  <si>
    <t>Use of send instead of transfer</t>
  </si>
  <si>
    <t>The choice of ether transfer function affects not only the transfer of gas but also the execution of the caller (sender) contract because call.value(x) and send(x) do not return an exception in case of a failed transfer. In contrast, transfer(x) does throw an exception if the transaction is unsuccessful. This makes the use of send instead of transfer a vulnerability.</t>
  </si>
  <si>
    <t>Send</t>
  </si>
  <si>
    <t>SWE-140</t>
  </si>
  <si>
    <t>Improper handling of exceptions</t>
  </si>
  <si>
    <t>This vulnerability happens when the smart contract fails to handle possible exceptions that can be generated by the EVM like out of gas and others: Not having enough gas required for the execution, Invalid instructions, Insufficient stack items, Invalid destination of jump opcodes, Invalid stack size (greater than 1,024). The out-of-gas vulnerability, for example, happens when the smart contract developer fix a certain amount of gas for an operation and does not expect it to get higher in the future. Therefore, the attacker may exploit this vulnerability to perform a malicious action.</t>
  </si>
  <si>
    <t xml:space="preserve">Unchecked request </t>
  </si>
  <si>
    <t>This type of vulnerability occurs in connection with external calls to smart contracts. If an external control calls data or addresses, an attacker can arbitrarily specify the call address, function, and parameters. Suppose an external transfer request is initiated without careful check summing of the contract. In that case, an attacker could use this type of vulnerability to make the smart contract perform functions that the developer does not expect.</t>
  </si>
  <si>
    <t>A_WVAA</t>
  </si>
  <si>
    <t>Value assigned to contract address</t>
  </si>
  <si>
    <t>Wrong value assigned to contract address. Cause: language. Type: internal control flow. Impact: DOS</t>
  </si>
  <si>
    <t>Missing Return Statement</t>
  </si>
  <si>
    <t>A function denote the type of return values but do not return anything.</t>
  </si>
  <si>
    <t>3B</t>
  </si>
  <si>
    <t>Unexpected throw or revert</t>
  </si>
  <si>
    <t>DoS by external contract, unexpected-throw-DoS, DoS with failed call, DoS with unexpected revert/throw</t>
  </si>
  <si>
    <t xml:space="preserve">Calls to other contracts may fail and throw exceptions or revert the transaction. Not handling these situations adequately can lead to critical issues, such as DoS or lost funds. </t>
  </si>
  <si>
    <t>SWE-113</t>
  </si>
  <si>
    <t>DoS with failed call</t>
  </si>
  <si>
    <t>External calls may malfunction unintentionally or on purpose, which might result in a (Deny Of Service) DoS problem in the contract. It is preferable to execute each external call into a separate transaction so that the call recipient can start to reduce the harm brought on by such failures. This is especially true for payments, when it is preferable to let consumers withdraw cash rather than automatically send funds to them.</t>
  </si>
  <si>
    <t>External calls in a smart contract can fail accidentally (due to programming errors) or intentionally (by an attacker). In a situation when an attacker combines several calls in a single transaction and executes in a loop, then this can prevent other smart contracts nodes to interact with it.</t>
  </si>
  <si>
    <t>DoS by External Contracts</t>
  </si>
  <si>
    <t>This vulnerability results from the dependence of conditional statements on external calls since the condition to continue the execution may never be satisfied</t>
  </si>
  <si>
    <t>Call-stack Overflow</t>
  </si>
  <si>
    <t>Callstack bug</t>
  </si>
  <si>
    <t>DoS with failed call (SWC)</t>
  </si>
  <si>
    <t>Denial of Service</t>
  </si>
  <si>
    <t>MS</t>
  </si>
  <si>
    <t>Multiple Send</t>
  </si>
  <si>
    <t>A contract sends out ether multiple times within one transaction. This is a specific case of DoS</t>
  </si>
  <si>
    <t>3C</t>
  </si>
  <si>
    <t>Mishandled out-of-gas exception</t>
  </si>
  <si>
    <t>Gasless send (subcategory of 3B)</t>
  </si>
  <si>
    <t>Calling another contract with too little gas will cause an out-of-gas exception, possibly resulting in a vulnerability if handled inadequately. A typical situation is the transfer of funds with Solidity’s send method: The amount of 2300 gas supplied with the call will lead to an out-of-gas exception if the callee executes more than a few simple instructions.</t>
  </si>
  <si>
    <t>Gasless send</t>
  </si>
  <si>
    <t>CWE-400 (Class)</t>
  </si>
  <si>
    <t>The vulnerability results when the gas consumption for executing an operation exceeds the expected amount, raising an out-of-gas exception. In particular, the function send does not specify the maximum amount of expendable gas for executing the recipient fallback function. Such an amount is fixed and likely to be reached when the fallback function contains many or expensive instructions. Considering that send does not propagate exceptions, the contract keeps the amount that should have been transferred.</t>
  </si>
  <si>
    <t>Gas is required in Ethereum smart contract as an execution fee. When ethers are transferred to a smart contract via send and if the fallback function in the Calle contract has the maximum gas limit [80] of twenty-three hundred units, then an out-of-gas exception can be thrown. If this exception is not handled properly, then malicious users can take benefit from this vulnerability by keeping non-transferred ethers wrongfully even though it was assumed to give them away.</t>
  </si>
  <si>
    <t>Mishandled Exceptions</t>
  </si>
  <si>
    <t>In Solidity, the require,assert,try/catch  could be utilized to verify all kinds of information to ensure that the smart contract behaves as it is designed to. However, some low-level  functions such as address.send(),call(),delegatecall(),staticcall() find another way when an error comes up.</t>
  </si>
  <si>
    <t>CH_MRTS</t>
  </si>
  <si>
    <t>Require on transaction sender</t>
  </si>
  <si>
    <t>subexpression on transaction sender, if constructor on transaction sender</t>
  </si>
  <si>
    <t>Missing Check on transaction sender. "Require", "if", and "subexpression" should be used in OR/AND combination to check. Cause model. Type: authorization. Impact: improper access control.</t>
  </si>
  <si>
    <t>Problematic static call</t>
  </si>
  <si>
    <t>The EVM instruction staticcall calls a smart contract and uses the output of the called contract as its input while disallowing any modifications to the state of the caller contract during the call. The output of a staticcall invocation must overwrite its input. In a problematic staticcall, the returned values do not overwrite the current memory buffer used for passing and returning data to CALL instructions, and the user-provided input is read as output (of the called contracts). Preservation of values in staticcall asserts that the information flows to/from staticcall operations as intended; for example, return values from such operations overwrite the current memory buffer.</t>
  </si>
  <si>
    <t>Mishandled Exception</t>
  </si>
  <si>
    <t>When a contract is called by another contract and an exception or error is raised in the Calle contract. But if the same might not be reported to the Calle contract, then it might lead to threats. Therefore, it can attract the attackers to execute the malicious code in the contract.</t>
  </si>
  <si>
    <t>ME</t>
  </si>
  <si>
    <t>A contract does not check for an exception when calling external functions or sending ether</t>
  </si>
  <si>
    <t xml:space="preserve">3D </t>
  </si>
  <si>
    <t>Assert, require or revert violation</t>
  </si>
  <si>
    <t>Assert Violation</t>
  </si>
  <si>
    <t xml:space="preserve">Solidity’s error handling via assert, require and revert (or its bytecode counterparts) needs to be used correctly to avoid abnormal function behavior. </t>
  </si>
  <si>
    <t>Revert require</t>
  </si>
  <si>
    <t>Requirement Violation (SWC)</t>
  </si>
  <si>
    <t>The Solidity require() construct is meant to validate external inputs of a function. In most cases, such external inputs are provided by callers, but they may also be returned by callees. In the former case, we refer to them as precondition violations. Violations of a requirement can indicate one of two possible issues:
A bug exists in the contract that provided the external input.
The condition used to express the requirement is too strong.</t>
  </si>
  <si>
    <t>RV</t>
  </si>
  <si>
    <t>Requirement violation</t>
  </si>
  <si>
    <t>The condition of a require statement is not satisfied</t>
  </si>
  <si>
    <t>Exception state</t>
  </si>
  <si>
    <t>Assert Violation (SWC)</t>
  </si>
  <si>
    <t>The Solidity assert() function is meant to assert invariants. Properly functioning code should never reach a failing assert statement. A reachable assertion can mean one of two things:
A bug exists in the contract that allows it to enter an invalid state;
The assert statement is used incorrectly, e.g. to validate inputs.</t>
  </si>
  <si>
    <t>AF</t>
  </si>
  <si>
    <t>Assertion Failure</t>
  </si>
  <si>
    <t>The condition of an assert statement is not satisfied</t>
  </si>
  <si>
    <t>SWE-110</t>
  </si>
  <si>
    <t>SWE-110: Invariants are asserted using the Solidity assert() function [19]. A failed assert statement should never be encountered in properly working code. Therefore, if this happens then either the assert statement is improperly utilized to validate inputs as an example, or a issue exists in the smart contract that leads to an invalid state. The reason behind considering this as a vulnerability is that when it fails, the assert function consumes all the remaining gas and reverts the transaction. Contrarily, the required function reverts the transaction but transfer back the remaining gas. Therefore, the assert function should only be used to check invariants.</t>
  </si>
  <si>
    <t>CH_MI</t>
  </si>
  <si>
    <t>Invariant checking</t>
  </si>
  <si>
    <t>Invariant checking (e.g., current balance). Cause Blockchain. Type: balance transfer. Impact: unexpected balance transfer.</t>
  </si>
  <si>
    <t>SWE-123</t>
  </si>
  <si>
    <t>Requirement violation by the called smart contract</t>
  </si>
  <si>
    <t>SWE-123: To validate external inputs the require() function is used by developers. However, inputs could be sent by smart contracts too. Therefore, a violation of such verification in that case is related to a bug in the contract that have provided the input or the condition specified in the require() function is too strong.</t>
  </si>
  <si>
    <t>Requirement Violation</t>
  </si>
  <si>
    <t>CH_MRIV</t>
  </si>
  <si>
    <t>Require on input variable</t>
  </si>
  <si>
    <t>subexpression on input variables, if construct on input variable</t>
  </si>
  <si>
    <t>Missing check input variables. "Require", "if", and "subexpression" should be used in OR/AND combination to check. Cause model. Type: authorization. Impact: improper input validation.</t>
  </si>
  <si>
    <t>CWE-20 (Class)</t>
  </si>
  <si>
    <t>This vulnerability results from a violation of the requirements specified in a function for external input validation. Requirements violation indicates the presence of a vulnerability in the caller contract or an erroneous validation condition.</t>
  </si>
  <si>
    <t>Exceptions Disorder</t>
  </si>
  <si>
    <t>Exceptions can be raised in different situations, such as an out-of-gas exception, an error string exception, or a panic exception. The inconsistency in the Solidity exception propagation policy can lead to implementation confusion, making contracts vulnerable. This issue can cause different effects and even allow attacks. Therefore, mitigation consists of checking any possible error condition.</t>
  </si>
  <si>
    <t>The treatment of exceptions in Solidity has particularities depending on whether the exception occurred in a call to a method directly or using the CALL primitive, which can cause vulnerabilities if a malicious user causes exceptions to alter the execution flow.</t>
  </si>
  <si>
    <t>4A</t>
  </si>
  <si>
    <t>Frozen Ether</t>
  </si>
  <si>
    <t>Greedy contract, locked Ether</t>
  </si>
  <si>
    <t xml:space="preserve">If a contract uses library code to provide access to its assets, then accidental or malicious self-destruction of the library contract may render the assets inaccessible. </t>
  </si>
  <si>
    <t>SWE-138</t>
  </si>
  <si>
    <t>Locked money</t>
  </si>
  <si>
    <t xml:space="preserve">SWE-138: Smart contracts that implement payable functions but no withdrawal ones are vulnerable because they can lock money without the ability to get them back. Locking money in the smart contract could also be the result of a bug in the business logic of the smart contract. </t>
  </si>
  <si>
    <t>Locked Ether</t>
  </si>
  <si>
    <t>Freezing Ether</t>
  </si>
  <si>
    <t>This vulnerability results from the impossibility of a contract to send Ether while it can still receive it. It can result when a contract relies on no more available external code (for instance, after a selfdestruct operation) to perform the money transfer.</t>
  </si>
  <si>
    <t>FE</t>
  </si>
  <si>
    <t xml:space="preserve">A contract can receive ether but does not have any means to send out ether </t>
  </si>
  <si>
    <t>It was also reported the first attack against the Parity wallet. It occurs because the user of the contract cannot spend money due to the dependency on other contract’s money spending function, and the function doesn’t allow to spend the money.</t>
  </si>
  <si>
    <t>4B</t>
  </si>
  <si>
    <t>Ether lost in transfer</t>
  </si>
  <si>
    <t>Transfer to orphan address</t>
  </si>
  <si>
    <t>Ether sent to an unused address becomes inaccessible as there is no matching private key. .</t>
  </si>
  <si>
    <t>Loss of Ether</t>
  </si>
  <si>
    <t>If the developer is wrong to enter the address to send ether and that address exists but it is an orphan address that belongs to no one that ether will be lost forever.</t>
  </si>
  <si>
    <t>SWE-145</t>
  </si>
  <si>
    <t>Lost of Ether</t>
  </si>
  <si>
    <t>SWE-145: If the programmer enters an address to send ether and that address exists but it is an orphan address that belongs to no one then ether will be lost forever as there is no way to retrieve those ethers back</t>
  </si>
  <si>
    <t>Ether Lost in Transfer</t>
  </si>
  <si>
    <t>Specifying a 160-bit address is required to transfer Ether. If the address is orphan (i.e., it is not associated with any accounts), the amount of money to be transferred will be lost, and it cannot be recovered. Developers that would avoid this problem have to ensure the correctness of the recipient’s address with a check.</t>
  </si>
  <si>
    <t>Ethers can be transferred to a contract to its unique address, but the contract must not be orphan, because in that case the transferred ether will be lost forever. There is a mechanism to revert the ether transfer</t>
  </si>
  <si>
    <t>4C</t>
  </si>
  <si>
    <t>DoS with block gas limit reached</t>
  </si>
  <si>
    <t>Block gas limit exceeded, DoS with unbounded operations, DoS by gaslimit</t>
  </si>
  <si>
    <t xml:space="preserve">The total gas spent by the transactions of a block is bounded by the block gas limit. Transactions exceeding this limit will not get processed. </t>
  </si>
  <si>
    <t>SWE-128</t>
  </si>
  <si>
    <t>DoS with block gas limit</t>
  </si>
  <si>
    <t>SWE-128: This vulnerability happens when the cost of running a function exceeds the block gas limit. Programming patterns that are safe in centralized apps might cause Denial of Service problems in smart contracts. Such a Denial of Service problem might result from altering an array of unknown sizes that grow in size over time</t>
  </si>
  <si>
    <t>Each block in the Ethereum smart contract has an upper limit on the amount of gas (10,000,000 gas) that can be spent for computation. Thus, if the gas spent on any transaction exceeds this block gas limit, then this leads to denial of service and the transaction will fail. This is the case with the unknown size of arrays which grow over time.</t>
  </si>
  <si>
    <t>DoS costly patterns and loops</t>
  </si>
  <si>
    <t>Useless code and loops related patterns could lead to a DoS situation when the gas needed to complete an execution exceeds the block gas limit. This issue is mainly caused by the use of unbounded operations (e.g., loops that depend on the function parameters that an attacker can manipulate). A possible mitigation for this vulnerability is to reduce the use of loops with a high or unknown number of iterations.</t>
  </si>
  <si>
    <t>SWE-157</t>
  </si>
  <si>
    <t>Multiple calls in a single transaction</t>
  </si>
  <si>
    <t>SWE-157: Performing calls inside a loop for example could create a DOS. If one call throws the whole execution stop. So if there is a loop on the user address and one of them is a contract that implements a fallback function that simply reverts. Then a DOS attack will occur</t>
  </si>
  <si>
    <t>Nested Call</t>
  </si>
  <si>
    <t>Executing CALL instruction inside an unlimited-length loop</t>
  </si>
  <si>
    <t>SWE-161</t>
  </si>
  <si>
    <t>Array length manipulation</t>
  </si>
  <si>
    <t>For older versions of solidity, It is possible to manipulate the “length” field of an array with standard arithmetic functions. A simple code to decrement the value of this field can bring the value to an underflow. “anArray.length--;” can make the array size set to max int. This vulnerability can disable a contract</t>
  </si>
  <si>
    <t>Array Length Manipulation</t>
  </si>
  <si>
    <t>Infinite Loop</t>
  </si>
  <si>
    <t>It refers to vulnerabilities that arise when the expected order or sequence of operations within a smart contract is manipulated by malicious users, leading to unexpected states or undesired behavior. Infinite loop (VE37) refers to a vulnerability where a contract falls into an infinite loop, leading to non-termination of contract execution.</t>
  </si>
  <si>
    <t>CH_MCHGL</t>
  </si>
  <si>
    <t>Check on gas limit</t>
  </si>
  <si>
    <t>Missing check on gas limit. Cause: Blackchain. Type: Gas limitations. Impact: DoS.</t>
  </si>
  <si>
    <t>Gas Limit in Loops</t>
  </si>
  <si>
    <t>When smart contracts are deployed or functions inside them are called, the execution of these actions always requires a certain amount of gas, based of how much computation is needed to complete them. The Ethereum network specifies a block gas limit and the sum of all transactions included in a block can not exceed the threshold. Programming patterns that are harmless in centralized applications can lead to Denial of Service conditions in smart contracts when the cost of executing a function exceeds the block gas limit. Modifying an array of unknown size, that increases in size over time, can lead to such a Denial of Service condition.</t>
  </si>
  <si>
    <t>Extra gas in loop</t>
  </si>
  <si>
    <t>DoS With Block Gas Limit (SWC)</t>
  </si>
  <si>
    <t>Unbounded mass operation</t>
  </si>
  <si>
    <t>Non-terminating loops (ogni loop termina. Non esistono loop infiniti a causa del consumo di gas)</t>
  </si>
  <si>
    <t>In a loop’s termination condition, an unchecked input from a user or a comparison of integers of different sizes can cause the loop to exceed the block gas limit or be too expensive to complete and result in transaction failures with non-terminating loops or unbounded mass operations errors</t>
  </si>
  <si>
    <t>Transfer in Loop</t>
  </si>
  <si>
    <t>Multiple Calls</t>
  </si>
  <si>
    <t>4D</t>
  </si>
  <si>
    <t>DoS by exception inside loop</t>
  </si>
  <si>
    <t>DoS under external influence, wallet griefing causing out of gas exception</t>
  </si>
  <si>
    <t xml:space="preserve">Operations inside loops that may throw exceptions and depend on external transactions to succeed are open to DoS attacks by malicious users. </t>
  </si>
  <si>
    <t>DoS Under External Influence</t>
  </si>
  <si>
    <t>Throwing exceptions inside a loop which can be influenced by external users</t>
  </si>
  <si>
    <t>4E</t>
  </si>
  <si>
    <t>Insufficient gas griefing</t>
  </si>
  <si>
    <t xml:space="preserve">A contract relaying input from the caller to another contract can be manipulated by the caller, by providing just sufficient gas for the initial transaction but not for the sub-call. </t>
  </si>
  <si>
    <t>SWE-126</t>
  </si>
  <si>
    <t>Insufficient Gas Griefing</t>
  </si>
  <si>
    <t>SWE-126: The insufficient gas griefing vulnerability happens when the smart contract does not check if it has enough gas to execute its sub-calls. The attacker could then exploit this vulnerability by sending just enough gas to execute the contract code but not its sub-calls. When the sub call does not get enough gas two scenarios could happen, either the smart contract revokes the whole transaction or it simply continues the execution. If the last scenario happens, then an unexpected behaviour could happen, leading to some serious financial losses.</t>
  </si>
  <si>
    <t>A contract can accept data and use them for a sub-call to another contract. An attacker can provide enough gas for executing a transaction but not enough for the sub-call to succeed. This way, the attacker can censor all transactions; the attacker has no direct benefit but causes damage to the victim of the attack.</t>
  </si>
  <si>
    <t>Smart contracts that accept data from external sources and use the same in a subcall to another contract, are vulnerable to insufficient gas griefing attacks. Because in case of subcall failure, the whole transaction can be reverted. The attacker can effectively censor transactions by using just enough gas to execute the transaction, but not enough for the sub-call to succeed.</t>
  </si>
  <si>
    <t>Overpowerd role</t>
  </si>
  <si>
    <t>In Solidity smart contracts, an "overpowered role" refers to a role with extensive control over contract functions, like an administrator role with broad privileges such as modifying parameters, freezing accounts, or accessing sensitive data unchecked. Such roles pose risks like centralization, abuse, and security vulnerabilities. It's crucial for developers to design access controls ensuring roles are balanced, preventing any single role from having excessive power. This safeguards the integrity, security, and fairness of decentralized systems.</t>
  </si>
  <si>
    <t>CH_MCHOO</t>
  </si>
  <si>
    <t>Check on overpowered role</t>
  </si>
  <si>
    <t>Missing check on overpowered owner. Cause:model. Type: trust. Impact: DoS, overpowered owner (SP-11, Owner operations)</t>
  </si>
  <si>
    <t>5A</t>
  </si>
  <si>
    <t>Gas costly loops</t>
  </si>
  <si>
    <t>Invariants in loops</t>
  </si>
  <si>
    <t>Unbounded and costly operations in loops should be avoided, to avoid inefficiency and potential DoS.</t>
  </si>
  <si>
    <t>Resource Consumption &amp; Gas Related Issues</t>
  </si>
  <si>
    <t>5B</t>
  </si>
  <si>
    <t>Gas costly pattern</t>
  </si>
  <si>
    <t>Smart contract code should generally avoid inefficient operations and gas costly patterns that consume more gas than necessary. Several gas costly patterns are identified in Chen et al. (2017).</t>
  </si>
  <si>
    <t xml:space="preserve"> Every instruction in Ethereum smart contract requires gas (Ethers) as execution fee. Under-optimized smart contracts can contain unnecessary and irrelevant code or expensive patterns, which can cost a lot of execution fees.</t>
  </si>
  <si>
    <t>5C</t>
  </si>
  <si>
    <t>High gas consumption of variable data type or declaration</t>
  </si>
  <si>
    <t>Byte array, invariant state variables not declared constant</t>
  </si>
  <si>
    <t>In Solidity, the data type byte[] consumes more gas than a byte array, due to padding rules. Invariants not declared constant consume more gas than necessary.</t>
  </si>
  <si>
    <t>A_WVT</t>
  </si>
  <si>
    <t>Variable Type</t>
  </si>
  <si>
    <t>Wrong varaible type. Cause: blockchain. Type: gas limitations. Impact: DoS</t>
  </si>
  <si>
    <t>A_WDISV</t>
  </si>
  <si>
    <t>Declaration of invariant state variable</t>
  </si>
  <si>
    <t>Wrong declaration of invariant state variable. Cause: language. Type: internal control flow. Impact: improper access control.</t>
  </si>
  <si>
    <t>5D</t>
  </si>
  <si>
    <t>High gas consumption function type</t>
  </si>
  <si>
    <t xml:space="preserve">Function declaration public instead of external </t>
  </si>
  <si>
    <t>In Solidity, functions not used in the contract but declared public instead of external require more gas on deployment than necessary.</t>
  </si>
  <si>
    <t>High Gas Consumption Function Type</t>
  </si>
  <si>
    <t>Using inappropriate function type which can increase gas consumption.</t>
  </si>
  <si>
    <t>5E</t>
  </si>
  <si>
    <t>Under-priced opcodes</t>
  </si>
  <si>
    <t>Contracts executing numerous under-prized opcodes may consume large amounts of computing resources, as the resource consumption is not reflected in the gas cost, which may lead to DoS attacks.</t>
  </si>
  <si>
    <t>Transfer of all the gas</t>
  </si>
  <si>
    <t>Solidity provides a myriad of ways of transferring ether. addr.call.value(x)() transfers x ether and redirects all the gas to addr, which could generate vulnerabilities such as re-entrancy. The recommended way of transfering ether is addr.call.value(x), that only provides an allowance of 2300 units of gas to the recipient. The pattern detects the functions whose name is call.value and whose argument list is empty.</t>
  </si>
  <si>
    <t>6A</t>
  </si>
  <si>
    <t>Authorization via transaction origin</t>
  </si>
  <si>
    <t>Authentication through tx.origin</t>
  </si>
  <si>
    <t xml:space="preserve">If a contract uses the external address initiating the transaction, tx.origin, for authentication purposes instead of the address of the immediate caller, contracts situated in the call chain between tx.origin and the vulnerable contract, gain access to the assets of the contract. </t>
  </si>
  <si>
    <t>Authentication &amp; Access Control Vulnerabilities</t>
  </si>
  <si>
    <t>SWE-115</t>
  </si>
  <si>
    <t>One of the options that the solidity language offer to retrieve the address of the transaction sender is by using the global variable tx.origin. However, if a malicious contract is called into by an authorized account, using the variable for permission might render a contract vulnerable. Since tx.origin returns the original sender of the transaction, in this instance the approved account, it is possible to bypass the authorization check.</t>
  </si>
  <si>
    <t>Authorization through tx.origin</t>
  </si>
  <si>
    <t>CWE-284 (Pillar)</t>
  </si>
  <si>
    <t>Solidity’s field tx.origin contains the address of the account that sent a transaction. Using it for authorization/authentication can make a contract vulnerable, potentially causing a fund loss. If an authorized account calls into a malicious contract, the latter can use its address to call the vulnerable contract and pass the authorization check (performed through tx.origin). This situation happens because tx.origin does not return the latest function call’s sender, but the origin of the whole transaction, i.e., the authorized account. The vulnerability can be prevented using msg.sender for authorization instead of tx.origin.</t>
  </si>
  <si>
    <t>tx-origin</t>
  </si>
  <si>
    <t>tx.origin is a global variable in Solidity which returns the address of the account that sent the transaction. Using the variable for authorization could make a contract vulnerable if an authorized account calls into a malicious contract. A call could be made to the vulnerable contract that passes the authorization check since tx.origin returns the original sender of the transaction which in this case is the authorized account.</t>
  </si>
  <si>
    <t>tx.origin Usage</t>
  </si>
  <si>
    <t>This global variable of solidity returns the address of the transaction initiator, which
in turn attracts the adversaries to imitate the initiator that makes the contract vulnerable. The victims of this attack are wallet-type smart contracts.</t>
  </si>
  <si>
    <t>Transaction State Dependency</t>
  </si>
  <si>
    <t>Using tx.origin to check the permission</t>
  </si>
  <si>
    <t>TO</t>
  </si>
  <si>
    <t>Transaction Origin Use</t>
  </si>
  <si>
    <t>A contract relies on the origin of a transaction (i.e. tx.origin) for user authorization</t>
  </si>
  <si>
    <t>Prodigal Contract</t>
  </si>
  <si>
    <t>Using msg.sender might not be correct in all cases; for example, if a contract invokes another to refund a transaction to a special investor account specified in parameters. In this case, using msg.sender entails that the contract that called the function could receive its deposit, whereas the right recipient is specified in the parameters. Furthermore, a recipient specified in the parameters can also be inaccurate; specifically, if an arbitrary contract can call a transaction, it may provide an address to a contract that never submitted any funds beforehand and is therefore not eligible to receive refunds. The contract, in this case, is called a “prodigal contract” that sends refunds to arbitrary contracts. These issues can be addressed by establishing validity of transfer address, which asserts that while authenticating a transaction, tx.origin is not used, and if recipient addresses are provided in parameters, they are checked against (a list of) eligible contracts; otherwise, msg.sender is used.</t>
  </si>
  <si>
    <t>6B</t>
  </si>
  <si>
    <t>Unauthorized accessibility due to wrong function or state variable visibility</t>
  </si>
  <si>
    <t xml:space="preserve">No restricted write, implicit visibility level, non-public variables accessed by public/external functions, visibility of exposed functions, default/unintended/erroneous visibility </t>
  </si>
  <si>
    <t xml:space="preserve">In Solidity, functions inadvertently declared public/external will expose an entry point that may lead to unauthorized access by malicious users; </t>
  </si>
  <si>
    <t>SWE-100</t>
  </si>
  <si>
    <t>Function or state variable default visibility.</t>
  </si>
  <si>
    <t xml:space="preserve">SWE-100: Functions are public by default if a function visibility type is not provided. If a developer neglected to establish the visibility, then this might result in a vulnerability if the function should only be called internally. </t>
  </si>
  <si>
    <t>Function default visibility</t>
  </si>
  <si>
    <t>State variable default visibility</t>
  </si>
  <si>
    <t>Unspecified visibility level</t>
  </si>
  <si>
    <t>A contract is susceptible to an unspecified visibility level vulnerability when functions or variables are not declared using proper access modifiers, such as public, private, and other keywords</t>
  </si>
  <si>
    <t>Vulnerable access</t>
  </si>
  <si>
    <t>Access control-related vulnerabilities arise when the access control modifier of the constructor is not defined, making it public and accessible to arbitrary users.</t>
  </si>
  <si>
    <t>Function's default visilbility</t>
  </si>
  <si>
    <t>In solidity, visibility specifiers are used to make functions external, public, internal, or private. Incorrect use of these visibility specifiers can make smart contracts vulnerable and attract attackers.</t>
  </si>
  <si>
    <t xml:space="preserve">Visibility of Exposed Functions </t>
  </si>
  <si>
    <t>An attacker could execute a function for arbitrary purposes when its visibility is wrongly defined. In both cases, the function visibility has been set incorrectly since external contracts can invoke the function that should only be called internally. The use of wrong function modifiers may allow unauthorized execution. The effects can be various depending on the nature of the exploited function.</t>
  </si>
  <si>
    <t>Bad Visibility</t>
  </si>
  <si>
    <t>State Variable Default Visibility</t>
  </si>
  <si>
    <t>Labeling the visibility explicitly makes it easier to catch incorrect assumptions about who can access the variable.</t>
  </si>
  <si>
    <t>Default Visibility</t>
  </si>
  <si>
    <t>Solidity has visibility specifiers, public , private , external , and internal , that control functions and variables’ visibility from outside of the contract and if public is not set as the default. If a developer does not specify an internally-used function as private , that function could be called from outside the contract, which will lead to unexpected operation escalation.</t>
  </si>
  <si>
    <t>Function/State Visibility Error</t>
  </si>
  <si>
    <t>SWE-137</t>
  </si>
  <si>
    <t>Access control management</t>
  </si>
  <si>
    <t>SWE-137: Functions that are supposed to be executed by only users with specific roles are not protected. Therefore, any user can execute them. For example, functions that perform withdrawals or execute dangerous functions like SELFDESTRUCT should be protected and only executed by users with the right permissions.</t>
  </si>
  <si>
    <t>6C</t>
  </si>
  <si>
    <t>Unprotected self-destruction</t>
  </si>
  <si>
    <t>unexpected kill, destroyable contract</t>
  </si>
  <si>
    <t>Insufficient access control to a SELFDESTRUCT instruction may lead to the accidental or malicious destruction of a contract.</t>
  </si>
  <si>
    <t>Unprotected selfdestruct Instruction</t>
  </si>
  <si>
    <t>SWC-106</t>
  </si>
  <si>
    <t xml:space="preserve">Because smart contracts cannot be deleted once deployed, the Solidity language provides a destruction function that requires the user to introduce a suicide function when developing a contract. Once a contract is faulty, property loss can be avoided by calling the suicide function to destroy the contract and transfer the Ether to the specified address. However, suppose a smart contract with a suicide function lacks permission control. In that case, any user can call the suicide function to kill the contract and transfer the contract’s Ether to an address of their designation  </t>
  </si>
  <si>
    <t>Unprotected self destruct</t>
  </si>
  <si>
    <t>This vulnerability is named because of the self-destruct opcode. Before deleting the contract permanently, this opcode can transfer the ethers of the contract to a predefined contract. If the access control is not given properly, the malicious user can destroy the contract to snip all ethers of the contract.</t>
  </si>
  <si>
    <t>The use of the function selfdestruct without an appropriate check on the caller may result in unintended destruction of the contract. If a non-authorized contract invokes the function kill passing its address as an argument, it will manage to destroy the contract Alice and gain Alice’s entire current balance.</t>
  </si>
  <si>
    <t>Selfdestruct</t>
  </si>
  <si>
    <t>Self destruct</t>
  </si>
  <si>
    <t>The ‘‘self destruct’’ is a method the owner uses to kill its contract to delete its byte code and free the storage. But the attacker can kill a contract if there is poor authentication in the contract. It was first reported in the Parity wallet bug.</t>
  </si>
  <si>
    <t>SC</t>
  </si>
  <si>
    <t>Suicidal contract</t>
  </si>
  <si>
    <t>An arbitrary user can destroy a victim contract by running a SELFDESTRUCT instruction</t>
  </si>
  <si>
    <t>Unsafe suicide</t>
  </si>
  <si>
    <t>CH_MCHSF</t>
  </si>
  <si>
    <t>check on suicide functionality</t>
  </si>
  <si>
    <t>Missing check on suicide functionality. Cause: blockchain. Type: contract interaction. Impact: DoS with selfdestruct (DASP-5), Suicidal contracts (SWC-106), Locked Balance, unexpected balance transfer.</t>
  </si>
  <si>
    <t>6D</t>
  </si>
  <si>
    <t>Unauthorized Ether withdrawal</t>
  </si>
  <si>
    <t>Insufficient access control to the withdrawal functionality of a contract can lead to the theft of assets.</t>
  </si>
  <si>
    <t>SWC-105</t>
  </si>
  <si>
    <t>Unprotected Ether Withdrawal</t>
  </si>
  <si>
    <t>This vulnerability arises when malicious actors drain funds from a contract due to missing, insufficient, or wrong access controls. A contract allows other contracts to deposit and withdraw Ether, keeping track of each contract's deposited balance. The code is vulnerable since the function withdraw allows a contract to get a specified amount of Ether even if it does not have enough in its balance. Because of the missing condition, a malicious contract could drain all the victim funds.</t>
  </si>
  <si>
    <t>Ether can be withdrawn by attackers due to missing or inadequate access control. Improper naming of functions intended to be a constructor and constructor code can be accessed by malicious users to reinitialize the contract.</t>
  </si>
  <si>
    <t>CH_MCHBW</t>
  </si>
  <si>
    <t>Check on balance withdrawal</t>
  </si>
  <si>
    <t>Missing check on balance withdrawal. Cause: model. Type: authorization. Impact: generous contract (SWC-105)</t>
  </si>
  <si>
    <t>Ether send</t>
  </si>
  <si>
    <t>Due to missing or insufficient access controls, malicious parties can withdraw some or all Ether from the contract account. This bug is sometimes caused by unintentionally exposing initialization functions. By wrongly naming a function intended to be a constructor, the constructor code ends up in the runtime byte code and can be called by anyone to re-initialize the contract.</t>
  </si>
  <si>
    <t>EL</t>
  </si>
  <si>
    <t>Ether leak</t>
  </si>
  <si>
    <t>A contract allows an arbitrary user to freely retrieve ether from the contract</t>
  </si>
  <si>
    <t>6E</t>
  </si>
  <si>
    <t>Signature based vulnerabilities</t>
  </si>
  <si>
    <t>Insufficient signature information, Signature Malleability, Missing Protection against Signature Replay Attacks,  Lack of Proper Signature Verification, Hash collisions with multiple variable length arguments, Function clashing</t>
  </si>
  <si>
    <t xml:space="preserve">Includes issues like a missing protection against signature replay attacks, lack of proper signature verification, hash collisions with multiple variable length arguments, signature malleability, and signatures with a wrong parameter; </t>
  </si>
  <si>
    <t>SWE-117</t>
  </si>
  <si>
    <t>Signature Malleability</t>
  </si>
  <si>
    <t xml:space="preserve">SWE-117: Although it is frequently assumed that each signature is unique when a cryptographic signature scheme is implemented in Ethereum contracts, signatures can be changed without having access to the private key and still be considered legitimate. One of the so-called "precompiled" contracts defined by the Ethereum virtual machine (EVM) standard is ecrecover, which implements elliptic curve public key recovery. The three values v, r, and s can be slightly altered by a malicious user to produce different valid signatures. If the signature is a component of the hash of the signed message, a system that verifies signatures at the contract level may be vulnerable to attacks. A malevolent user might produce valid signatures to replay previously signed communications; </t>
  </si>
  <si>
    <t>CWE-345 (Class)</t>
  </si>
  <si>
    <t>The Blockchain uses the public-private key mechanism. Thus, users assume the uniqueness of the implementation of the signing mechanism in Ethereum smart contracts. However, the EVM specification allows the use of precompiled contracts (e.g., ecrecover) to retrieve the public key through a triple (v, r, s). According to, if the signature is part of the hash of a previously signed message, an attacker can modify the three parameters to create still-valid signatures (without possessing the private key).</t>
  </si>
  <si>
    <t>SWE-121</t>
  </si>
  <si>
    <t>Missing Protection against Signature Replay Attacks</t>
  </si>
  <si>
    <t>SWE-121: To improve usability or reduce gas costs, signature verification may occasionally be required in smart contracts. By, maintaining a list of all digested message hashes and only allowing fresh message hashes to be processed, developers can prevent multiple processing of the same message hash supplied by different users. The SWE-121 and SWE-117 may seem to be the same but in the SWE-117 the attacker creates a valid signature with different information to bypass the verification. However, with SWE-121 the attacker only uses an existing and already executed transaction to make a replay attack;</t>
  </si>
  <si>
    <t>Missing Protection against Signature Replay Attack</t>
  </si>
  <si>
    <t>A smart contract can perform operations that need signature verification. In this case, protection against the Signature Replay Attack is needed (e.g., keeping track of all message hashes and only allowing new message hashes to be processed). A lack of this protection makes a contract vulnerable.</t>
  </si>
  <si>
    <t>SWE-122</t>
  </si>
  <si>
    <t>Lack of Proper Signature Verification</t>
  </si>
  <si>
    <t xml:space="preserve">SWE-122: Because of the flexibility and improved transferability that this offers, smart contract systems frequently permit users to sign messages off-chain rather than requiring them to do an on-chain transaction. Smart contract systems that handle signed messages must build their logic to determine the signed messages' authenticity before continuing to process them [15]. Smart contracts cannot directly engage with such systems since they are unable to sign messages, which is a constraint for them. Some signature verification systems make an effort to resolve this issue by presuming the authenticity of a signed message based on other techniques that do not have this restriction. An illustration of such a technique is to depend on the value of the msg.sender property and presume that if a signed message came from the sender address, then the sender address also produced it. In situations where proxies may be used to relay transactions, this may result in vulnerabilities. </t>
  </si>
  <si>
    <t>SWE-133</t>
  </si>
  <si>
    <t>Hash collisions with multiple variable length arguments</t>
  </si>
  <si>
    <t xml:space="preserve">SWE-133: Hash collision is possible when the abi.encodePacked() function is used with several parameters with different length. The abi.encodePacked() packs all items in order whether or not they are part of an array, elements could be transferred across arrays and it will still return the same encoding as long as all of the components are in the same order. An attacker might take advantage of this in a signature verification scenario by changing the arrangement of components in a prior function call to successfully evade permission. </t>
  </si>
  <si>
    <t>‘abi.encodePacked()’ is a nonstandard packed mode that is mainly used for indexed packed parameters. ‘abi.encodePacked()’ can lead to a hash collision in some specific situations due to multiple variable-sized parameters. ‘abi.encodePacked()’ packs elements in order regardless of their original order in the array, which can be exploited by the attacker in signature verification by changing the position of the elements.</t>
  </si>
  <si>
    <t>SWE-158</t>
  </si>
  <si>
    <t>Function clashing</t>
  </si>
  <si>
    <t>SWE-158: To call a function in some Blockchains like Ethereum, the user send a function hash in the data field of his transaction. Then, based on that hash the EVM chose what function to execute. As the hash used in this operation is very weak, collisions are more likely to happen. The existence of the function clashing vulnerability could result in executing functions unconsciously, which then may lead to financial losses.</t>
  </si>
  <si>
    <t>Replay attack</t>
  </si>
  <si>
    <t>Because there is a hard fork of the public chain of Ethereum due to a major security event, many chains exist on Ethereum now. As a result, if an attacker can predict the validation value used by a transaction, the attacker can replay that transaction on another chain. Such vulnerabilities could lead to an attacker having the ability to replay the transaction on another chain, causing financial losses to the owner of the smart contract.</t>
  </si>
  <si>
    <t>Map Overlap</t>
  </si>
  <si>
    <t>Solidity’s map data structure (similar to a hash table or a dictionary) uses a hash function to compute an index into an array of slots. If two maps are used in a contract, the sha3 function may produce the same hash value for two different memory locations, one in each map, creating a collision across maps. Lu et al. refer to this issue as a hash collision. In our survey, we propose a new terminology map overlap for this vulnerability since hash collision  is a standard term for a collision of hash values within one hash table, is part of the standard operation of a hash table and is, by itself, not a vulnerability. This vulnerability has occurred in a contract that used two maps, one for admins of the contract and the other for registered users, as arguments of a function that checked whether a given address belonged to admins or regularly registered users. An attacker, in this case, can manipulate the position of elements while registering as a regular user in such a way that the hash function returns the same hash results for certain addresses in the admins and regular users, thus bypassing authorization. This vulnerability can be addressed by establishing map disjointness, which asserts that the contract does not use more than one map data structure.</t>
  </si>
  <si>
    <t>SWE-160</t>
  </si>
  <si>
    <t>Identity verification</t>
  </si>
  <si>
    <t>This vulnerability happens when the smart contract tries to verify if the caller is a wallet or a smart contract based on its code size. Unfortunately, this can be bypassed by calling the vulnerable contract in the constructor of the smart contract attacker, as the source code of the smart contract while executing the constructor is still 0.</t>
  </si>
  <si>
    <t>7A</t>
  </si>
  <si>
    <t>Integer over- or underflow</t>
  </si>
  <si>
    <t xml:space="preserve">Integer over- and underflows occur when arithmetic operations exceed the maximum or minimum of integer types. Unless this exception is caught, a wrap-around occurs. </t>
  </si>
  <si>
    <t>Arithmetic Bugs</t>
  </si>
  <si>
    <t>SWE-101</t>
  </si>
  <si>
    <t>Integer Overflow and Underflow</t>
  </si>
  <si>
    <t>SWE-101: When an arithmetic operation tries to produce a numeric value that is either higher than the maximum or lower than the lowest representable value, it is known as an integer overflow or integer underflow</t>
  </si>
  <si>
    <t>Integer Overflow/Underflow</t>
  </si>
  <si>
    <t>CWE-682 (Pillar)</t>
  </si>
  <si>
    <t>A smart contract overflow occurs when a variable of type integer exceeds the maximum value that the type supports. Conversely, when the type is unsigned, decrementing a variable below the value zero will cause an underflow. Both an unmanaged arithmetic overflow and underflow can cause a software vulnerability (e.g., when the result value is used to manage resources or control the execution flow). However, the vulnerability can be mitigated by checking the operation’s result.</t>
  </si>
  <si>
    <t xml:space="preserve">This kind of situation will occur when the value in a calculation exceeds the lower or upper range of the variable size type, so cannot be expressed by that type. This can be the case with smaller data types. If the balance will be at the upper limit uint value (2256), then it will reset again to zero. </t>
  </si>
  <si>
    <t>Integer Overflow</t>
  </si>
  <si>
    <t>When there is a computation operation on an integer variable in a statement or
expression, an integer overflow and underflow occurs if the developer does not pay attention to the bounding value of the variable, resulting in a value that exceeds the upper or lower bound of the variable type and is different from the value expected by the developer . If the developer fails to check that variable’s final result before subsequent operations, financial losses can occur</t>
  </si>
  <si>
    <t>Integer Underflow</t>
  </si>
  <si>
    <t>Unmatched Type Assignment</t>
  </si>
  <si>
    <t>Assigning unmatched type to a value, which can lead to integer overflow</t>
  </si>
  <si>
    <t>A_WVATMD</t>
  </si>
  <si>
    <t>Value assignment with too many digits</t>
  </si>
  <si>
    <t>Wrong value assignment with too many digits. Cause: language. Type: arithmetic.</t>
  </si>
  <si>
    <t>Arithmetic UnderflowOverflow</t>
  </si>
  <si>
    <t>It occurs due to solidity data type range, which means values of arithmetic operation cross the range limit of data type on upside or downside and give a chance to the attacker to manipulate the values of state variables. It was first reported in attacks on BEC tokens.</t>
  </si>
  <si>
    <t>A_WVAE</t>
  </si>
  <si>
    <t>Arithmetic expression used in assignment</t>
  </si>
  <si>
    <t xml:space="preserve">Wrong Arithmetic expression used in assignment. Defect Cause: Language. Defect Type: Arithmetic. Impact: Over/Underflow. </t>
  </si>
  <si>
    <t>IB</t>
  </si>
  <si>
    <t>Integer bug</t>
  </si>
  <si>
    <t>Integer overflows or underflows occur, and the result becomes an unexpected value</t>
  </si>
  <si>
    <t>7B</t>
  </si>
  <si>
    <t>Integer division</t>
  </si>
  <si>
    <t>Floating point &amp; precision</t>
  </si>
  <si>
    <t xml:space="preserve">Handling floating point numbers, represented as integers, incorrectly may lead to inaccuracies, errors and vulnerabilities. The same holds for the result of integer divisions, which are rounded down in Solidity. </t>
  </si>
  <si>
    <t>Arithmetic Precision</t>
  </si>
  <si>
    <t>Solidity supports integers and (partially) fixed-point numbers. So, to prepresent floating points, integers must be used. The 256-bit Ethereum virtual machine assembles types shorter than 32 bytes together in the 32-byte slot. This process affects the accuracy of any operation: for example, rounding is not correct if a division is performed before multiplication. If the result is used for critical operations, an attacker can force the use of data that alter the originally intended process.</t>
  </si>
  <si>
    <t>SWE-150</t>
  </si>
  <si>
    <t>Money leak</t>
  </si>
  <si>
    <t xml:space="preserve">SWE-150: This vulnerability is generally related to a business logic bug that allows attackers to silently steal money from the contract. In this example, the admin sends 30% of the company gains to the specified user. The result of multiplying the gains per 30/100 is not always an integer. This means that in some situations the users will lose some money. This business logic bug is considered a vulnerability and is called a Money leak. </t>
  </si>
  <si>
    <t>Unexpected result from division</t>
  </si>
  <si>
    <t>Solidity does not admit floating-point or decimal types, and integer division is always rounded towards zero. This choice of rounding method can produce results other than what some users might expect.</t>
  </si>
  <si>
    <t>7C</t>
  </si>
  <si>
    <t>Integer bugs or arithmetic  PADRE</t>
  </si>
  <si>
    <t>Unchecked math, integer sign, integer truncation, wrong operator; Unchecked Division</t>
  </si>
  <si>
    <t xml:space="preserve">The conversion between signed and unsigned integers or between integers of different length may lead to incorrect results, as can the incorrect usage of arithmetic operators. </t>
  </si>
  <si>
    <t>SWE-151</t>
  </si>
  <si>
    <t>Unchecked Division</t>
  </si>
  <si>
    <t>SWE-151: This code is reserved for all the vulnerabilities that can arise from a non-checked division, like dividing by zero, or not taking into consideration the rest of the division</t>
  </si>
  <si>
    <t>A_WIT</t>
  </si>
  <si>
    <t>Integer Truncation</t>
  </si>
  <si>
    <t>Wrong Integer truncation. Defect cause: Language. Deefct Type: Arithmetic. Impact: Over/Underflow, Precision issues(SP-2, SWC-101, DASP-3, SP-15).</t>
  </si>
  <si>
    <t>Arithmetic Issues</t>
  </si>
  <si>
    <t>Truncation bugs</t>
  </si>
  <si>
    <t>Signedness bugs</t>
  </si>
  <si>
    <t>CH_MCHAO</t>
  </si>
  <si>
    <t>Check on arithmetic operation</t>
  </si>
  <si>
    <t>Missing check on arithmetic operation. Cause: language. Type: arithmetic. Impact: over/underflow (SWC-101, DASP-3, SP-2), Precision issue (SP-15)</t>
  </si>
  <si>
    <t>A_WIS</t>
  </si>
  <si>
    <t>Integer Sign</t>
  </si>
  <si>
    <t>Wrong integer sign. Defect cause: Language. Defect Type: Artithmetic</t>
  </si>
  <si>
    <t>8A</t>
  </si>
  <si>
    <t>Type cast</t>
  </si>
  <si>
    <t>Unsafe type inference</t>
  </si>
  <si>
    <t xml:space="preserve">To interact with another contract, the programmer specifies its interface and uses it to typecast addresses. This allows the Solidity compiler to construct appropriate low level calls. However, the compiler does not (cannot) check whether the interface actually matches the other contract, even though the programmer might have the false impression that the contract is correctly typed. Calling a contract with a wrong interface specification may result in the invocation of unintended entry points, with arguments interpreted differently than expected. </t>
  </si>
  <si>
    <t>Bad Coding Quality and Programming Language Specifics</t>
  </si>
  <si>
    <t>SWE-142</t>
  </si>
  <si>
    <t>SWE-142: In Solidity, any address can be cast as a contract regardless of whether the code at the address represents the contract type being cast. This can be deceiving, especially when the author of the contract is trying to hide malicious code. For example, if the programmer makes a mistake and calls another contract by mistake but it contains a function with the same structure expected by the compiler, the function will be executed and if the function does not exist, the function of fallback will be called. In any case, no exception will be launched.</t>
  </si>
  <si>
    <t>Typecasts</t>
  </si>
  <si>
    <t>Receiving a contract as a function argument without checking its actual type represents a vulnerability. The Solidity type checker does not verify that the type is correct. Thus, calling a function of the received contract allows an attacker to execute arbitrary code. In fact, if a malicious contract contains a function having the same name as the invoked one, no error is raised, and the execution continues normally</t>
  </si>
  <si>
    <t>Type conversion</t>
  </si>
  <si>
    <t>lthough the Solidity compiler can detect errors with types, for example if a function waits for an integer and is called by passing it a string, in the case of contract definitions or functions with a certain structure, in the case of calling a function in a contract, if the programmer makes a mistake and calls by mistake another contract but it contains a function with the same structure expected by the compiler, the function will be executed and if the function does not exist, the function of fallback will be called. In any case, no exception will be launched.</t>
  </si>
  <si>
    <t>Front-End Runtime Error Vulnerability</t>
  </si>
  <si>
    <t>Front-end runtime error vulnerabilities often occur in the parts of smart contracts that interact with user interfaces. As smart contracts run within front-end applications, various errors may arise, including logic errors, input validation errors, and exceptional cases. These errors can lead to smart-contract execution failures or unpredictable behavior, ultimately compromising the contract’s security.</t>
  </si>
  <si>
    <t>Unsafe Type Declaration</t>
  </si>
  <si>
    <t>Insecure inference</t>
  </si>
  <si>
    <t>Because Solidity admits type inference, not explicitly declaring variable types can lead to a failed comparison between integers of different sizes in a loop’s termination condition. Such comparisons lead to unsafe type declaration or insecure inference</t>
  </si>
  <si>
    <t>8B</t>
  </si>
  <si>
    <t>Coding error</t>
  </si>
  <si>
    <t>Immutable bugs, typographical error, coding bug</t>
  </si>
  <si>
    <t xml:space="preserve">Coding errors, including typos and other developer errors. </t>
  </si>
  <si>
    <t>Immutable bugs</t>
  </si>
  <si>
    <t>This is not a vulnerability in itself, but the consequence of a blockchain property. All the source code of smart contracts, including those containing bugs are immutable once they are mined and added to the blockchain, although they can be blocked by calling a destructor function.</t>
  </si>
  <si>
    <t>SWE-129</t>
  </si>
  <si>
    <t>Typographical error</t>
  </si>
  <si>
    <t>SWE-129: An example of a typographical error is when a declared operation unintentionally introduces a typo that also happens to be a legal operator (=+).This operator reinitiates the variable rather than adding a number to it.</t>
  </si>
  <si>
    <t>8C</t>
  </si>
  <si>
    <t>Bad coding pattern</t>
  </si>
  <si>
    <t>Dynamic array elements, continue-statements in do-while-statements, nonstandard naming conventions</t>
  </si>
  <si>
    <t>Use of various coding patterns that are regarded bad style.</t>
  </si>
  <si>
    <t>8D</t>
  </si>
  <si>
    <t>Deprecated source language features</t>
  </si>
  <si>
    <t xml:space="preserve">The use of deprecated language features is discouraged, as it may lead to known errors and vulnerabilities that were the cause for deprecation. </t>
  </si>
  <si>
    <t>SWE-111</t>
  </si>
  <si>
    <t>Use of Deprecated Solidity Functions</t>
  </si>
  <si>
    <t>In Solidity, several operations and functions have been retired. Deprecated operators and functions may have security and compilation issues with newer versions of the Solidity compiler.</t>
  </si>
  <si>
    <t>8E</t>
  </si>
  <si>
    <t>Write to arbitrary storage location</t>
  </si>
  <si>
    <t xml:space="preserve">Due to quirks of the programming language (most notably Solidity) and programming mistakes, an attacker is able to modify arbitrary storage locations, like an owner variable used for access control. As an example, Solidity allocates complex data types like structs, mappings and arrays statically in storage, even when declaring a local variable of such a type in a function. Using the variable before initializing it will give access to the first storage cell. </t>
  </si>
  <si>
    <t>SWE-124</t>
  </si>
  <si>
    <t>SWE-124: This vulnerability happens when a bug in a smart contract allows the attacker to override another one. In some cases, it could be the owner's address, which can help the attacker to bypass all the control management mechanisms</t>
  </si>
  <si>
    <t>CH_MCHWASL</t>
  </si>
  <si>
    <t>Check on write to arbitrary storage location</t>
  </si>
  <si>
    <t>Missing check on write to arbitrary storage loation. Cause: language. Type: storage access. Impact: Overlap attack (SWC-124)</t>
  </si>
  <si>
    <t>Arbitrary-send</t>
  </si>
  <si>
    <t>A smart contract's data (e.g., storing the owner of the contract) is persistently stored at some storage location (i.e., a key or address) on the EVM level. The contract is responsible for ensuring that only authorized user or contract accounts may write to sensitive storage locations. If an attacker is able to write to arbitrary storage locations of a contract, the authorization checks may easily be circumvented. This can allow an attacker to corrupt the storage; for instance, by overwriting a field that stores the address of the contract owner.</t>
  </si>
  <si>
    <t>AW</t>
  </si>
  <si>
    <t>Arbitrary Write</t>
  </si>
  <si>
    <t>An attacker can overwrite arbitrary storage data by accessing a mismanaged array object</t>
  </si>
  <si>
    <t>8F</t>
  </si>
  <si>
    <t>Use of assembly</t>
  </si>
  <si>
    <t>Arbitrary jump with function type variable, specify function variable as any type, returning results using assembly code in constructor</t>
  </si>
  <si>
    <t xml:space="preserve">The use of assembly instructions in high level code is discouraged, as it can lead to various critical vulnerabilities. </t>
  </si>
  <si>
    <t>Arbitrary jump</t>
  </si>
  <si>
    <t>Solidity supports function types; a variable of function type can be assigned with reference to a function with a matching signature. The function saved to such a variable can be called just like a regular function. Solidity does not support a generic pointer type; this does not (in general) allow changing this variable arbitrarily. However, if a smart contract uses specific assembly instructions (particularly mstore or assign operator), an attacker can execute random code instructions by changing the function type variable. This way, the attacker can alter, for example, state changes (directly impacting the data written in the Blockchain).</t>
  </si>
  <si>
    <t>Usage of Assembly</t>
  </si>
  <si>
    <t>Constant function</t>
  </si>
  <si>
    <t>Constant functions using assembly code</t>
  </si>
  <si>
    <t>Functions declared as constant/pure/view using assembly code. Constant/Pure/View was not enforced prior to Solidity 0.5. Starting from Solidity 0.5, a call to a constant/pure/view function uses the STATICCALL opcode, which reverts in case of state modification.</t>
  </si>
  <si>
    <t>Eliminated/Deprecated Vulnerabilities</t>
  </si>
  <si>
    <t>A_WFTVA</t>
  </si>
  <si>
    <t>Function type variables assignment using arbitrary values</t>
  </si>
  <si>
    <t>Function type variables assignment using arbitrary values. Cause: language. Type: internal control flow. Impact: SWC-127</t>
  </si>
  <si>
    <t>SWE-127</t>
  </si>
  <si>
    <t>Arbitrary jump with function type variable</t>
  </si>
  <si>
    <t xml:space="preserve">SWE-127: Function types are supported by Solidity. In other words, a reference to a function with a matching signature can be given to a variable of a function type. It is possible to call the function stored to such a variable exactly like any other function. If the developer utilizes assembly instructions like “mstore” or the assign operator, an attacker might point a function type variable to any code instruction, breaking necessary validations and state changes. </t>
  </si>
  <si>
    <t>SWE-144</t>
  </si>
  <si>
    <t>Assembly-based vulnerabilities</t>
  </si>
  <si>
    <t xml:space="preserve">SWE-144:If the developer does not know exactly what he is doing, the direct usage of assembly language could lead to serious vulnerabilities. </t>
  </si>
  <si>
    <t>CH</t>
  </si>
  <si>
    <t>Control-Flow Hijack</t>
  </si>
  <si>
    <t>SWC-127</t>
  </si>
  <si>
    <t>An attacker can artitrarily control the destination of a JUMP or DELEGATECALL instruction.</t>
  </si>
  <si>
    <t>8G</t>
  </si>
  <si>
    <t>Incorrect inheritance order</t>
  </si>
  <si>
    <t xml:space="preserve">Solidity supports multiple inheritance, which can lead to an ambiguity called Diamond Problem, if two or more base contracts define the same function. This is resolved using C3 Linearization, which leads to a deterministic method resolution order. Programmers not aware of this aspect may base their code on wrong assumptions, leading to unexpected behavior and vulnerabilities. </t>
  </si>
  <si>
    <t>SWE-125</t>
  </si>
  <si>
    <t>SWE-125: Solidity, allow for the inheritance of multiple contracts by a single contract. Multiple inheritances pose an ambiguity known as the Diamond Problem: which base contract should be called in the child contract if two or more specifically the identical function? Therefore, the sequence of inheritance matters since base contracts have distinct priorities. This means that unexpected behaviour might result from ignoring inheritance order.</t>
  </si>
  <si>
    <t>8H</t>
  </si>
  <si>
    <t>Variable shadowing</t>
  </si>
  <si>
    <t>Hidden state variables</t>
  </si>
  <si>
    <t xml:space="preserve">Solidity allows for ambiguous naming of variables when inheritance is used, which can lead to errors and vulnerablities that are difficult to identify in complex contract systems. </t>
  </si>
  <si>
    <t>A_WVN</t>
  </si>
  <si>
    <t>Variable name (variable shadowing)</t>
  </si>
  <si>
    <t>Wrong variable name. Cause: blockchain. Type internal control flow. Impact: DoS</t>
  </si>
  <si>
    <t>SWE-119</t>
  </si>
  <si>
    <t>Shadowing State Variables</t>
  </si>
  <si>
    <t>Shadowing state variables happens when two contract, one inherit from the other and both have declared the same variable name. Or, a contract have a global variable with the same name as a local variable declared in a function. As a result, there would be two distinct copies of the same variable. This circumstance might go unreported in more intricate contract systems, which could result in security vulnerabilities.</t>
  </si>
  <si>
    <t>Tainted memory</t>
  </si>
  <si>
    <t>shadow memory</t>
  </si>
  <si>
    <t>Variables or memory references can be unintendedly overridden in inheriting contracts if they declare variables with the same names as their inherited contracts. The resulting vulnerability is called tainted memory (or shadow memory). These vulnerabilities can be addressed by establishing memory references distinction, which asserts that the contract contains distinctive and non-overlapping variable names and memory references.</t>
  </si>
  <si>
    <t>Shadowing state</t>
  </si>
  <si>
    <t>Shadowing State Variables (SWC)</t>
  </si>
  <si>
    <t>Solidity allows for ambiguous naming of state variables when inheritance is used. Contract A with a variable x could inherit contract B that also has a state variable x defined. This would result in two separate versions of x, one of them being accessed from contract A and the other one from contract B. In more complex contract systems this condition could go unnoticed and subsequently lead to security issues. Shadowing state variables can also occur within a single contract when there are multiple definitions on the contract and function level.</t>
  </si>
  <si>
    <t>Shadowing abstract</t>
  </si>
  <si>
    <t>Shadowing-builtin</t>
  </si>
  <si>
    <t>Shadowing-local</t>
  </si>
  <si>
    <t>8I</t>
  </si>
  <si>
    <t>Misleading source code</t>
  </si>
  <si>
    <t>Right-to-left-override control character (U+202E), API inconsistency, hidden built-in symbols</t>
  </si>
  <si>
    <t>Malicious actors may apply various strategies to confuse or hide malicious contract code behavior and trick users.</t>
  </si>
  <si>
    <t>SWE-154</t>
  </si>
  <si>
    <t>Built-in symbol shadowing</t>
  </si>
  <si>
    <t>This vulnerability happens when the developer makes use of a built-in symbol of the solidity language. This action could change the default behavior of the smart contract development language and have business logic bugs</t>
  </si>
  <si>
    <t>A_WBSAVF</t>
  </si>
  <si>
    <t>Built-in symbol name is assigned to variable or function</t>
  </si>
  <si>
    <t>Wrong built-in symbol name is assigned to variable or function. Cause: language. Type: Internal control flow.</t>
  </si>
  <si>
    <t>A_WUDBS</t>
  </si>
  <si>
    <t>Use of deprecated built-in symbols</t>
  </si>
  <si>
    <t>Wrong use of deprecated build-in symbols. Cause: language. Type: internal control flow.</t>
  </si>
  <si>
    <t>Right to Left Override</t>
  </si>
  <si>
    <t>Right-To-Left-Override is a special Unicode character (U+202E) that allows the use of right-to-left (RTL) characters within the text normally rendered left-to-right (LTR). For example, consider a smart contract: it is possible to insert an RTL character at appropriate points in the code to modify the behaviour in a hidden way. This way, the logic of the contract can be completely altered without a user being aware of it</t>
  </si>
  <si>
    <t>Right to Left Override control character</t>
  </si>
  <si>
    <t>Misleading data location</t>
  </si>
  <si>
    <t>Do not clarify the reference types of local variables of struct, array or mapping.</t>
  </si>
  <si>
    <t>8J</t>
  </si>
  <si>
    <t>Missing logic, logical errors or dead code</t>
  </si>
  <si>
    <t>Irrelevant code, code with no effects, undefined behavior, presence of unused variables</t>
  </si>
  <si>
    <t xml:space="preserve">Missing logic or logical errors or dead code can confuse or lead to unwanted behavior and vulnerabilities. </t>
  </si>
  <si>
    <t>Presence of unused variables</t>
  </si>
  <si>
    <t>sottocategoria di: Irrelevant code</t>
  </si>
  <si>
    <t>Code with no effects</t>
  </si>
  <si>
    <t>SWE-135</t>
  </si>
  <si>
    <t>SWE-135: Writing code in Solidity that doesn't have the desired results is possible. A "dead" code might be introduced, which is code that is unable to carry out its intended function. For instance, it's simple to forget the following parenthesis in the code msg.sender.call.value(address(this).balance)("");, which may result in a function running without sending money to msg.sender</t>
  </si>
  <si>
    <t>Unused Statement</t>
  </si>
  <si>
    <t>Creating values which never be used.</t>
  </si>
  <si>
    <t>Unused return</t>
  </si>
  <si>
    <t>Code with no effects (SWC)</t>
  </si>
  <si>
    <t>In Solidity, it's possible to write code that does not produce the intended effects. Currently, the solidity compiler will not return a warning for effect-free code. This can lead to the introduction of "dead" code that does not properly perform an intended action. For example, it's easy to miss the trailing parentheses in msg.sender.call.value(address(this).balance)("");, which could lead to a function proceeding without transferring funds to msg.sender. Although, this should be avoided by checking the return value of the call.</t>
  </si>
  <si>
    <t>ERC20 returns false</t>
  </si>
  <si>
    <t>SWE-159</t>
  </si>
  <si>
    <t xml:space="preserve">Business logic vulnerabilities </t>
  </si>
  <si>
    <t>Business logic vulnerabilities are all the security bugs that result in financial losses and that are not related to the technology itself, but the design of the application and the different control mechanisms</t>
  </si>
  <si>
    <t>Redundancy fallback reject</t>
  </si>
  <si>
    <t>8K</t>
  </si>
  <si>
    <t>Insecure contract upgrading</t>
  </si>
  <si>
    <t>Upgradable contract, patching</t>
  </si>
  <si>
    <t>Even though making contracts upgradable, allows for fixing existing vulnerabilities, it counters the goal of completely decentralized smart contracts. If a contract developer becomes malicious or is compromized, the updated contract can become malicious. The updating methods themselves are also hard to implement correctly and without flaws.</t>
  </si>
  <si>
    <t>8L</t>
  </si>
  <si>
    <t>Inadequate or incorrect logging or documentation</t>
  </si>
  <si>
    <t>Inadequate logging and documentation can confuse, lead to logical errors or unexpected behavior and hampers auditing or testing the code for vulnerabilities.</t>
  </si>
  <si>
    <t>Missing Reminder</t>
  </si>
  <si>
    <t>Missing events to notify caller whether some functions are successfully executed</t>
  </si>
  <si>
    <t>Hardcoded addresses</t>
  </si>
  <si>
    <t>SWE-155</t>
  </si>
  <si>
    <t>Using a hardcoded address could make the smart contract useless in the future if one of those addresses did change</t>
  </si>
  <si>
    <t>Environment Configuration Issues</t>
  </si>
  <si>
    <t>Hard Code Address</t>
  </si>
  <si>
    <t>Using hard code address inside smart contracts.</t>
  </si>
  <si>
    <t>Send to zero address</t>
  </si>
  <si>
    <t>SWE-156</t>
  </si>
  <si>
    <t>This vulnerability happens when the smart contract does not check if the receiver is a Zero address</t>
  </si>
  <si>
    <t>Missing interrupter</t>
  </si>
  <si>
    <t>Missing backdoor mechanism in order to handle emergencies.</t>
  </si>
  <si>
    <t>9A</t>
  </si>
  <si>
    <t>Short address</t>
  </si>
  <si>
    <t>The EVM pads with zeroes if the provided address is shorter than the required length. Certain addresses with trailing zeroes are vulnerable to attackers, if client sanitation checks are inadequate.</t>
  </si>
  <si>
    <t>CH_MCHIAL</t>
  </si>
  <si>
    <t>Check on input address length</t>
  </si>
  <si>
    <t>Missing check on input address length. Cause: Blockchain. Type: Message Structure. Impact: Short address attack (SWC-113, SP-11)</t>
  </si>
  <si>
    <t>Short Address</t>
  </si>
  <si>
    <t>Parameter Issues, CWE-20 (Class)</t>
  </si>
  <si>
    <t>The parameters of smart-contract functions are encoded before passing to it. The encoded parameter is 32 bytes, and the EVM will concatenate all the encoded parameters together and pad 0 at the end if needed [83]. If the first parameter does not have enough length, e.g., 30 bytes, this will cause a 2-byte left shift after the EVM padding. The shift and padding will increase the value of the second parameter, which could cause severe issues if the second parameter denotes the number of tokens or Ether.</t>
  </si>
  <si>
    <t>Short addresses</t>
  </si>
  <si>
    <t>When a contract’s invocation is performed, the corresponding transaction’s input field contains the callee function and all the call’s arguments. Each argument is encoded in 32 bytes automatically filled by the EVM with extra leading zeros if the length is shorter than allowed. The missing check of the validity of addresses by the EVM causes the vulnerability (EVM assumes that users always input 20-byte long addresses). For instance, transfer(address to, uint fund) allows the attacker to increase the amount of funds to gain whether to is shorter than 32 bytes. The countermeasure to this vulnerability is checking the length of the transaction’s input.</t>
  </si>
  <si>
    <t>Address shortening</t>
  </si>
  <si>
    <t>Address Size Soundness: In Solidity, the function transferring ethers takes two arguments: the address of the receiving contract and the amount to be transferred. When a contract is compiled into the bytecode, the address is represented by a fixed 20-byte size followed by the amount of a fixed 32-byte size. EVM pads these arguments with zeros to fill the size; for instance, the amount has many leading zeros because it is a 256 bit integer (32 bytes). If the size of the receiver’s address (provided by the user) is less than 20 bytes, leading zeros are taken away from the amount and given to the shortened address. EVM will then automatically fill the missing bytes with zeros making the amount much larger. The resulting vulnerability is called address shortening vulnerability</t>
  </si>
  <si>
    <t>9B</t>
  </si>
  <si>
    <t>Outdated compiler version</t>
  </si>
  <si>
    <t xml:space="preserve">Using outdated compiler versions is strongly discouraged, as old compiler bugs or updates can lead to vulnerabilities in compiled smart contract code. </t>
  </si>
  <si>
    <t>SWE-102</t>
  </si>
  <si>
    <t>Using an obsolete compiler version can introduce vulnerabilities that are already published and discussed by the community.</t>
  </si>
  <si>
    <t>Unspecified Compiler Version</t>
  </si>
  <si>
    <t>Do not fix the smart contract to a specific version.</t>
  </si>
  <si>
    <t>A_MCV</t>
  </si>
  <si>
    <t>Compiler Version</t>
  </si>
  <si>
    <t>Missing compiler version. Defect Cause: Language. Defect Type: Compiler</t>
  </si>
  <si>
    <t>Pragmas version</t>
  </si>
  <si>
    <t>Outdated compiler version (SWC)</t>
  </si>
  <si>
    <t>Using an outdated compiler version can be problematic especially if there are publicly disclosed bugs and issues that affect the current compiler version.</t>
  </si>
  <si>
    <t>9C</t>
  </si>
  <si>
    <t>Floating or no pragma</t>
  </si>
  <si>
    <t xml:space="preserve">The same compiler version and flags, that were originally used for tests should be used when deploying the smart contract. Therefore the pragma should be locked to the correct compiler version. </t>
  </si>
  <si>
    <t>SWE-103</t>
  </si>
  <si>
    <t>Floating compiler version</t>
  </si>
  <si>
    <t>SWE-103: Using a fixed pragma helps to prevent the unintentional deployment of contracts using, for instance, an out-of-date compiler version that could bring flaws that have a detrimental impact on the contract system.</t>
  </si>
  <si>
    <t>Floating Pragma</t>
  </si>
  <si>
    <t>Different compiler versions can be used to compile the solidity smart contract. But compilation with an outdated compiler might introduce a bug and can affect the smart contract system. At the time of deployment, the compiler version of the smart contract should be the same as that testing time.</t>
  </si>
  <si>
    <t>9D</t>
  </si>
  <si>
    <t>Token API violation</t>
  </si>
  <si>
    <t>Token standard incompatibility</t>
  </si>
  <si>
    <t xml:space="preserve">Token contracts should meet applicable token standards such as ERC20 or ERC721 to avoid vulnerabilities and problems interacting with other contracts. </t>
  </si>
  <si>
    <t>Tantikul and Ngamsuriyaroj, 2020; Zhang et al., 2020a</t>
  </si>
  <si>
    <t>SWE-152</t>
  </si>
  <si>
    <t>SWE-152: Some smart contract-based tokens do not use standard smart contracts proposed by the community like openzeppelin ones. Therefore, this creates some serious vulnerabilities that may cause a critical impact on the token. For example, some tokens transfer function throws where they need to return a bool value</t>
  </si>
  <si>
    <t>Unmatched ERC-20 Standard</t>
  </si>
  <si>
    <t>Do not follow the ERC-20 standard for ICO contracts.</t>
  </si>
  <si>
    <t>SWE-148</t>
  </si>
  <si>
    <t>Improper or missing event handling</t>
  </si>
  <si>
    <t>This vulnerability is usually related to the ERC-20 token where a transfer manually created function does not notify users of the success or failure of the transfer through an even. This is a critical flaw of the standard that led to the impossibility of error handling.</t>
  </si>
  <si>
    <t>Fake deposit</t>
  </si>
  <si>
    <t>Valid tokens are implemented using technical standards such as ERC-20. While ERC-20 provides interfaces for implementing tokens, it does not specify the implementation details. For example, if a contract uses ERC-20 to implement a token, an exception should be thrown if there are insufficient tokens in the contract’s balance to spend. If a contract does not do that, it can deposit invalid tokens, resulting in a fake deposit vulnerability</t>
  </si>
  <si>
    <t>9E</t>
  </si>
  <si>
    <t>Ethereum update incompatibility</t>
  </si>
  <si>
    <t>Message call with hardcoded gas amount</t>
  </si>
  <si>
    <t xml:space="preserve">Gas cost for opcodes might change significantly in future Ethereum hard forks and might break already deployed contract systems with fixed gas cost assumptions. </t>
  </si>
  <si>
    <t>SWE-134</t>
  </si>
  <si>
    <t>SWE-134: Hard forks may result in a considerable shift in the gas cost of EVM instructions, which might disrupt currently deployed contract systems that base their assumptions on constant gas prices. Therefore, hardcoding the amount of gas that a call may consume could in the future lead to DOS as the hard-coded gas amount might become insufficient. For example, Due to the SLOAD instruction's cost rise, the EIP 1884 damaged many existing smart contracts.</t>
  </si>
  <si>
    <t>Failing to accept new deposit</t>
  </si>
  <si>
    <t>Deposit Acceptance</t>
  </si>
  <si>
    <t>Deposit Acceptance. If a pre-compiled contract takes only a certain amount of hard-coded gas units as input, it should not take more or less than those units, even if the user provides more gas with the transaction. Thusly hard-coded gas unit amounts may be insufficient when a future hard fork increases the gas fee schedule. The pre-compiled contract, in this case, will not be able to accept a new deposit, even if it is valid, and will always fail in such a future hard fork due to the out-of-gas exception. Deposit acceptance is established to recognize this issue and asserts that a contract is always eventually able to accept a new valid deposit as long as a sufficient amount of gas is provided. This property is specific to the Ethereum 2.0 deposit smart contract, which accepts deposits and includes a one-way function to move funds from Ethereum 1.0 to Ethereum 2.0.</t>
  </si>
  <si>
    <t>9F</t>
  </si>
  <si>
    <t>Configuration error</t>
  </si>
  <si>
    <t>Bad configuration of the smart contract application tool chain can lead to errors and vulnerabilities, even if the smart contract itself is correct.</t>
  </si>
  <si>
    <t>10A</t>
  </si>
  <si>
    <t>Callstack depth limit</t>
  </si>
  <si>
    <t>Stack size limit, Limited stack size</t>
  </si>
  <si>
    <t xml:space="preserve">Eliminated by Ethereum upgrade (Oct 18, 2016). </t>
  </si>
  <si>
    <t>Stack size</t>
  </si>
  <si>
    <t>Each time one contract calls another contract the associated call stack increases by one. The stack limit is 1024 and when the limit is reached an exception is launched. Until October 18, 2016 it was possible to take advantage of this to launch an attack where a malicious user increased the battery counter until almost exhausted and then called the victim’s function which launched an exception when the battery limit was exhausted. If the victim did not take this into account and does not handle the exception correctly, the attack could be successful. The impact of this vulnerability caused Ethereum to be redesigned.</t>
  </si>
  <si>
    <t>SWE-139</t>
  </si>
  <si>
    <t>Limited stack size</t>
  </si>
  <si>
    <t>SWE-139: When the EVM's call stack reaches its maximum size of 1024 frames, the subsequent function call and all of its subcalls will fail. An attacker could take advantage of such a restriction by calling the vulnerable contract enough times to almost fill the stack, betting that the targeted contract would handle the resulting full stack failure incorrectly (or not at all), and then using the subsequent function call to take advantage of this weakness. We see that this call stack limit is essentially unreachable as a result of the modifications made as part of Ethereum's hard fork in October 2016</t>
  </si>
  <si>
    <t>10B</t>
  </si>
  <si>
    <t>Uninitialized storage pointer</t>
  </si>
  <si>
    <t>Uninitialized local/state variables</t>
  </si>
  <si>
    <t xml:space="preserve">Eliminated by Solidity compiler, starting version 0.5.0. </t>
  </si>
  <si>
    <t>SWE-109</t>
  </si>
  <si>
    <t>Variables in the local storage system that have not been initialized might point to unanticipated storage places in the contract, which may create vulnerabilities that are either are deliberate or accidental.</t>
  </si>
  <si>
    <t>Uninitialized state variables</t>
  </si>
  <si>
    <t>The occurrence of this vulnerability is related to the state variables of a smart contract. If the smart contract does not initialize the state variables during the development phase, these variables will be automatically assigned with default values. If these uninitialized state variables can be accessed directly, these variables will point to unknown storage contents. This causes that the contract functions inconsistently compared to expectations and increases the risk of vulnerabilities.</t>
  </si>
  <si>
    <t>Uninitialized state</t>
  </si>
  <si>
    <t>Uninitialized storage pointer (SWC)</t>
  </si>
  <si>
    <t>Check if the contract requires a storage object as in many situations this is actually not the case. If a local variable is sufficient, mark the storage location of the variable explicitly with the memory attribute. If a storage variable is needed then initialise it upon declaration and additionally specify the storage location storage. Note: As of compiler version 0.5.0 and higher this issue has been systematically resolved as contracts with uninitialised storage pointers do no longer compile.</t>
  </si>
  <si>
    <t>Uninitialized storage</t>
  </si>
  <si>
    <t>Uninitialized local</t>
  </si>
  <si>
    <t>A_MILV</t>
  </si>
  <si>
    <t>Initialization of local variables</t>
  </si>
  <si>
    <t>Missing initialization</t>
  </si>
  <si>
    <t>Internal Control Flow</t>
  </si>
  <si>
    <t>A_MISV</t>
  </si>
  <si>
    <t>Initialization of state variables</t>
  </si>
  <si>
    <t>Storage Access</t>
  </si>
  <si>
    <t>A_MISP</t>
  </si>
  <si>
    <t>Initialization of storage pointer</t>
  </si>
  <si>
    <t>Storage Overlap Attack</t>
  </si>
  <si>
    <t>The data in a smart contract is shared in the storage space. Different clients do not have the same implementation for the virtual machine, so there will be different running results of the contract data during the invocation. Since the blockchain only synchronizes the transaction information between contracts and does not synchronize the runtime results, the difference in the runtime results is not easily detected. This type of vulnerability can lead to data overwriting in the contract, which may break the contract’s functionality.</t>
  </si>
  <si>
    <t>10C</t>
  </si>
  <si>
    <t>Erroneous constructor name</t>
  </si>
  <si>
    <t>Incorrect Constructor Name</t>
  </si>
  <si>
    <t>Eliminated in Solidity version 0.4.22 by introducing the new keyword constructor.</t>
  </si>
  <si>
    <t>SWE-118</t>
  </si>
  <si>
    <t>SWE-118: During the deployment of a new smart contract, the only function that get called to initiate the different variables in the contract is the constructor function. Before Solidity version 0.4.22, the only method to define a constructor was to write a function that had the same name as the contract class that contained it. If a constructor function's name differs slightly from the contract name, it becomes a regular, callable function instead. This creates a vulnerability in the smart contract as anyone would call that function.</t>
  </si>
  <si>
    <t>A_WCN</t>
  </si>
  <si>
    <t>Constructor name</t>
  </si>
  <si>
    <t>Wrong constructor name. Cause: model. Type: authorization. Impact: improper access control, constructor name. (SWC-118, SP-13)</t>
  </si>
  <si>
    <t>SWE-146</t>
  </si>
  <si>
    <t>Double constructor</t>
  </si>
  <si>
    <t>The 0.4.22 version of the solidity compiler allows smart contracts to have a double constructor. This could lead to unexpected behavior in the contract.</t>
  </si>
  <si>
    <t>A_MC</t>
  </si>
  <si>
    <t>Constructor</t>
  </si>
  <si>
    <t>Missing constructor. Defect Cause: model. Defect Type: Authorization</t>
  </si>
  <si>
    <t>Deprecated Construction</t>
  </si>
  <si>
    <t>Use of Deprecated Solidity Functions (SWC)</t>
  </si>
  <si>
    <t>Several functions and operators in Solidity are deprecated. Using them leads to reduced code quality. With new major versions of the Solidity compiler, deprecated functions and operators may result in side effects and compile errors.</t>
  </si>
  <si>
    <t>Improper handling of asset</t>
  </si>
  <si>
    <t>A contract that handles assets such as cryptocurrencies can become susceptible to vulnerabilities caused by improper handling of assets. An example of improper handling is transferring assets without their owner’s consent. Ownership of assets asserts the ownership privileges of asset owners. Examples of ownership privileges include that i) assets/resources have an owner, ii) they cannot be taken away from their current owner without their consent, and iii) an owner can only transfer assets that they own</t>
  </si>
  <si>
    <t>Absence of coding logic or sanity check</t>
  </si>
  <si>
    <t>Should not be view</t>
  </si>
  <si>
    <t>Title</t>
  </si>
  <si>
    <t>Link</t>
  </si>
  <si>
    <t>Pubblication Class</t>
  </si>
  <si>
    <t>Q1</t>
  </si>
  <si>
    <t>Q2</t>
  </si>
  <si>
    <t>Q3</t>
  </si>
  <si>
    <t>Q4</t>
  </si>
  <si>
    <t>Q5</t>
  </si>
  <si>
    <t>Q6</t>
  </si>
  <si>
    <t>Q7</t>
  </si>
  <si>
    <t>Year</t>
  </si>
  <si>
    <t>Exc.Crit</t>
  </si>
  <si>
    <t>Inc.Crit</t>
  </si>
  <si>
    <t>Pubblication Venue</t>
  </si>
  <si>
    <t>Vanue Name</t>
  </si>
  <si>
    <t>IDQ</t>
  </si>
  <si>
    <t>CDQ</t>
  </si>
  <si>
    <t>FDQ</t>
  </si>
  <si>
    <t>Digital Library</t>
  </si>
  <si>
    <t>Reference</t>
  </si>
  <si>
    <t>A Detection Method for Scarcity Defect of Blockchain Digital Asset based on Invariant Analysis</t>
  </si>
  <si>
    <t>PS</t>
  </si>
  <si>
    <t>Conference Proceeding or Workshop</t>
  </si>
  <si>
    <t>International Conference on Software Quality, Reliability and Security (QRS)</t>
  </si>
  <si>
    <t>Paper Forward Snowballing</t>
  </si>
  <si>
    <t>SunEtAl2022b</t>
  </si>
  <si>
    <t>A New Smart Contract Anomaly Detection Method by Fusing Opcode and Source Code Features for Blockchain Services</t>
  </si>
  <si>
    <t>Journal Article</t>
  </si>
  <si>
    <t>IEEE Transactions on Network and Service Management</t>
  </si>
  <si>
    <t>Google Scholar</t>
  </si>
  <si>
    <t>DuanEtAl2023</t>
  </si>
  <si>
    <t>A novel extended multimodal AI framework towards vulnerability detection in smart contracts</t>
  </si>
  <si>
    <t>2,3</t>
  </si>
  <si>
    <t>Information Science</t>
  </si>
  <si>
    <t>TU_Wien_CatalogPlus</t>
  </si>
  <si>
    <t>JieEtAl2023</t>
  </si>
  <si>
    <t>A Novel Machine Learning-Based Analysis Model for Smart Contract Vulnerability</t>
  </si>
  <si>
    <t>Security and Communication Networks</t>
  </si>
  <si>
    <t>DL Snowballing</t>
  </si>
  <si>
    <t>XuEtAl2021</t>
  </si>
  <si>
    <t>A Novel Smart Contract Vulnerability Detection Method Based on Information Graph and Ensemble Learning</t>
  </si>
  <si>
    <t>Sensors</t>
  </si>
  <si>
    <t>L.ZhangEtAl2022a</t>
  </si>
  <si>
    <t>A security framework for Ethereum smart contracts</t>
  </si>
  <si>
    <t>Computer Communications</t>
  </si>
  <si>
    <t>Science Direct</t>
  </si>
  <si>
    <t>A Solicitous Approach to Smart Contract Verification</t>
  </si>
  <si>
    <t>ACM Transactions on Privacy and Security</t>
  </si>
  <si>
    <t>ACM DL</t>
  </si>
  <si>
    <t>OtoniEtAl2023</t>
  </si>
  <si>
    <t>A survey on smart contract vulnerabilities: Data sources, detection and repair</t>
  </si>
  <si>
    <t>Survey</t>
  </si>
  <si>
    <t>Information and Software Technology</t>
  </si>
  <si>
    <t>ChuEtAl2023</t>
  </si>
  <si>
    <t>A systematic literature review of blockchain and smart contract development: Techniques, tools, and open challenges</t>
  </si>
  <si>
    <t>SLR</t>
  </si>
  <si>
    <t>Journal of Systems and Software</t>
  </si>
  <si>
    <t>VaccaEtAl2021</t>
  </si>
  <si>
    <t>A systematic literature review of undiscovered vulnerabilities and tools in smart contract technology</t>
  </si>
  <si>
    <t>1,2,3</t>
  </si>
  <si>
    <t>Journal of Intelligent Systems</t>
  </si>
  <si>
    <t>dZaazaaAndElBakkali2023b</t>
  </si>
  <si>
    <t>AChecker: Statically Detecting Smart Contract Access Control Vulnerabilities</t>
  </si>
  <si>
    <t>ICSE '23: Proceedings of the 45th International Conference on Software Engineering</t>
  </si>
  <si>
    <t>GhalebEtAl2023</t>
  </si>
  <si>
    <t>An Empirical Evaluation of the Effectiveness of Smart Contract Verification Tools</t>
  </si>
  <si>
    <t>Pacific Rim International Symposium on Dependable Computing</t>
  </si>
  <si>
    <t>DiasEtAl2021</t>
  </si>
  <si>
    <t>Aroc: An Automatic Repair Framework for On-Chain Smart Contracts</t>
  </si>
  <si>
    <t>IEEE Transactions on Software Engineering</t>
  </si>
  <si>
    <t>JinEtAl2022</t>
  </si>
  <si>
    <t>ASSBert: Active and semi-supervised bert for smart contract vulnerability detection</t>
  </si>
  <si>
    <t>Journal of Information Security and Applications</t>
  </si>
  <si>
    <t>SunEtAl2023</t>
  </si>
  <si>
    <t>AUTOMATED MUTATION ANALYSIS FOR SMART CONTRACT USING AMA TOOL WITH ENHANCED GA AND MACHINE LEARNING APPROACH</t>
  </si>
  <si>
    <t>Journal of Theoretical and Applied Information Technology</t>
  </si>
  <si>
    <t>SujeethaAndAkila2023</t>
  </si>
  <si>
    <t>Automation and smart materials in detecting smart contracts vulnerabilities in Blockchain using deep learning</t>
  </si>
  <si>
    <t>Materials Today: Proceedings</t>
  </si>
  <si>
    <t>NarayanaAndSathiyamurthy2021</t>
  </si>
  <si>
    <t>AutoMESC: Automatic Framework for Mining and Classifying Ethereum Smart Contract Vulnerabilities and Their Fixes</t>
  </si>
  <si>
    <t>Euromicro Conference on Software Engineering and Advanced Applications</t>
  </si>
  <si>
    <t>SoudEtAl2023</t>
  </si>
  <si>
    <t>Block-gram: Mining Knowledgeable Features for Smart Contract Vulnerability Detection</t>
  </si>
  <si>
    <t>Digital Communications and Networks</t>
  </si>
  <si>
    <t>XieEtAl2023</t>
  </si>
  <si>
    <t>CBGRU: A Detection Method of Smart Contract Vulnerability Based on a Hybrid Model</t>
  </si>
  <si>
    <t>L.ZhangEtAl2022c</t>
  </si>
  <si>
    <t>CodeNet: Code-Targeted Convolutional Neural Network Architecture for Smart Contract Vulnerability Detection</t>
  </si>
  <si>
    <t>IEEE Access</t>
  </si>
  <si>
    <t>HwangEtAl2022</t>
  </si>
  <si>
    <t>Combine sliced joint graph with graph neural networks for smart contract vulnerability detection</t>
  </si>
  <si>
    <t>CaiEtAl2023</t>
  </si>
  <si>
    <t>Combining Graph Neural Networks With Expert Knowledge for Smart Contract Vulnerability Detection</t>
  </si>
  <si>
    <t>IEEE Transactions on Knowledge and Data Engineering</t>
  </si>
  <si>
    <t>LiuEtAl2023a</t>
  </si>
  <si>
    <t>ConFuzzius: A Data Dependency-Aware Hybrid Fuzzer for Smart Contracts</t>
  </si>
  <si>
    <t xml:space="preserve">IEEE European Symposium on Security and Privacy </t>
  </si>
  <si>
    <t>TorresEtAl2021</t>
  </si>
  <si>
    <t>Consolidation of Ground Truth Sets for Weakness Detection in Smart Contracts</t>
  </si>
  <si>
    <t xml:space="preserve"> Financial Cryptography and Data Security. FC 2023 International Workshops</t>
  </si>
  <si>
    <t>diAngeloAndSalzer2023</t>
  </si>
  <si>
    <t>Cross-Modality Mutual Learning for Enhancing Smart Contract Vulnerability Detection on Bytecode</t>
  </si>
  <si>
    <t>WWW '23: Proceedings of the ACM Web Conference 2023</t>
  </si>
  <si>
    <t>QianEtAl2023c</t>
  </si>
  <si>
    <t>CrossFuzz: Cross-contract fuzzing for smart contract vulnerability detection</t>
  </si>
  <si>
    <t>Science of Computer Programming</t>
  </si>
  <si>
    <t>YangEtAl2024</t>
  </si>
  <si>
    <t>Data Flow-driven and Attention Mechanism-enabled Smart Contract Vulnerability Detection for Secure and Green Blockchain-based Service Networks</t>
  </si>
  <si>
    <t>IEEE International Conference on Communications (ICC)</t>
  </si>
  <si>
    <t>CaoEtAl2023a</t>
  </si>
  <si>
    <t>DeeSCVHunter: A Deep Learning-Based Framework for Smart Contract Vulnerability Detection</t>
  </si>
  <si>
    <t>International Joint Conference on Neural Networks</t>
  </si>
  <si>
    <t>YuEtAl2021</t>
  </si>
  <si>
    <t>DefectChecker: Automated Smart Contract Defect Detection by Analyzing EVM Bytecode</t>
  </si>
  <si>
    <t>ChenEtAl2021</t>
  </si>
  <si>
    <t>Defining Smart Contract Defects on Ethereum</t>
  </si>
  <si>
    <t>IEEE Transactions on software engineering</t>
  </si>
  <si>
    <t>ChenEtAl2022</t>
  </si>
  <si>
    <t>Demystifying Exploitable Bugs in Smart Contracts</t>
  </si>
  <si>
    <t>International Conference on Software Engineering</t>
  </si>
  <si>
    <t>Z.ZhangEtAl2023</t>
  </si>
  <si>
    <t>Demystifying Random Number in Ethereum Smart Contract: Taxonomy, Vulnerability Identification, and Attack Detection</t>
  </si>
  <si>
    <t>QianEtAl2023b</t>
  </si>
  <si>
    <t>Design and evaluation of highly accurate smart contract code vulnerability detection framework</t>
  </si>
  <si>
    <t xml:space="preserve">Data Mining and Knowledge Discovery </t>
  </si>
  <si>
    <t>JeonEtAl2023</t>
  </si>
  <si>
    <t>Detect Defects of Solidity Smart Contract Based on the Knowledge Graph</t>
  </si>
  <si>
    <t>IEEE transactions on reliability</t>
  </si>
  <si>
    <t>HuEtAl2023b</t>
  </si>
  <si>
    <t>Detecting code vulnerabilities by learning from large-scale open source repositories</t>
  </si>
  <si>
    <t>RongzeXuEtAl2022</t>
  </si>
  <si>
    <t>Detecting functional and security-related issues in smartcontracts: A systematic literature review</t>
  </si>
  <si>
    <t>Software - Practice and Experience</t>
  </si>
  <si>
    <t>PiantadosiEtAl2022</t>
  </si>
  <si>
    <t>Detecting Reentrancy Vulnerability in Smart Contracts using Graph Convolution Networks</t>
  </si>
  <si>
    <t>IEEE CCNC: IEEE Consumer Communications and Networking Conference</t>
  </si>
  <si>
    <t>LakadawalaEtAl2024</t>
  </si>
  <si>
    <t>Detection of Vulnerabilities of Blockchain Smart Contracts</t>
  </si>
  <si>
    <t>IEEE internet of things journal</t>
  </si>
  <si>
    <t>DaojingHeEtAl2023</t>
  </si>
  <si>
    <t>DL4SC: a novel deep learning-based vulnerability detection framework for smart contracts</t>
  </si>
  <si>
    <t>ASE</t>
  </si>
  <si>
    <t>LiuEtAl2024</t>
  </si>
  <si>
    <t>Dynamic Vulnerability Detection on Smart Contracts Using Machine Learning</t>
  </si>
  <si>
    <t>EASE</t>
  </si>
  <si>
    <t>EshghieEtAl2021</t>
  </si>
  <si>
    <t>EDIT: A data inspection tool for smart contracts temporal behavior modeling and prediction</t>
  </si>
  <si>
    <t>Future Generation Computer Systems</t>
  </si>
  <si>
    <t>DeSalveEtAl2024</t>
  </si>
  <si>
    <t>Effectively Generating Vulnerable Transaction Sequences in Smart Contracts with Reinforcement Learning-guided Fuzzing</t>
  </si>
  <si>
    <t>JianzhongSuEtAl2022</t>
  </si>
  <si>
    <t>Effuzz: Efficient fuzzing by directed search for smart contracts</t>
  </si>
  <si>
    <t>JiEtAl2023</t>
  </si>
  <si>
    <t>Elysium: Context-Aware Bytecode-Level Patching to Automatically Heal Vulnerable Smart Contracts</t>
  </si>
  <si>
    <t>RAID '22: Proceedings of the 25th International Symposium on Research in Attacks, Intrusions and Defenses</t>
  </si>
  <si>
    <t>TorresEtAl2022</t>
  </si>
  <si>
    <t>Empirical Review of Smart Contract and DeFi Security: Vulnerability Detection and Automated Repair</t>
  </si>
  <si>
    <t>Arxiv Paper or Preprint</t>
  </si>
  <si>
    <t>QianEtAl2023a</t>
  </si>
  <si>
    <t>Enhancing Ethereum smart-contracts static analysis by computing a precise Control-Flow Graph of Ethereum bytecode</t>
  </si>
  <si>
    <t>PasquaEtAl2023</t>
  </si>
  <si>
    <t>Enhancing Smart-Contract Security through Machine Learning: A Survey of Approaches and Techniques</t>
  </si>
  <si>
    <t>Electronics</t>
  </si>
  <si>
    <t>JiangEtAl2023</t>
  </si>
  <si>
    <t>ESCORT: Ethereum Smart COntRacTs Vulnerability Detection using Deep Neural Network and Transfer Learning</t>
  </si>
  <si>
    <t>LutzEtAl2021</t>
  </si>
  <si>
    <t>eTainter: detecting gas-related vulnerabilities in smart contracts</t>
  </si>
  <si>
    <t>ISSTA 2022: Proceedings of the 31st ACM SIGSOFT International Symposium on Software Testing and Analysis</t>
  </si>
  <si>
    <t>GhalebEtAl2022</t>
  </si>
  <si>
    <t>Eth2Vec: Learning Contract-Wide Code Representations for Vulnerability Detection on Ethereum Smart Contracts</t>
  </si>
  <si>
    <t>International Symposium on Blockchain and Secure Critical Infrastructure</t>
  </si>
  <si>
    <t>AshizawaEtAl2021</t>
  </si>
  <si>
    <t>Ethchecker: a context-guided fuzzing for smart contracts</t>
  </si>
  <si>
    <t>Journal of Supercomputing</t>
  </si>
  <si>
    <t>HanEtAl2024</t>
  </si>
  <si>
    <t>Ethereum Smart Contract Analysis Tools: A Systematic Review</t>
  </si>
  <si>
    <t>KushwahaEtAl2022b</t>
  </si>
  <si>
    <t>EtherFuzz: Mutation Fuzzing Smart Contracts for TOD Vulnerability Detection</t>
  </si>
  <si>
    <t>Wireless communications and mobile computing</t>
  </si>
  <si>
    <t>WangEtAl2022</t>
  </si>
  <si>
    <t>EtherGIS: A Vulnerability Detection Framework for Ethereum Smart Contracts Based on Graph Learning Features</t>
  </si>
  <si>
    <t>COMPSAC</t>
  </si>
  <si>
    <t>ZengEtAl2022</t>
  </si>
  <si>
    <t>EtherProv: Provenance-Aware Detection, Analysis, and Mitigation of Ethereum Smart Contract Security Issues</t>
  </si>
  <si>
    <t>IEEE International Conference on Blockchain</t>
  </si>
  <si>
    <t>LinoyEtAl2022</t>
  </si>
  <si>
    <t>EtherSolve: Computing an Accurate Control-Flow Graph from Ethereum Bytecode</t>
  </si>
  <si>
    <t>IEEE/ACM International Conference on Program Comprehension</t>
  </si>
  <si>
    <t>ControEtAl2021</t>
  </si>
  <si>
    <t>EthVer: Formal Verification of Randomized Ethereum Smart Contracts</t>
  </si>
  <si>
    <t xml:space="preserve"> Financial Cryptography and Data Security</t>
  </si>
  <si>
    <t>Mazurek2021</t>
  </si>
  <si>
    <t>Evolution of automated weakness detection in Ethereum bytecode: a comprehensive study</t>
  </si>
  <si>
    <t>Empirical Software Engineering</t>
  </si>
  <si>
    <t>diAngeloEtAl2024</t>
  </si>
  <si>
    <t>Gas gauge: A security analysis tool for smart contract out-of-gas vulnerabilities</t>
  </si>
  <si>
    <t>Cryptography and Security</t>
  </si>
  <si>
    <t>NassirzadehEtAl2021</t>
  </si>
  <si>
    <t>GraBit: A Sequential Model-Based Framework for Smart Contract Vulnerability Detection</t>
  </si>
  <si>
    <t>2023 IEEE 34th International Symposium on Software Reliability Engineering (ISSRE)</t>
  </si>
  <si>
    <t>ZhuEtAl2023</t>
  </si>
  <si>
    <t>GraphSA: Smart Contract Vulnerability Detection Combining Graph Neural Networks and Static Analysis</t>
  </si>
  <si>
    <t>Book Section</t>
  </si>
  <si>
    <t>IOS Press</t>
  </si>
  <si>
    <t>LongHeEtAl2023</t>
  </si>
  <si>
    <t>GRATDet: Smart Contract Vulnerability Detector Based on Graph Representation and Transformer</t>
  </si>
  <si>
    <t>Computers, Materials &amp; Continua</t>
  </si>
  <si>
    <t>GongEtAl2023</t>
  </si>
  <si>
    <t>HGAT: smart contract vulnerability detection method based on hierarchical graph attention network</t>
  </si>
  <si>
    <t>Journal of Cloud Computing</t>
  </si>
  <si>
    <t>MaEtAl2023</t>
  </si>
  <si>
    <t>Hunting Vulnerable Smart Contracts via Graph Embedding Based Bytecode Matching</t>
  </si>
  <si>
    <t>IEEE transactions on information forensics and security</t>
  </si>
  <si>
    <t>HuangEtAl2021</t>
  </si>
  <si>
    <t>Improvement and Optimization of Vulnerability Detection Methods for Ethernet Smart Contracts</t>
  </si>
  <si>
    <t>YangEtAl2023</t>
  </si>
  <si>
    <t>ItyFuzz: Snapshot-Based Fuzzer for Smart Contract</t>
  </si>
  <si>
    <t>ISSTA 2023: Proceedings of the 32nd ACM SIGSOFT International Symposium on Software Testing and Analysis</t>
  </si>
  <si>
    <t>Conferences</t>
  </si>
  <si>
    <t>ShouEtAl2023</t>
  </si>
  <si>
    <t>M-A-R: a Dynamic Symbol Execution Detection Method for Smart Contract Reentry Vulnerability</t>
  </si>
  <si>
    <t>Blockchain and Trustworthy Systems</t>
  </si>
  <si>
    <t>Hong-NingEtAl2021</t>
  </si>
  <si>
    <t>MagicMirror: Towards High-Coverage Fuzzing of Smart Contracts</t>
  </si>
  <si>
    <t xml:space="preserve"> International Conference on Automated Software Engineering (ASE)</t>
  </si>
  <si>
    <t>FengEtAl2023</t>
  </si>
  <si>
    <t>MANDO-GURU: vulnerability detection for smart contract source code by heterogeneous graph embeddings</t>
  </si>
  <si>
    <t>ESEC/FSE 2022: Proceedings of the 30th ACM Joint European Software Engineering Conference and Symposium on the Foundations of Software Engineering</t>
  </si>
  <si>
    <t>NguyenEtAl2022</t>
  </si>
  <si>
    <t>MANDO-HGT: Heterogeneous Graph Transformers for Smart Contract Vulnerability Detection</t>
  </si>
  <si>
    <t>IEEE/ACM 20th International Conference on Mining Software Repositories (MSR)</t>
  </si>
  <si>
    <t>NguyenEtAl2023</t>
  </si>
  <si>
    <t>MSmart: Smart Contract Vulnerability Analysis and Improved Strategies Based on Smartcheck</t>
  </si>
  <si>
    <t>Applied Science</t>
  </si>
  <si>
    <t>FeiEtAl2023</t>
  </si>
  <si>
    <t>Multi-model Smart Contract Vulnerability Detection Based on BiGRU</t>
  </si>
  <si>
    <t>International Conference on Neural Information Processing</t>
  </si>
  <si>
    <t>SongEtAl2023</t>
  </si>
  <si>
    <t>Mutation testing for integer overflow in ethereum smart contracts</t>
  </si>
  <si>
    <t>Tsinghua science and technology</t>
  </si>
  <si>
    <t>SunEtAl2022a</t>
  </si>
  <si>
    <t>Park: accelerating smart contract vulnerability detection via parallel-fork symbolic execution</t>
  </si>
  <si>
    <t>ZhengEtAl2022</t>
  </si>
  <si>
    <t>Peculiar: Smart contract vulnerability detection based on crucial data flow graph and pre-training techniques</t>
  </si>
  <si>
    <t>ISSRE</t>
  </si>
  <si>
    <t>WuHEtAl2021</t>
  </si>
  <si>
    <t>Pre-deployment Analysis of Smart Contracts - A Survey</t>
  </si>
  <si>
    <t>MunirAndTaha2023</t>
  </si>
  <si>
    <t>PSCVFinder: A Prompt-Tuning Based Framework for Smart Contract Vulnerability Detection</t>
  </si>
  <si>
    <t>L.YuEtAl2023</t>
  </si>
  <si>
    <t>ReDefender: A Tool for Detecting Reentrancy Vulnerabilities in Smart Contracts Effectively</t>
  </si>
  <si>
    <t>IEEE International Conference on Software Quality, Reliability and Security (QRS)</t>
  </si>
  <si>
    <t>PanEtAl2021</t>
  </si>
  <si>
    <t>ReDetect: Reentrancy Vulnerability Detection in Smart Contracts with High Accuracy</t>
  </si>
  <si>
    <t>International Conference on Mobile Ad-hoc and Sensor Networks, MSN</t>
  </si>
  <si>
    <t>RutaoYuEtAl2021</t>
  </si>
  <si>
    <t>Reentrancy Vulnerability Detection and Localization: A Deep Learning Based Two-phase Approach</t>
  </si>
  <si>
    <t>Z.ZhangEtAl2022</t>
  </si>
  <si>
    <t>ReSuMo: a regression strategy and tool for mutation testing of solidity smart contracts</t>
  </si>
  <si>
    <t xml:space="preserve">Software Quality Journal </t>
  </si>
  <si>
    <t>BarboniEtAl2023</t>
  </si>
  <si>
    <t>Rethinking Smart Contract Fuzzing: Fuzzing With Invocation Ordering and Important Branch Revisiting</t>
  </si>
  <si>
    <t>LiuEtAl2023b</t>
  </si>
  <si>
    <t>SAILFISH: Vetting Smart Contract State-Inconsistency Bugs in Seconds</t>
  </si>
  <si>
    <t>IEEE Symposium on Security and Privacy</t>
  </si>
  <si>
    <t>BoseEtAl2021</t>
  </si>
  <si>
    <t>SCcheck: A Novel Graph-driven and Attention-enabled Smart Contract Vulnerability Detection Framework for Web 3.0 Ecosystem</t>
  </si>
  <si>
    <t>IEEE transactions on network science and engineering</t>
  </si>
  <si>
    <t>CaoEtAl2023b</t>
  </si>
  <si>
    <t>SCGRU: A Model for Ethereum Smart Contract Vulnerability Detection Combining CNN and BiGRU-Attention</t>
  </si>
  <si>
    <t>IEEE International Conference on Signal and Image Processing (ICSIP)</t>
  </si>
  <si>
    <t>LiangAndZhai2023</t>
  </si>
  <si>
    <t>SCStudio: A Secure and Efficient Integrated Development Environment for Smart Contracts</t>
  </si>
  <si>
    <t>ISSTA 2021: Proceedings of the 30th ACM SIGSOFT International Symposium on Software Testing and Analysis</t>
  </si>
  <si>
    <t>MengRenEtAl2021</t>
  </si>
  <si>
    <t>Security Risks and Best Practices for Blockchain and Smart Contracts: A Systematic Literature Review</t>
  </si>
  <si>
    <t>International Conference on Information Management and Technology (ICIMTech)</t>
  </si>
  <si>
    <t>YuliantoEtAl2023</t>
  </si>
  <si>
    <t>SESCon: Secure Ethereum Smart Contracts by Vulnerable Patterns’ Detection</t>
  </si>
  <si>
    <t>Security and communication networks</t>
  </si>
  <si>
    <t>AliEtAl2021</t>
  </si>
  <si>
    <t>sFuzz2.0: Storage‐access pattern guided smart contract fuzzing</t>
  </si>
  <si>
    <t>Journal of software : evolution and process</t>
  </si>
  <si>
    <t>WangEtAl2023</t>
  </si>
  <si>
    <t>SGUARD: Towards Fixing Vulnerable Smart Contracts Automatically</t>
  </si>
  <si>
    <t>NguyenEtAl2021</t>
  </si>
  <si>
    <t>Siguard: Detecting Signature-Related Vulnerabilities in Smart Contracts</t>
  </si>
  <si>
    <t>ICSE '23: Proceedings of the 45th International Conference on Software Engineering: Companion Proceedings</t>
  </si>
  <si>
    <t>J.ZhangEtAl2023</t>
  </si>
  <si>
    <t>Smart Contract and DeFi Security Tools: Do They Meet the Needs of Practitioners?</t>
  </si>
  <si>
    <t>IEEE/ACM International Conference on Software Engineering</t>
  </si>
  <si>
    <t>ChaliasosEtAl2024</t>
  </si>
  <si>
    <t>Smart Contract Vulnerability Detection Based on Multi-Scale Encoders</t>
  </si>
  <si>
    <t>GuoEtAl2024</t>
  </si>
  <si>
    <t>Smart contract vulnerability detection combined with multi-objective detection</t>
  </si>
  <si>
    <t>Computer Networks</t>
  </si>
  <si>
    <t>L.ZhangEtAl2022</t>
  </si>
  <si>
    <t>Smart Contract Vulnerability Detection Model Based on Multi-Task Learning</t>
  </si>
  <si>
    <t>HuangEtAl2022</t>
  </si>
  <si>
    <t>Smart Contract Vulnerability Detection: From Pure Neural Network to Interpretable Graph Feature and Expert Pattern Fusion</t>
  </si>
  <si>
    <t>IJCAI</t>
  </si>
  <si>
    <t>LiuZEtAl2021</t>
  </si>
  <si>
    <t>Smart Contracts Security Threats and Solutions</t>
  </si>
  <si>
    <t>International Journal of Information Technology and Web Engineering</t>
  </si>
  <si>
    <t>MahugnonAndJules2022</t>
  </si>
  <si>
    <t>SmartBugs 2.0: An Execution Framework for Weakness Detection in Ethereum Smart Contracts</t>
  </si>
  <si>
    <t>2023 38th IEEE/ACM International Conference on Automated Software Engineering (ASE)</t>
  </si>
  <si>
    <t>diAngeloEtAl2023</t>
  </si>
  <si>
    <t>SmartDagger : A Bytecode-based Static Analysis Approach for Detecting Cross-contract Vulnerability</t>
  </si>
  <si>
    <t>LiaoEtAl2022</t>
  </si>
  <si>
    <t>SMARTEST: Effectively Hunting Vulnerable Transaction Sequences in Smart Contracts through Language Model-Guided Symbolic Execution</t>
  </si>
  <si>
    <t>Security Symposium</t>
  </si>
  <si>
    <t>SunbeomSoEtAl2021</t>
  </si>
  <si>
    <t>SmartFast: an accurate and robust formal analysis tool for Ethereum smart contracts</t>
  </si>
  <si>
    <t>LiEtAl2022</t>
  </si>
  <si>
    <t>SmartGift: Learning to Generate Practical Inputs for Testing Smart Contracts</t>
  </si>
  <si>
    <t>International Conference on Software Maintenance</t>
  </si>
  <si>
    <t>ZhouEtAl2021</t>
  </si>
  <si>
    <t>SmartGraph: Static Analysis Tool for Solidity Smart Contracts</t>
  </si>
  <si>
    <t>Computational Science and Its Applications</t>
  </si>
  <si>
    <t>ZhukovAndKorkhov2023</t>
  </si>
  <si>
    <t>SMARTIAN : Enhancing Smart Contract Fuzzing with Static and Dynamic Data-Flow Analyses</t>
  </si>
  <si>
    <t>ChoiEtAl2021</t>
  </si>
  <si>
    <t>SmartScan: An approach to detect Denial of Service Vulnerability in Ethereum Smart Contracts</t>
  </si>
  <si>
    <t>IEEE/ACM International Workshop on Emerging Trends in Software Engineering for Blockchain (WETSEB)</t>
  </si>
  <si>
    <t>SamreenAndAlalfi2021</t>
  </si>
  <si>
    <t>SmartState: Detecting State-Reverting Vulnerabilities in Smart Contracts via Fine-Grained State-Dependency Analysis</t>
  </si>
  <si>
    <t>LiaoEtAl2023</t>
  </si>
  <si>
    <t>SolGuard: Preventing external call issues in smart contract-based multi-agent robotic systems</t>
  </si>
  <si>
    <t>Information Sciences</t>
  </si>
  <si>
    <t>PraitheeshanEtAl2021</t>
  </si>
  <si>
    <t>SoliTester: Detecting exploitable external‐risky vulnerability in smart contracts using contract account triggering method</t>
  </si>
  <si>
    <t>HuEtAl2023a</t>
  </si>
  <si>
    <t>SPCBIG-EC: A Robust Serial Hybrid Model for Smart Contract Vulnerability Detection</t>
  </si>
  <si>
    <t>L.ZhangEtAl2022b</t>
  </si>
  <si>
    <t>SuMo: A mutation testing approach and tool for the Ethereum blockchain</t>
  </si>
  <si>
    <t>BarboniEtAl2022</t>
  </si>
  <si>
    <t>SuperDetector: A Framework for Performance Detection on Vulnerabilities of Smart Contracts</t>
  </si>
  <si>
    <t>Journal of physics. Conference series, 2022</t>
  </si>
  <si>
    <t>DaiEtAl2022</t>
  </si>
  <si>
    <t>Survey on Quality Assurance of Smart Contracts</t>
  </si>
  <si>
    <t>WeiEtAl2023</t>
  </si>
  <si>
    <t>SVScanner: Detecting smart contract vulnerabilities via deep semantic extraction</t>
  </si>
  <si>
    <t>H.ZhangEtAl2023</t>
  </si>
  <si>
    <t>SynTest-solidity: automated test case generation and fuzzing for smart contracts</t>
  </si>
  <si>
    <t>ICSE '22: Proceedings of the ACM/IEEE 44th International Conference on Software Engineering: Companion Proceedings</t>
  </si>
  <si>
    <t>OlsthoornEtAl2022</t>
  </si>
  <si>
    <t>Systematic Review of Ethereum Smart Contract Security Vulnerabilities, Analysis Methods and Tools</t>
  </si>
  <si>
    <t>Thesis or Seminar Paper</t>
  </si>
  <si>
    <t>PhD Thesis</t>
  </si>
  <si>
    <t>Rameder2021</t>
  </si>
  <si>
    <t>Systematic Review of Security Vulnerabilities in Ethereum Blockchain Smart Contract</t>
  </si>
  <si>
    <t>KushwahaEtAl2022a</t>
  </si>
  <si>
    <t>The Eye of Horus: Spotting and Analyzing Attacks on Ethereum Smart Contracts</t>
  </si>
  <si>
    <t>International Conference on Financial Cryptography and Data Security</t>
  </si>
  <si>
    <t>TorresEtAl2021b</t>
  </si>
  <si>
    <t>The State of Ethereum Smart Contracts Security: Vulnerabilities, Countermeasures, and Tool Support</t>
  </si>
  <si>
    <t>Journal of Cybersecurity and Privacy</t>
  </si>
  <si>
    <t>ZhouEtAl2022</t>
  </si>
  <si>
    <t>Tips: towards automating patch suggestion for vulnerable smart contracts</t>
  </si>
  <si>
    <t>Automated Software Engineering</t>
  </si>
  <si>
    <t>ChenEtAl2023</t>
  </si>
  <si>
    <t>Toward Vulnerability Detection for Ethereum Smart Contracts Using Graph-Matching Network</t>
  </si>
  <si>
    <t>Future Internet</t>
  </si>
  <si>
    <t>Y.ZhangEtAl2022</t>
  </si>
  <si>
    <t>Towards the Assessment and the Improvement of Smart Contract Security</t>
  </si>
  <si>
    <t>Thesis</t>
  </si>
  <si>
    <t>Staderini2022</t>
  </si>
  <si>
    <t>TxMirror: When the Dynamic EVM Stack Meets Transactions for Smart Contract Vulnerability Detection</t>
  </si>
  <si>
    <t>Symmetry</t>
  </si>
  <si>
    <t>R.YuEtAl2023</t>
  </si>
  <si>
    <t>Unknown Threats Detection Methods of Smart Contracts</t>
  </si>
  <si>
    <t>IEEE Internet of Things Journal</t>
  </si>
  <si>
    <t>HeEtAl2024</t>
  </si>
  <si>
    <t>Unveiling the Landscape of Smart Contract Vulnerabilities: A Detailed Examination and Codification of Vulnerabilities in Prominent Blockchains</t>
  </si>
  <si>
    <t xml:space="preserve">International Journal of Computer Networks &amp; Communications (IJCNC) </t>
  </si>
  <si>
    <t>dZaazaaAndElBakkali2023a</t>
  </si>
  <si>
    <t>Unveiling Vulnerable Smart Contracts: Toward Profiling Vulnerable Smart Contracts using Genetic Algorithm and Generating Benchmark Dataset</t>
  </si>
  <si>
    <t>Blockchain: Research and Applications</t>
  </si>
  <si>
    <t>HajiHosseinKhaniEtAl2024</t>
  </si>
  <si>
    <t>VSCL: Automating Vulnerability Detection in Smart Contracts with Deep Learning</t>
  </si>
  <si>
    <t>IEEE International Conference on Blockchain and Cryptocurrency</t>
  </si>
  <si>
    <t>MiEtAl2021</t>
  </si>
  <si>
    <t>VulHunter: Hunting Vulnerable Smart Contracts at EVM Bytecode-Level via Multiple Instance Learning</t>
  </si>
  <si>
    <t>LiEtAl2023</t>
  </si>
  <si>
    <t>Vulnerability and Transaction Behavior Based Detection of Malicious Smart Contracts</t>
  </si>
  <si>
    <t>Cyberspace Safety and Security</t>
  </si>
  <si>
    <t>AgarwalEtAl2022</t>
  </si>
  <si>
    <t>Vulpedia: Detecting vulnerable ethereum smart contracts via abstracted vulnerability signatures</t>
  </si>
  <si>
    <t>JiamingYeEtAl2022</t>
  </si>
  <si>
    <t>WANA: Symbolic Execution of Wasm Bytecode for Extensible Smart Contract Vulnerability Detection</t>
  </si>
  <si>
    <t>IEEE International Conference on Software Quality, Reliability and Security</t>
  </si>
  <si>
    <t>JiangEtAl2021</t>
  </si>
  <si>
    <t>xFuzz: Machine Learning Guided Cross-Contract Fuzzing</t>
  </si>
  <si>
    <t>IEEE Transactions on Dependable and Secure Computing</t>
  </si>
  <si>
    <t>XueEtAl2022</t>
  </si>
  <si>
    <t>Improving Smart Contract Security with Contrastive Learning-based Vulnerability Detection</t>
  </si>
  <si>
    <t>ICSE24</t>
  </si>
  <si>
    <t>chen2024improving</t>
  </si>
  <si>
    <t>✓</t>
  </si>
  <si>
    <t>Are We There Yet? Unraveling the State-of-the-Art Smart Contract Fuzzers</t>
  </si>
  <si>
    <t>wu2024we</t>
  </si>
  <si>
    <t>Towards Finding Accounting Errors in Smart Contracts</t>
  </si>
  <si>
    <t>zhang2024towards</t>
  </si>
  <si>
    <t>GPTScan: Detecting Logic Vulnerabilities in Smart Contracts by Combining GPT with Program Analysis</t>
  </si>
  <si>
    <t>sun2024gptscan</t>
  </si>
  <si>
    <t>SCVHunter: Smart Contract Vulnerability Detection Based on Heterogeneous Graph Attention Network</t>
  </si>
  <si>
    <t>luo2024scvhunter</t>
  </si>
  <si>
    <t>Safeguarding DeFi Smart Contracts against Oracle Deviations</t>
  </si>
  <si>
    <t>deng2024safeguarding</t>
  </si>
  <si>
    <t>Verifying Declarative Smart Contracts</t>
  </si>
  <si>
    <t>chen2024verifying</t>
  </si>
  <si>
    <t>Uncover the Premeditated Attacks: Detecting Exploitable Reentrancy Vulnerabilities by Identifying Attacker Contracts</t>
  </si>
  <si>
    <t>yang2024uncover</t>
  </si>
  <si>
    <t>Skyeye: Detecting Imminent Attacks via Analyzing Adversarial Smart Contracts</t>
  </si>
  <si>
    <t>ASE24</t>
  </si>
  <si>
    <t>wang2024skyeye</t>
  </si>
  <si>
    <t>OpenTracer: A Dynamic Transaction Trace Analyzer for Smart Contract Invariant Generation and Beyond</t>
  </si>
  <si>
    <t>chen2024opentracer</t>
  </si>
  <si>
    <t>COBRA: Interaction-Aware Bytecode-Level Vulnerability Detector for Smart Contracts</t>
  </si>
  <si>
    <t>li2024cobra</t>
  </si>
  <si>
    <t>AdvSCanner: Generating Adversarial Smart Contracts to Exploit Reentrancy Vulnerabilities Using LLM and Static Analysis</t>
  </si>
  <si>
    <t>wu2024advscanner</t>
  </si>
  <si>
    <t>ContractTinker: LLM-Empowered Vulnerability Repair for Real-World Smart Contracts</t>
  </si>
  <si>
    <t>wang2024contracttinker</t>
  </si>
  <si>
    <t>HighGuard: Cross-Chain Business Logic Monitoring of Smart Contracts</t>
  </si>
  <si>
    <t>eshghie2024highguard</t>
  </si>
  <si>
    <t>Oracle-Guided Vulnerability Diversity and Exploit Synthesis of Smart Contracts Using LLMs</t>
  </si>
  <si>
    <t>eshghie2024oracle</t>
  </si>
  <si>
    <t>Demystifying Invariant Effectiveness for Securing Smart Contracts</t>
  </si>
  <si>
    <t>FSE24</t>
  </si>
  <si>
    <t>chen2024demystifying</t>
  </si>
  <si>
    <t>Static Application Security Testing (SAST) Tools for Smart Contracts: How Far Are We?</t>
  </si>
  <si>
    <t>FunRedisp: A Function Redispatch Tool to Reduce Invocation Gas Fees in Solidity Smart Contracts</t>
  </si>
  <si>
    <t>ISSTA24</t>
  </si>
  <si>
    <t>liu2024funredisp</t>
  </si>
  <si>
    <t>FunRedisp: Reordering Function Dispatch in Smart Contract to Reduce Invocation Gas Fees</t>
  </si>
  <si>
    <t>liu2024funredisp2</t>
  </si>
  <si>
    <t>Identifying Smart Contract Security Issues in Code Snippets from Stack Overflow</t>
  </si>
  <si>
    <t>chen2024identifying</t>
  </si>
  <si>
    <t>Midas: Mining Profitable Exploits in On-Chain Smart Contracts via Feedback-Driven Fuzzing and Differential Analysis</t>
  </si>
  <si>
    <t>ye2024midas</t>
  </si>
  <si>
    <t>VeriSol-MCE: Verification-based condition coverage analysis of Smart Contracts using Model Checker Engines</t>
  </si>
  <si>
    <t>godboley2024poster</t>
  </si>
  <si>
    <t>Towards Effective Detection of Ponzi schemes on Ethereum with Contract Runtime Behavior Graph</t>
  </si>
  <si>
    <t>TOSEM24</t>
  </si>
  <si>
    <t>liang2024towards</t>
  </si>
  <si>
    <t>When ChatGPT Meets Smart Contract Vulnerability Detection: How Far Are We?</t>
  </si>
  <si>
    <t>chen2023chatgpt</t>
  </si>
  <si>
    <t>Smart Contract Code Repair Recommendation based on Reinforcement Learning and Multi-metric Optimization</t>
  </si>
  <si>
    <t>guo2024smart</t>
  </si>
  <si>
    <t>FunFuzz: A Function-Oriented Fuzzer for Smart Contract Vulnerability Detection with High Effectiveness and Efficiency</t>
  </si>
  <si>
    <t>ye2024funfuzz</t>
  </si>
  <si>
    <t>Contractsentry: a static analysis tool for smart contract vulnerability detection</t>
  </si>
  <si>
    <t>wang2025contractsentry</t>
  </si>
  <si>
    <t>OpenSCV: an open hierarchical taxonomy for smart contract vulnerabilities</t>
  </si>
  <si>
    <t>EMSE</t>
  </si>
  <si>
    <t>Enhancing Oyente: four new vulnerability detections for improved smart contract security analysis</t>
  </si>
  <si>
    <t>International Journal of Information Technology</t>
  </si>
  <si>
    <t>jj2024enhancing</t>
  </si>
  <si>
    <t>EF↯CF: High Performance Smart Contract Fuzzing for Exploit Generation</t>
  </si>
  <si>
    <t>Symposium on Security and Privacy</t>
  </si>
  <si>
    <t>rodler2023ef</t>
  </si>
  <si>
    <t>Automated Invariant Generation for Solidity Smart Contracts</t>
  </si>
  <si>
    <t>liu2024automated</t>
  </si>
  <si>
    <t>Turn the Rudder: A Beacon of Reentrancy Detection for Smart Contracts on Ethereum</t>
  </si>
  <si>
    <t>ICSE23</t>
  </si>
  <si>
    <t>Zheng2023rudder</t>
  </si>
  <si>
    <t>InvCon: A Dynamic Invariant Detector for Ethereum Smart Contracts</t>
  </si>
  <si>
    <t>ASE22</t>
  </si>
  <si>
    <t>liu2022invcon</t>
  </si>
  <si>
    <t>ESBMC-Solidity: An SMT-Based Model Checker for Solidity Smart Contracts</t>
  </si>
  <si>
    <t>ICSE22</t>
  </si>
  <si>
    <t>song2022esbmc</t>
  </si>
  <si>
    <t>Empirical evaluation of smart contract testing: what is the best choice?</t>
  </si>
  <si>
    <t>ISSTA21</t>
  </si>
  <si>
    <t>ren2021empirical</t>
  </si>
  <si>
    <t>Revealing Hidden Threats: An Empirical Study of Library Misuse in Smart Contracts</t>
  </si>
  <si>
    <t>Huang2024Revealing</t>
  </si>
  <si>
    <t>PrettySmart: Detecting Permission Re-delegation Vulnerability for Token Behaviors in Smart Contracts</t>
  </si>
  <si>
    <t>zhong2024prettysmart</t>
  </si>
  <si>
    <t>DAppSCAN: Building Large-Scale Datasets for Smart Contract Weaknesses in DApp Projects</t>
  </si>
  <si>
    <t>TSE</t>
  </si>
  <si>
    <t>zheng2024dappscan</t>
  </si>
  <si>
    <t>SmartAxe: Detecting Cross-Chain Vulnerabilities in Bridge Smart Contracts via Fine-Grained Static Analysis</t>
  </si>
  <si>
    <t>liao2024smartaxe</t>
  </si>
  <si>
    <t>Efficiently Detecting Reentrancy Vulnerabilities in Complex Smart Contracts</t>
  </si>
  <si>
    <t>wang2024efficiently</t>
  </si>
  <si>
    <t>echidna-parade: A Tool for Diverse Multicore Smart Contract Fuzzing</t>
  </si>
  <si>
    <t>groce2021echidna</t>
  </si>
  <si>
    <t>Increasing Fuzz Testing Coverage for Smart Contracts with Dynamic Taint Analysis</t>
  </si>
  <si>
    <t>ji2021increasing</t>
  </si>
  <si>
    <t>Finding Permission Bugs in Smart Contracts with Role Mining</t>
  </si>
  <si>
    <t>ISSTA 2022</t>
  </si>
  <si>
    <t>liu2022finding</t>
  </si>
  <si>
    <t>SigRec: Automatic Recovery of Function Signatures in Smart Contracts</t>
  </si>
  <si>
    <t>TSE22</t>
  </si>
  <si>
    <t>chen2021sigrec</t>
  </si>
  <si>
    <t>Gas Estimation and Optimization for Smart Contracts on Ethereum</t>
  </si>
  <si>
    <t>ASE21</t>
  </si>
  <si>
    <t>li2021gas</t>
  </si>
  <si>
    <t>Checking Smart Contracts With Structural Code Embedding</t>
  </si>
  <si>
    <t>TSE21</t>
  </si>
  <si>
    <t>gao2020checking</t>
  </si>
  <si>
    <t>ContractCheck: Checking Ethereum Smart Contracts in Fine-Grained Level</t>
  </si>
  <si>
    <t>TSE24</t>
  </si>
  <si>
    <t>wang2024contractcheck</t>
  </si>
  <si>
    <t>SCAnoGenerator: Automatic Anomaly Injection for Ethereum Smart Contracts</t>
  </si>
  <si>
    <t>zhang2024scanogenerator</t>
  </si>
  <si>
    <t>LENT-SSE: Leveraging Executed and Near Transactions for Speculative Symbolic Execution of Smart Contracts</t>
  </si>
  <si>
    <t>zheng2024lent</t>
  </si>
  <si>
    <t>CSAFuzzer: Fuzzing smart contracts combining with static analysis</t>
  </si>
  <si>
    <t>yang2025csafuzzer</t>
  </si>
  <si>
    <t>Alternate Names</t>
  </si>
  <si>
    <t>Token standard incompatibility, Unmatched ERC-20 Standard</t>
  </si>
  <si>
    <t>Missing Reminder, Fake Deposit</t>
  </si>
  <si>
    <t>1 - Malicious Environment, Transactions or Input</t>
  </si>
  <si>
    <t>An unrestricted CALL to an unknown address may lead to the execution of malicious code, e.g. the fallback function of the called contract. This vulnerability is a generalization of 1A1 Reentrancy, where the callee executes a call back to the caller.</t>
  </si>
  <si>
    <t>1A1</t>
  </si>
  <si>
    <t>The callee calls the caller back before the initial call has been completed and relevant checks and state changes have been performed. The classical example is an Ether transfer to a contract, whose fallback function is specifically crafted to call back the function emitting the original call.</t>
  </si>
  <si>
    <t>Cross function race condition, race to empty, recursive call vulnerability, reentrancy-eth</t>
  </si>
  <si>
    <t>If the logic of a contract depends on maintaining the exact balance in storage (instead of querying the environment for the current balance), attackers can manipulate the contract by increasing its balance without triggering its code. This can be achieved by using the contract’s address as the beneficiary of a SELFDESTRUCT operation or a mining reward, or by predicting the contract’s address and sending Ether before the contract gets deployed.</t>
  </si>
  <si>
    <t>1B1</t>
  </si>
  <si>
    <t>Forcing Ether to contracts</t>
  </si>
  <si>
    <t>Forcing Ether to contracts can be achieved by using the contract’s address as the beneficiary of a SELFDESTRUCT operation or as the receiver of a mining reward.</t>
  </si>
  <si>
    <t>1B2</t>
  </si>
  <si>
    <t>Pre-sent Ether</t>
  </si>
  <si>
    <t>Pre-sent Ether can be achieved by predicting the contract’s address and sending Ether before the contract gets deployed.</t>
  </si>
  <si>
    <t>Failure to check data obtained from untrusted sources, such as external libraries or contracts, before using it.</t>
  </si>
  <si>
    <t>Vulnerable Delegatecall</t>
  </si>
  <si>
    <t>Performing a DELEGATECALL or CALLCODE instruction to an untrusted address. Code invoked via these types of calls is run in the caller’s context. A malicious callee can manipulate the caller’s state variables and fully control the balance.</t>
  </si>
  <si>
    <t>2 - Blockchain/Environment Dependency</t>
  </si>
  <si>
    <t>The contract logic should not use block information for precise calculations or critical time dependencies. Miners have control over these values and can manipulate them to a certain extent, or they may be subject to changes for other reasons.</t>
  </si>
  <si>
    <t>2A1</t>
  </si>
  <si>
    <t>The block's timestamp should not be used for precise calculations or critical time dependencies in the contract logic. Miners have control over this value and can manipulate it to a certain extent, or the value may be subject to changes for other reasons.</t>
  </si>
  <si>
    <t>2A2</t>
  </si>
  <si>
    <t>Using the block number bears similar risks as using other block information like the timestamp and should not be used in critical operations, as miners can also manipulate the block number.</t>
  </si>
  <si>
    <t>2A3</t>
  </si>
  <si>
    <t>Blockhash usage vulnerability results from the usage, in critical operations, of blockhash variables. A malicious miner can manipulate this value.</t>
  </si>
  <si>
    <t>Blockhash usage</t>
  </si>
  <si>
    <t>Transaction-ordering dependency</t>
  </si>
  <si>
    <t>The logic of a contract should not depend on the order in which a block's transactions are executed, as miners can compose the block in any order and may do so deliberately for malicious reasons. Moreover, the state of a contract may change between the time a transaction is submitted to the network and the time it is included in a block, as other transactions, even when submitted later, may be prioritized by miners.</t>
  </si>
  <si>
    <t>2B1</t>
  </si>
  <si>
    <t>Front-running attack</t>
  </si>
  <si>
    <t>Transactions are ordered by miners based on their gas prices. Take, for example, a contract that rewards a player with Ether if he guesses an answer. Suppose a player guesses the answer and sends it. An attacker can check the transaction pool (mempool) and find this solution. The attacker can send an equivalent transaction with a much higher gas price than the original one. Because of the higher gas, the second transaction will be processed first, causing a front-running attack.</t>
  </si>
  <si>
    <t>Race condition</t>
  </si>
  <si>
    <t>Random numbers are important for applications like lotteries and games but are difficult to generate. Using global blockchain variables, such as timestamps, as seed is open to manipulation by malicious miners who can influence global variables. Moreover, other transactions in the same block or other contracts invoked in the same transaction have access to the same global variables and may guess the random number.</t>
  </si>
  <si>
    <t>2C1</t>
  </si>
  <si>
    <t>Sometimes, randomness is required in operations, and block hash can be used for this purpose. However, it can be manipulated like a timestamp because the miners can predict the same.</t>
  </si>
  <si>
    <t>All transactions and the state of all contracts are visible to all miners and the world outside of the blockchain, even if the visibility of variables is set to private or internal in the source code. Therefore, encryption and commitment schemes are important to protect secret information.</t>
  </si>
  <si>
    <t>Lack of transaction privacy, Private information leakage, Nothing is secret, Confidentiality failure, Keeping secrets, Data exposure, On-chain oracle manipulation, Secrecy failure, Exposed secret, Unencrypted private data on-chain, Secrets</t>
  </si>
  <si>
    <t xml:space="preserve">Calling contracts or libraries in the business logic of a contract can lead to unpredictable effects. They can self-destruct, be updated later, and contain known vulnerabilities or, more simply, be an error when referring to them. The results are unpredictable effects. </t>
  </si>
  <si>
    <t>2E1</t>
  </si>
  <si>
    <t>Dynamic Library</t>
  </si>
  <si>
    <t>This vulnerability happens when a smart contract depends on updatable components (other smart contracts). Therefore, the attacker can change the contract logic if he controls those contracts.</t>
  </si>
  <si>
    <t>2E2</t>
  </si>
  <si>
    <t>2E3</t>
  </si>
  <si>
    <t>Using existing libraries and open-source codes in a newly created project is a very useful practice to avoid reinventing the wheel. However, open-source codes and libraries are not all safe and might be vulnerable to a public exploit. Therefore, even if the newly created smart contract is safe, those added codes may introduce hidden vulnerabilities</t>
  </si>
  <si>
    <t>2E4</t>
  </si>
  <si>
    <t>Solidity allows programmers to use any address to refer to a specific contract, enabling attacker contracts to conceal malicious code by providing an incorrect address to a smart contract constructor as a parameter. This misuse of address parameters in the constructor underscores the importance of address parameter avoidance. Smart contracts often need to reuse other contracts' code by referencing their addresses. For instance, a developer may initialize an external library in their contract's constructor, with the library's address provided during deployment. While this approach may seem legitimate and pass a code audit, providing the wrong address during deployment can create a security vulnerability. In such cases, a malicious contract (such as a honey pot) could be called from the incorrect address, posing a significant risk.</t>
  </si>
  <si>
    <t>Misuse of address parameters in the constructor, Value assigned to contract address</t>
  </si>
  <si>
    <t>3 - Exception &amp; Error Handling Disorders</t>
  </si>
  <si>
    <t>Low-level calls do not raise an exception on failure but return a Boolean status. Failing to check the return status and to handle errors adequately may lead to critical vulnerabilities.</t>
  </si>
  <si>
    <t>3A1</t>
  </si>
  <si>
    <t>Send instead of transfer</t>
  </si>
  <si>
    <t>Calls to other contracts may fail and throw exceptions or revert the transaction. Not handling these situations adequately can lead to critical issues, such as DoS or lost funds.</t>
  </si>
  <si>
    <t>3B1</t>
  </si>
  <si>
    <t>Solidity’s error handling via assert, require, and revert (or its bytecode counterparts) must be used correctly to avoid abnormal function behavior.</t>
  </si>
  <si>
    <t>Assert violation, Assertion failure, Requirement violation, Requirement violation by the called smart contract, Require on input variable, Revert require, Exception state</t>
  </si>
  <si>
    <t>Greedy contract</t>
  </si>
  <si>
    <t>A smart contract can access assets through an external library, which may self-destruct accidentally or maliciously or lack the implementation of functions for asset withdrawal, providing only deposit functions.</t>
  </si>
  <si>
    <t>Locked Ether, Freezing Ether</t>
  </si>
  <si>
    <t>4A1</t>
  </si>
  <si>
    <t>Locked Money</t>
  </si>
  <si>
    <t>Smart contracts that implement payable functions but no withdrawal ones are vulnerable because they can lock money without the ability to get it back. Locking money in the smart contract could also result from a bug in the business logic of the smart contract.</t>
  </si>
  <si>
    <t>4A2</t>
  </si>
  <si>
    <t>If a contract uses library code to access its assets, then accidental or malicious self-destruction of the library contract may render the assets inaccessible.</t>
  </si>
  <si>
    <t>Ether sent to an unused address becomes inaccessible as there is no matching private key.</t>
  </si>
  <si>
    <t>Transfer to orphan address, Lost of Ether, Loss of Ether</t>
  </si>
  <si>
    <t>The total gas spent by a block's transactions is bounded by the block gas limit. Transactions exceeding this limit will not get processed.</t>
  </si>
  <si>
    <t>4C1</t>
  </si>
  <si>
    <t>Performing calls inside a loop, for example, could create a DOS. If one call throws, the whole execution stops. So if there is a loop on the user address and one of them is a contract that implements a fallback function that simply reverts, a DOS attack will occur.</t>
  </si>
  <si>
    <t>4C2</t>
  </si>
  <si>
    <t>For older versions of solidity, it is possible to manipulate the “length” field of an array with standard arithmetic functions. A simple code to decrement the value of this field can bring the value to an underflow. “anArray.length--;” can make the array size set to max int. This vulnerability can disable a contract.</t>
  </si>
  <si>
    <t>4C3</t>
  </si>
  <si>
    <t>In a loop’s termination condition, an unchecked input from a user or a comparison of integers of different sizes can cause the loop to exceed the block gas limit or be too expensive to complete and result in transaction failures with non-terminating loops or unbounded mass operations errors.</t>
  </si>
  <si>
    <t>DoS by Exception inside loop</t>
  </si>
  <si>
    <t>Operations inside loops that may throw exceptions and depend on external transactions to succeed are open to DoS attacks by malicious users.</t>
  </si>
  <si>
    <t>4F</t>
  </si>
  <si>
    <t>Overpowered Role</t>
  </si>
  <si>
    <t>In Solidity smart contracts, an "overpowered role" refers to a role with extensive control over contract functions, like an administrator role with broad privileges such as modifying parameters, freezing accounts, or accessing sensitive data unchecked. Such roles pose risks like centralization, abuse, and security vulnerabilities. It's crucial for developers to design access controls to ensure roles are balanced and prevent any single role from having excessive power. This safeguards the integrity, security, and fairness of decentralized systems.</t>
  </si>
  <si>
    <t>4G</t>
  </si>
  <si>
    <t>Using call.value(x) can be problematic when the recipient function is not explicitly specified in the call's arguments. By default, call invokes the default fallback function of the target contract. Suppose a malicious contract deliberately does not implement a fallback function. In that case, any deposit made to it will not succeed, and the sender contract will not be able to function as intended due to failed transfers. This vulnerability can lead to DoS issues in the sender contract.</t>
  </si>
  <si>
    <t>Unbounded and costly operations in loops should be avoided to avoid inefficiency and potential DoS.</t>
  </si>
  <si>
    <t>Smart contract code should generally avoid inefficient operations and gas-costly patterns that consume more gas than necessary.</t>
  </si>
  <si>
    <t>In Solidity, certain data types consume more gas than others, and a variable's visibility also influences gas consumption. Similarly, choosing inefficient access modifiers for functions, such as declaring public instead of external when unnecessary, can increase resource usage. These characteristics can contribute to excessive gas costs.</t>
  </si>
  <si>
    <t>5C1</t>
  </si>
  <si>
    <t>Byte Array</t>
  </si>
  <si>
    <t>In Solidity, the data type byte[] consumes more gas than a byte array due to padding rules.</t>
  </si>
  <si>
    <t>5C2</t>
  </si>
  <si>
    <t>Invariant State variables not declared constant</t>
  </si>
  <si>
    <t>Invariants not declared constant consume more gas than necessary.</t>
  </si>
  <si>
    <t>Function declaration public instead of external</t>
  </si>
  <si>
    <t>5F</t>
  </si>
  <si>
    <t>Solidity provides three built-in functions to transfer ethers: transfer(x), send(x), and call(x). Along with x ethers, transfer(x) and send(x) transfer (the Ethereum-specified minimum required) 2300 units of gas for the receiver contract to process the transaction. The call() function is the one recommended by Solidity but does not provide parameters with the addr. call.value(x)() redirects all the gas the transaction provides to the recipient, transferring all the gas. Gas transfer viability asserts that if a specific gas amount is required to be transferred, then addr.call.value(x)() is substituted with that amount; otherwise, transfer(x) or preferably addr.call.value(x) is used.</t>
  </si>
  <si>
    <t>Prodigal contract</t>
  </si>
  <si>
    <t>Using msg.sender might not always be appropriate; for instance, if a contract is called by another contract to refund a transaction to a specific investor account specified in the parameters. In such cases, relying on msg.sender means that the calling contract could receive the refund instead of the intended recipient specified in the parameters. However, specifying the recipient in the parameters can also be problematic. If any arbitrary contract can initiate the transaction, it might provide an address of a contract that never submitted any funds, thus making it ineligible for a refund. This scenario describes a "prodigal contract," which can incorrectly send refunds to arbitrary contracts.
To address these issues, it is crucial to validate the transfer address. Ensure that while authenticating a transaction, tx.origin is not used, and if recipient addresses are provided in the parameters, they must be verified against a list of eligible contracts. If the recipient address is not provided, default to using msg.sender.</t>
  </si>
  <si>
    <t>6A1</t>
  </si>
  <si>
    <t>If a contract uses the external address initiating the transaction, tx.origin, for authentication purposes instead of the address of the immediate caller, contracts situated in the call chain between tx.origin and the vulnerable contract gain access to the assets of the contract.</t>
  </si>
  <si>
    <t>In Solidity, functions inadvertently declared public/external will expose an entry point that may lead to unauthorized access by malicious users.</t>
  </si>
  <si>
    <t>Visibility of exposed functions, Function or state variable default visibility, Function/State visibility error, Unspecified visibility level, Bad visibility, Default visibility, No restricted write, Implicit visibility level, Non-public variables accessed by public/external functions, Default/Unintended/Erroneous visibility</t>
  </si>
  <si>
    <t>6B1</t>
  </si>
  <si>
    <t>6B2</t>
  </si>
  <si>
    <t>Functions that are supposed to be executed by only users with specific roles are not protected. Therefore, any user can execute them. For example, functions that perform withdrawals or execute dangerous functions like SELFDESTRUCT should be protected and only executed by users with the right permissions.</t>
  </si>
  <si>
    <t>6C1</t>
  </si>
  <si>
    <t>Unprotected selfdestruction</t>
  </si>
  <si>
    <t>Insufficient access control to a SELFDESTRUCT instruction may lead to a contract's accidental or malicious destruction.</t>
  </si>
  <si>
    <t>6C2</t>
  </si>
  <si>
    <t>Insufficient access control to a contract's withdrawal functionality can lead to asset theft.</t>
  </si>
  <si>
    <t>This vulnerability includes issues like missing protection against signature replay attacks, lack of proper signature verification, hash collisions with multiple variable length arguments, signature malleability, signatures with a wrong parameter, and any related vulnerabilities.</t>
  </si>
  <si>
    <t>Insufficient signature information</t>
  </si>
  <si>
    <t>Missing protection against signature replay attack</t>
  </si>
  <si>
    <t>Signature verification may occasionally be required in smart contracts to improve usability or reduce gas costs. By maintaining a list of all digested message hashes and only allowing fresh message hashes to be processed, developers can prevent multiple processing of the same message hash supplied by different users. The vulnerabilities 6D1 and 6D5 may seem the same, but in the 6D5, the attacker creates a valid signature with different information to bypass the verification. However, with 6D1, the attacker only uses an existing and already executed transaction to make a replay attack.</t>
  </si>
  <si>
    <t>Lack of proper signature verification</t>
  </si>
  <si>
    <t>Because of the flexibility and improved transferability that this offers, smart contract systems frequently permit users to sign messages off-chain rather than requiring them to do an on-chain transaction. Smart contract systems that handle signed messages must build their logic to determine their authenticity before continuing to process them. Smart contracts cannot directly engage with such systems since they cannot sign messages, which is a constraint for them. Some signature verification systems try to resolve this issue by presuming the authenticity of a signed message based on other techniques that do not have this restriction. An illustration of such a technique is to depend on the value of the msg.sender property and presume that if a signed message came from the sender address, then the sender address also produced it. In situations where proxies may be used to relay transactions, this may result in vulnerabilities.</t>
  </si>
  <si>
    <t>Hash collision with multiple variable length arguments</t>
  </si>
  <si>
    <t>Hash collision is possible when the abi.encodePacked() function is used with several parameters with different lengths. The abi.encodePacked() packs all items in order whether or not they are part of an array, elements could be transferred across arrays and it will still return the same encoding as long as all of the components are in the same order. An attacker might take advantage of this in a signature verification scenario by changing the arrangement of components in a prior function call to successfully evade permission.</t>
  </si>
  <si>
    <t>Function Clashing</t>
  </si>
  <si>
    <t>To call a function in some Blockchains like Ethereum, the user sends a function hash in the data field of his transaction. Then, based on that hash, the EVM chooses what function to execute. As the hash used in this operation is very weak, collisions are more likely to happen. The existence of the function clashing vulnerability could result in executing functions unconsciously, which then may lead to financial losses</t>
  </si>
  <si>
    <t>Although it is frequently assumed that each signature is unique when a cryptographic signature scheme is implemented in Ethereum contracts, signatures can be changed without having access to the private key and still be considered legitimate. One of the so-called "precompiled" contracts defined by the Ethereum virtual machine (EVM) standard is ecrecover, which implements elliptic curve public key recovery. The three values v, r, and s can be slightly altered by a malicious user to produce different valid signatures. If the signature is a component of the hash of the signed message, a system that verifies signatures at the contract level may be vulnerable to attacks. A malevolent user might produce valid signatures to replay previously signed communications.</t>
  </si>
  <si>
    <t>Map overlap</t>
  </si>
  <si>
    <t>Solidity’s map data structure (similar to a hash table or a dictionary) uses a hash function to compute an index into an array of slots. If two maps are used in a contract, the sha3 function may produce the same hash value for two different memory locations, one in each map, creating a collision across maps. We propose a new terminology map overlap for this vulnerability since hash collision is a standard term for a collision of hash values within one hash table. It is part of the standard operation of a hash table and is, by itself, not a vulnerability. This vulnerability has occurred in a contract that used two maps, one for admins of the contract and the other for registered users, as arguments of a function that checked whether a given address belonged to admins or regularly registered users. In this case, an attacker can manipulate the position of elements while registering as a regular user so that the hash function returns the same hash results for certain addresses in the admins and regular users, thus bypassing authorization. This vulnerability can be addressed by establishing map disjointness, which asserts that the contract does not use more than one map data structure.</t>
  </si>
  <si>
    <t>This vulnerability happens when the smart contract tries to verify if the caller is a wallet or a smart contract based on its code size. Unfortunately, this can be bypassed by calling the vulnerable contract in the constructor of the smart contract attacker, as the source code of the smart contract while executing the constructor is still 0</t>
  </si>
  <si>
    <t>7 - Arithmetic bugs</t>
  </si>
  <si>
    <t>Integer over- and underflows occur when arithmetic operations exceed the maximum or minimum of integer types. Unless this exception is caught, a wrap-around occurs.</t>
  </si>
  <si>
    <t>Arithmetic UnderflowOverflow, Integer bug, Value assignment with too many digits</t>
  </si>
  <si>
    <t>7B1</t>
  </si>
  <si>
    <t>Solidity does not admit floating-point or decimal types and integer division is always rounded toward zero. This choice of rounding method can produce results other than what some users might expect.</t>
  </si>
  <si>
    <t>7B2</t>
  </si>
  <si>
    <t>Solidity supports integers and (partially) fixed-point numbers. So, to prepresent floating points, integers must be used. The 256-bit Ethereum virtual machine assembles types shorter than 32 bytes together in the 32-byte slot. This process affects the accuracy of any operation; for example, rounding is incorrect if a division is performed before multiplication. Therefore, performing multiplication before division mitigates rounding-off errors in a smart contract.</t>
  </si>
  <si>
    <t>Integer bugs or Arithmetic Issues</t>
  </si>
  <si>
    <t>The conversion between signed and unsigned integers or between integers of different lengths may lead to incorrect results, as can the use of arithmetic operators.</t>
  </si>
  <si>
    <t>7C1</t>
  </si>
  <si>
    <t>Unchecked division</t>
  </si>
  <si>
    <t>This code is vulnerable to a non-checked division, like dividing by zero.</t>
  </si>
  <si>
    <t>8 - Bad Coding Quality and Programming Language Specifics</t>
  </si>
  <si>
    <t xml:space="preserve"> To interact with another contract, the programmer specifies its interface and uses it to typecast addresses. This allows the Solidity compiler to construct appropriate low-level calls. However, the compiler does not (cannot) check whether the interface actually matches the other contract, even though the programmer might have the false impression that the contract is correctly typed. Calling a contract with a wrong interface specification may invoke unintended entry points, with arguments interpreted differently than expected.</t>
  </si>
  <si>
    <t xml:space="preserve"> Coding errors, including typos and other developer errors.</t>
  </si>
  <si>
    <t>Use of various coding patterns that are regarded as bad style.</t>
  </si>
  <si>
    <t>The use of deprecated language features is discouraged, as it may lead to known errors and vulnerabilities that were the cause for deprecation.</t>
  </si>
  <si>
    <t>Due to quirks of the programming language (most notably Solidity) and programming mistakes, an attacker is able to modify arbitrary storage locations, like an owner variable used for access control. For example, Solidity allocates complex data types like structs, mappings, and arrays statically in storage, even when declaring a local variable of such a type in a function. Using the variable before initializing it will give access to the first storage cell.</t>
  </si>
  <si>
    <t>Arbitrary send, Arbitrary write</t>
  </si>
  <si>
    <t>The use of assembly instructions in high-level code is discouraged, as it can lead to various critical vulnerabilities.</t>
  </si>
  <si>
    <t xml:space="preserve"> Function types are supported by Solidity. In other words, a reference to a function with a matching signature can be given to a variable of a function type. It is possible to call the function stored to such a variable exactly like any other function. If the developer utilizes assembly instructions like “mstore” or the assign operator, an attacker might point a function type variable to any code instruction, breaking necessary validations and state changes.</t>
  </si>
  <si>
    <t>Functions declared as constant/pure/view using assembly code. Constant/Pure/View was not enforced before Solidity 0.5. Starting from Solidity 0.5, a call to a constant/pure/view function uses the STATICCALL opcode, which reverts in case of state modification.</t>
  </si>
  <si>
    <t>Returning results using assembly code in constructor</t>
  </si>
  <si>
    <t>The use of assembly within a Solidity constructor to manipulate the contract's deployment process can significantly alter the deployed bytecode from what is expected based on the source code. This approach exploits the flexibility of the EVM to execute low-level operation that bypass standar compilation and deployment procedures</t>
  </si>
  <si>
    <t>Solidity supports multiple inheritance, which can lead to an ambiguity called the Diamond Problem if two or more base contracts define the same function. This is resolved using C3 Linearization, which leads to a deterministic method resolution order. Programmers unaware of this aspect may base their code on wrong assumptions, leading to unexpected behavior and vulnerabilities</t>
  </si>
  <si>
    <t>Solidity allows for ambiguous naming of variables when inheritance is used, leading to errors and vulnerabilities that are difficult to identify in complex contract systems.</t>
  </si>
  <si>
    <t>Hidden state variable, Shadowing state variables, Variable name, Tained memory, Shadowing state, Shadowing abstract, Shadowing builtin, Shadowing local</t>
  </si>
  <si>
    <t>API inconsistency</t>
  </si>
  <si>
    <t>8I1</t>
  </si>
  <si>
    <t>Right to Left override</t>
  </si>
  <si>
    <t>Right-To-Left-Override is a special Unicode character (U+202E) that allows the use of right-to-left (RTL) characters within the text normally rendered left-to-right (LTR). For example, consider a smart contract: it is possible to insert an RTL character at appropriate points in the code to modify the behavior in a hidden way. This way, the logic of the contract can be completely altered without a user being aware of it.</t>
  </si>
  <si>
    <t>8I2</t>
  </si>
  <si>
    <t>Do not clarify the reference types of local variables of struct, array, or mapping.</t>
  </si>
  <si>
    <t>8I3</t>
  </si>
  <si>
    <t>Hidden built-in symbols</t>
  </si>
  <si>
    <t>This vulnerability happens when the developer uses a built-in symbol of the solidity language. This action could change the default behavior of the smart contract development language and cause business logic bugs</t>
  </si>
  <si>
    <t>Built-in symbol shadowing, Use of deprecated built-in symbols</t>
  </si>
  <si>
    <t>Missing logic, logical errors, or dead code can confuse or lead to unwanted behavior and vulnerabilities.</t>
  </si>
  <si>
    <t>Even though upgrading contracts allow for fixing existing vulnerabilities, it counters the goal of completely decentralized smart contracts. If a contract developer becomes malicious or is compromised, the updated contract can become malicious. The updating methods themselves are also hard to implement correctly and without flaws.</t>
  </si>
  <si>
    <t>Upgradable contract, Patching</t>
  </si>
  <si>
    <t>Inadequate logging and documentation can confuse, lead to logical errors or unexpected behavior, and hamper auditing or testing the code for vulnerabilities.</t>
  </si>
  <si>
    <t>8M</t>
  </si>
  <si>
    <t>Using a hard coded address could make the smart contract useless in the future if one of those addresses did change</t>
  </si>
  <si>
    <t>8N</t>
  </si>
  <si>
    <t>This vulnerability happens when the smart contract does not check if the receiver is a Zero address.</t>
  </si>
  <si>
    <t>8O</t>
  </si>
  <si>
    <t>9 - Environment Configuration Issues</t>
  </si>
  <si>
    <t>The EVM pads with zeroes if the provided address is shorter than the required length. Certain addresses with trailing zeroes are vulnerable to attackers if client sanitation checks are inadequate.</t>
  </si>
  <si>
    <t>Check on input address length, Address shortening</t>
  </si>
  <si>
    <t>Using outdated compiler versions is strongly discouraged, as old compiler bugs or updates can lead to vulnerabilities in compiled smart contract code.</t>
  </si>
  <si>
    <t>Pragmas version, Unspecified Compiler version, Compiler version</t>
  </si>
  <si>
    <t>The same compiler version and flags that were originally used for tests should be used when deploying the smart contract. Therefore, the pragma should be locked to the correct compiler version.</t>
  </si>
  <si>
    <t>Some smart contract-based tokens do not adhere to standard smart contracts proposed by the community, such as those from OpenZeppelin, which can introduce serious vulnerabilities with potentially critical impacts. For example, some tokens' transfer functions throw errors where they should return a boolean value. To avoid such vulnerabilities and ensure compatibility with other contracts, token contracts should comply with applicable standards like ERC20 or ERC721.</t>
  </si>
  <si>
    <t>9D1</t>
  </si>
  <si>
    <t>In the Ethereum ecosystem, smart contracts interact with other programs using the Application Binary Interface (ABI). While the ABI defines the inputs and outputs of functions, it does not indicate the success of function calls. Emitting events can notify users of the success or failure of these calls, reducing errors and gas waste. This issue is particularly relevant for ERC-20 tokens, where the absence of events in manually created transfer functions prevents proper error handling.</t>
  </si>
  <si>
    <t>Gas cost for opcodes might change significantly in future Ethereum hard forks and break already deployed contract systems with fixed gas cost assumptions. If a pre-compiled contract takes only a certain amount of hard-coded gas units as input, it should not take more or less than those units, even if the user provides more gas with the transaction. Thus, hard-coded gas unit amounts may be insufficient when a future hard fork increases the gas fee schedule. The pre-compiled contract, in this case, will not be able to accept a new deposit, even if it is valid, and will always fail in such a future hard fork due to the out-of-gas exception.</t>
  </si>
  <si>
    <t>Failing to accept new deposit, Deposit Acceptance, Message call with hardcoded gas amount</t>
  </si>
  <si>
    <t>Bad configuration of the smart contract application toolchain can lead to errors and vulnerabilities, even if the smart contract itself is correct.</t>
  </si>
  <si>
    <t>9G</t>
  </si>
  <si>
    <t>Missing Interrupter</t>
  </si>
  <si>
    <t>10 - Eliminated/Deprecated syntax</t>
  </si>
  <si>
    <t>The call stack in the Ethereum Virtual Machine (EVM) had a maximum depth of 1024, limiting nested function calls in a single transaction. Recursive calls up to 1024 would fail due to this limit, with the safe maximum being 1023. However, the Ethereum upgrade on Oct 18, 2016, eliminated this constraint. Developers should still be mindful of recursion and deep nesting to avoid potential issues and optimize contract efficiency.</t>
  </si>
  <si>
    <t>An uninitialized storage pointer in Solidity refers to a variable declared to point to storage but not assigned a specific location, potentially causing vulnerabilities. This can lead to unexpected storage reads or writes. However, starting from Solidity version 0.5.0, the compiler eliminated this risk by requiring storage pointers to be explicitly initialized before use, enhancing contract security and reliability.</t>
  </si>
  <si>
    <t>10D</t>
  </si>
  <si>
    <t>Using discarded or unrecommended APIs or instructions.Using deprecated or unrecommended APIs in software development can lead to issues like decreased performance or security vulnerabilities. It's crucial to follow best practices and utilize recommended features to ensure code reliability and compatibility with future updates.</t>
  </si>
  <si>
    <t>Code Level</t>
  </si>
  <si>
    <t>Aim</t>
  </si>
  <si>
    <t>Analysis Type</t>
  </si>
  <si>
    <t>Code Transformation techniques</t>
  </si>
  <si>
    <t>Methods</t>
  </si>
  <si>
    <t>Tool</t>
  </si>
  <si>
    <t>Article introducer</t>
  </si>
  <si>
    <t xml:space="preserve">Discussed </t>
  </si>
  <si>
    <t>Open Source</t>
  </si>
  <si>
    <t>Pub. Date</t>
  </si>
  <si>
    <t>Last update</t>
  </si>
  <si>
    <t>Source Language</t>
  </si>
  <si>
    <t>EVM Bytecode</t>
  </si>
  <si>
    <t>Source Code</t>
  </si>
  <si>
    <t>Vulnerability Detection</t>
  </si>
  <si>
    <t>Program Correctness</t>
  </si>
  <si>
    <t>Gas/Resource Analysis</t>
  </si>
  <si>
    <t>Bulk Analysis/Full Automation</t>
  </si>
  <si>
    <t>Exploit Generation/ Detection</t>
  </si>
  <si>
    <t>Manual Analysis/Dev.Support</t>
  </si>
  <si>
    <t>Static Analysis</t>
  </si>
  <si>
    <t>Dynamic Analysis</t>
  </si>
  <si>
    <t>CFG</t>
  </si>
  <si>
    <t>Data Flow/ Transaction Analysis/Traces</t>
  </si>
  <si>
    <t>AST</t>
  </si>
  <si>
    <t>Decompilation/Compiler</t>
  </si>
  <si>
    <t>Intermediate Representation/ Specification Language (Opcode)</t>
  </si>
  <si>
    <t>Disassembly</t>
  </si>
  <si>
    <t>FSM</t>
  </si>
  <si>
    <t>Symbolic Execution</t>
  </si>
  <si>
    <t>Formal Verification and Constraint Solving</t>
  </si>
  <si>
    <t>Model Checking</t>
  </si>
  <si>
    <t>Abstract Interpretation</t>
  </si>
  <si>
    <t>Fuzzing</t>
  </si>
  <si>
    <t>Runtime Verification</t>
  </si>
  <si>
    <t>Concoli Testing</t>
  </si>
  <si>
    <t>Mutation testing (method)</t>
  </si>
  <si>
    <t>Code Instrumentation (ALGO)</t>
  </si>
  <si>
    <t>Taint Analysis</t>
  </si>
  <si>
    <t>SCStudio</t>
  </si>
  <si>
    <t>SCStudio, a unified smart contract development platform, which aims to help developers implement more secure smart contracts easily. The core idea is to realize real-time security-reinforced recommendation through pattern-based learning; and to perform security-oriented validation via integrated testing.</t>
  </si>
  <si>
    <t>2021-03</t>
  </si>
  <si>
    <t>Python</t>
  </si>
  <si>
    <t>SmartScan</t>
  </si>
  <si>
    <t>2021-05</t>
  </si>
  <si>
    <t>SGUARD</t>
  </si>
  <si>
    <t>SGUARD is an approach and a tool which automatically fixes potentially vulnerable smart contracts.</t>
  </si>
  <si>
    <t>2021-04</t>
  </si>
  <si>
    <t>Node.js</t>
  </si>
  <si>
    <t>WANA</t>
  </si>
  <si>
    <t>An extensible smart contract vulnerability detection tool based on the symbolic execution.</t>
  </si>
  <si>
    <t>2020-08</t>
  </si>
  <si>
    <t>Artemis</t>
  </si>
  <si>
    <t>Wang A, Wang H, Jiang B, Chan WK. Artemis: An improved smart contract verification tool for vulnerability detection. In: 2020 7th International Conference on Dependable Systems and Their Applications (DSA). Xi’an, China: IEEE; Nov. 2020. p. 173–81. doi: 10.1109/DSA51864.2020.00031.</t>
  </si>
  <si>
    <t>SCScan</t>
  </si>
  <si>
    <t>Hao X, Ren W, Zheng W, Zhu T. SCScan: A SVM-based scanning system for vulnerabilities in blockchain smart contracts. In: 2020 IEEE 19th International Conference on Trust, Security and Privacy in Computing and Communications (TrustCom). Guangzhou, China: IEEE; Dec. 2020. p. 1598–605. doi: 10.1109/TrustCom50675.2020.00221.</t>
  </si>
  <si>
    <t>GasFuzzer</t>
  </si>
  <si>
    <t>Ashraf I, Ma X, Jiang B, Chan WK. GasFuzzer: Fuzzing Ethereum smart contract binaries to expose gas-oriented exception security vulnerabilities. IEEE Access. 2020;8:99552–64. doi: 10.1109/ACCESS.2020.2995183.</t>
  </si>
  <si>
    <t>DEPOSafe</t>
  </si>
  <si>
    <t>Ji R, He N, Wu L, Wang H, Bai G, Guo Y. DEPOSafe: Demystifying the fake deposit vulnerability in Ethereum smart contracts. In: 2020 25th International Conference on Engineering of Complex Computer Systems (ICECCS). Singapore: IEEE; Oct. 2020. p. 125–34. doi: 10.1109/ICECCS51672.2020.00022.</t>
  </si>
  <si>
    <t>ReDefender</t>
  </si>
  <si>
    <t>A new approach to detect reentrancy vulnerabilities using fuzz testing.</t>
  </si>
  <si>
    <t>Sooyeon et al. Tool</t>
  </si>
  <si>
    <t>Lee S, Cho E-S. Lightweight extension of an execution environment for safer function calls in Solidity/Ethereum Virtual Machine smart contracts. In: 2021 IEEE International Conference on Software Analysis, Evolution and Reengineering (SANER). Honolulu, HI, USA: IEEE; Mar. 2021. p. 689–95. doi: 10.1109/SANER50967.2021.00087.</t>
  </si>
  <si>
    <t>OYENTE (Tian enanched version)</t>
  </si>
  <si>
    <t>Tian Z. Smart contract defect detection based on parallel symbolic execution. In: 2019 3rd International Conference on Circuits, System and Simulation (ICCSS). Nanjing, China: IEEE; Jun. 2019. p. 127–32. doi: 10.1109/CIRSYSSIM.2019.8935603.</t>
  </si>
  <si>
    <t>YuXing et al. tool</t>
  </si>
  <si>
    <t>Tang Y, Li Z, Bai Y. Rethinking of reentrancy on the Ethereum. In: 2021 IEEE Intl Conf on Dependable, Autonomic and Secure Computing, Intl Conf on Pervasive Intelligence and Computing, Intl Conf on Cloud and Big Data Computing, Intl Conf on Cyber Science and Technology Congress (DASC/PiCom/CBDCom/CyberSciTech). AB, Canada: IEEE; Oct. 2021. p. 68–75. doi: 10.1109/ DASC-PICom-CBDCom-CyberSciTech52372.2021.00025.</t>
  </si>
  <si>
    <t>Targy (built on sFuzz)</t>
  </si>
  <si>
    <t>Ji S, Dong J, Qiu J, Gu B, Wang Y, Wang T. Increasing fuzz testing coverage for smart contracts with dynamic taint analysis. In: 2021 IEEE 21st International Conference on Software Quality, Reliability and Security (QRS); Dec. 2021. p. 243–7. doi: 10.1109/QRS54544. 2021.00035.</t>
  </si>
  <si>
    <t>OYENTE (Chen enanched version)</t>
  </si>
  <si>
    <t>Chen T, Li Z, Zhang Y, Luo X, Wang T, Hu T, et al. A large-scale empirical study on control flow identification of smart contracts. IEEE Trans Softw Eng. 2022;48(11):4380–96.</t>
  </si>
  <si>
    <t>Pouyan et al.</t>
  </si>
  <si>
    <t>Momeni P, Wang Y, Samavi R. Machine learning model for smart contracts security analysis. In: 2019 17th International Conference on Privacy, Security and Trust (PST). Fredericton, NB, Canada: IEEE; Aug. 2019. p. 1–6. doi: 10.1109/PST47121.2019. 8949045.</t>
  </si>
  <si>
    <t>EtherSolve</t>
  </si>
  <si>
    <t>A novel static analysis algorithm based on the symbolic execution of the Ethereum operand stack that allows us to resolve jumps in Ethereum bytecode and to construct an accurate control-flow graph (CFG) of the compiled smart contracts.</t>
  </si>
  <si>
    <t>2023-08</t>
  </si>
  <si>
    <t>Java</t>
  </si>
  <si>
    <t>CORREAS et al. (GASOL extended)</t>
  </si>
  <si>
    <t>Correas J, Gordillo P, Roman-Diez G. Static profiling and optimization of Ethereum smart contracts using resource analysis. IEEE Access. 2021;9:25495–507. doi: 10.1109/ACCESS.2021.3057565.</t>
  </si>
  <si>
    <t>DeeSCVHunter</t>
  </si>
  <si>
    <t>A modularized and systematic Deep Learning-based framework to automatically detect smart contracts vulnerability.</t>
  </si>
  <si>
    <t>2023-05</t>
  </si>
  <si>
    <t>C</t>
  </si>
  <si>
    <t>Fuchen et al.  (reinforced FISCO-BCOS-evm)</t>
  </si>
  <si>
    <t>Ma F, Ren M, Fu Y, Wang M, Li H, Song H, et al. Security reinforcement for Ethereum virtual machine. Inf Process &amp; Manag. Jul. 2021;58(4):102565. doi: 10.1016/j.ipm.2021.102565.</t>
  </si>
  <si>
    <t>2018-03</t>
  </si>
  <si>
    <t>2024-02</t>
  </si>
  <si>
    <t>C++</t>
  </si>
  <si>
    <t>Eth2Vec</t>
  </si>
  <si>
    <t>Eth2Vec, a machine-learning-based static analysis tool for vulnerability detection in smart contracts. It is also robust against code rewrites, i.e., it can detect vulnerabilities even
in rewritten codes</t>
  </si>
  <si>
    <t>Javascipt, Java, Python</t>
  </si>
  <si>
    <t>VSCL</t>
  </si>
  <si>
    <t>Framework to automatically detect vulnerabilities in smart contracts on the blockchain. More specifically, first, we utilize novel feature vector generation techniques from bytecode of smart contract since the source code of smart contracts are rarely available in public. Next, the collected vectors are fed into our novel metric learning-based deep neural network(DNN) to get the detection result.</t>
  </si>
  <si>
    <t>ESAF</t>
  </si>
  <si>
    <t>ESAF (Ethereum Security Analysis Framework), a framework for analysis of smart contracts that aims to unify and facilitate the task of analyzing smart contract vulnerabilities which can be used as a persistent security monitoring tool for a set of target contracts as well as a classic vulnerability analysis tool among other uses.</t>
  </si>
  <si>
    <t>2020-11</t>
  </si>
  <si>
    <t>Pseudocode</t>
  </si>
  <si>
    <t>Yuhang et al.</t>
  </si>
  <si>
    <t>Sun Y, Gu L. Attention-based machine learning model for smart contract vulnerability detection. J Phys: Conf Ser. Mar. 2021;1820(1):012004. doi: 10.1088/1742-6596/1820/1/012004.</t>
  </si>
  <si>
    <t>Peculiar</t>
  </si>
  <si>
    <t>2021-07</t>
  </si>
  <si>
    <t>Ben et al.</t>
  </si>
  <si>
    <t>Wang B, Chu H, Zhang P, Dong H. Smart contract vulnerability detection using code representation fusion. In: 2021 28th Asia_x0002_Pacific Software Engineering Conference (APSEC). Taipei, Taiwan: IEEE; 2021. p. 564–5. doi: 10.1109/APSEC53868.2021.00069.</t>
  </si>
  <si>
    <t>Wanqing et al.</t>
  </si>
  <si>
    <t>Jie W, Koe ASV, Huang P, Zhang S. Full-stack hierarchical fusion of static features for smart contracts vulnerability detection. In: 2021 IEEE International Conference on Blockchain (Blockchain). Melbourne, Australia: IEEE; Dec. 2021. p. 95–102. doi: 10.1109/ Blockchain53845.2021.00091.</t>
  </si>
  <si>
    <t>EtherProv</t>
  </si>
  <si>
    <t>A novel provenance tracking system that leverages static and dynamic analysis synergy to enable detection and mitigation of known security issues in Ethereum smart contracts. EtherProv leverages Solidity source code static and dynamic analysis data through contract bytecode instrumentation. The collected data is transformed into a unified, high-level representation, which can be queried using concise and descriptive Datalog queries. Within the provenance framework, EtherProv is able to analyze contracts' execution flow over time, to detect vulnerabilities within a single contract execution flow and across multiple interacting contracts, and to mitigate new security threats in already deployed contracts.</t>
  </si>
  <si>
    <t>2021-10</t>
  </si>
  <si>
    <t>SmartGift</t>
  </si>
  <si>
    <t>Smartgift generates practical inputs for testing smart contracts by learning from the transaction records of real-world smart contracts.</t>
  </si>
  <si>
    <t>2021-12</t>
  </si>
  <si>
    <t>AME (CGE)</t>
  </si>
  <si>
    <t>SC-VDM</t>
  </si>
  <si>
    <t>Zhou K, Cheng J, Li H, Yuan Y, Liu L, Li X. SC-VDM: A lightweight smart contract vulnerability detection model. In: Tan Y, Shi Y, Zomaya A, Yan H, Cai J, editors. Data Mining and Big Data. Singapore: Springer Singapore; 2021. p. 138–49.</t>
  </si>
  <si>
    <t>Xu et al.</t>
  </si>
  <si>
    <t>A novel machine learning-based analysis model by introducing the shared child nodes for smart contract vulnerabilities.</t>
  </si>
  <si>
    <t>GPSCVulDetector</t>
  </si>
  <si>
    <t>The tool detects vulnerabilities in smart contracts using graph neural networks and expert knowledge. It converts code semantics into a contract graph, normalizes it, and extracts features using a temporal message propagation network. Expert patterns are combined for comprehensive detection.</t>
  </si>
  <si>
    <t>Ziyuan et al.</t>
  </si>
  <si>
    <t>Li Z, Guo W, Xu Q, Xu Y, Wang H, Xian M. Research on blockchain smart contracts vulnerability and a code audit tool based on matching rules. Proceedings of the 2020 International Conference on Cyberspace Innovation of Advanced Technologies. Guangzhou China: ACM; Dec. 2020. p. 484–9. doi: 10.1145/3444370.3444617.</t>
  </si>
  <si>
    <t>Shasha et al.</t>
  </si>
  <si>
    <t>Du S, Huang H. A general framework of smart contract vulnerability mining based on control flow graph matching. In: Sun X, Wang J, Bertino E, editors. Artificial intelligence and security. Singapore: Springer Singapore; 2020. p. 166–75.</t>
  </si>
  <si>
    <t>ReJection</t>
  </si>
  <si>
    <t>Ma R, Jian Z, Chen G, Ma K, Chen Y. ReJection: A AST-based reentrancy vulnerability detection method. In: Han W, Zhu L, Yan F, editors. Trusted computing and information security. Singapore: Springer Singapore; 2020. p. 58–71.</t>
  </si>
  <si>
    <t>MENGLIN et al. (Mythril extended)</t>
  </si>
  <si>
    <t>This paper expands Mythril’s framework to optimize its performance. Firstly, it finds out potential vulnerable code regions using static analysis and identifies critical paths that may have security defects. Then, aiming at the problem that traditional search algorithms cannot actively locate and explore critical paths, this paper presents a multi-objective oriented path search (MOPS) strategy based on path priority. This strategy guides dynamic symbolic execution to cover critical paths quickly, avoiding blind traversal of program execution paths. Finally, it describes security rules and proposes corresponding detection logics for different vulnerability categories.</t>
  </si>
  <si>
    <t>Fu M, Wu L, Hong Z, Zhu F, Sun H, Feng W. A critical-path-coverage-based vulnerability detection method for smart contracts. IEEE Access. 2019;7:147327–44. doi: 10.1109/ACCESS.2019.2947146.</t>
  </si>
  <si>
    <t>Yuqi et al.</t>
  </si>
  <si>
    <t>In this paper, we propose a novel model, Dual Attention Graph Convolutional Network (DA-GCN), to detect vulnerabilities in smart contracts on blockchains. Both control flow graph and opcode sequence extracted from smart contract bytecodes are fed into the feature extractor based on graph convolutional network and self-attention mechanism. Model DAGCN then uses control flow level attention to focus on the more important
nodes in the control flow graph and suppress useless information. Finally, a multi layer perceptron is used to identify whether the smart contract is vulnerable.</t>
  </si>
  <si>
    <t>Fan Y, Shang S, Ding X. Smart contract vulnerability detection based on dual attention graph convolutional network. In: Gao H, Wang X, Tan Y, Shi Y, Zomaya A, Yan H, Cai J, editors. Collaborative computing: Networking, applications and worksharing. Cham: Springer International Publishing; 2021. p. 335–51.</t>
  </si>
  <si>
    <t>Yang et al.</t>
  </si>
  <si>
    <t>We generate sequences from smart contracts in three tokenization standards for which we utilize ngram language model to capture semantic contexts respectively, and finally exploiting our effective combination strategy of Intersection or Union to integrate the audited results from multiple semantic contexts.</t>
  </si>
  <si>
    <t>Yang Z, Keung J, Zhang M, Xiao Y, Huang Y, Hui T. Smart Contracts Vulnerability Auditing with Multi-semantics. In: 2020 IEEE 44th Annual Computers, Software, and Applications Conference (COMPSAC). Madrid, Spain: IEEE; Jul. 2020. p. 892–901. doi: 10.1109/COMPSAC48688.2020.0-153.</t>
  </si>
  <si>
    <t>EVMFuzzer</t>
  </si>
  <si>
    <t>Tool that uses differential fuzzing technique to detect vulnerabilities of EVM. The core idea is to continuously generate seed contracts and feed them to the target EVM and the benchmarkEVMs, so as to find as many inconsistencies among execution results as possible, eventually discover vulnerabilities with outputcross-referencing. Given a target EVM and its APIs, EVMFuzzer generates seed contracts via a set of predefined mutators, and then employs dynamic priority scheduling algorithm to guide seed contracts selection and maximize the inconsistency. Finally, EVMFuzzer leverages benchmark EVMs as cross-referencing oracles to avoid manual checking.</t>
  </si>
  <si>
    <t>2019-08</t>
  </si>
  <si>
    <t>CodeNet</t>
  </si>
  <si>
    <t>To detect vulnerable smart contracts while maintaining their semantics and context, we propose a new code-targeted CNN architecture, called CodeNet. To improve the performance of CodeNet, we also design a data pre-processing procedure, where a smart contract is transformed into an image while maintaining locality.</t>
  </si>
  <si>
    <t>EVMPATCH</t>
  </si>
  <si>
    <t>This paper presents a framework, called EVMPATCH, to instantly and automatically patch faulty smart contracts. EVMPATCH features a bytecode rewriting engine for the popular Ethereum blockchain, and transparently/automatically rewrites common off-the-shelf contracts to upgradable contracts. The proof-of-concept implementation of EVMPATCH automatically hardens smart contracts that are vulnerable to integer over/underflows and access control errors, but can be easily extended to cover more bug classes.</t>
  </si>
  <si>
    <t>M. Rodler, W. Li, G.O. Karame, L. Davi, {Evmpatch}: Timely and automated patching of ethereum smart contracts, in: 30th USENIX Security Symposium (USENIX Security 21), 2021, pp. 1289–1306.</t>
  </si>
  <si>
    <t>2021-08</t>
  </si>
  <si>
    <t>SmartConDetect</t>
  </si>
  <si>
    <t>2023-09</t>
  </si>
  <si>
    <t>XFuzz</t>
  </si>
  <si>
    <t>A machine learning guided smart contract fuzzing framework. The machine learning models are trained with novel features (e.g., word vectors and instructions) and are used to filter likely benign program paths.</t>
  </si>
  <si>
    <t>2022-06</t>
  </si>
  <si>
    <t>RLF</t>
  </si>
  <si>
    <t xml:space="preserve">A novel vulnerability-guided fuzzer based on reinforcement learning, namely RLF, for generating vulnerable transaction sequences to detect such sophisticated vulnerabilities in smart contracts. In particular, we firstly model the process of fuzzing smart contracts as a Markov decision process to construct our reinforcement learning framework. We then creatively design an appropriate reward with consideration of both vulnerability and code coverage so that it can effectively guide our fuzzer to generate specific transaction sequences to reveal vulnerabilities, especially for the vulnerabilities related to multiple functions.  </t>
  </si>
  <si>
    <t>2022-10</t>
  </si>
  <si>
    <t>IR-Fuzz</t>
  </si>
  <si>
    <t>A novel framework IR-Fuzz for smart contract fuzzing, which consists of three key components, i.e., function invocation sequence prolongation, branch-distance-driven seed optimization, and branchimportance-aware energy allocation.</t>
  </si>
  <si>
    <t>2023-01</t>
  </si>
  <si>
    <t>Ity-Fuzz</t>
  </si>
  <si>
    <t>A novel snapshot-based fuzzer ItyFuzz for testing smart contracts. In ItyFuzz, instead of storing sequences of transactions and mutating from them, we snapshot states and singleton transactions. To explore interesting states, ItyFuzz introduces a dataflow waypoint mechanism to identify states with more potential momentum. ItyFuzz also incorporates comparison waypoints to prune the space of states. By maintaining snapshots of the states, ItyFuzz can synthesize concrete exploits like reentrancy attacks quickly. Because ItyFuzz has second-level response time to test a smart contract, it can be used for on-chain testing, which has many benefits compared to local development testing.</t>
  </si>
  <si>
    <t>2023-06</t>
  </si>
  <si>
    <t>2024-03</t>
  </si>
  <si>
    <t>Rust</t>
  </si>
  <si>
    <t>SafeSmartContracts</t>
  </si>
  <si>
    <t>An LSTM model for detecting smart contract security threats at an opcode level.</t>
  </si>
  <si>
    <t>W. J.-W. Tann, X. J. Han, S. S. Gupta, and Y.-S. Ong, “Towards safer smart contracts: A sequence learning approach to detecting security threats,” arXiv preprint arXiv:1811.06632, 2018.</t>
  </si>
  <si>
    <t>2019-12</t>
  </si>
  <si>
    <t>Python, Jupyter</t>
  </si>
  <si>
    <t>ReChecker (VulDeeSmartContract)</t>
  </si>
  <si>
    <t>Deep learning-based approach, namely bidirectional long-short term memory with attention mechanism (BLSTM-ATT), aiming to precisely detect reentrancy bugs.</t>
  </si>
  <si>
    <t>Qian P, Liu Z, He Q, Zimmermann R, Wang X. Towards automated reentrancy detection for smart contracts based on sequential models. IEEE Access. 2020;8:19685–95. doi: 10.1109/ACCESS.2020.2969429.</t>
  </si>
  <si>
    <t>2020-01</t>
  </si>
  <si>
    <t>DL-MDF</t>
  </si>
  <si>
    <t>A smart contract vulnerability detection method based on deep learning and multimodal decision fusion.</t>
  </si>
  <si>
    <t>W. Deng, H. Wei, T. Huang, C. Cao, Y. Peng, and X. Hu, “Smart contract vulnerability detection based on deep learning and multimodal decision fusion,” Sensors, vol. 23, no. 16, 2023.</t>
  </si>
  <si>
    <t>HCC</t>
  </si>
  <si>
    <t>HCC develops a code property graph (CPG) to model control-flows and data-flows of a given smart contract. Due to the CPG notation, HCC can be applied to various smart contract platforms and programming languages.</t>
  </si>
  <si>
    <t>J.-R. Giesen, S. Andreina, M. Rodler, G. O. Karame, and L. Davi, “Practical mitigation of smart contract bugs,” arXiv preprint arXiv:2203.00364, 2022.</t>
  </si>
  <si>
    <t xml:space="preserve">DeFinary (built on SCRepair) </t>
  </si>
  <si>
    <t>A technique for automated repair of a smart contract that does not satisfy a user-defined correctness property, financial or otherwise.</t>
  </si>
  <si>
    <t>P. Tolmach, Y. Li, and S.-W. Lin, “Property-based automated repair of defi protocols,” in Proceedings of the 37th IEEE/ACM International Conference on Automated Software Engineering, 2022, pp. 1–5</t>
  </si>
  <si>
    <t>2022-08</t>
  </si>
  <si>
    <t>TypeScript, JavaScript</t>
  </si>
  <si>
    <t>Model for vulnerability detection, it takes advantage of extracting features directly from SC source code to prepare training data set from AST generated by solidity parser. Once training data set is ready, then deep learning models could train on it and can able to classify new data to detect vulnerabilities within the less time.</t>
  </si>
  <si>
    <t>SmartFast</t>
  </si>
  <si>
    <t>A static analysis tool called SmartFast, which expresses the contract source code as a novel intermediate representation named SmartIR. Using preset rules and taint tracking technology, SmartFast matches SmartIR to locate the vulnerability code. Furthermore, SmartFast can recommend the optimization of the contract code automatically</t>
  </si>
  <si>
    <t>MSmart</t>
  </si>
  <si>
    <t>MSmart converts the smart contract source code into an intermediate representation, and looks for smart contract vulnerabilities based on intermediate representation and XPath rules.</t>
  </si>
  <si>
    <t>SuMo</t>
  </si>
  <si>
    <t>A mutation testing approach for assessing the quality of test suites accompanying Smart Contracts written in Solidity</t>
  </si>
  <si>
    <t>2023-12</t>
  </si>
  <si>
    <t>JavaScript</t>
  </si>
  <si>
    <t>ReSuMo</t>
  </si>
  <si>
    <t>ReSuMo is a regression mutation testing approach and tool for Solidity Smart Contracts. ReSuMo uses a static and file-level technique to select a subset of Smart Contracts to mutate, and a subset of test files to re-run during a regression mutation testing campaign.</t>
  </si>
  <si>
    <t>Huang et al.</t>
  </si>
  <si>
    <t>The model is based on a hard-sharing design, which consists of two parts. First, the bottom sharing layer is mainly used to learn the semantic information of the input contract. The text representation is first transformed into a new vector by word and positional embedding, and then the neural network, based on an attention mechanism, is used to learn and extract the feature vector of the contract. Second, the task-specific layer is mainly employed to realize the functions of each task. A classical convolutional neural network was used to construct a classification model for each task that learns and extracts features from the shared layer for training to achieve their respective task objectives.</t>
  </si>
  <si>
    <t>M-A-R</t>
  </si>
  <si>
    <t>M-A-R, a dynamic symbol execution method focusing on efficient detection for reentry vulnerability, realizes the security detection of the source code of smart contract, optimizes the design of its implementation method, then compares it with the existing related tools.</t>
  </si>
  <si>
    <t>SMARTEST</t>
  </si>
  <si>
    <t>SMARTEST aims not only to detect bugs in smart contracts, but to automatically generate vulnerable transaction sequences that prove the flaws.</t>
  </si>
  <si>
    <t>Porosity</t>
  </si>
  <si>
    <t>A decompiler for EVM bytecode that generates readable Solidity syntax contracts. Enabling static and dynamic analysis of such
compiled contracts.</t>
  </si>
  <si>
    <t>Staderini Mirko, 2022</t>
  </si>
  <si>
    <t>2017-01</t>
  </si>
  <si>
    <t>MANDO-GURU</t>
  </si>
  <si>
    <t>A deep learning-based tool that aims to accurately detect vulnerabilities in smart contracts at both coarse-grained contract-level and fine-grained line-level. Using a combination of control-flow graphs and call graphs of Solidity code, we design new heterogeneous graph attention neural networks to encode more structural and potentially semantic relations among different types of nodes and edges of such graphs and use the encoded embeddings of the graphs and nodes to detect vulnerabilities.</t>
  </si>
  <si>
    <t>2022-11</t>
  </si>
  <si>
    <t>MANDO-HGT</t>
  </si>
  <si>
    <t xml:space="preserve">A framework for detecting smart contract vulnerabilities. Given Ethereum smart contracts, either in source code or bytecode form, and vulnerable or clean, MANDOHGT custom-builds heterogeneous contract graphs (HCGs) to represent control-flow and/or function-call information of the code. It then adapts heterogeneous graph transformers (HGTs) with customized meta relations for graph nodes and edges to learn their embeddings and train classifiers for detecting various vulnerability types in the nodes and graphs of the contracts more accurately. </t>
  </si>
  <si>
    <t>SCGRU</t>
  </si>
  <si>
    <t>A smart contract vulnerability detection model called SCGRU combining CNN and bidirectional gating recurrent unit-attention mechanism (BiGRU-Attention) for Ethereum
smart contracts to solve these problems.</t>
  </si>
  <si>
    <t>VulHunter</t>
  </si>
  <si>
    <t>VulHunter is a method that extracts the instances by traversing the Control Flow Graph built from contract opcodes. Based on the hybrid attention and multi-instance learning mechanisms, VulHunter reasons the instance labels and designs an optional classifier to automatically capture the subtle features of both normal and defective contracts, thereby identifying the vulnerable instances. Then, it combines the symbolic execution to construct and solve symbolic constraints to validate their feasibility.</t>
  </si>
  <si>
    <t>2023-11</t>
  </si>
  <si>
    <t>Vulpedia</t>
  </si>
  <si>
    <t>Vulpedia mines expressive vulnerability signatures from contracts. Vulpedia is based on the relaxed assumption that the owner of contract is not malicious. Specifically, we extract structural program features from vulnerable and benign contracts as vulnerability signatures, and construct a systematic detection method based on detection rules composed of vulnerability signatures.</t>
  </si>
  <si>
    <t>ReDetect</t>
  </si>
  <si>
    <t>A symbolic execution-based detection tool for reentrancy vulnerabilities of smart contracts at the EVM bytecode level.</t>
  </si>
  <si>
    <t xml:space="preserve">MEVD </t>
  </si>
  <si>
    <t>A novel Multi-Scale Encoder Vulnerability Detection (MEVD) approach to hit well-known high-risk vulnerabilities in smart contracts. Firstly, we use the gating mechanism to design a unique Surface Feature Encoder (SFE) to enrich the semantic information of code features. Then, by combining a Base Transformer Encoder (BTE) and a Detail CNN Encoder (DCE), we introduce a dual-branch encoder to capture the global structure and local detail features of the smart contract code, respectively. Finally, to focus the model’s attention on vulnerability-related characteristics, we employ the Deep Residual Shrinkage Network (DRSN).</t>
  </si>
  <si>
    <t>Dynamit</t>
  </si>
  <si>
    <t>A monitoring framework to detect reentrancy vulnerabilities in Ethereum smart contracts. The novelty of our framework is that it relies only on transaction metadata and balance data from the blockchain system</t>
  </si>
  <si>
    <t>Aroc</t>
  </si>
  <si>
    <t>A general smart contract repairer named Aroc, which can automatically patch vulnerable deployed contracts without changing the contract codes</t>
  </si>
  <si>
    <t>ConFuzzius</t>
  </si>
  <si>
    <t xml:space="preserve">Hybrid fuzzer for smart contracts. CONFUZZIUS uses evolutionary fuzzing to exercise shallow parts of a smart contract and constraint solving to generate inputs that satisfy complex conditions that prevent evolutionary fuzzing from exploring deeper parts. </t>
  </si>
  <si>
    <t>2021-09</t>
  </si>
  <si>
    <t>2022-07</t>
  </si>
  <si>
    <t>Cai et al. Framework</t>
  </si>
  <si>
    <t>A GNN based approach for smart contract vulnerability detection. First, it constructs a graph representation for a smart contract function with syntactic and semantic features by combining AST, CFG, and PDG. Then, it uses a Bidirectional Gated Graph Neural-Network model with hybrid attention pooling to identify potential vulnerabilities in smart contract functions.</t>
  </si>
  <si>
    <t>SmartGraph</t>
  </si>
  <si>
    <t>A tool for static analysis of Solidity smart contracts that uses a graph as an intermediate representation to facilitate analysis. The tool converts Solidity code into a graph structure that captures the code’s structure and dependencies, allowing analysis at a higher level of abstraction</t>
  </si>
  <si>
    <t>S-BiGRU</t>
  </si>
  <si>
    <t>A multi-model smart contract detection method, which is based on a multi-model vulnerability detection method combining Bi-directional Gated Recurrent Unit (BiGRU) and Synthetic Minority Over-sampling Technique (SMOTE) for smart contract vulnerability detection.</t>
  </si>
  <si>
    <t>GraphSA</t>
  </si>
  <si>
    <t>GraphSA combines Graph neural networks (GNNs) and Static Analysis for smart contract vulnerability detection</t>
  </si>
  <si>
    <t>Duan et al. Framework</t>
  </si>
  <si>
    <t>A framework that extracts features from different levels of smart contracts to train machine learning models for effective detection of vulnerabilities</t>
  </si>
  <si>
    <t>EDIT</t>
  </si>
  <si>
    <t>A novel tool able to model interactions and predict them based on historical data.</t>
  </si>
  <si>
    <t>ASSBert</t>
  </si>
  <si>
    <t>A framework that leverages active and semi-supervised bidirectional encoder representation from transformers network, which is dedicated to completing the task of smart contract vulnerability classification with a little amount of labeled code data and a large number of unlabeled code data.</t>
  </si>
  <si>
    <t>GRATDet</t>
  </si>
  <si>
    <t>A vulnerability detector based on deep learning techniques, graph representation, and Transformer</t>
  </si>
  <si>
    <t>Cao et al. Framework</t>
  </si>
  <si>
    <t>A vulnerability detection model in smart contracts based on the data flow and the attention
mechanism by utilizing the semantic structure of source code.</t>
  </si>
  <si>
    <t>AutoMESC</t>
  </si>
  <si>
    <t>A fully automated framework AutoMESC uses seven of the most well-known smart contract security tools to classify and label the collected vulnerabilities based on vulnerability types.</t>
  </si>
  <si>
    <t>AMAT</t>
  </si>
  <si>
    <t>A tool for performing automated mutation analysis (AMAT) for smart contracts in which the test cases are generated using the proposed enhanced GA used for the mutation analysis.</t>
  </si>
  <si>
    <t xml:space="preserve">RNVulDet </t>
  </si>
  <si>
    <t xml:space="preserve">A tool that incorporates taint analysis techniques to automatically identify bad randomness vulnerabilities and detect corresponding attack transactions. </t>
  </si>
  <si>
    <t>2023-07</t>
  </si>
  <si>
    <t>SCVDIE</t>
  </si>
  <si>
    <t>An ensemble learning (EL)-based contract vulnerability prediction method, which is based on seven different neural networks using contract vulnerability data for contract-level vulnerability detection. Seven neural network (NN) models were first pretrained using an information graph (IG) consisting of source datasets, which then were integrated into an ensemble model.</t>
  </si>
  <si>
    <t>2022-05</t>
  </si>
  <si>
    <t>eTainter</t>
  </si>
  <si>
    <t>A static analyzer for detecting gas-related vulnerabilities based on taint tracking in the bytecode of smart contracts.</t>
  </si>
  <si>
    <t>Park</t>
  </si>
  <si>
    <t>The first general framework of parallel-fork symbolic execution for smart contracts. The main idea is to use multiple processes during symbolic execution, leveraging multiple CPU cores to enhance efficiency</t>
  </si>
  <si>
    <t>Achecker</t>
  </si>
  <si>
    <t>An approach for detecting access control vulnerabilities. It infers access control implemented in smart contracts via static dataflow analysis. Moreover, the approach performs further symbolic based analysis to distinguish cases when unauthorized people can obtain control of the contract as intended functionality.</t>
  </si>
  <si>
    <t>SIGUARD</t>
  </si>
  <si>
    <t>SIGUARD, the first automatic tool to detect signature-related vulnerabilities and de-mystify them with clear classification and characterization.</t>
  </si>
  <si>
    <t>SmartState</t>
  </si>
  <si>
    <t>A framework for detecting state-reverting vulnerability in Solidity smart contracts via finegrained state-dependency analysis.</t>
  </si>
  <si>
    <t>Teacher-Student framework</t>
  </si>
  <si>
    <t>A novel cross-modality mutual learning framework for enhancing smart contract vulnerability detection on bytecode.</t>
  </si>
  <si>
    <t>2023-04</t>
  </si>
  <si>
    <t>SynTest-Solidity</t>
  </si>
  <si>
    <t>An automated test case generation and fuzzing framework for Solidity.</t>
  </si>
  <si>
    <t>TypeScript</t>
  </si>
  <si>
    <t>Elysium</t>
  </si>
  <si>
    <t>A scalable approach towards automatic smart contract repair at the bytecode level. Elysium combines template-based and semantic-based patching by inferring context information from bytecode.</t>
  </si>
  <si>
    <t>JavaScript, Python</t>
  </si>
  <si>
    <t>Solicitous (2.0)</t>
  </si>
  <si>
    <t>A novel approach to the automated verification of smart contracts, called direct modeling, which allows us to bypass intermediary steps commonly found in current verification approaches. The present article substantially extends and improves the previous version of Solicitous.</t>
  </si>
  <si>
    <t>MagicMirror</t>
  </si>
  <si>
    <t>A fuzzing approach to testing smart contracts that utilizes constraint solving, selective state exploration, and combinatorial testing to improve code coverage.</t>
  </si>
  <si>
    <t>SMARTIAN</t>
  </si>
  <si>
    <t>SMARTIAN is an efficient open-source fuzzer designed for practical use. It's adept at uncovering bugs within real-world smart contracts, all without necessitating access to the source code.</t>
  </si>
  <si>
    <t>2021-11</t>
  </si>
  <si>
    <t>F#</t>
  </si>
  <si>
    <t>CrossFuzz (ConFuzzius extended)</t>
  </si>
  <si>
    <t>Is an extension of ConFuzzius, and conducted experiments on a real-world dataset containing 396 smart contracts.</t>
  </si>
  <si>
    <t>Block-Gram</t>
  </si>
  <si>
    <t>A feature extraction model Block-gram is proposed to form low-dimensional knowledge-based features from bytecode.</t>
  </si>
  <si>
    <t>EtherGIS</t>
  </si>
  <si>
    <t>A vulnerability detection framework that utilizes graph neural networks (GNN) and expert knowledge to extract the graph feature from smart contract control flow graphs (CFG).</t>
  </si>
  <si>
    <t>ESCORT</t>
  </si>
  <si>
    <t>The first Deep Neural Network (DNN)-based vulnerability detection framework for Ethereum smart contracts that supports lightweight transfer learning on unseen security vulnerabilities, thus is extensible and generalizable.</t>
  </si>
  <si>
    <t>SVScanner</t>
  </si>
  <si>
    <t>Method combining two features of heterogeneous patterns to detect smart contract vulnerabilities in the blockchain.</t>
  </si>
  <si>
    <t>Effuzz</t>
  </si>
  <si>
    <t>An input parameter analysis strategy to selectively mutate a subset of input parameters to reduce invalid mutations. Also, to accelerate the processing of satisfying branch constraints, we design an accelerated multi-objective search strategy to reduce the waste of resources.</t>
  </si>
  <si>
    <t>SmartDagger</t>
  </si>
  <si>
    <t xml:space="preserve">A new framework for detecting cross-contract vulnerability through static analysis at the bytecode level. </t>
  </si>
  <si>
    <t>ReVulDL</t>
  </si>
  <si>
    <t>A deep learning based twophase smart contract debugger for reentrancy vulnerability.</t>
  </si>
  <si>
    <t>ASGVulDetector</t>
  </si>
  <si>
    <t>Static analysis approaches called ASGVulDetector for detecting vulnerabilities in Ethereum smart contacts from source-code perspectives.</t>
  </si>
  <si>
    <t>BASGVulDetector</t>
  </si>
  <si>
    <t>Static analysis approaches called BASGVulDetector for detecting vulnerabilities in Ethereum smart contacts from bytecode perspectives.</t>
  </si>
  <si>
    <t>TxMirror</t>
  </si>
  <si>
    <t>A novel data-driven framework, dubbed TxMirror, to detect smart contract vulnerability at the bytecode level by simulating transactions symmetrically</t>
  </si>
  <si>
    <t>TxSpector</t>
  </si>
  <si>
    <t>The first generic and logic-driven framework for inspecting the real-world attacks in Ethereum transactions at bytecode level.</t>
  </si>
  <si>
    <t>Go</t>
  </si>
  <si>
    <t>SPCBIG-EC (SPCNN)</t>
  </si>
  <si>
    <t>A flexible and systematic hybrid model, which we call the Serial-Parallel Convolutional Bidirectional Gated Recurrent Network Model incorporating Ensemble Classifiers</t>
  </si>
  <si>
    <t>CBGRU</t>
  </si>
  <si>
    <t>A novel hybrid deep learning model named CBGRU that strategically combines different word embedding (Word2Vec, FastText) with different deep learning methods (LSTM, GRU, BiLSTM, CNN, BiGRU).</t>
  </si>
  <si>
    <t>SmartBugs2.0</t>
  </si>
  <si>
    <t>A modular execution framework. It provides a uniform interface to 19 tools aimed at smart contract analysis and accepts both Solidity source code and EVM bytecode as input</t>
  </si>
  <si>
    <t>GraBit</t>
  </si>
  <si>
    <t>A novel detection method named GraBit for identifying reentrancy vulnerability-one of the most critical vulnerabilities in smart contracts.</t>
  </si>
  <si>
    <t>PSCVFinder</t>
  </si>
  <si>
    <t>An approach named PSCVFinder for detecting reentrancy vulnerability and times-tamp dependency vulnerability</t>
  </si>
  <si>
    <t>HGAT</t>
  </si>
  <si>
    <t>A hierarchical graph attention network-based detection model, in order to address the aforementioned issues as well as the shortcomings of current smart contract vulnerability detection approaches.</t>
  </si>
  <si>
    <t>EtherFuzz</t>
  </si>
  <si>
    <t>A mutation fuzzy testing method EtherFuzz to specifically detect TOD vulnerability in smart contracts.</t>
  </si>
  <si>
    <t>SoliTester</t>
  </si>
  <si>
    <t>SoliTester implements the ContractAccount-triggering method and evaluates it using datasets that contain three types of external-risky vulnerabilities: Reentancy (RE), Unchecked Call (UcC), and TxOrigin (TO).</t>
  </si>
  <si>
    <t>sFuzz2.0</t>
  </si>
  <si>
    <t>A storage-access-pattern guidedadaptive fuzzer based on sFuzz.</t>
  </si>
  <si>
    <t>2023-02</t>
  </si>
  <si>
    <t>Contract bytecode-oriented normalization and slicing techniques to augment bytecode matching.</t>
  </si>
  <si>
    <t>TIPS</t>
  </si>
  <si>
    <t>TIPS is a template-based smart contract repair framework, where match and transform operations at the AST level are encoded, finally taking into account 12 repair templates for 8 common vulnerability types.</t>
  </si>
  <si>
    <t>SCsVulLyzer</t>
  </si>
  <si>
    <t>SCsVulLyzer based on GAs and designed explicitly for profiling SCs.</t>
  </si>
  <si>
    <t>EtherSolve2.0 (Extend EtherSolve)</t>
  </si>
  <si>
    <t xml:space="preserve">A novel approach based on symbolic execution of the EVM operands stack that allows to resolve jumps address in the EVM bytecode and to construct a precise Control-Flow Graph (CFG) of compiled smart-contracts. </t>
  </si>
  <si>
    <t>2023-03</t>
  </si>
  <si>
    <t>MODNN</t>
  </si>
  <si>
    <t>A Multiple-Objective Detection Neural Network called MODNN can validate 12 types of vulnerabilities, including 10 recognized threats, and identify more unknown types without the need for specialist or predefined knowledge through implicit features and Multi-Objective detection (MOD) algorithms.</t>
  </si>
  <si>
    <t>SuperDetector</t>
  </si>
  <si>
    <t>A detection framework called SuperDetector, which combines a variety of vulnerability detection tools based on static analysis technology</t>
  </si>
  <si>
    <t>SoliDetector</t>
  </si>
  <si>
    <t>We propose a static defect detection method based on the knowledge graph of the Solidity language. SoliDetector can support the detection of 20 kinds of defects and the automatic SPARQL query generation.</t>
  </si>
  <si>
    <t>SCcheck</t>
  </si>
  <si>
    <t>An efficient and automated framework that combines Graph and Attention for detecting
smart contract vulnerabilities. This framework takes into account the code structure of smart contracts, extracts nodes, and constructs a contract graph, utilizing dataflow to represent the different semantics of variable nodes at different locations.</t>
  </si>
  <si>
    <t>SESCon</t>
  </si>
  <si>
    <t>A static analysis tool, SESCon (secure Ethereum smart contract), that apply the taint
analysis techniques with XPath queries</t>
  </si>
  <si>
    <t>Sailfish (built on Slither)</t>
  </si>
  <si>
    <t>A scalable system for automatically finding state-inconsistency bugs in smart contracts.</t>
  </si>
  <si>
    <t>MuIESC</t>
  </si>
  <si>
    <t>An integer overflow mutation tool so that mutation injection for integer overflow can be automatically performed.</t>
  </si>
  <si>
    <t>2022-02</t>
  </si>
  <si>
    <t>FSL-Detect</t>
  </si>
  <si>
    <t>A threat detection framework based on fewshot learning for the unknown threat detection scenario of smart contracts</t>
  </si>
  <si>
    <t>EthVer</t>
  </si>
  <si>
    <t>An automatic method of formal verification of randomized Ethereum smart contracts that  define and implement the translation of the contracts into MDP (Markov decision process) formal models which can be verified using the PRISM model checker.</t>
  </si>
  <si>
    <t>Haskell</t>
  </si>
  <si>
    <t>Gas Gauge</t>
  </si>
  <si>
    <t>Gas Gauge, an automatic tool that helps developers and contract owners identify DoS with Block Gas Limit vulnerability and repair their code.</t>
  </si>
  <si>
    <t>Pakala</t>
  </si>
  <si>
    <t>Pakala is a tool for symbolic execution of EVM bytecode (like Manticore or Mythril).</t>
  </si>
  <si>
    <t>-</t>
  </si>
  <si>
    <t>2018-12</t>
  </si>
  <si>
    <t>SolGuard (Extend Solhint)</t>
  </si>
  <si>
    <t>Prevent three critical issues related to Solidity smart contract programs’ usage of external calls. The SolGuard plugin checks state variable order in the smart contracts, participation of delegatecall invocations, address type parameters in the smart contract’s constructor, and denial of service patterns.</t>
  </si>
  <si>
    <t xml:space="preserve">Ethlint </t>
  </si>
  <si>
    <t xml:space="preserve">Ethlint (Formerly Solium) analyzes your Solidity code for style &amp; security issues and fixes them. Ethlint is a tool that analyzes your Solidity code to check for style and security best practices; when it finds an issue, it fixes it for you. </t>
  </si>
  <si>
    <t>2018-01</t>
  </si>
  <si>
    <t>2019-09</t>
  </si>
  <si>
    <t>Solitor</t>
  </si>
  <si>
    <t>Solitor is short for Solidity (runtime) monitor, and uses runtime verification as a technique to make smart contracts more secure. It enables users to specify the behaviour of a contract using annotations. We define an annotation language to specify the requirements on a smart contract. Solitor can parse and translate these annotations in Solidity contracts to Solidity code which checks the annotation at runtime.</t>
  </si>
  <si>
    <t>2018-11</t>
  </si>
  <si>
    <t>SCSVM</t>
  </si>
  <si>
    <t>SCSVM is an SVM-based vulnerability detection method for Ethereum smart contracts that alleviates the problem of relying on expert rules when static analysis tools detect contract vulnerabilities and the difficulty of reuse among different vulnerability types.</t>
  </si>
  <si>
    <t>SCLMF</t>
  </si>
  <si>
    <t>SCLMF, a vulnerability detection method for Ethernet smart contracts based on the underlying learner-meta-learner framework, which alleviates the problem of relying on large-scale data when training models using deep learning methods</t>
  </si>
  <si>
    <t>Kaya</t>
  </si>
  <si>
    <t>A testing framework for DApps</t>
  </si>
  <si>
    <t>2020-10</t>
  </si>
  <si>
    <t>ConFuzzius-BI</t>
  </si>
  <si>
    <t>On the basis of ConFuzzius, authors added invariant-based test oracles and implemented ConFuzzius-BI (ConFuzzius Based on Invariants), a fuzzing framework based on invariant analysis.</t>
  </si>
  <si>
    <t>2022-12</t>
  </si>
  <si>
    <t>Horus</t>
  </si>
  <si>
    <t>Horus, a framework that empowers the automated detection and investigation of smart contract attacks based on logic-driven and graph-driven analysis of transactions.</t>
  </si>
  <si>
    <t>2021-01</t>
  </si>
  <si>
    <t>Ethchecker</t>
  </si>
  <si>
    <t>Ethchecker, a smart contract vulnerability detection tool which combines fuzzing and symbolic execution techniques together.</t>
  </si>
  <si>
    <t>Developer</t>
  </si>
  <si>
    <t>A novel learning framework for building code vulnerability detection models</t>
  </si>
  <si>
    <t>DL4SC</t>
  </si>
  <si>
    <t>A novel deep learning-based vulnerability detection framework for smart contracts at opcode level.</t>
  </si>
  <si>
    <t>HARDEN</t>
  </si>
  <si>
    <t>A Homogeneous Graph Machine Learning Algorithm for Reentrancy attacks DEtection using Graph Convolution Networks</t>
  </si>
  <si>
    <t>Jie et al. Framework</t>
  </si>
  <si>
    <t>A smart contract testing methodology that bestows developers with flexible, practical and customizable strategies to detect vulnerabilities.</t>
  </si>
  <si>
    <t>Clear</t>
  </si>
  <si>
    <t>A novel Contrastive Learning Enhanced Automated Recognition Approach for Smart Contract Vulnerabilities, named Clear. Clear employs a contrastive learning (CL) model to capture the fine-grained correlation information among contracts and generates correlation labels based on the relationships between contracts to guide the training process of the CL model. Finally, it combines the correlation and the semantic information of the contract to detect SCVs.</t>
  </si>
  <si>
    <t>2024-04</t>
  </si>
  <si>
    <t>?</t>
  </si>
  <si>
    <t>ScType</t>
  </si>
  <si>
    <t>ScType is based on Slither and consists of a type annotation parser, a type propagation system, and a type checking system. It is inter-procedural and cross-contract, meaning that it may automatically include functions from other contracts in analysis (if their code is available). It also handles arrays and object fields. To reduce the overhead of supporting context-sensitivity, it caches analysis results for each function.</t>
  </si>
  <si>
    <t>GPTScan</t>
  </si>
  <si>
    <t>The first tool combining GPT with static analysis for smart contract logic vulnerability detection.</t>
  </si>
  <si>
    <t>SCVHunter</t>
  </si>
  <si>
    <t>An extensible framework for smart contract vulnerability detection. Specifically, SCVHunter designs a heterogeneous semantic graph construction phase based on intermediate representations and a vulnerability detection phase based on a heterogeneous graph attention network for smart contracts.</t>
  </si>
  <si>
    <t>OVer</t>
  </si>
  <si>
    <t>A framework designed to automatically analyze the behavior of decentralized finance (DeFi) protocols when subjected to a "skewed" oracle input. OVer firstly performs symbolic analysis on the given contract and constructs a model of constraints. Then, the framework leverages an SMT solver to identify parameters that allow its secure operation.</t>
  </si>
  <si>
    <t>DCV</t>
  </si>
  <si>
    <t>An automated safety verification tool, DCV, that targets declarative smart contracts written in DeCon, a logic-based domain-specific language for smart contract implementation and specification. DCV proves safety properties by mathematical induction and can automatically infer inductive invariants using heuristic patterns, without annotations from the developer.</t>
  </si>
  <si>
    <t>BlockWatchdog</t>
  </si>
  <si>
    <t>A tool that focuses on detecting reentrancy vulnerabilities by identifying attacker contracts. By focusing on attacker contracts, BlockWatchdog effectively detects truly exploitable reentrancy vulnerabilities by identifying reentrant call flow.</t>
  </si>
  <si>
    <t>Skyeye</t>
  </si>
  <si>
    <t>A novel technique that integrates adversarial and vulnerable contracts together to detect vulnerabilities and resulting imminent attacks. Skyeye works during the stage after adversarial contracts have been deployed but before attack transactions are initiated, providing a critical time window for emergency response to mitigate potential losses.</t>
  </si>
  <si>
    <t>OpenTracer</t>
  </si>
  <si>
    <t>OpenTracer guarantees comprehensive tracking of every execution step, providing complete transaction information.</t>
  </si>
  <si>
    <t>Cobra</t>
  </si>
  <si>
    <t>A novel framework that integrates semantic context and function interfaces to detect vulnerabilities in bytecodes of the smart contract.</t>
  </si>
  <si>
    <t>AdvSCanner</t>
  </si>
  <si>
    <t>A novel method that leverages the Large Language Model (LLM) and static analysis to automatically generate adversarial smart contracts (ASCs) designed to exploit reentrancy vulnerabilities in victim contracts.</t>
  </si>
  <si>
    <t>ContractTinker</t>
  </si>
  <si>
    <t>A Large Language Models (LLMs)-empowered tool for real-world vulnerability repair.</t>
  </si>
  <si>
    <t>HighGuard</t>
  </si>
  <si>
    <t>HighGuard, detects transactions that violate business logic specifications of smart contracts. HighGuard employs dynamic condition response (DCR) graph models as formal specifications to verify contract execution against these models.</t>
  </si>
  <si>
    <t>XploGen</t>
  </si>
  <si>
    <t>A tool that uses a model-based oracle specification of the business logic of the smart contracts to synthesize valid exploits using LLMs.</t>
  </si>
  <si>
    <t>Trace2Inv</t>
  </si>
  <si>
    <t>Using these well-established invariants as templates, Trace2Inv dynamically generates new invariants customized for a given contract based on its historical transaction data.</t>
  </si>
  <si>
    <t>FunRedisp</t>
  </si>
  <si>
    <t>FunRedisp is a function dispatch refactoring tool to reduce the overall invocation gas consumption of Solidity smart contracts.</t>
  </si>
  <si>
    <t>liu2024funredisp, liu2024funredisp2</t>
  </si>
  <si>
    <t>SOChecker</t>
  </si>
  <si>
    <t>the first tool designed to identify potential vulnerabilities in incomplete SO smart contract code snippets. SOChecker first leverages a fine-tuned Llama2 model for code completion, followed by the application of symbolic execution methods for vulnerability detection.</t>
  </si>
  <si>
    <t>Midas</t>
  </si>
  <si>
    <t>A novel feedback-driven fuzzing framework to mine profitable exploits in on-chain smart contracts effectively</t>
  </si>
  <si>
    <t>VeriSol-MCE</t>
  </si>
  <si>
    <t>A new tool to measure condition coverage criterion for smart contracts using Solidity-based model checkers</t>
  </si>
  <si>
    <t>PonziGuard</t>
  </si>
  <si>
    <t>An efficient Ponzi scheme detection approach based on contract runtime behavior.</t>
  </si>
  <si>
    <t>RLRep</t>
  </si>
  <si>
    <t>A reinforcement learning-based approach to provide smart contract repair recommendations for smart contract developers automatically</t>
  </si>
  <si>
    <t>FunFuzz</t>
  </si>
  <si>
    <t>A function-oriented fuzzer, which is dedicatedly tailored for detecting smart contract vulnerability with high effectiveness and efficiency.</t>
  </si>
  <si>
    <t>ContractSentry</t>
  </si>
  <si>
    <t>A tool for static analysis of smart contracts. First, it preprocesses Solidity code to build critical contract information and transform it into an intermediate representation. Then, based on the intermediate representations, it uses rules for vulnerability detection by analyzing the characteristics of different types of vulnerabilities in smart contracts.</t>
  </si>
  <si>
    <t>Oyente (Enhanced version)</t>
  </si>
  <si>
    <t>Authors have introduced four critical vulnerability detections-Bad randomness, Access control, Unchecked low level, and DoS with unbounded operations-aiming to augment Oyente’s original capabilities.</t>
  </si>
  <si>
    <t>EFCF</t>
  </si>
  <si>
    <t>A high-performance fuzzer for Ethereum smart contracts. EFCF efficiently and accurately models complex smart contract interactions, such as reentrancy and cross-contract interactions, at a very high fuzzing throughput rate.</t>
  </si>
  <si>
    <t>InvCon+</t>
  </si>
  <si>
    <t>A novel invariant generation framework</t>
  </si>
  <si>
    <t>InvCon</t>
  </si>
  <si>
    <t>With the absence of documentation and specifications, routine tasks such as program understanding, maintenance, verification, and validation, remain challenging for smart contracts. We propose a dynamic invariant detection tool, InvCon, for Ethereum smart contracts to mitigate this issue.</t>
  </si>
  <si>
    <t xml:space="preserve">C </t>
  </si>
  <si>
    <t>ESBMC</t>
  </si>
  <si>
    <t>A solidity frontend for the efficient SMT-based context-bounded model checker, named ESBMC-Solidity, which provides a way of verifying such contracts with its framework.</t>
  </si>
  <si>
    <t>SmartAxe</t>
  </si>
  <si>
    <t>A new framework to identify vulnerabilities in cross-chain bridge smart contracts.</t>
  </si>
  <si>
    <t>PrettySmart</t>
  </si>
  <si>
    <t>A bytecode-level Permission re-delegation vulnerability detector for Smart contracts.</t>
  </si>
  <si>
    <t xml:space="preserve">SliSE </t>
  </si>
  <si>
    <t>SliSE is a detection tool that process smart contracts in two stages: Warning Search and Symbolic Execution Verification.</t>
  </si>
  <si>
    <t>echidna-parade</t>
  </si>
  <si>
    <t>A tool that provides pushbutton multicore fuzzing using Echidna as an underlying fuzzing engine, and automatically provides sophisticated diversification of configurations.</t>
  </si>
  <si>
    <t>Targy</t>
  </si>
  <si>
    <t>An efficient targeted mutation strategy based on dynamic taint analysis.</t>
  </si>
  <si>
    <t>SPCon</t>
  </si>
  <si>
    <t>A tool targeting permission bugs in smart contracts. It mines role structures from historical transactions, and thus enables conformance testing without specifications.</t>
  </si>
  <si>
    <t>SigRec</t>
  </si>
  <si>
    <t>we propose a novel solution that leverages how functions are handled by Ethereum virtual machine (EVM) to automatically recover function signatures.</t>
  </si>
  <si>
    <t>Estimate gas costs for transactions to loop functions, so that transaction senders can assign gas limit with estimated gas before the transaction starts.</t>
  </si>
  <si>
    <t>SmartEmbed</t>
  </si>
  <si>
    <t>New approach is based on word embeddings and vector space comparison. The tool parses smart contract code into word streams with code structural information, converts code elements into numerical vectors that are supposed to encode the code syntax and semantics, and compares the similarities among the vectors encoding code and known bugs, to identify potential issues.</t>
  </si>
  <si>
    <t>ContractCheck</t>
  </si>
  <si>
    <t>ContractCheck model for detecting contract vulnerabilities based on neural network methods.</t>
  </si>
  <si>
    <t>SCAnoGenerator</t>
  </si>
  <si>
    <t>SCAnoGenerator enables automatic anomaly injection for Ethereum smart contracts via analyzing the contracts’ control and data flows.</t>
  </si>
  <si>
    <t>LENT-SSE</t>
  </si>
  <si>
    <t>LENT-SSE, a new speculation heuristic for Speculative Symbolic Execution of smart contracts, which leverages the executed and near TXs for skipping and recalling the SMT solving of paths.</t>
  </si>
  <si>
    <t>CSAFuzzer</t>
  </si>
  <si>
    <t>CSAFuzzer, a fuzzing framework combined with static analysis.</t>
  </si>
  <si>
    <t xml:space="preserve">Legend: </t>
  </si>
  <si>
    <t>Static</t>
  </si>
  <si>
    <t>Dynamic</t>
  </si>
  <si>
    <t>Jianjun et al.</t>
  </si>
  <si>
    <t>ReChecker</t>
  </si>
  <si>
    <t>Huang et al./ Sensors</t>
  </si>
  <si>
    <t>SOChecher</t>
  </si>
  <si>
    <t>SliSE</t>
  </si>
  <si>
    <t>TOP 10 detected vulnerabilities</t>
  </si>
  <si>
    <t>Vulnerabilities not detected</t>
  </si>
  <si>
    <t>Detected less than 10</t>
  </si>
  <si>
    <t>Detected more than 10</t>
  </si>
  <si>
    <t>Discussed in</t>
  </si>
  <si>
    <t>Pubblication</t>
  </si>
  <si>
    <t>Project/Tool</t>
  </si>
  <si>
    <t>Repository</t>
  </si>
  <si>
    <t>N. Contracts</t>
  </si>
  <si>
    <t>Ground truth</t>
  </si>
  <si>
    <t>Analysis result</t>
  </si>
  <si>
    <t>Solidity</t>
  </si>
  <si>
    <t>Bytecode</t>
  </si>
  <si>
    <t>Addresses</t>
  </si>
  <si>
    <t>AshouriEtAl2020</t>
  </si>
  <si>
    <t>AzzopardiEtAl2018</t>
  </si>
  <si>
    <t>BhargavanEtAl2016</t>
  </si>
  <si>
    <t>ChangEtAl2019</t>
  </si>
  <si>
    <t>sCompile</t>
  </si>
  <si>
    <t>ChapmanEtAl2019</t>
  </si>
  <si>
    <t>Deviant</t>
  </si>
  <si>
    <t>ChatterjeeEtAl2019</t>
  </si>
  <si>
    <t>ChenEtAl2017</t>
  </si>
  <si>
    <t>DongEtAl2019</t>
  </si>
  <si>
    <t>El-DosukyEtAl2019</t>
  </si>
  <si>
    <t>DOORchain</t>
  </si>
  <si>
    <t>FeistEtAl2019</t>
  </si>
  <si>
    <t>Slither</t>
  </si>
  <si>
    <t>FuEtAl2019</t>
  </si>
  <si>
    <t>GaoEtAl2019</t>
  </si>
  <si>
    <t>Easyflow</t>
  </si>
  <si>
    <t>GrechEtAl2018</t>
  </si>
  <si>
    <t>MadMax</t>
  </si>
  <si>
    <t>GrossmanEtAl2017</t>
  </si>
  <si>
    <t>474025 blocks</t>
  </si>
  <si>
    <t>HeEtAl2019</t>
  </si>
  <si>
    <t>HiraiEtAl2017</t>
  </si>
  <si>
    <t>HonigEtAl2019</t>
  </si>
  <si>
    <t>JiaoEtAl2020</t>
  </si>
  <si>
    <t>LahbibEtAl2020</t>
  </si>
  <si>
    <t>LaiEtAl2020</t>
  </si>
  <si>
    <t>LiEtAl2019</t>
  </si>
  <si>
    <t>MuSC</t>
  </si>
  <si>
    <t>MaEtAl2019</t>
  </si>
  <si>
    <t>EVM*</t>
  </si>
  <si>
    <t>MedeirosEtAl2019</t>
  </si>
  <si>
    <t>SolUnit</t>
  </si>
  <si>
    <t>MomeniEtAl2019</t>
  </si>
  <si>
    <t>MossbergEtAl2019</t>
  </si>
  <si>
    <t>Manticore</t>
  </si>
  <si>
    <t>NguyenEtAl2019</t>
  </si>
  <si>
    <t>NikolicEtAl2018</t>
  </si>
  <si>
    <t>ParkEtAl2018</t>
  </si>
  <si>
    <t>PengEtAl2019</t>
  </si>
  <si>
    <t>SIF, SolAnalyser, Oyente, Securify, Maian, SmartCheck, Mythril</t>
  </si>
  <si>
    <t>SergeyEtAl2019</t>
  </si>
  <si>
    <t>ShishkinEtAl2018</t>
  </si>
  <si>
    <t>TianEtAl2019</t>
  </si>
  <si>
    <t>TorresEtAl2018</t>
  </si>
  <si>
    <t>Osiris</t>
  </si>
  <si>
    <t>TsankovEtAl2018</t>
  </si>
  <si>
    <t>Solidify</t>
  </si>
  <si>
    <t>WangEtAl2020</t>
  </si>
  <si>
    <t>YeEtAl2020</t>
  </si>
  <si>
    <t>ZhangQEtAl2020</t>
  </si>
  <si>
    <t>ZhangYEtAl2020</t>
  </si>
  <si>
    <t>dZaazaaAndElBakkali2023b, PiantadosiEtAl2022</t>
  </si>
  <si>
    <t>SongEtAl2019</t>
  </si>
  <si>
    <t>Oyente, ContractWard</t>
  </si>
  <si>
    <t>GaoEtAl2021</t>
  </si>
  <si>
    <t>Deckard, SmartCheck, SMARTEMBED</t>
  </si>
  <si>
    <t>TikhomirovEtAl2018</t>
  </si>
  <si>
    <t>Smartcheck</t>
  </si>
  <si>
    <t>WangEtAl2019</t>
  </si>
  <si>
    <t>NPChecker, Securify, Oyente, Mythril</t>
  </si>
  <si>
    <t>Smartcheck, Oyente, Mythril, Securify, Slither, Osiris, DeeSCVHunter, Clear</t>
  </si>
  <si>
    <t>Smartcheck, Oyente, Mythril, Securify, Slither, Osiris, DeeSCVHunter</t>
  </si>
  <si>
    <t>Yingjie et al., SmartBugs, SolidiFI</t>
  </si>
  <si>
    <t>QianEtAl2020</t>
  </si>
  <si>
    <t>VulDeeSmartContract (their tool also called BLSTM-ATT), Securify, SmartCheck, Mythril, Oyente</t>
  </si>
  <si>
    <t>LiaoEtAl2019</t>
  </si>
  <si>
    <t>SoliAudit, Oyente, Remix</t>
  </si>
  <si>
    <t>AshrafEtAl2020</t>
  </si>
  <si>
    <t xml:space="preserve">SmartScan, SmartCheck </t>
  </si>
  <si>
    <t>SMARTGIFT</t>
  </si>
  <si>
    <t>JianjunEtAl2021</t>
  </si>
  <si>
    <t>Jianjun et al tool</t>
  </si>
  <si>
    <t>FerreiraEtAl2020</t>
  </si>
  <si>
    <t>ÆGIS, ECFChecker, Sereum</t>
  </si>
  <si>
    <t>Hwang2020</t>
  </si>
  <si>
    <t>SC Analyzer</t>
  </si>
  <si>
    <t>NguyenEtAl2020</t>
  </si>
  <si>
    <t>sfuzz, ContractFuzzer, Oyente</t>
  </si>
  <si>
    <t>WangEtAl2020Artemis</t>
  </si>
  <si>
    <t>Artemis, Maian</t>
  </si>
  <si>
    <t>HaoEtAl2020</t>
  </si>
  <si>
    <t>XueEtAl2021</t>
  </si>
  <si>
    <t>Clairvoyance, Slither, Oyente, Securify</t>
  </si>
  <si>
    <t>FerreiraEtAl2021</t>
  </si>
  <si>
    <t>Smartbugs</t>
  </si>
  <si>
    <t>AlbertEtAl2019</t>
  </si>
  <si>
    <t>SAFEVM, VeryMax, SeaHorn, CPAchecker, Oyente, EthIR</t>
  </si>
  <si>
    <t>SAFEVM</t>
  </si>
  <si>
    <t>ChenEtAl2019</t>
  </si>
  <si>
    <t>OYENTE, MAIAN, Mythril, Evmdis, Miasm, Porosity</t>
  </si>
  <si>
    <t>PrechtelEtAl2019</t>
  </si>
  <si>
    <t>Mythril-enhanced version</t>
  </si>
  <si>
    <t>EnceEtAl2018</t>
  </si>
  <si>
    <t>SASC, oyente</t>
  </si>
  <si>
    <t>SchneidewindEtAl2020</t>
  </si>
  <si>
    <t>eThor</t>
  </si>
  <si>
    <t>ZhouEtAl2020</t>
  </si>
  <si>
    <t>EverEvolvingG</t>
  </si>
  <si>
    <t>SmartBugs</t>
  </si>
  <si>
    <t>MANDO-HGT, MANDO-GURU</t>
  </si>
  <si>
    <t>Smartian</t>
  </si>
  <si>
    <t>SP (SigmaPrime), 2018</t>
  </si>
  <si>
    <t>Top200</t>
  </si>
  <si>
    <t>Web3Bugs</t>
  </si>
  <si>
    <t>DefiHacks</t>
  </si>
  <si>
    <t>Rekt</t>
  </si>
  <si>
    <t>Certik</t>
  </si>
  <si>
    <t>Slowmist</t>
  </si>
  <si>
    <t>BlockSec</t>
  </si>
  <si>
    <t>Code4rena</t>
  </si>
  <si>
    <t>sGuard+: Machine Learning Guided Rule-Based Automated Vulnerability Repair on Smart Contracts</t>
  </si>
  <si>
    <t>DFier: A directed vulnerability verifier for Ethereum smart contracts</t>
  </si>
  <si>
    <t>Journal of Network and Computer Applications</t>
  </si>
  <si>
    <t>Unveiling Smart Contracts Vulnerabilities: Toward Profiling Smart Contracts Vulnerabilities using Enhanced Genetic Algorithm and Generating Benchmark Dataset</t>
  </si>
  <si>
    <t>EVM-Shield: In-Contract State Access Control for Fast Vulnerability Detection and Prevention</t>
  </si>
  <si>
    <t>IEEE Transactions on Information Forensics and Security</t>
  </si>
  <si>
    <t>IEEE</t>
  </si>
  <si>
    <t>LLMSmartSec: Smart Contract Security Auditing with LLM and Annotated Control Flow Graph</t>
  </si>
  <si>
    <t>Conference Proceeding or Workshops</t>
  </si>
  <si>
    <t>2024 IEEE International Conference on Blockchain (Blockchain)</t>
  </si>
  <si>
    <t>ContractArmor: Attack Surface Generator for Smart Contracts</t>
  </si>
  <si>
    <t>Procedia computer science, 2024, Vol.231, p.8-15</t>
  </si>
  <si>
    <t>An integrated deep learning model for Ethereum smart contract vulnerability detection</t>
  </si>
  <si>
    <t>International journal of information security, 2024-02, Vol.23 (1), p.557-575</t>
  </si>
  <si>
    <t>SafeCheck: Detecting smart contract vulnerabilities based on static program analysis methods</t>
  </si>
  <si>
    <t>Security and privacy, 2024-09, Vol.7 (5), p.n/a</t>
  </si>
  <si>
    <t>ParSE: Efficient Detection of Smart Contract Vulnerabilities via Parallel and Simplified Symbolic Execution</t>
  </si>
  <si>
    <t>2024 IEEE/ACM 46th International Conference on Software Engineering: Companion Proceedings (ICSE-Companion)</t>
  </si>
  <si>
    <t>FFGDetector: Vulnerability Detection in Cross-Contract Feature Flow Graph Using GCN</t>
  </si>
  <si>
    <t>2024 IEEE International Symposium on Parallel and Distributed Processing with Applications (ISPA)</t>
  </si>
  <si>
    <t>MuFuzz: Sequence-Aware Mutation and Seed Mask Guidance for Blockchain Smart Contract Fuzzing</t>
  </si>
  <si>
    <t>2024 IEEE 40th International Conference on Data Engineering (ICDE)</t>
  </si>
  <si>
    <t>MindTheDApp: A Toolchain for Complex Network-Driven Structural Analysis of Ethereum-Based Decentralized Applications</t>
  </si>
  <si>
    <t>Hunting DeFi Vulnerabilities via Context-Sensitive Concolic Verification</t>
  </si>
  <si>
    <t>SmartInv: Multimodal Learning for Smart Contract Invariant Inference</t>
  </si>
  <si>
    <t>2024 IEEE Symposium on Security and Privacy (SP)</t>
  </si>
  <si>
    <t>Involuntary Transfer: A Vulnerability Pattern in Smart Contracts</t>
  </si>
  <si>
    <t>SCVD-SA: A Smart Contract Vulnerability Detection Method Based on Hybrid Deep Learning Model and Self-attention Mechanism</t>
  </si>
  <si>
    <t>2024 IEEE International Conference on Software Analysis Evolution and Reengineering - Companion (SANER-C)</t>
  </si>
  <si>
    <t>SERNet-T: A Smart Contract Multi-label Vulnerability Detection Model Based on SE Attention and One-Dimensional Residual Network</t>
  </si>
  <si>
    <t>2024 IEEE International Conference on Cognitive Computing and Complex Data (ICCD)</t>
  </si>
  <si>
    <t>FEMD: Feature Enhancement-aided Multimodal Feature Fusion Approach for Smart Contract Vulnerability Detection</t>
  </si>
  <si>
    <t>2024 IEEE 30th International Conference on Parallel and Distributed Systems (ICPADS)</t>
  </si>
  <si>
    <t>Smart Contract: Tools and Challenges</t>
  </si>
  <si>
    <t>2024 1st International Conference on Cognitive Green and Ubiquitous Computing (IC-CGU)</t>
  </si>
  <si>
    <t>Smart Contract Vulnerability Detection with Self-Ensemble Pre-Trained Language Models</t>
  </si>
  <si>
    <t>2024 International Conference on Computer Information and Telecommunication Systems (CITS)</t>
  </si>
  <si>
    <t>A Systematic Review of the Blockchain Technology Security Challenges and Threats Classification</t>
  </si>
  <si>
    <t>2024 6th International Conference on Blockchain Computing and Applications (BCCA)</t>
  </si>
  <si>
    <t>FELLMVP: An Ensemble LLM Framework for Classifying Smart Contract Vulnerabilities</t>
  </si>
  <si>
    <t>EvoFuzzer: An Evolutionary Fuzzer for Detecting Reentrancy Vulnerability in Smart Contracts</t>
  </si>
  <si>
    <t>IEEE Transactions on Network Science and Engineering</t>
  </si>
  <si>
    <t>The Sword of Damocles: Upgradeable Smart Contract in Ethereum</t>
  </si>
  <si>
    <t>2024 IEEE/ACM 32nd International Conference on Program Comprehension (ICPC)</t>
  </si>
  <si>
    <t>Blockchain Programming Languages Vulnerabilities and Error Mitigation Strategies</t>
  </si>
  <si>
    <t>2024 11th International Conference on Electrical Electronic and Computing Engineering (IcETRAN)</t>
  </si>
  <si>
    <t>DeFiRanger: Detecting DeFi Price Manipulation Attacks</t>
  </si>
  <si>
    <t>SolOSphere: A Framework for Gas Optimization in Solidity Smart Contracts</t>
  </si>
  <si>
    <t>A Systematic Literature Review of Decentralized Applications in Web3: Identifying Challenges and Opportunities for Blockchain Developers</t>
  </si>
  <si>
    <t>2024 IEEE International Conference on Big Data (BigData)</t>
  </si>
  <si>
    <t>A comprehensive survey of smart contract security: State of the art and research directions</t>
  </si>
  <si>
    <t>Journal of network and computer applications, 2024-06, Vol.226, p.103882, Article 103882</t>
  </si>
  <si>
    <t>SolGPT: A GPT-Based Static Vulnerability Detection Model for Enhancing Smart Contract Security</t>
  </si>
  <si>
    <t/>
  </si>
  <si>
    <t>Algorithms and Architectures for Parallel Processing, 2024, Vol.14490, p.42-62</t>
  </si>
  <si>
    <t>IEEE internet of things journal, 2024-02, Vol.11 (3), p.1-1</t>
  </si>
  <si>
    <t>A Survey on Security Analysis Methods of Smart Contracts</t>
  </si>
  <si>
    <t>IEEE transactions on services computing, 2024-11, Vol.17 (6), p.4522-4539</t>
  </si>
  <si>
    <t>DeepFusion: Smart Contract Vulnerability Detection Via Deep Learning and Data Fusion</t>
  </si>
  <si>
    <t>IEEE transactions on reliability, 2024-10, p.1-15</t>
  </si>
  <si>
    <t>ReenSAT: Reentrancy Vulnerability Detection in Smart Contracts Using Semantic-Enhanced SAT Evaluation</t>
  </si>
  <si>
    <t>IEEE transactions on reliability, 2024-11, p.1-15</t>
  </si>
  <si>
    <t>ContractGNN: Ethereum Smart Contract Vulnerability Detection Based on Vulnerability Sub-Graphs and Graph Neural Networks</t>
  </si>
  <si>
    <t>IEEE transactions on network science and engineering, 2024-11, Vol.11 (6), p.6382-6395</t>
  </si>
  <si>
    <t>SCcheck: A Novel Graph-Driven and Attention- Enabled Smart Contract Vulnerability Detection Framework for Web 3.0 Ecosystem</t>
  </si>
  <si>
    <t>IEEE transactions on network science and engineering, 2024-09, Vol.11 (5), p.4007-4019</t>
  </si>
  <si>
    <t>Erinys: Efficient fuzzing by function invoke sequence generation for smart contracts</t>
  </si>
  <si>
    <t>Proceedings of the 2024 8th International Conference on Big Data and Internet of Things, 2024, p.236-241</t>
  </si>
  <si>
    <t>A smart contract threat detection framework (FSL-Detect) for unknown threats with a few samples based on few-shot learning.</t>
  </si>
  <si>
    <t>he2023unknown</t>
  </si>
  <si>
    <t>gao2024sguard</t>
  </si>
  <si>
    <t xml:space="preserve"> sGuard+</t>
  </si>
  <si>
    <t>Reactive Defenses/ Repair</t>
  </si>
  <si>
    <t>A machine learning guided rule-based automated vulnerability repair approach to accurately detect and correctly repair five types of vulnerability in smart contracts.</t>
  </si>
  <si>
    <t>wang2024dfier</t>
  </si>
  <si>
    <t>Dfier elaborates effective transaction sequences with directed inputs for the fuzzer.</t>
  </si>
  <si>
    <t>Dfier</t>
  </si>
  <si>
    <t>DFier</t>
  </si>
  <si>
    <t xml:space="preserve"> BCCC-SCsVulLyzer</t>
  </si>
  <si>
    <t>BCCC-SCsVulLyzer</t>
  </si>
  <si>
    <t>hajihosseinkhani2024unveiling</t>
  </si>
  <si>
    <t>A new analyzer named BCCC-SCsVulLyzer(V2.0.0), which leverages GAs explicitly for profiling SC vulnerabilities</t>
  </si>
  <si>
    <t>BCCC-SCsVul-2024</t>
  </si>
  <si>
    <t>Feature extraction✓</t>
  </si>
  <si>
    <t>zhang2024evm</t>
  </si>
  <si>
    <t xml:space="preserve">EVM-Shield </t>
  </si>
  <si>
    <t>EVMShield secures vulnerable smart contracts in real-time via fine-grained access control over sensitive states.</t>
  </si>
  <si>
    <t>mothukuri2024llmsmartsec</t>
  </si>
  <si>
    <t>LLMSmartSec, a new approach that accurately identifies and fixes smart contract vulnerabilities, leveraging the strengths of machine intelligence to operate at high speed, scale, and without fatigue.</t>
  </si>
  <si>
    <t>LLMSmartSec</t>
  </si>
  <si>
    <t>✓ PR</t>
  </si>
  <si>
    <t>ContractArmor</t>
  </si>
  <si>
    <t>Ozdemir2024</t>
  </si>
  <si>
    <t>Tool encapsulates a rule based engine to examine smart contract codes for specific code features and a communicator module which enables Q/A (Question/Answer) towards OpenAI ChatGPT</t>
  </si>
  <si>
    <t>SafeCheck</t>
  </si>
  <si>
    <t xml:space="preserve">A vulnerability detection toolSafeCheck using static program analysis methods. </t>
  </si>
  <si>
    <t>chen2024safecheck</t>
  </si>
  <si>
    <t>zeng2023solgpt</t>
  </si>
  <si>
    <t>A novel approach to addressing the pivotal issue of detecting and mitigating vulnerabilities inherent in smart contracts</t>
  </si>
  <si>
    <t>SolGPT</t>
  </si>
  <si>
    <t>he2024reensat</t>
  </si>
  <si>
    <t>ReenSAT</t>
  </si>
  <si>
    <t>We proposed enriching the control flow to construct a constraint reentrancy control flow graph (CRCFG) at the source code level. The CRCFG includes specific control flows interacting with attackers and corresponding constraint relationships. This enhancement facilitates modeling of the reentrancy process and leverages Boolean satisfiability (SAT) solvers for vulnerability detection.</t>
  </si>
  <si>
    <t>a fuzzing tool based on sfuzz. We incorporate the definition and usage of state variables to define hard-to-cover branch constraints. Then we employ static analysis techniques to obtain the Define-Use relationships between functions and state variables in smart contracts. Additionally, we construct a graph, known as the State variables Define Use Graph, to describe the logical connections between functions based on state variables.</t>
  </si>
  <si>
    <t>Erinys</t>
  </si>
  <si>
    <t>dong2024erinys</t>
  </si>
  <si>
    <t>huang2024sword</t>
  </si>
  <si>
    <t>ParSE</t>
  </si>
  <si>
    <t>A novel approach that leverages Parallel and Simplified symbolic Execution to improve both detection efficiency and the number of True-Positive (TP).</t>
  </si>
  <si>
    <t>he2024parse</t>
  </si>
  <si>
    <t>FFGDetector</t>
  </si>
  <si>
    <t>Machine Learning/ Deep Learning/ AI</t>
  </si>
  <si>
    <t>liu2024ffgdetector</t>
  </si>
  <si>
    <t>An innovative cross-contract vulnerability detection tool for smart contract based on improved GCN (Graph Convolutional Neural Network), which can automatically analyze the call relationship and data flow between smart contracts, generate and merge contract feature flow graphs.</t>
  </si>
  <si>
    <t>A fuzzer based on sequence-aware mutation and seed mask guidance strategy</t>
  </si>
  <si>
    <t>MuFuzz</t>
  </si>
  <si>
    <t>qian2024mufuzz</t>
  </si>
  <si>
    <t>A tool designed to extract interactions among smart contracts in decentralized applications</t>
  </si>
  <si>
    <t>MindTheDApp</t>
  </si>
  <si>
    <t>ibba2024mindthedapp</t>
  </si>
  <si>
    <t>CSCV</t>
  </si>
  <si>
    <t>A method of automating the DeFi vulnerability finding based on user-defined properties formulated in temporal logic.</t>
  </si>
  <si>
    <t>ding2024hunting</t>
  </si>
  <si>
    <t>an automated framework based on foundation models to infer smart contract invariants and to detect bugs at scale.</t>
  </si>
  <si>
    <t>SmartInv</t>
  </si>
  <si>
    <t>wang2024smartinv</t>
  </si>
  <si>
    <t>khan2024involuntary</t>
  </si>
  <si>
    <t>TechyTech</t>
  </si>
  <si>
    <t>A novel dynamic analysis approach of involuntary transfer</t>
  </si>
  <si>
    <t>wang2024scvd</t>
  </si>
  <si>
    <t xml:space="preserve"> SCVD-SA</t>
  </si>
  <si>
    <t>A detection methodology named SCVD-SA. The model utilizes a hybrid deep learning approach and incorporates a self-attention mechanism.</t>
  </si>
  <si>
    <t>guo2024sernet</t>
  </si>
  <si>
    <t>A smart contract multi-label vulnerability detection model based on SE attention and one-dimensional residual networks</t>
  </si>
  <si>
    <t>SERNet-T</t>
  </si>
  <si>
    <t>li2024femd</t>
  </si>
  <si>
    <t>FEMD</t>
  </si>
  <si>
    <t>A feature-enhanced aided multimodal feature fusion method for smart contract vulnerability detection</t>
  </si>
  <si>
    <t>dai2024smart</t>
  </si>
  <si>
    <t>SESCD</t>
  </si>
  <si>
    <t>The proposed approach first identifies potential data propagation paths for timestamp vulnerabilities, prunes them, and leverages self-ensembling pre-trained models to learn about these propagation paths</t>
  </si>
  <si>
    <t>luo2024fellmvp</t>
  </si>
  <si>
    <t>FELLMVP</t>
  </si>
  <si>
    <t>A novel framework that integrates ensemble learning with Large Language Models (LLMs) to classify vulnerabilities in smart contracts</t>
  </si>
  <si>
    <t>wu2023defiranger</t>
  </si>
  <si>
    <t>A prototype named DEFIRANGER that detect price manipulation</t>
  </si>
  <si>
    <t>DeFiRanger</t>
  </si>
  <si>
    <t>transactions</t>
  </si>
  <si>
    <t>Pattern Matching/ Rule-Based</t>
  </si>
  <si>
    <t>khanzadeh2024solosphere</t>
  </si>
  <si>
    <t>SolOSphere</t>
  </si>
  <si>
    <t>SolOSphere offers functionality consisting of parsing and deparsing Solidity code, fetching smart contracts from GitHub, and a committed environment for gas analysis</t>
  </si>
  <si>
    <t>chu2024deepfusion</t>
  </si>
  <si>
    <t>A vulnerability detection method that fuses code representation information, including program slice information and abstraction syntax tree (AST) structured information</t>
  </si>
  <si>
    <t>DeepFusion</t>
  </si>
  <si>
    <t>wang2024contractgnn</t>
  </si>
  <si>
    <t>ContractGNN, which combines a new concept of a vulnerability sub-graph (VSG) with graph neural networks (GNNs)</t>
  </si>
  <si>
    <t>ContractGNN</t>
  </si>
  <si>
    <t>cao2023sccheck</t>
  </si>
  <si>
    <t>SCCHECK takes into account the structure of smart contract code, constructs a Contract Graph, and employs data streams to represent the distinct semantics of variable nodes at various locations.</t>
  </si>
  <si>
    <t>li2024evofuzzer</t>
  </si>
  <si>
    <t>A fuzzer that focuses on reentrancy vulnerability. EvoFuzzer continuously optimizes the generation of test cases from the perspective of function arrangement and parameter assignment. And each test case starts with contract deployment to avoid dead ends caused by execution.</t>
  </si>
  <si>
    <t>EvoFuzzer</t>
  </si>
  <si>
    <t>jain2024integrated</t>
  </si>
  <si>
    <t>A two-step hierarchical approach for smart contract vulnerability detection</t>
  </si>
  <si>
    <t>Jain et al</t>
  </si>
  <si>
    <t>fu2019evmfuzzer</t>
  </si>
  <si>
    <t>suiche2017porosity</t>
  </si>
  <si>
    <t>zhang2020txspector</t>
  </si>
  <si>
    <t>stegeman2018solitor</t>
  </si>
  <si>
    <t>wu2020kaya</t>
  </si>
  <si>
    <t>A tool for detecting security vulnerabilities in Solidity smart contracts. SmartConDetect is a static analysis tool that extracts code fragments from Solidity smart contracts and uses a pre-trained BERT model to fnd susceptible code patterns.</t>
  </si>
  <si>
    <t>AMEVulDetector</t>
  </si>
  <si>
    <t>A symbolic execution-based approach and tool to detect eight contract defects that can cause unwanted behaviors of smart contracts on the Ethereum blockchain platform.</t>
  </si>
  <si>
    <t>DefectChecker</t>
  </si>
  <si>
    <t xml:space="preserve">Java </t>
  </si>
  <si>
    <t>It occurs when an attacker exploits the pricing mechanism of an Automated Market Maker to alter asset prices and profit from the distortion artificially. Since AMMs determine prices based on liquidity pool ratios, attackers can manipulate prices by executing large trades (e.g., a flash loan attack to swap massive amounts of tokens), temporarily distorting the price in the pool.</t>
  </si>
  <si>
    <t>li2024static</t>
  </si>
  <si>
    <t>6C3</t>
  </si>
  <si>
    <t>Unchecked/unsafe send</t>
  </si>
  <si>
    <t>If there is send in require logic, the logic may revert from recipient by return false, cause dos attack.</t>
  </si>
  <si>
    <t>CVE-2023-36980 is a vulnerability identified in Ethereum Blockchain version 0.1.1+commit.6ff4cd6. This issue arises when the combined value of a bet size and the casino's balance exceeds a certain threshold, causing the balance to be zeroed out. This flaw could potentially lead to financial losses for users interacting with affected Ethereum-based contracts.</t>
  </si>
  <si>
    <t>It occurs when the library lacks exception handling. During library development, the library developer may not consider the robustness and security requirements of Solidity and may only implement the core business feature. Example, the ERC165Checker library decodes the return value of the supportsInterface function by constructing a STATICCALL to the target contract and using the returned value as the basis for its determination. In Solidity 0.8.0 and later, abi.decode will revert if the raw data overflows the target type. Since the expected return type is bool (1 byte), a malicious contract can return more than 1 byte, causing an overflow and an unhandled exception.</t>
  </si>
  <si>
    <t>11 - Library Misuses</t>
  </si>
  <si>
    <t>Occurs when multiple independent features are implemented in one method. For example, the ECDSA library is used to recover the address of the signature. The recover function in the ECDSA library supports both 27/28 and 0/1 formats for v. Instead of creating a separate function for 0/1 format, additional logic was added to the existing function. This introduces a risk where adversaries can forge a (r, s, 0/1) signature based on a previously valid (r, s, 27/28) signature. This unintended behavior can lead to signature replay attacks. The example can be found in openzeppelin-contract before committing 547a5f2.</t>
  </si>
  <si>
    <t>The issue arises from misusing the using L for T statement in Solidity when the specified library does not support the given data type. Since the compiler does not issue warnings, unsupported types can still invoke library functions after forced type conversion, which reduces code readability and introduces risks, particularly during unsafe downcasting. For example, using the SafeMath library with int256 is ineffective since SafeMath is designed for uint256. The unnecessary using for statement in such cases is misleading, and it is not recommended to invoke libraries by forcing type conversions, as it is unsafe in Solidity.</t>
  </si>
  <si>
    <t>It occurs when developers fail to fully replace original Solidity operations with secure wrapper functions from libraries like SafeMath or SafeERC20. Even when a library is properly introduced, developers may inadvertently use unsafe native operations due to similar function names. For example, in the SafeERC20 library, the token.safeApprove function is similar to the original token.approve function.</t>
  </si>
  <si>
    <t xml:space="preserve">This issue arises when developers correctly invoke a library function but overlook part of its internal logic, leading to redundant or incorrect operations. In the UniswapV2Router01 contract, the getAmountIn function is implemented using getAmountOut in reverse, assuming it calculates the required token amount accurately. However, the developer ignored that getAmountOut already accounts for transaction fees, causing getAmountIn to return a slightly lower value than expected. While the 0.3% fee makes the error subtle, it can still impact calculations. </t>
  </si>
  <si>
    <t>It occurs when developers use unnecessary libraries in smart contracts, leading to inefficient gas consumption. As Solidity has evolved, built-in security checks have made certain libraries redundant. For example, from Solidity v0.8, arithmetic operations include automatic overflow checks, making SafeMath unnecessary. However, many widely used libraries, such as Counters and SafeERC20, still rely on SafeMath, making refactoring difficult. Developers should ensure they import optimized versions of these libraries, such as OpenZeppelin’s updated SafeMath, which removes redundant checks to minimize gas costs while maintaining security.</t>
  </si>
  <si>
    <t>vidal2024openscv</t>
  </si>
  <si>
    <t>A vulnerable contract uses a lock mechanism in an erroneous manner, which may cause deadlocks. This may result, for instance, in the impossibility of executing transfers and eventually in Denial of Service</t>
  </si>
  <si>
    <t>Sometimes, contracts may opt to streamline the development process and reduce effort by reusing external web services through API calls. Nevertheless, this approach can potentially lead to security issues if the returned values vary across different peer nodes. This vulnerability is also known in the literature as Web service</t>
  </si>
  <si>
    <t>Executing external commands within smart contracts is possible; however, it does not ensure consistent results across all peer nodes.</t>
  </si>
  <si>
    <t>Like external command execution, smart contracts also enable access to external files, but it cannot be assured that the nodes will receive identical result</t>
  </si>
  <si>
    <t>Like external command execution, smart contracts also enable access to external files, but it cannot be assured that the nodes will receive identical results.</t>
  </si>
  <si>
    <t>Certain blockchain platforms like Hyperledger Fabric permit contracts to call each other. However, when two contracts interact through different channels, inconsistencies can arise in message reception.</t>
  </si>
  <si>
    <t>cross channel chaincode invocation</t>
  </si>
  <si>
    <t>the ERC-20 standard recommends to the developer throw an exception when a condition of the caller’s account balance does not have enough tokens to spend. This allows the caller to understand the reason for which the transfer is not completed and take appropriate action</t>
  </si>
  <si>
    <t>A smart contract constructor is a function that is executed exactly once during the lifetime of a contract. It executes at deployment time and initializes state variables, performs a few necessary tasks that the specific contract requires, and sets the contract owner. If there is no constructor, the developer will have to implement such tasks manually, which is prone to security issues (e.g., variables may be set with incorrect values or forgotten, which may result in security problems)</t>
  </si>
  <si>
    <t>This defect refers to the lack of initialization of variables that are used throughout the contract. Obviously, the effects can largely vary, depending on the variable itself and on the context in which is being used</t>
  </si>
  <si>
    <t>Uninitializad local/state variable, Uninitialized state variables, Uninitialized state, Uninitialized local, Initialization of local variables, Initialization of state variables, Missing initialization</t>
  </si>
  <si>
    <t>Assert is a Solidity function, which is recommended to be used only in the development phase. Intentionally, the programmer inserts the function at a specific point in the program where a bug is suspected. If running the program results in gas depletion, the suspicion is confirmed. Thus, this defect refers to the cases in which the assert function is implemented with the wrong purpose, not having the expected effect. In more severe cases, in which the programmer forgets to remove it from the code or does not replace it with require, the impact of this defect can be serious</t>
  </si>
  <si>
    <t>The developer implemented a function (starting from an interface), but it selected the wrong data type for the value to be returned (i.e., it differs from what is specified in the interface)</t>
  </si>
  <si>
    <t>This vulnerability refers to a missing return type in the definition of a smart contract interface. At runtime, if a contract that implements that interface contains two functions with the same name and arguments but have different return types, there is a chance that the wrong function will be called. This may lead to unexpected results once the calling contract receives the wrong data type</t>
  </si>
  <si>
    <t>This issue refers to a divergence regarding the types of arguments used in a function that implements an interface. In this situation, even if the call is done with the right function name and arguments, the EVM considers it to be a non-existent function error</t>
  </si>
  <si>
    <t>Unsafe type inference,  Insecure inference</t>
  </si>
  <si>
    <t>In Solidity, whenever a variable is declared without an associated type, the compiler infers the data type based on the assigned value. This additional computation may lead to higher costs (i.e., in gas) and memory usage and especially allows for overflow or underflow problems to occur. For instance, the compiler may infer that a signed integer is the right datatype for a certain variable, where an unsigned integer should be used</t>
  </si>
  <si>
    <t>This defect refers to the declaration of variables that are not used in the contract, which results directly in the allocation of unnecessary space in memory. As a consequence, the gas cost of executing the contract increases as well as the attack surface of the contract. Other effects are related to the readability or maintainability of the code.</t>
  </si>
  <si>
    <t>In Solidity, it is possible to specify a type for each function. Functions of type view can read data from state variables but cannot modify them, and no gas costs are involved, whereas functions of type pure neither can read nor modify state variables and similarly to view functions, no gas costs are associated with this type of function. This vulnerability occurs when a developer uses the wrong type for a function. For instance, there is an issue reported in Ethereum’s GitHub (Ethereum’s Github, 2022) in which a state variable conversion operation (from storage to memory) inside a pure function results in a problem (i.e., to avoid this problem, the function type should be view)</t>
  </si>
  <si>
    <t>The numbers to represent the credits (e.g., Ether) can be very large (i.e., literals with many digits are difficult to read and review). Thus it is recommended that the programmer use the native resources of the language to make this representation (e.g., Solidity 10000000000000000000 for 1 ether).</t>
  </si>
  <si>
    <t>Contracts that are written with redundant functionality increase code size and make maintainability difficult. In a simple scenario, a programmer creates a function and later (by bad practices) ends up creating the same functionality again in a new function. He/she identifies a vulnerability in the new function and fixes it, but the old function with the defect is used by the caller.</t>
  </si>
  <si>
    <t>When using the same name as a local variable, which was previously declared by an inherited contract, the program loses the reference of the inherited variable, causing the local variable to assume the role of the other variable</t>
  </si>
  <si>
    <t>This bug occurs when creating variables named after keywords of the language itself. For example, in Solidity, creating a variable with the name now conflicts with the function that returns the date and time.</t>
  </si>
  <si>
    <t>This vulnerability refers to cases where the same name is used for more than one variable or function inside the contract. This makes the program lose the reference of the variable of the class, assuming the variable of the function as its role</t>
  </si>
  <si>
    <t>This vulnerability may cause both underflow and overflow issues. Underflow happens when the program accesses a resource in the buffer area, such as an index, before reaching the intended buffer location. On the other hand, overflow occurs when the program accesses a resource in the buffer area, like an index, beyond the intended buffer location</t>
  </si>
  <si>
    <t>In the case of this vulnerability, the order in which transactions are executed influence a pre- condition that guards the execution of the transfer. This influence may erroneously result in, for instance, a transaction not being executed at all</t>
  </si>
  <si>
    <t>This issue refers to the case where the value of the variable that stores or determines an amount of a digital asset (to be transferred) is modified before it is sent to the recipient due to transaction ordering within a block. The amount may be changed due to the effect of multiple transactions being grouped in a block and executed in a specific order having the effect of producing unexpected changes in the value being transferred</t>
  </si>
  <si>
    <t>In the case of this defect, the transfer recipient is modified before the send event due to transaction ordering within a block. As an example, if the intended recipient address is stored as a storage variable and a transfer is to execute based on this address, there is a chance the address may be changed or overwritten by another transaction prior to the transfer</t>
  </si>
  <si>
    <t>7B3</t>
  </si>
  <si>
    <t>Money leak, Floating point &amp; Precision</t>
  </si>
  <si>
    <t>Integer sign</t>
  </si>
  <si>
    <t>The conversion of a signed integer type to an unsigned type of the same width may change a negative value to a positive one (the opposite may also happen)</t>
  </si>
  <si>
    <t>This vulnerability refers to the case where a variable declared in a certain type is converted to a smaller type, which means that data is lost during the conversion process</t>
  </si>
  <si>
    <t>7C2</t>
  </si>
  <si>
    <t>7C3</t>
  </si>
  <si>
    <t>7A1</t>
  </si>
  <si>
    <t>7A2</t>
  </si>
  <si>
    <t>A comprehensive survey of smart contracts vulnerability detection tools: Techniques and methodologies</t>
  </si>
  <si>
    <t>hejazi2025comprehensive</t>
  </si>
  <si>
    <t>faruk2024systematic</t>
  </si>
  <si>
    <t>wu2024comprehensive</t>
  </si>
  <si>
    <t>zhu2024survey</t>
  </si>
  <si>
    <t>12 - Unauditable functional vulnerabilities</t>
  </si>
  <si>
    <t>12E</t>
  </si>
  <si>
    <t>12A</t>
  </si>
  <si>
    <t>12A1</t>
  </si>
  <si>
    <t>12A2</t>
  </si>
  <si>
    <t>12B</t>
  </si>
  <si>
    <t>12C</t>
  </si>
  <si>
    <t>12D</t>
  </si>
  <si>
    <t>12F</t>
  </si>
  <si>
    <t>12G</t>
  </si>
  <si>
    <t>12H</t>
  </si>
  <si>
    <t>12I</t>
  </si>
  <si>
    <t xml:space="preserve">A business flow typically consists of a sequence of transactions executed in temporal order. Within this flow, sensitive operations are usually protected by access control checks. However, it is possible for alternative or unexpected paths to lead to these sensitive operations, where the access control may be weaker than required.
</t>
  </si>
  <si>
    <t>Multiple business flows may interleave and access shared state variables, potentially interfering with each other. Some flows require business-level atomicity, meaning certain state variables should not be accessed or modified by other flows while the current flow is in progress. However, developers often overlook such interference scenarios and fail to enforce the necessary atomicity at the business logic level.</t>
  </si>
  <si>
    <t>Smart contracts often contain state variables with implicit correlations. For instance, in a lending contract, a user’s credit limit may depend on the amount of collateral they provide. However, developers may forget to update all related variables consistently or incorrectly, leading to inconsistent or faulty contract states.</t>
  </si>
  <si>
    <t>Smart contract functionalities often involve an entity (e.g., a user or another contract) interacting with an asset (e.g., an NFT). These interactions require proper access control, and both entities and assets should be uniquely identifiable. Typically, they are represented as data structures with an ID field meant to ensure uniqueness. However, developers may neglect to enforce uniqueness or mistakenly rely on non-unique fields as identifiers. As a result, an attacker could impersonate a legitimate entity or create a fake or duplicate asset with the same field values, bypassing access control checks and performing unauthorized actions.</t>
  </si>
  <si>
    <t>Many smart contracts implement complex business logic that relies heavily on intricate numerical computations. When the formulas encoding the underlying business model are implemented incorrectly, they result in what we refer to as erroneous accounting bugs. These bugs typically introduce small inaccuracies with each execution, but over time, the errors can accumulate, potentially leading to significant financial losses.</t>
  </si>
  <si>
    <t>Li et al.</t>
  </si>
  <si>
    <t>DAppSCAN-source</t>
  </si>
  <si>
    <t>DAppSCAN-bytecode</t>
  </si>
  <si>
    <t>fang2023beyond</t>
  </si>
  <si>
    <t>Beyond “Protected” and “Private”: An Empirical Security Analysis of Custom Function Modifiers in Smart Contracts</t>
  </si>
  <si>
    <t>ISSTA23</t>
  </si>
  <si>
    <t>SoMo</t>
  </si>
  <si>
    <t>SoMo is designed to identify insecure modifiers that can be bypassed from one or more unprotected smart contract functions.</t>
  </si>
  <si>
    <t>Initializing Method without Permission Check</t>
  </si>
  <si>
    <t>1A1.1</t>
  </si>
  <si>
    <t>1A1.2</t>
  </si>
  <si>
    <t>1A1.3</t>
  </si>
  <si>
    <t>1A1.4</t>
  </si>
  <si>
    <t>3C1</t>
  </si>
  <si>
    <t>2B2</t>
  </si>
  <si>
    <t>2B3</t>
  </si>
  <si>
    <t>2B4</t>
  </si>
  <si>
    <t>2F1</t>
  </si>
  <si>
    <t>2F2</t>
  </si>
  <si>
    <t>2F3</t>
  </si>
  <si>
    <t>2G</t>
  </si>
  <si>
    <t>3A2</t>
  </si>
  <si>
    <t>3A3</t>
  </si>
  <si>
    <t>3D</t>
  </si>
  <si>
    <t>4H</t>
  </si>
  <si>
    <t>4I</t>
  </si>
  <si>
    <t>4J</t>
  </si>
  <si>
    <t>8H1</t>
  </si>
  <si>
    <t>8H3</t>
  </si>
  <si>
    <t>8H2</t>
  </si>
  <si>
    <t>Unused statement</t>
  </si>
  <si>
    <t>8P</t>
  </si>
  <si>
    <t>8Q</t>
  </si>
  <si>
    <t>9D2</t>
  </si>
  <si>
    <t>6C4</t>
  </si>
  <si>
    <t>When we use function `call` to send ether, the target address should be carefully checked, and an arbitrary address may lead to exploitability.</t>
  </si>
  <si>
    <t>6C5</t>
  </si>
  <si>
    <t>If a token contract exposes mint or burn functions as public or external without access restrictions, any external user can call them. Public mint allows anyone to create unlimited tokens, potentially inflating the supply and devaluing the token. Public burn could allow attackers to destroy other users’ tokens or manipulate token balance logic, especially if combined with logic that doesn't verify ownership.</t>
  </si>
  <si>
    <t>This vulnerability occurs when a struct or contract contains unused or unnecessary field declarations, and these fields are publicly accessible or can be accidentally accessed or manipulated. This can lead to inconsistent state across nodes or unexpected behavior during upgrades</t>
  </si>
  <si>
    <t>11A</t>
  </si>
  <si>
    <t>11B</t>
  </si>
  <si>
    <t>11C</t>
  </si>
  <si>
    <t>11D</t>
  </si>
  <si>
    <t>11E</t>
  </si>
  <si>
    <t>11F</t>
  </si>
  <si>
    <t>11G</t>
  </si>
  <si>
    <t>11H</t>
  </si>
  <si>
    <t>13 - Storage &amp; Memory</t>
  </si>
  <si>
    <t>13A</t>
  </si>
  <si>
    <t>13A1</t>
  </si>
  <si>
    <t>13A2</t>
  </si>
  <si>
    <t>13B</t>
  </si>
  <si>
    <t>13C</t>
  </si>
  <si>
    <t>Dangerous usage of msg.value inside a Loop</t>
  </si>
  <si>
    <t>13D</t>
  </si>
  <si>
    <t xml:space="preserve">Reentrancy without ETH transfer </t>
  </si>
  <si>
    <t xml:space="preserve">Reentrancy Vulnerability with Negative Events </t>
  </si>
  <si>
    <t xml:space="preserve">Unsafe Non-Blockchain External Call </t>
  </si>
  <si>
    <t xml:space="preserve">Unsafe External Web Service Call </t>
  </si>
  <si>
    <t xml:space="preserve">Unsafe External Command Execution </t>
  </si>
  <si>
    <t xml:space="preserve">Unsafe External File Access </t>
  </si>
  <si>
    <t xml:space="preserve">Cross Channel Invocation </t>
  </si>
  <si>
    <t>Unchecked transfer</t>
  </si>
  <si>
    <t>Improper locking during external calls</t>
  </si>
  <si>
    <t>Sending Ether to Arbitrary Destinations</t>
  </si>
  <si>
    <t>Usage of public mint or burn</t>
  </si>
  <si>
    <t>Incorrect calculation</t>
  </si>
  <si>
    <t>Missing return type on function</t>
  </si>
  <si>
    <t>Missing type in variable declaration</t>
  </si>
  <si>
    <t>Function return type mismatch</t>
  </si>
  <si>
    <t>Parameter type mismatch</t>
  </si>
  <si>
    <t>8E1</t>
  </si>
  <si>
    <t>8E2</t>
  </si>
  <si>
    <t>8E3</t>
  </si>
  <si>
    <t>8G1</t>
  </si>
  <si>
    <t>8G2</t>
  </si>
  <si>
    <t>8G3</t>
  </si>
  <si>
    <t>8I4</t>
  </si>
  <si>
    <t>8I5</t>
  </si>
  <si>
    <t>8I6</t>
  </si>
  <si>
    <t>8I7</t>
  </si>
  <si>
    <t>8I8</t>
  </si>
  <si>
    <t>8I9</t>
  </si>
  <si>
    <t>8I10</t>
  </si>
  <si>
    <t>8I11</t>
  </si>
  <si>
    <t>8I12</t>
  </si>
  <si>
    <t xml:space="preserve">Invalid Wrapper Check in Library </t>
  </si>
  <si>
    <t xml:space="preserve">Unhandled Exceptions in Library </t>
  </si>
  <si>
    <t xml:space="preserve">Inappropriate Library Extension </t>
  </si>
  <si>
    <t xml:space="preserve">Inappropriate Using For </t>
  </si>
  <si>
    <t xml:space="preserve">Incomplete Function Replacement </t>
  </si>
  <si>
    <t xml:space="preserve">Overestimated Library Capability </t>
  </si>
  <si>
    <t xml:space="preserve">Underestimated Library Capability </t>
  </si>
  <si>
    <t xml:space="preserve">Unnecessary Library Using </t>
  </si>
  <si>
    <t xml:space="preserve">Erroneus Accounting </t>
  </si>
  <si>
    <t xml:space="preserve">Contracts Implementation Specific Bugs </t>
  </si>
  <si>
    <t xml:space="preserve">ID Uniqueness Violation </t>
  </si>
  <si>
    <t>Business Logic Flaw</t>
  </si>
  <si>
    <t>Cross-Bridge</t>
  </si>
  <si>
    <t>Memory Manipulation</t>
  </si>
  <si>
    <t>Static array out-of-bounds</t>
  </si>
  <si>
    <t>Dynamic array out-of-bounds</t>
  </si>
  <si>
    <t>Missing Input Validation</t>
  </si>
  <si>
    <t>6C6</t>
  </si>
  <si>
    <t>6B3</t>
  </si>
  <si>
    <t>6B4</t>
  </si>
  <si>
    <t>6B5</t>
  </si>
  <si>
    <t>6B6</t>
  </si>
  <si>
    <t>6B6.1</t>
  </si>
  <si>
    <t>6B6.2</t>
  </si>
  <si>
    <t>9E1</t>
  </si>
  <si>
    <t>9E2</t>
  </si>
  <si>
    <t xml:space="preserve">transfer() and send()  with Hardcoded Gas Amount. </t>
  </si>
  <si>
    <t>Call with hardcoded gas amount</t>
  </si>
  <si>
    <t>14A</t>
  </si>
  <si>
    <t>Block expansion attack</t>
  </si>
  <si>
    <t>Data synchronization timeout attack</t>
  </si>
  <si>
    <t>Failure diffusion</t>
  </si>
  <si>
    <t>Privacy leakage attack</t>
  </si>
  <si>
    <t>Unauthorized access</t>
  </si>
  <si>
    <t>Disguised and untrusted notary</t>
  </si>
  <si>
    <t>Transaction forgery attack</t>
  </si>
  <si>
    <t>Denial of service attack</t>
  </si>
  <si>
    <t>Hot wallet attack</t>
  </si>
  <si>
    <t>Wormhole attack</t>
  </si>
  <si>
    <t>Sore loser attack</t>
  </si>
  <si>
    <t>Routing attack</t>
  </si>
  <si>
    <t>Collusion attack</t>
  </si>
  <si>
    <t>Block expansion attack occurs because blockchain has the characteristic of permanent storage, which makes running a full node challenging.</t>
  </si>
  <si>
    <t>Privacy leakage attack exploits the transaction tracking technology, ultimately destroying the anonymity of the cross-chain system.</t>
  </si>
  <si>
    <t>Failure diffusion is based on the idea that any one component can affect the entire system, which can lead to a larger system failure.</t>
  </si>
  <si>
    <t>Data synchronization time-out attack arises when different chains must meet specific synchronization conditions, and failure to do so paralyzes the entire multi-chain system.</t>
  </si>
  <si>
    <t>Unauthorized access happens when key operations are executed by non-administrators, resulting in unpredictable risks.</t>
  </si>
  <si>
    <t>Sore loser attack occurs when a party abandons a swap midway, which causes assets to be locked for a long time.</t>
  </si>
  <si>
    <t>Disguised and untrusted notary stems from the centralization of notaries, which can lead to unpredictable risks.</t>
  </si>
  <si>
    <t>Transaction forgery attack exploits differences between the system chaincode and the user chaincode in Fabric, allowing attackers to forge transactions.</t>
  </si>
  <si>
    <t>Denial of service attack involves malicious nodes setting up multiple overtime transactions, which affects the normal operation of the entire network.</t>
  </si>
  <si>
    <t>Hot wallet attack is based on the ability of hackers to steal the private key of the hot wallet by various means, allowing them to steal the funds in the user’s wallet.</t>
  </si>
  <si>
    <t>Wormhole attack happens when two nodes exclude their intermediate nodes and successfully unlock the assets, enabling attackers to steal the fees of the intermediate nodes.</t>
  </si>
  <si>
    <t>Routing attack exploits anonymity, allowing hackers to intercept data information.</t>
  </si>
  <si>
    <t>Replay attack takes advantage of the fact that everyone can access a user’s signature information, enabling attackers to forge transactions and gain profits.</t>
  </si>
  <si>
    <t>Collusion attack involves multiple attackers working together, gaining unauthorized access to resources.</t>
  </si>
  <si>
    <t>14B</t>
  </si>
  <si>
    <t>14C</t>
  </si>
  <si>
    <t>14D</t>
  </si>
  <si>
    <t>14E</t>
  </si>
  <si>
    <t>14F</t>
  </si>
  <si>
    <t>14G</t>
  </si>
  <si>
    <t>14H</t>
  </si>
  <si>
    <t>14I</t>
  </si>
  <si>
    <t>14K</t>
  </si>
  <si>
    <t>14L</t>
  </si>
  <si>
    <t>14M</t>
  </si>
  <si>
    <t>14N</t>
  </si>
  <si>
    <t>14J</t>
  </si>
  <si>
    <t>DiasEtAl2021 - LiuEtAl2023a</t>
  </si>
  <si>
    <t>OtoniEtAl2023 - JieEtAl2023</t>
  </si>
  <si>
    <t>SujeethaAndAkila2023 - NarayanaAndSathiyamurthy2021 - OtoniEtAl2023</t>
  </si>
  <si>
    <t>LiuEtAl2023a, XuEtAl2021</t>
  </si>
  <si>
    <t>DuanEtAl2023, LiuEtAl2023a</t>
  </si>
  <si>
    <t>L.ZhangEtAl2022c, VaccaEtAl2021</t>
  </si>
  <si>
    <t>mishra2024smart</t>
  </si>
  <si>
    <t>abubakar2024systematic</t>
  </si>
  <si>
    <t>obradovic2024blockchain</t>
  </si>
  <si>
    <t>1,2</t>
  </si>
  <si>
    <t>Step1</t>
  </si>
  <si>
    <t>Step2</t>
  </si>
  <si>
    <t>Unsafe credit transfer</t>
  </si>
  <si>
    <t>Unsafe system state changes</t>
  </si>
  <si>
    <t>Malicious fallback function</t>
  </si>
  <si>
    <t>Improper check of external call return value</t>
  </si>
  <si>
    <t>Improper check of external call result</t>
  </si>
  <si>
    <t>Improper check of low-level call return value</t>
  </si>
  <si>
    <t>Interoperability issues with other contracts</t>
  </si>
  <si>
    <t>Delegatecall to untrusted callee</t>
  </si>
  <si>
    <t>Unsafe external web service call</t>
  </si>
  <si>
    <t>Wrong constructor</t>
  </si>
  <si>
    <t>Unsafe non-blockchain external call</t>
  </si>
  <si>
    <t>Uninitialized storage variables</t>
  </si>
  <si>
    <t>Cross channel invocation</t>
  </si>
  <si>
    <t>Improper gas requirements checking</t>
  </si>
  <si>
    <t>Improper check on transfer credit</t>
  </si>
  <si>
    <t>Unprotected transfer value</t>
  </si>
  <si>
    <t>Wrong use of transfer credit function</t>
  </si>
  <si>
    <t>Missing token issuer verification</t>
  </si>
  <si>
    <t>Missing token verification of exchange</t>
  </si>
  <si>
    <t>Fake notification</t>
  </si>
  <si>
    <t>Bad randomness</t>
  </si>
  <si>
    <t>Improper declaration or initialization</t>
  </si>
  <si>
    <t>Missing constructor</t>
  </si>
  <si>
    <t>Wrong constructor name</t>
  </si>
  <si>
    <t>Missing variable initialization</t>
  </si>
  <si>
    <t>Extraneous field declaration</t>
  </si>
  <si>
    <t>Hardcoded address</t>
  </si>
  <si>
    <t>Isolation phenomena</t>
  </si>
  <si>
    <t>Phantom reads</t>
  </si>
  <si>
    <t>Dirty reads</t>
  </si>
  <si>
    <t>Error in function call</t>
  </si>
  <si>
    <t>Wrong function call</t>
  </si>
  <si>
    <t>Wrong selection of guard function</t>
  </si>
  <si>
    <t>Function call with wrong arguments</t>
  </si>
  <si>
    <t>Wrong class inheritance order</t>
  </si>
  <si>
    <t>Improper type usage</t>
  </si>
  <si>
    <t>Wrong type in variable declaration</t>
  </si>
  <si>
    <t>Wrong type of function</t>
  </si>
  <si>
    <t>Non-identifiable order in map structure iteration</t>
  </si>
  <si>
    <t>Useless code</t>
  </si>
  <si>
    <t>Unreachable payable function</t>
  </si>
  <si>
    <t>No effect code execution</t>
  </si>
  <si>
    <t>Unused variables</t>
  </si>
  <si>
    <t>Inefficient operation sequence</t>
  </si>
  <si>
    <t>Version issues</t>
  </si>
  <si>
    <t>Undetermined program version prevalence</t>
  </si>
  <si>
    <t>Use of deprecated functions</t>
  </si>
  <si>
    <t>Inadequate data representation</t>
  </si>
  <si>
    <t>Improper modifier</t>
  </si>
  <si>
    <t>Wrong function modifier</t>
  </si>
  <si>
    <t>Missing constant modifier in variable declaration</t>
  </si>
  <si>
    <t>Missing visibility modifier in variable declaration</t>
  </si>
  <si>
    <t>Redundant functionality</t>
  </si>
  <si>
    <t>Use of same variable or function name in inherited contract</t>
  </si>
  <si>
    <t>Variables or functions named after reserved words</t>
  </si>
  <si>
    <t>Use of the same variable or function name in a single contract</t>
  </si>
  <si>
    <t>Buffer-based vulnerabilities</t>
  </si>
  <si>
    <t>Stack-based buffer overflow</t>
  </si>
  <si>
    <t>Read from arbitrary storage location</t>
  </si>
  <si>
    <t>Use of malicious libraries</t>
  </si>
  <si>
    <t>Wrong logic</t>
  </si>
  <si>
    <t>Wrong moment for token generation</t>
  </si>
  <si>
    <t>Incorrect use of event blockchain variables for time</t>
  </si>
  <si>
    <t>Incorrect function call order</t>
  </si>
  <si>
    <t>Improper locking</t>
  </si>
  <si>
    <t>Transfer pre-condition dependent on transaction order</t>
  </si>
  <si>
    <t>Transfer amount depending on transaction order</t>
  </si>
  <si>
    <t>Transfer recipient depending on transaction order</t>
  </si>
  <si>
    <t>Exposed state variables</t>
  </si>
  <si>
    <t>Wrong transaction definition</t>
  </si>
  <si>
    <t>Improper input validation</t>
  </si>
  <si>
    <t>Extraneous input validation</t>
  </si>
  <si>
    <t>Integer overflow</t>
  </si>
  <si>
    <t>Integer underflow</t>
  </si>
  <si>
    <t>Divide by zero</t>
  </si>
  <si>
    <t>Wrong caller identification</t>
  </si>
  <si>
    <t>Owner manipulation</t>
  </si>
  <si>
    <t>Missing verification for program termination</t>
  </si>
  <si>
    <t>Exposed private data</t>
  </si>
  <si>
    <t>Dependency on external state data</t>
  </si>
  <si>
    <t>Incorrect verification of cryptographic signature</t>
  </si>
  <si>
    <t>Improper check against signature replay attacks</t>
  </si>
  <si>
    <t>Improper authenticity check</t>
  </si>
  <si>
    <t>Incorrect argument encoding</t>
  </si>
  <si>
    <t>Unchecked Low Level Call</t>
  </si>
  <si>
    <t>Arbitrary Input</t>
  </si>
  <si>
    <r>
      <t xml:space="preserve">Arbitrary </t>
    </r>
    <r>
      <rPr>
        <sz val="10"/>
        <color theme="1"/>
        <rFont val="Arial Unicode MS"/>
        <family val="2"/>
      </rPr>
      <t>from</t>
    </r>
    <r>
      <rPr>
        <sz val="11"/>
        <color theme="1"/>
        <rFont val="Aptos Narrow"/>
        <family val="2"/>
        <scheme val="minor"/>
      </rPr>
      <t xml:space="preserve"> in transferFrom() without msg.sender Check</t>
    </r>
  </si>
  <si>
    <t>Call to Arbitrary Addresses with Unchecked Calldata</t>
  </si>
  <si>
    <r>
      <t xml:space="preserve">Missing </t>
    </r>
    <r>
      <rPr>
        <sz val="10"/>
        <color theme="1"/>
        <rFont val="Arial Unicode MS"/>
        <family val="2"/>
      </rPr>
      <t>msg.sender</t>
    </r>
    <r>
      <rPr>
        <sz val="11"/>
        <color theme="1"/>
        <rFont val="Aptos Narrow"/>
        <family val="2"/>
        <scheme val="minor"/>
      </rPr>
      <t xml:space="preserve"> Check for transferFrom()</t>
    </r>
  </si>
  <si>
    <t>Unused Return Value</t>
  </si>
  <si>
    <t>Function Permission</t>
  </si>
  <si>
    <t>Caller Not Checked</t>
  </si>
  <si>
    <t>Dangerous Immediate Initialization of State Variables</t>
  </si>
  <si>
    <r>
      <t xml:space="preserve">Dangerous Usage of </t>
    </r>
    <r>
      <rPr>
        <sz val="10"/>
        <color theme="1"/>
        <rFont val="Arial Unicode MS"/>
        <family val="2"/>
      </rPr>
      <t>tx.origin</t>
    </r>
  </si>
  <si>
    <t>Default Function Visibility</t>
  </si>
  <si>
    <r>
      <t xml:space="preserve">Method permit() Used for Arbitrary </t>
    </r>
    <r>
      <rPr>
        <sz val="10"/>
        <color theme="1"/>
        <rFont val="Arial Unicode MS"/>
        <family val="2"/>
      </rPr>
      <t>from</t>
    </r>
    <r>
      <rPr>
        <sz val="11"/>
        <color theme="1"/>
        <rFont val="Aptos Narrow"/>
        <family val="2"/>
        <scheme val="minor"/>
      </rPr>
      <t xml:space="preserve"> in transferFrom()</t>
    </r>
  </si>
  <si>
    <t>Unprotected Contract Destruction</t>
  </si>
  <si>
    <t>Write to Arbitrary Storage Location</t>
  </si>
  <si>
    <t>Inappropriate Integer Division before Multiplication</t>
  </si>
  <si>
    <t>Unsafe Array Length Assignment</t>
  </si>
  <si>
    <t>Dangerous Usage of block.timestamp</t>
  </si>
  <si>
    <t>Transaction Order Dependency</t>
  </si>
  <si>
    <t>Weak PRNG (Pseudorandom Number Generator)</t>
  </si>
  <si>
    <t>Improper Signature Verify</t>
  </si>
  <si>
    <t>transfer() and send() with Hardcoded Gas Amount</t>
  </si>
  <si>
    <t>Contract Could Lock Ether</t>
  </si>
  <si>
    <t>DoS with Block Gas Limit</t>
  </si>
  <si>
    <t>DoS With Failed Call</t>
  </si>
  <si>
    <t>Force Sending Ether with this.balance Check (Unchecked Send)</t>
  </si>
  <si>
    <t>Reentrancy Vulnerability with Negative Events</t>
  </si>
  <si>
    <t>Reentrancy Vulnerability with Transfer</t>
  </si>
  <si>
    <t>Reentrancy Vulnerability with Same Effect</t>
  </si>
  <si>
    <t>Reentrancy Vulnerability with ETH Transfer</t>
  </si>
  <si>
    <t>Reentrancy Vulnerability without ETH Transfer</t>
  </si>
  <si>
    <t>Arbitrary Function Jump via Inline Assembly</t>
  </si>
  <si>
    <t>Bytes Variables Risk</t>
  </si>
  <si>
    <t>Dangerous Usage of msg.value inside a Loop</t>
  </si>
  <si>
    <t>Error-prone Assembly Usage</t>
  </si>
  <si>
    <t>Modifying Storage Array by Value (Array length manipulation)</t>
  </si>
  <si>
    <t>Payable Functions Using delegatecall inside a Loop</t>
  </si>
  <si>
    <t>Uninitialized storage, Initialization of storage pointer</t>
  </si>
  <si>
    <t xml:space="preserve"> Check on arithmetic operation, Unchecked Math, Wrong operator</t>
  </si>
  <si>
    <t xml:space="preserve">Unexpected fallback function, Malicious Fallback Function </t>
  </si>
  <si>
    <t xml:space="preserve">Unexpected Ether, Manipulated balance, Unexpected Balance, Unexpected Ether balance, Unprotected Ether Balance, Balance equality, Strict Balance Equality, Improper Locking </t>
  </si>
  <si>
    <t xml:space="preserve">Time constraints, Time manipulation, Time restrictions, Block values as a proxy for time, Incorrect Use of Event Blockchain variables for Time </t>
  </si>
  <si>
    <t xml:space="preserve">Event-ordering bugs, Incorrect Function Call Order </t>
  </si>
  <si>
    <t xml:space="preserve">Transfer Pre-Condition Dependent on Transaction Order </t>
  </si>
  <si>
    <t xml:space="preserve">Transfer Amount Depending on Transaction Order </t>
  </si>
  <si>
    <t xml:space="preserve">Transfer Recipient Depending on Transaction Order </t>
  </si>
  <si>
    <t xml:space="preserve">Use of Malicious Libraries </t>
  </si>
  <si>
    <t xml:space="preserve">web service </t>
  </si>
  <si>
    <t xml:space="preserve">system command execution </t>
  </si>
  <si>
    <t xml:space="preserve">External File Accessing </t>
  </si>
  <si>
    <t xml:space="preserve">Improper Check on Transfer Credit </t>
  </si>
  <si>
    <t xml:space="preserve">Wrong Selection of Guard Function </t>
  </si>
  <si>
    <t xml:space="preserve">Wrong use of Transfer Credit Function </t>
  </si>
  <si>
    <t xml:space="preserve">Unreachable Payable Function </t>
  </si>
  <si>
    <t xml:space="preserve">DoS under external influence, Wallet griefing causing out of gas exception, Improper Exception Handling in a Loop </t>
  </si>
  <si>
    <t xml:space="preserve">Incorrect Revert Implementation in a Loop </t>
  </si>
  <si>
    <t xml:space="preserve">Improper locking during external calls </t>
  </si>
  <si>
    <t xml:space="preserve">Inefficient Operation Sequence </t>
  </si>
  <si>
    <t xml:space="preserve">Declaration of invariant state variable,  Missing Constant Modifier in Variable Declaration </t>
  </si>
  <si>
    <t xml:space="preserve">Improper Gas Requirements Checking </t>
  </si>
  <si>
    <t xml:space="preserve">Missing Visibility Modifier in Variable Declaration </t>
  </si>
  <si>
    <t xml:space="preserve">Improper Check against Signature Replay Attacks </t>
  </si>
  <si>
    <t xml:space="preserve">Incorrect Argument Encoding </t>
  </si>
  <si>
    <t xml:space="preserve">Incorrect Verification of Cryptographic Signature </t>
  </si>
  <si>
    <t xml:space="preserve">Integer Overflow </t>
  </si>
  <si>
    <t xml:space="preserve">Integer Underflow </t>
  </si>
  <si>
    <t xml:space="preserve">Integer division </t>
  </si>
  <si>
    <t xml:space="preserve">Divide by Zero </t>
  </si>
  <si>
    <t xml:space="preserve">Truncation Bugs </t>
  </si>
  <si>
    <t xml:space="preserve">Signedness bugs </t>
  </si>
  <si>
    <t>Immutable bugs, typographical error , coding bug</t>
  </si>
  <si>
    <t xml:space="preserve">Use of deprecated Solidity function, Use of Deprecated Functions </t>
  </si>
  <si>
    <t xml:space="preserve">Constant functions, Interoperability issues with other contracts </t>
  </si>
  <si>
    <t xml:space="preserve">Wrong class inheritance order </t>
  </si>
  <si>
    <t xml:space="preserve">Use of Same Variable or Function Name In Inherited Contract </t>
  </si>
  <si>
    <t xml:space="preserve">Variables or Functions Named After Reserved Words </t>
  </si>
  <si>
    <t xml:space="preserve">Use of the Same Variable or Function Name In a Single Contract </t>
  </si>
  <si>
    <t xml:space="preserve">Function Call with Wrong Arguments </t>
  </si>
  <si>
    <t xml:space="preserve">No effect code execution </t>
  </si>
  <si>
    <t xml:space="preserve">Unused variable </t>
  </si>
  <si>
    <t xml:space="preserve">Missing return type on function </t>
  </si>
  <si>
    <t xml:space="preserve">Missing type in variable declaration </t>
  </si>
  <si>
    <t xml:space="preserve">Missing Variable initialization </t>
  </si>
  <si>
    <t xml:space="preserve">Improper Input Validation </t>
  </si>
  <si>
    <t xml:space="preserve">Function return type mismatch </t>
  </si>
  <si>
    <t xml:space="preserve">Parameter type mismatch </t>
  </si>
  <si>
    <t xml:space="preserve">Wrong Type of Function </t>
  </si>
  <si>
    <t xml:space="preserve">Redundant Functionality </t>
  </si>
  <si>
    <t xml:space="preserve">Hardcoded addresses </t>
  </si>
  <si>
    <t xml:space="preserve">Missing Constructor </t>
  </si>
  <si>
    <t xml:space="preserve">Extraneous Field Declaration </t>
  </si>
  <si>
    <t xml:space="preserve">Inadequate Data Representation </t>
  </si>
  <si>
    <t xml:space="preserve">Outdated compiler version </t>
  </si>
  <si>
    <t xml:space="preserve">Floating compiler version, Undetermined Program Version Prevalence </t>
  </si>
  <si>
    <t xml:space="preserve">Token standard incompatibility, Unmatched ERC-20 Standard, Extraneous Exception Handling </t>
  </si>
  <si>
    <t xml:space="preserve">Missing Reminder, Fake Deposit, Missing Token Verification of Exchange </t>
  </si>
  <si>
    <t xml:space="preserve">ERC-20 transfer </t>
  </si>
  <si>
    <t xml:space="preserve">Call with hardcoded gas amount </t>
  </si>
  <si>
    <t xml:space="preserve">Stack size limit, Limited stack size, Stack size, Stack-based Buffer Overflow </t>
  </si>
  <si>
    <t xml:space="preserve">Uninitialized storage pointer </t>
  </si>
  <si>
    <t xml:space="preserve">Incorrect constructor name, Constructor name, Wrong Constructor Name </t>
  </si>
  <si>
    <t xml:space="preserve">Write to arbitrary storage location </t>
  </si>
  <si>
    <t xml:space="preserve">Read from Arbitrary Storage Location </t>
  </si>
  <si>
    <t xml:space="preserve">Unsafe type declaration, Type conversion, Wrong Function Call </t>
  </si>
  <si>
    <t xml:space="preserve">Logical errors or dead code, Business logic vulnerabilities, Wrong Logic </t>
  </si>
  <si>
    <t xml:space="preserve">Reentrancy with ETH transfer </t>
  </si>
  <si>
    <t xml:space="preserve">Reentrancy with same effect </t>
  </si>
  <si>
    <t xml:space="preserve">Check on force to receive balance, Force Sending Ether with this.balance check in require() or assert() </t>
  </si>
  <si>
    <t>Delegate call to Untrusted Callee , Delegate call to Insecure Contracts, Unsafe delegatecall , Check on target address in delegatecall, Delegate call</t>
  </si>
  <si>
    <t xml:space="preserve">Generating Randomness, Bad randomness, Weak Sources of Randomness from Chain Attributes, random numbers, Weak PRNG </t>
  </si>
  <si>
    <t xml:space="preserve">Unchecked call </t>
  </si>
  <si>
    <t xml:space="preserve">Unchecked send </t>
  </si>
  <si>
    <t xml:space="preserve">Unsafe Array Length Assignment </t>
  </si>
  <si>
    <t xml:space="preserve">Unsafe send() in the require() Condition </t>
  </si>
  <si>
    <t xml:space="preserve">Variable type, Bytes Variables Risk , Wrong Type in Variable Declaration </t>
  </si>
  <si>
    <t xml:space="preserve">Unexpected kill, Destroyable contract, Suicidal contract, Unsafe suicide, Check on suicide functionality, Unprotected Contract Destruction , Missing verification for program termination  Parity Multisig </t>
  </si>
  <si>
    <t xml:space="preserve">Unprotected Ether withdrawal , Check on balance withdrawal, Ether leak, Unprotected Transfer Value </t>
  </si>
  <si>
    <t xml:space="preserve">Initializing Method without Permission Check </t>
  </si>
  <si>
    <t xml:space="preserve">Missing msg.sender Check for transferFrom() </t>
  </si>
  <si>
    <t xml:space="preserve">Arbitrary from in transferFrom() without msg.sender Check </t>
  </si>
  <si>
    <t xml:space="preserve">Sending Ether to Arbitrary Destinations </t>
  </si>
  <si>
    <t xml:space="preserve">Default Function Visibility , Wrong Function Modifier </t>
  </si>
  <si>
    <t xml:space="preserve">Method permit() Used for Arbitrary from in transferFrom() , Improper authenticity check </t>
  </si>
  <si>
    <t xml:space="preserve">Usage of public mint or burn </t>
  </si>
  <si>
    <t xml:space="preserve">Arbitrary jump, Control-Flow hijack, Function type variables assignment using arbitrary values, Specify function variable as any type, Arbitrary Function Jump via Inline Assembly </t>
  </si>
  <si>
    <t xml:space="preserve">Modifying storage array by value </t>
  </si>
  <si>
    <t xml:space="preserve">Unused return </t>
  </si>
  <si>
    <t xml:space="preserve">Missing Input Validation </t>
  </si>
  <si>
    <t xml:space="preserve">Memory Manipulation </t>
  </si>
  <si>
    <t xml:space="preserve">Integer Division before Multiplication </t>
  </si>
  <si>
    <t xml:space="preserve">Unsafe External Library Call, External Library Calling </t>
  </si>
  <si>
    <t xml:space="preserve">Authentication through tx.origin, Transaction state dependency  , Transaction origin use, Dangerous Usage of tx.origin , Wrong Caller Identification </t>
  </si>
  <si>
    <t xml:space="preserve">Price oracle manipulation </t>
  </si>
  <si>
    <t xml:space="preserve">Price oracle manipulation with AMM </t>
  </si>
  <si>
    <t xml:space="preserve">Price oracle manipulation by buying token </t>
  </si>
  <si>
    <t>Price Manipulation</t>
  </si>
  <si>
    <t xml:space="preserve">Inconsistent State Upadates </t>
  </si>
  <si>
    <t xml:space="preserve">Privilage Escalation </t>
  </si>
  <si>
    <t xml:space="preserve">Atomicity Violation </t>
  </si>
  <si>
    <t xml:space="preserve">Reentrancy Eth , Unsafe Credit Transfer </t>
  </si>
  <si>
    <t xml:space="preserve">Reentrancy No Eth , Unsafe System State Changes </t>
  </si>
  <si>
    <t xml:space="preserve">Reentrancy Benign </t>
  </si>
  <si>
    <t xml:space="preserve">Reentrancy Events </t>
  </si>
  <si>
    <t>14 - Cross-Chain System Vulnerabilities</t>
  </si>
  <si>
    <t>Assembly-based vulnerabilities, Usage of assembly, Error-prone Assembly Usage</t>
  </si>
  <si>
    <t>Level 1:</t>
  </si>
  <si>
    <t>Level 3:</t>
  </si>
  <si>
    <t>Level 2:</t>
  </si>
  <si>
    <t>Automated Vulnerability Injection in Solidity Smart Contracts: A Mutation-Based Approach for Benchmark Development</t>
  </si>
  <si>
    <t>EASE25</t>
  </si>
  <si>
    <t>iuliano2025automated</t>
  </si>
  <si>
    <t>MuSe</t>
  </si>
  <si>
    <t>A tool to generate vulnerable smart contracts by leveraging pattern-based mutation operators to inject six vulnerability types into real-world smart contracts.</t>
  </si>
  <si>
    <t>f</t>
  </si>
  <si>
    <t>6B7</t>
  </si>
  <si>
    <t>Bypassable Modifier</t>
  </si>
  <si>
    <t>Insecure modifiers that could be bypassed from one or more unprotected smart contract functions.</t>
  </si>
  <si>
    <t>Xscope</t>
  </si>
  <si>
    <t>zhang2022xscope</t>
  </si>
  <si>
    <t>An automated tool designed to detect security violations in cross-chain bridges and uncover real-world attacks</t>
  </si>
  <si>
    <t>Unrestricted Deposit Emitting</t>
  </si>
  <si>
    <t>Inconsistent Event Parsing</t>
  </si>
  <si>
    <t>Unauthorized Unlocking</t>
  </si>
  <si>
    <t>The parser may recognize invalid events emitted by malicious contracts as valid deposit events. Second, even with a valid event, the parser may parse out invalid lock action with wrong token types or amounts, e.g., recognize a fake token named "ETH" as native ETH. This bug resulted in three attacks on THORChain and one attack on pNetwork.</t>
  </si>
  <si>
    <t>Typically, only the trusted off-chain relayer can authorize unlock actions on the destination chain. However, key leakage caused by traditional cyberattacks or improper access control in on-chain/off-chain codes may allow unauthorized attackers to successfully call the unlock function of the router contract and transfer out assets. This bug caused Robin Bridge, Anyswap, and PolyNetwork’s exploits.</t>
  </si>
  <si>
    <t>Typically, the router contract should lock senders’ tokens before emitting the deposit event. The relayer will regard the deposit event as proof of locked tokens and authorize unlocking on the destination chain. However, mishandling complex contract interfaces, like using unsafe transfer functions, may let attackers bypass the lock procedure and trigger a valid deposit event directly. It will provide proof of non-existent locked tokens to the relayer and cause a false deposit on the destination chain. This bug caused the exploits of Qubit, Meter.io, Wormhole, and Multichain bridges.</t>
  </si>
  <si>
    <t>14O</t>
  </si>
  <si>
    <t>14P</t>
  </si>
  <si>
    <t>14Q</t>
  </si>
  <si>
    <t>Vulnerabilities detected</t>
  </si>
  <si>
    <t>Mapping</t>
  </si>
  <si>
    <t>Partial</t>
  </si>
  <si>
    <t>Mapped</t>
  </si>
  <si>
    <t xml:space="preserve">Unhandled exception, Improper handling of exceptions, Improper Check of Low-Level Call Return Value,  Mishandled Exception, Unchecked external call, Check on external call, Improper Check of External Call Return Value , Improper Exception Handling of External Calls </t>
  </si>
  <si>
    <t>unexpected-throw-DoS, DoS with unexpected revert/throw, Dos by External contracts</t>
  </si>
  <si>
    <t>Improper Use of Exception Handling Functions</t>
  </si>
  <si>
    <t>Ethereum Smart Contract Vulnerability Detection and Machine Learning-Driven Solutions: A Systematic Literature Review</t>
  </si>
  <si>
    <t>Electronics (Basel), 2024-06, Vol.13 (12), p.2295</t>
  </si>
  <si>
    <t>kiani2024ethereum</t>
  </si>
  <si>
    <t>address + transactions</t>
  </si>
  <si>
    <t xml:space="preserve">address  </t>
  </si>
  <si>
    <t>Vulnerabilities:</t>
  </si>
  <si>
    <t>Synonyms:</t>
  </si>
  <si>
    <t>Total identifiers:</t>
  </si>
  <si>
    <t>duan2023attacks</t>
  </si>
  <si>
    <t>SmartScan is a smart contract security analysis tool that helps detect vulnerabilities and potential issues in Ethereum-based smart contracts.</t>
  </si>
  <si>
    <t>Artemis is a security auditing tool specifically designed for Ethereum smart contracts. It focuses on detecting vulnerabilities and security issues in the code of Solidity-based smart contracts.</t>
  </si>
  <si>
    <t>SCScan is a tool that allows developers and auditors to inspect and analyze the security of Ethereum smart contracts. It provides a platform for viewing contract code, checking for vulnerabilities, and even verifying contract deployment and interactions on the blockchain.</t>
  </si>
  <si>
    <t>GasFuzzer is a fuzzing tool designed to test the gas consumption and efficiency of smart contracts.</t>
  </si>
  <si>
    <t>DEPOSafe is a smart contract security tool designed to focus on the safe handling of deposits in smart contracts.</t>
  </si>
  <si>
    <t>In this paper, we classify common vulnerabilities of function calls of Solidity programs into three groups and suggest a method to avoid them. The proposed method makes use of Ethereum Virtual Machine as well as Solidity extension.</t>
  </si>
  <si>
    <t>n this paper a smart contract bytecode defect detection algorithm based on parallel symbolic execution is proposed.</t>
  </si>
  <si>
    <t>A more accuracy and comprehensive detection and analysis method of reentrancy from real Ethereum transactions.</t>
  </si>
  <si>
    <t>Targy, an efficient targeted mutation strategy based on dynamic taint analysis.</t>
  </si>
  <si>
    <t>They enhance a state-of-the-art tool, OYENTE for discovering vulnerabilities in smart contracts with the CFTs covered by traces to investigate how the tool is improved.</t>
  </si>
  <si>
    <t>A machine learning predictive model that detects patterns of security vulnerabilities in smart contracts.</t>
  </si>
  <si>
    <t>A novel static profiling technique for Ethereum smart contracts that, using static resource analysis, is able to generate upper-bound expressions that can be used to produce profiling information about the measure of interest.</t>
  </si>
  <si>
    <t>A reinforcement on two widely used EVMs (js-evm and FISCO-BCOS-evm). The reinforced EVMs detects and interrupts all the vulnerabilities, 20% of them missed by testing tools</t>
  </si>
  <si>
    <t>An approach to detect smart contracts vulnerability on blockchain by using machine learning (ML) methods.</t>
  </si>
  <si>
    <t>Peculiar uses Pre-training technique for detection of smart contract vulnerabilities based on crucial data flow graph.</t>
  </si>
  <si>
    <t>A novel way called AFS (AST Fuse program Slicing) to fuse code characteristic information. AFS can fuse the structured information of AST with program slicing information and detect vulnerabilities by learning new vulnerability characteristic information.</t>
  </si>
  <si>
    <t>A ML model based on full-stack hierarchical fusion of static features for smart contracts vulnerability detection.</t>
  </si>
  <si>
    <t>AMEVulDetector is a tool designed to detect vulnerabilities in Ethereum smart contracts, specifically related to Arithmetic and Mathematical Errors.</t>
  </si>
  <si>
    <t>A tool or methodology designed to detect vulnerabilities in Ethereum smart contracts. SC-VDM primarily focuses on identifying common security flaws and weaknesses that can lead to potential exploits or failures in smart contract execution.</t>
  </si>
  <si>
    <t>A tool based on CFG representation of bytecode that implement detection algorithm to detect SC vulnerabilities.</t>
  </si>
  <si>
    <t>The tool can ensure that the contract has a complete audit process before deployment, so as to decrease the DApp vulnerability caused by poor programming.</t>
  </si>
  <si>
    <t>A general framework to detect potential vulnerabilities of smart contracts.</t>
  </si>
  <si>
    <t>A detection method based on abstract syntax tree (AST), to focus on the reentrancy vulnerability with obvious harm and features in smart contracts.</t>
  </si>
  <si>
    <t>Occurs when a contract tries to access an index in a statically-sized array that exceeds its declared size. This results in a runtime exception, potentially reverting the transaction and causing denial-of-service conditions.</t>
  </si>
  <si>
    <t>These bugs are specific to the implementation of a smart contract and not necessarily tied to the language or platform itself. They often arise from mistakes in coding logic, poor understanding of protocol specifications, or incorrect assumptions.</t>
  </si>
  <si>
    <t>This refers to errors in the design of the contract’s intended behavior, not necessarily a coding error. Even if a smart contract executes as coded, it may not fulfill its intended economic or security goals due to flaws in the underlying logic.</t>
  </si>
  <si>
    <t>These arise in cross-chain bridges, which facilitate token or data transfers between blockchains. Vulnerabilities here can have devastating effects, often due to weak message validation, replay attacks, or inconsistent assumptions about finality or consensus.</t>
  </si>
  <si>
    <t>When smart contracts use transfer() or send(), or manually forward Ether using .call{gas: X} with a hardcoded gas amount, they limit the gas available to the recipient contract. This can break functionality or cause reverts in recipients with higher gas costs (e.g., due to logic, new opcodes, or fallback functions).</t>
  </si>
  <si>
    <t>This vulnerability occurs when a contract performs a low-level function and specifies a hardcoded amount of gas to forward to the callee.</t>
  </si>
  <si>
    <t>Missing Input Validation refers to not verifying user input or parameters passed to functions before using them in logic or state changes.</t>
  </si>
  <si>
    <t>In Solidity, some functions return values (e.g., call, send, delegatecall) indicating success or failure. If a contract ignores or does not use these return values, it may proceed under false assumptions — for instance, that a transfer succeeded when it didn’t.</t>
  </si>
  <si>
    <t>An unused statement is a line of code that executes but has no effect on the program — e.g., expressions that compute a value but do not store or return it.</t>
  </si>
  <si>
    <t>In Solidity, a "code with no effects" vulnerability refers to a situation where a contract includes a function that performs computations or makes decisions but does not have any impact on the contract's state or the blockchain in general.</t>
  </si>
  <si>
    <t>Integer overflow occurs when arithmetic operations exceed the maximum value representable by an integer type in Solidity.</t>
  </si>
  <si>
    <t>Integer underflow occurs when arithmetic operations exceed the minimum value representable by an integer type in Solidity.</t>
  </si>
  <si>
    <t>In Solidity, if no visibility is explicitly declared for a function, it defaults to public in versions prior to 0.5.0. This means anyone can call the function externally, even if the developer intended it to be private or internal.</t>
  </si>
  <si>
    <t>In Solidity, state variables must have an explicitly declared visibility (public, internal, or private). If none is specified, it defaults to internal.</t>
  </si>
  <si>
    <t>This vulnerability occurs when a smart contract’s initialization function, typically used to set key variables like the owner or admin, can be called by anyone because it lacks access control. This usually happens in proxy-based or upgradeable contracts that do not use constructors and instead rely on a public initialize() method.</t>
  </si>
  <si>
    <t>This vulnerability arises when a smart contract allows anyone to invoke the transferFrom() function without verifying that the caller (msg.sender) is authorized to transfer tokens or funds on behalf of someone else.</t>
  </si>
  <si>
    <t>Insufficient gas griefing occurs when a function call, typically to an external contract or address, is forwarded insufficient gas, preventing the callee from executing their logic properly. This can be used maliciously to block or disrupt operations, especially in systems that depend on user interaction, like token transfers or payment distributions.</t>
  </si>
  <si>
    <t>DoS with Failed Call occurs when a single failed external call causes the entire transaction or loop to revert or stop, effectively allowing a malicious participant to block functionality for everyone else.</t>
  </si>
  <si>
    <t>The call function is used to send Ether or execute low-level function calls.
If the return value of call (a boolean indicating success) is not checked, the contract might behave as if the call succeeded even if it failed.</t>
  </si>
  <si>
    <t>Function send is an older way to transfer Ether that forwards only 2300 gas. Like call, it returns a boolean, and if this is not checked, you don’t know whether the transfer succeeded.</t>
  </si>
  <si>
    <t>In older versions (before 0.8.0), transfer was considered safe. However, in certain contexts (e.g., when catch blocks are used), its behavior could be misinterpreted or ignored.</t>
  </si>
  <si>
    <t>In the context of Ethereum smart contracts, a destroyed contract refers to a contract that has been terminated or self-destructed via the selfdestruct function, also known as suicide in earlier versions of Solidity. When a contract is destroyed, its code and state are erased from the blockchain, and any remaining Ether (ETH) in the contract is sent to a specified address.</t>
  </si>
  <si>
    <t>This occurs when an external contract calls back into the contract that initiated the ETH transfer before the state changes (such as balance updates) are finalized. This can allow the attacker to withdraw more funds than intended.</t>
  </si>
  <si>
    <t>In this case, the contract does not transfer ETH directly but may still have a reentrancy vulnerability because of a recursive call, which might allow attackers to modify states or perform unintended operations.</t>
  </si>
  <si>
    <t>This form of reentrancy occurs when the reentrancy leads to multiple calls with the same effect</t>
  </si>
  <si>
    <t>This form of reentrancy involves an attacker triggering negative or destructive events (like causing a contract to fail or exploit the contract’s vulnerability to cause undesirable outcomes such as loss of funds, or altered contract states).</t>
  </si>
  <si>
    <t xml:space="preserve">Vulnerable Verified Smart Contracts dataset: </t>
  </si>
  <si>
    <t>https://doi.org/10.6084/m9.figshare.21990287</t>
  </si>
  <si>
    <t>Verified Smart Contract Code Comments dataset:</t>
  </si>
  <si>
    <t xml:space="preserve"> https://doi.org/10.6084/m9.figshare.20780878 </t>
  </si>
  <si>
    <t xml:space="preserve">Verified Smart Contracts dataset: </t>
  </si>
  <si>
    <t>https://doi.org/10.6084/m9.figshare.20781799</t>
  </si>
  <si>
    <t>Efficient Avoidance of Vulnerabilities in Auto-completed Smart Contract Code Using Vulnerability-constrained Decoding</t>
  </si>
  <si>
    <t xml:space="preserve"> </t>
  </si>
  <si>
    <t>Synthetic</t>
  </si>
  <si>
    <t>Real</t>
  </si>
  <si>
    <t>https://de.fi/audit-database</t>
  </si>
  <si>
    <t>accademia vs practitioners in incedent report</t>
  </si>
  <si>
    <t>audited</t>
  </si>
  <si>
    <t>DoS Costly Pattern and Loops</t>
  </si>
  <si>
    <t>Improper Access Control</t>
  </si>
  <si>
    <t xml:space="preserve">Check on gas Limit, Gas limit in loops, Extra Gas in loop, DoS with Block Gas Limit </t>
  </si>
  <si>
    <t>Multiple calls in a single transaction, Multiple calls, Transfer in loop, Nested Call</t>
  </si>
  <si>
    <t>Memory Manipulation occurs when a contract's memory-related operations are improperly handled, leading to unintended behavior or potential security risks. Memory manipulation vulnerabilities can arise from incorrect access or modification of memory storage, leading to unexpected outcomes.</t>
  </si>
  <si>
    <t>1F</t>
  </si>
  <si>
    <t>1G</t>
  </si>
  <si>
    <t>1H</t>
  </si>
  <si>
    <t>1I</t>
  </si>
  <si>
    <t>1J</t>
  </si>
  <si>
    <t>1J1</t>
  </si>
  <si>
    <t>3E</t>
  </si>
  <si>
    <t>3F</t>
  </si>
  <si>
    <t>7N</t>
  </si>
  <si>
    <t>7M</t>
  </si>
  <si>
    <t>Multiple calls, Transfer in loop, Nested Call,  Multiple calls in a single transaction</t>
  </si>
  <si>
    <t>4I1</t>
  </si>
  <si>
    <t>7V</t>
  </si>
  <si>
    <t>7T</t>
  </si>
  <si>
    <t>7U</t>
  </si>
  <si>
    <t>5A1</t>
  </si>
  <si>
    <t>5B1</t>
  </si>
  <si>
    <t>5B2</t>
  </si>
  <si>
    <t>5B3</t>
  </si>
  <si>
    <t>5B4</t>
  </si>
  <si>
    <t>5B5</t>
  </si>
  <si>
    <t>5B5.1</t>
  </si>
  <si>
    <t>5C3</t>
  </si>
  <si>
    <t>5C4</t>
  </si>
  <si>
    <t>5B5.2</t>
  </si>
  <si>
    <t>5C5</t>
  </si>
  <si>
    <t>6A2</t>
  </si>
  <si>
    <t>7D</t>
  </si>
  <si>
    <t>7E</t>
  </si>
  <si>
    <t>7F</t>
  </si>
  <si>
    <t>7G</t>
  </si>
  <si>
    <t>7G1</t>
  </si>
  <si>
    <t>7G2</t>
  </si>
  <si>
    <t>7G3</t>
  </si>
  <si>
    <t>7H</t>
  </si>
  <si>
    <t>7H1</t>
  </si>
  <si>
    <t>7H2</t>
  </si>
  <si>
    <t>7I</t>
  </si>
  <si>
    <t>7I1</t>
  </si>
  <si>
    <t>7I2</t>
  </si>
  <si>
    <t>7I3</t>
  </si>
  <si>
    <t>7I4</t>
  </si>
  <si>
    <t>7I5</t>
  </si>
  <si>
    <t>7I6</t>
  </si>
  <si>
    <t>7I7</t>
  </si>
  <si>
    <t>7I8</t>
  </si>
  <si>
    <t>7I9</t>
  </si>
  <si>
    <t>7I10</t>
  </si>
  <si>
    <t>7I11</t>
  </si>
  <si>
    <t>7J</t>
  </si>
  <si>
    <t>7K</t>
  </si>
  <si>
    <t>7L</t>
  </si>
  <si>
    <t>7O</t>
  </si>
  <si>
    <t>7P</t>
  </si>
  <si>
    <t>7Q</t>
  </si>
  <si>
    <t>8D1</t>
  </si>
  <si>
    <t>8D2</t>
  </si>
  <si>
    <t>10E</t>
  </si>
  <si>
    <t>10F</t>
  </si>
  <si>
    <t>10G</t>
  </si>
  <si>
    <t>10H</t>
  </si>
  <si>
    <t>11A1</t>
  </si>
  <si>
    <t>11A2</t>
  </si>
  <si>
    <t>11I</t>
  </si>
  <si>
    <t>13E</t>
  </si>
  <si>
    <t>13F</t>
  </si>
  <si>
    <t>13G</t>
  </si>
  <si>
    <t>13H</t>
  </si>
  <si>
    <t>13I</t>
  </si>
  <si>
    <t>13J</t>
  </si>
  <si>
    <t>13K</t>
  </si>
  <si>
    <t>13L</t>
  </si>
  <si>
    <t>13M</t>
  </si>
  <si>
    <t>13N</t>
  </si>
  <si>
    <t>13O</t>
  </si>
  <si>
    <t>13P</t>
  </si>
  <si>
    <t>13Q</t>
  </si>
  <si>
    <t>7S</t>
  </si>
  <si>
    <t>7E1</t>
  </si>
  <si>
    <t>7E2</t>
  </si>
  <si>
    <t>7E3</t>
  </si>
  <si>
    <t>7R</t>
  </si>
  <si>
    <t>5B6</t>
  </si>
  <si>
    <t>Category</t>
  </si>
  <si>
    <t>Vulnerability Uncovered</t>
  </si>
  <si>
    <t>Not covered</t>
  </si>
  <si>
    <t>Covered</t>
  </si>
  <si>
    <t>#Vulns</t>
  </si>
  <si>
    <t>Covered in benchmarks</t>
  </si>
  <si>
    <t>Not covered in benchmark</t>
  </si>
  <si>
    <t>Not in benchmark</t>
  </si>
  <si>
    <t>Not in tool and benchmark</t>
  </si>
  <si>
    <t>All (no emerging) - 156</t>
  </si>
  <si>
    <t>4 - Resurce Consumption &amp; Gas Related Issues</t>
  </si>
  <si>
    <r>
      <t xml:space="preserve">Refers to using </t>
    </r>
    <r>
      <rPr>
        <sz val="10"/>
        <color rgb="FF000000"/>
        <rFont val="Arial Unicode MS"/>
        <family val="2"/>
      </rPr>
      <t>msg.value</t>
    </r>
    <r>
      <rPr>
        <sz val="11"/>
        <color rgb="FF000000"/>
        <rFont val="Aptos Narrow"/>
        <family val="2"/>
      </rPr>
      <t xml:space="preserve"> in a way that distributes ether inside a loop, which can lead to unexpected results if the logic doesn’t properly scale with the number of iterations, or if individual iterations fail (e.g., failed </t>
    </r>
    <r>
      <rPr>
        <sz val="10"/>
        <color rgb="FF000000"/>
        <rFont val="Arial Unicode MS"/>
        <family val="2"/>
      </rPr>
      <t>send()</t>
    </r>
    <r>
      <rPr>
        <sz val="11"/>
        <color rgb="FF000000"/>
        <rFont val="Aptos Narrow"/>
        <family val="2"/>
      </rPr>
      <t xml:space="preserve"> or </t>
    </r>
    <r>
      <rPr>
        <sz val="10"/>
        <color rgb="FF000000"/>
        <rFont val="Arial Unicode MS"/>
        <family val="2"/>
      </rPr>
      <t>call()</t>
    </r>
    <r>
      <rPr>
        <sz val="11"/>
        <color rgb="FF000000"/>
        <rFont val="Aptos Narrow"/>
        <family val="2"/>
      </rPr>
      <t>). This can also cause denial-of-service if the loop runs out of gas.</t>
    </r>
  </si>
  <si>
    <t>5 - Authentication &amp; Access Control Vulnerabilities</t>
  </si>
  <si>
    <t>Division Issues</t>
  </si>
  <si>
    <t>In Solidity, division issues generally arise from integer division, division by zero, operators priority, and precision loss, which can lead to unexpected results, bugs, or vulnerabilities.</t>
  </si>
  <si>
    <r>
      <t xml:space="preserve">Before Solidity version 0.4.22, constructors were defined by writing a function with the same name as the contract class containing it. However, starting from Solidity version 0.4.22, the </t>
    </r>
    <r>
      <rPr>
        <sz val="10"/>
        <color rgb="FF000000"/>
        <rFont val="Arial Unicode MS"/>
        <family val="2"/>
      </rPr>
      <t>constructor</t>
    </r>
    <r>
      <rPr>
        <sz val="11"/>
        <color rgb="FF000000"/>
        <rFont val="Aptos Narrow"/>
        <family val="2"/>
      </rPr>
      <t xml:space="preserve"> keyword was introduced as a new method for defining constructors.</t>
    </r>
  </si>
  <si>
    <r>
      <t xml:space="preserve">It occurs if an invalid check is implemented in the wrapper functions during library development. Many popular libraries are specifically designed for security purposes, with wrapper functions that implement additional checkers over original operations to prevent potential attacks, e.g., SafeMath.
SafeERC20 wraps the </t>
    </r>
    <r>
      <rPr>
        <i/>
        <sz val="11"/>
        <color rgb="FF000000"/>
        <rFont val="Aptos Narrow"/>
      </rPr>
      <t>approve</t>
    </r>
    <r>
      <rPr>
        <sz val="11"/>
        <color rgb="FF000000"/>
        <rFont val="Aptos Narrow"/>
        <family val="2"/>
      </rPr>
      <t xml:space="preserve"> function in the </t>
    </r>
    <r>
      <rPr>
        <i/>
        <sz val="11"/>
        <color rgb="FF000000"/>
        <rFont val="Aptos Narrow"/>
      </rPr>
      <t>safeApprove</t>
    </r>
    <r>
      <rPr>
        <sz val="11"/>
        <color rgb="FF000000"/>
        <rFont val="Aptos Narrow"/>
        <family val="2"/>
      </rPr>
      <t xml:space="preserve"> function. Before the commit fc17a1d, </t>
    </r>
    <r>
      <rPr>
        <i/>
        <sz val="11"/>
        <color rgb="FF000000"/>
        <rFont val="Aptos Narrow"/>
      </rPr>
      <t>safeApprove</t>
    </r>
    <r>
      <rPr>
        <sz val="11"/>
        <color rgb="FF000000"/>
        <rFont val="Aptos Narrow"/>
        <family val="2"/>
      </rPr>
      <t xml:space="preserve"> can directly reset the allowance, which is not permitted according to the design goal.</t>
    </r>
  </si>
  <si>
    <r>
      <t xml:space="preserve">It occurs when developers overestimate the security capabilities of a library function, leading to vulnerabilities. Although library documentation provides usage guidelines, misunderstandings can result in incorrect assumptions about a function’s effectiveness. The library function </t>
    </r>
    <r>
      <rPr>
        <i/>
        <sz val="11"/>
        <color rgb="FF0E101A"/>
        <rFont val="Aptos Narrow"/>
        <family val="2"/>
      </rPr>
      <t>isContract</t>
    </r>
    <r>
      <rPr>
        <sz val="11"/>
        <color rgb="FF000000"/>
        <rFont val="Aptos Narrow"/>
        <family val="2"/>
      </rPr>
      <t>, used in the Fei Protocol, prevents smart contract interactions but only checks for deployed bytecode, not constructor code. This oversight allowed attackers to bypass the check using contracts that execute logic in their constructor, making the system vulnerable to flash loan attacks.</t>
    </r>
  </si>
  <si>
    <r>
      <t>A</t>
    </r>
    <r>
      <rPr>
        <sz val="11"/>
        <color rgb="FF000000"/>
        <rFont val="Aptos Narrow"/>
        <family val="2"/>
      </rPr>
      <t xml:space="preserve">n adversary influences the price reported by an oracle to profit from incorrect price data. Attackers typically exploit low-liquidity markets, manipulate time-weighted average prices, or corrupt centralized oracles to inflate or deflate asset prices artificially. </t>
    </r>
  </si>
  <si>
    <r>
      <t>Price manipulation by buying tokens</t>
    </r>
    <r>
      <rPr>
        <sz val="11"/>
        <color rgb="FF000000"/>
        <rFont val="Aptos Narrow"/>
      </rPr>
      <t xml:space="preserve"> occurs when an attacker or trader purchases large amounts of a token to inflate its price artificially and then sells it off, i.e., p</t>
    </r>
    <r>
      <rPr>
        <sz val="11"/>
        <color rgb="FF0E101A"/>
        <rFont val="Aptos Narrow"/>
      </rPr>
      <t>ump and dump.</t>
    </r>
    <r>
      <rPr>
        <sz val="11"/>
        <color rgb="FF000000"/>
        <rFont val="Aptos Narrow"/>
      </rPr>
      <t xml:space="preserve"> The attacker buys large amounts of a low-liquidity token, driving up its price and attracting traders who fear of missing out (FOMO) into buying. Once the price is high enough, the attacker sells off their holdings, crashing the price and leaving others with losses.</t>
    </r>
  </si>
  <si>
    <r>
      <t xml:space="preserve">Occurs when a dynamically-sized array (e.g., created with </t>
    </r>
    <r>
      <rPr>
        <sz val="10"/>
        <color rgb="FF000000"/>
        <rFont val="Arial Unicode MS"/>
        <family val="2"/>
      </rPr>
      <t>new</t>
    </r>
    <r>
      <rPr>
        <sz val="11"/>
        <color rgb="FF000000"/>
        <rFont val="Aptos Narrow"/>
        <family val="2"/>
      </rPr>
      <t xml:space="preserve"> or modified with </t>
    </r>
    <r>
      <rPr>
        <sz val="10"/>
        <color rgb="FF000000"/>
        <rFont val="Arial Unicode MS"/>
        <family val="2"/>
      </rPr>
      <t>.push()</t>
    </r>
    <r>
      <rPr>
        <sz val="11"/>
        <color rgb="FF000000"/>
        <rFont val="Aptos Narrow"/>
        <family val="2"/>
      </rPr>
      <t>) is accessed at an index that doesn’t exist. While Solidity typically throws and reverts on such errors, failure to validate indices can lead to unexpected behavior or vulnerabilities when combined with external calls.</t>
    </r>
  </si>
  <si>
    <t>Previous_ID</t>
  </si>
  <si>
    <t>Validated_ID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</si>
</sst>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Aptos Narrow"/>
      <family val="2"/>
      <scheme val="minor"/>
    </font>
    <font>
      <sz val="12"/>
      <color theme="1"/>
      <name val="Aptos Narrow"/>
      <family val="2"/>
      <scheme val="minor"/>
    </font>
    <font>
      <b/>
      <sz val="11"/>
      <color theme="1"/>
      <name val="Aptos Narrow"/>
      <family val="2"/>
      <scheme val="minor"/>
    </font>
    <font>
      <sz val="10"/>
      <color rgb="FF000000"/>
      <name val="Times New Roman"/>
      <family val="1"/>
    </font>
    <font>
      <b/>
      <sz val="11"/>
      <name val="Aptos Narrow"/>
      <family val="2"/>
      <scheme val="minor"/>
    </font>
    <font>
      <sz val="11"/>
      <color rgb="FFFF0000"/>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theme="1"/>
      <name val="Aptos Narrow"/>
      <family val="2"/>
      <scheme val="minor"/>
    </font>
    <font>
      <sz val="8"/>
      <name val="Aptos Narrow"/>
      <family val="2"/>
      <scheme val="minor"/>
    </font>
    <font>
      <b/>
      <i/>
      <sz val="11"/>
      <color theme="1"/>
      <name val="Aptos Narrow"/>
      <family val="2"/>
      <scheme val="minor"/>
    </font>
    <font>
      <i/>
      <sz val="11"/>
      <color theme="1"/>
      <name val="Aptos Narrow"/>
      <family val="2"/>
      <scheme val="minor"/>
    </font>
    <font>
      <sz val="10"/>
      <color theme="1"/>
      <name val="Arial Unicode MS"/>
      <family val="2"/>
    </font>
    <font>
      <sz val="12"/>
      <color theme="1"/>
      <name val="Arial"/>
      <family val="2"/>
    </font>
    <font>
      <i/>
      <sz val="11"/>
      <name val="Aptos Narrow"/>
      <family val="2"/>
      <scheme val="minor"/>
    </font>
    <font>
      <b/>
      <i/>
      <sz val="11"/>
      <name val="Aptos Narrow"/>
      <family val="2"/>
      <scheme val="minor"/>
    </font>
    <font>
      <b/>
      <sz val="12"/>
      <color theme="1"/>
      <name val="Aptos Narrow"/>
      <family val="2"/>
      <scheme val="minor"/>
    </font>
    <font>
      <u/>
      <sz val="11"/>
      <color rgb="FF467886"/>
      <name val="Aptos Narrow"/>
      <family val="2"/>
      <scheme val="minor"/>
    </font>
    <font>
      <b/>
      <i/>
      <sz val="11"/>
      <color theme="1"/>
      <name val="Aptos Narrow"/>
      <scheme val="minor"/>
    </font>
    <font>
      <sz val="10"/>
      <color rgb="FF000000"/>
      <name val="Arial Unicode MS"/>
      <family val="2"/>
    </font>
    <font>
      <i/>
      <sz val="11"/>
      <color theme="1"/>
      <name val="Aptos Narrow"/>
      <scheme val="minor"/>
    </font>
    <font>
      <sz val="11"/>
      <color theme="1"/>
      <name val="Aptos Narrow"/>
      <scheme val="minor"/>
    </font>
    <font>
      <u val="double"/>
      <sz val="11"/>
      <color rgb="FFFF0000"/>
      <name val="Aptos Narrow (Body)"/>
    </font>
    <font>
      <sz val="11"/>
      <color theme="1"/>
      <name val="Aptos Narrow (Body)"/>
    </font>
    <font>
      <sz val="10"/>
      <color rgb="FF000000"/>
      <name val="Tahoma"/>
      <family val="2"/>
    </font>
    <font>
      <b/>
      <sz val="10"/>
      <color rgb="FF000000"/>
      <name val="Tahoma"/>
      <family val="2"/>
    </font>
    <font>
      <b/>
      <sz val="11"/>
      <color theme="1"/>
      <name val="Aptos Narrow"/>
      <scheme val="minor"/>
    </font>
    <font>
      <b/>
      <sz val="11"/>
      <color rgb="FF000000"/>
      <name val="Aptos Narrow"/>
      <family val="2"/>
    </font>
    <font>
      <sz val="11"/>
      <color rgb="FF000000"/>
      <name val="Aptos Narrow"/>
      <family val="2"/>
    </font>
    <font>
      <b/>
      <i/>
      <sz val="11"/>
      <color rgb="FF000000"/>
      <name val="Aptos Narrow"/>
      <family val="2"/>
    </font>
    <font>
      <sz val="11"/>
      <color rgb="FFFF0000"/>
      <name val="Aptos Narrow"/>
      <family val="2"/>
    </font>
    <font>
      <sz val="11"/>
      <name val="Aptos Narrow"/>
      <family val="2"/>
    </font>
    <font>
      <i/>
      <sz val="11"/>
      <color rgb="FF000000"/>
      <name val="Aptos Narrow"/>
    </font>
    <font>
      <i/>
      <sz val="11"/>
      <color rgb="FF0E101A"/>
      <name val="Aptos Narrow"/>
      <family val="2"/>
    </font>
    <font>
      <b/>
      <sz val="11"/>
      <color rgb="FF0E101A"/>
      <name val="Aptos Narrow"/>
      <family val="2"/>
    </font>
    <font>
      <sz val="11"/>
      <color rgb="FF0E101A"/>
      <name val="Aptos Narrow"/>
      <family val="2"/>
    </font>
    <font>
      <sz val="11"/>
      <color rgb="FF000000"/>
      <name val="Aptos Narrow"/>
    </font>
    <font>
      <sz val="11"/>
      <color rgb="FF0E101A"/>
      <name val="Aptos Narrow"/>
    </font>
    <font>
      <b/>
      <sz val="11"/>
      <color rgb="FF000000"/>
      <name val="Aptos Narrow"/>
    </font>
  </fonts>
  <fills count="17">
    <fill>
      <patternFill patternType="none"/>
    </fill>
    <fill>
      <patternFill patternType="gray125"/>
    </fill>
    <fill>
      <patternFill patternType="solid">
        <fgColor theme="3" tint="0.74999237037263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rgb="FFF2F69C"/>
        <bgColor indexed="64"/>
      </patternFill>
    </fill>
    <fill>
      <patternFill patternType="solid">
        <fgColor rgb="FFC0E6F5"/>
        <bgColor rgb="FF000000"/>
      </patternFill>
    </fill>
    <fill>
      <patternFill patternType="solid">
        <fgColor rgb="FFD9D9D9"/>
        <bgColor rgb="FFD9D9D9"/>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s>
  <cellStyleXfs count="5">
    <xf numFmtId="0" fontId="0" fillId="0" borderId="0"/>
    <xf numFmtId="0" fontId="3" fillId="0" borderId="0"/>
    <xf numFmtId="0" fontId="6" fillId="0" borderId="0" applyNumberFormat="0" applyFill="0" applyBorder="0" applyAlignment="0" applyProtection="0"/>
    <xf numFmtId="9" fontId="9" fillId="0" borderId="0" applyFont="0" applyFill="0" applyBorder="0" applyAlignment="0" applyProtection="0"/>
    <xf numFmtId="0" fontId="1" fillId="0" borderId="0"/>
  </cellStyleXfs>
  <cellXfs count="346">
    <xf numFmtId="0" fontId="0" fillId="0" borderId="0" xfId="0"/>
    <xf numFmtId="0" fontId="0" fillId="0" borderId="0" xfId="0" applyAlignment="1">
      <alignment vertical="center"/>
    </xf>
    <xf numFmtId="0" fontId="0" fillId="0" borderId="0" xfId="0" applyAlignment="1">
      <alignment horizontal="left" vertical="justify"/>
    </xf>
    <xf numFmtId="0" fontId="2" fillId="0" borderId="0" xfId="0" applyFont="1"/>
    <xf numFmtId="2" fontId="0" fillId="0" borderId="0" xfId="0" applyNumberFormat="1"/>
    <xf numFmtId="1" fontId="0" fillId="0" borderId="0" xfId="0" applyNumberFormat="1"/>
    <xf numFmtId="0" fontId="0" fillId="0" borderId="0" xfId="0" applyAlignment="1">
      <alignment horizontal="right"/>
    </xf>
    <xf numFmtId="0" fontId="0" fillId="0" borderId="0" xfId="0" applyAlignment="1">
      <alignment horizontal="fill"/>
    </xf>
    <xf numFmtId="0" fontId="0" fillId="0" borderId="0" xfId="0" applyAlignment="1">
      <alignment horizontal="left" vertical="center"/>
    </xf>
    <xf numFmtId="0" fontId="0" fillId="0" borderId="0" xfId="0" applyAlignment="1">
      <alignment horizontal="left"/>
    </xf>
    <xf numFmtId="49" fontId="0" fillId="0" borderId="0" xfId="0" applyNumberFormat="1" applyAlignment="1">
      <alignment horizontal="left"/>
    </xf>
    <xf numFmtId="0" fontId="0" fillId="0" borderId="0" xfId="0" applyAlignment="1">
      <alignment horizontal="center" vertical="center"/>
    </xf>
    <xf numFmtId="0" fontId="0" fillId="0" borderId="0" xfId="0" applyAlignment="1">
      <alignment horizontal="left" vertical="center" wrapText="1"/>
    </xf>
    <xf numFmtId="0" fontId="7" fillId="0" borderId="0" xfId="0" applyFont="1"/>
    <xf numFmtId="0" fontId="0" fillId="0" borderId="5" xfId="0" applyBorder="1"/>
    <xf numFmtId="0" fontId="0" fillId="0" borderId="7" xfId="0" applyBorder="1"/>
    <xf numFmtId="0" fontId="0" fillId="0" borderId="8" xfId="0" applyBorder="1"/>
    <xf numFmtId="0" fontId="0" fillId="0" borderId="4" xfId="0" applyBorder="1"/>
    <xf numFmtId="0" fontId="0" fillId="0" borderId="6" xfId="0" applyBorder="1"/>
    <xf numFmtId="0" fontId="0" fillId="0" borderId="0" xfId="2" applyNumberFormat="1" applyFont="1" applyBorder="1" applyAlignment="1">
      <alignment horizontal="fill"/>
    </xf>
    <xf numFmtId="1" fontId="0" fillId="0" borderId="0" xfId="2" applyNumberFormat="1" applyFont="1" applyBorder="1" applyAlignment="1">
      <alignment horizontal="fill"/>
    </xf>
    <xf numFmtId="0" fontId="0" fillId="0" borderId="0" xfId="2" applyNumberFormat="1" applyFont="1" applyFill="1" applyBorder="1" applyAlignment="1">
      <alignment horizontal="fill"/>
    </xf>
    <xf numFmtId="0" fontId="7" fillId="0" borderId="4" xfId="0" applyFont="1" applyBorder="1"/>
    <xf numFmtId="0" fontId="0" fillId="0" borderId="5" xfId="0" applyBorder="1" applyAlignment="1">
      <alignment horizontal="left"/>
    </xf>
    <xf numFmtId="0" fontId="4" fillId="0" borderId="4" xfId="0" applyFont="1" applyBorder="1" applyAlignment="1">
      <alignment horizontal="left"/>
    </xf>
    <xf numFmtId="0" fontId="7" fillId="0" borderId="4" xfId="0" applyFont="1" applyBorder="1" applyAlignment="1">
      <alignment horizontal="left"/>
    </xf>
    <xf numFmtId="0" fontId="7" fillId="9" borderId="4" xfId="0" applyFont="1" applyFill="1" applyBorder="1" applyAlignment="1">
      <alignment horizontal="left"/>
    </xf>
    <xf numFmtId="0" fontId="4" fillId="2" borderId="1" xfId="0" applyFont="1" applyFill="1" applyBorder="1" applyAlignment="1">
      <alignment horizontal="left" vertical="center"/>
    </xf>
    <xf numFmtId="0" fontId="4" fillId="2" borderId="2" xfId="0" applyFont="1" applyFill="1" applyBorder="1" applyAlignment="1">
      <alignment horizontal="left" vertical="center"/>
    </xf>
    <xf numFmtId="0" fontId="4" fillId="2" borderId="2" xfId="0" applyFont="1" applyFill="1" applyBorder="1" applyAlignment="1">
      <alignment horizontal="left" vertical="justify"/>
    </xf>
    <xf numFmtId="0" fontId="4" fillId="2" borderId="3" xfId="0" applyFont="1" applyFill="1" applyBorder="1" applyAlignment="1">
      <alignment horizontal="left"/>
    </xf>
    <xf numFmtId="0" fontId="7" fillId="0" borderId="5" xfId="0" applyFont="1" applyBorder="1" applyAlignment="1">
      <alignment horizontal="left"/>
    </xf>
    <xf numFmtId="0" fontId="7" fillId="9" borderId="5" xfId="0" applyFont="1" applyFill="1" applyBorder="1" applyAlignment="1">
      <alignment horizontal="left"/>
    </xf>
    <xf numFmtId="0" fontId="7" fillId="6" borderId="4" xfId="0" applyFont="1" applyFill="1" applyBorder="1" applyAlignment="1">
      <alignment horizontal="left"/>
    </xf>
    <xf numFmtId="9" fontId="7" fillId="0" borderId="0" xfId="3" applyFont="1" applyBorder="1" applyAlignment="1">
      <alignment horizontal="left"/>
    </xf>
    <xf numFmtId="0" fontId="7" fillId="2" borderId="4" xfId="0" applyFont="1" applyFill="1" applyBorder="1" applyAlignment="1">
      <alignment horizontal="left"/>
    </xf>
    <xf numFmtId="0" fontId="7" fillId="2" borderId="5" xfId="0" applyFont="1" applyFill="1" applyBorder="1" applyAlignment="1">
      <alignment horizontal="left"/>
    </xf>
    <xf numFmtId="0" fontId="7" fillId="0" borderId="4" xfId="0" applyFont="1" applyBorder="1" applyAlignment="1">
      <alignment horizontal="left" vertical="justify"/>
    </xf>
    <xf numFmtId="0" fontId="16" fillId="0" borderId="4" xfId="0" applyFont="1" applyBorder="1" applyAlignment="1">
      <alignment horizontal="left"/>
    </xf>
    <xf numFmtId="0" fontId="4" fillId="0" borderId="4" xfId="0" applyFont="1" applyBorder="1" applyAlignment="1">
      <alignment horizontal="left" vertical="justify"/>
    </xf>
    <xf numFmtId="2" fontId="0" fillId="0" borderId="7" xfId="0" applyNumberFormat="1" applyBorder="1"/>
    <xf numFmtId="0" fontId="8" fillId="0" borderId="0" xfId="0" applyFont="1"/>
    <xf numFmtId="0" fontId="13" fillId="0" borderId="0" xfId="0" applyFont="1"/>
    <xf numFmtId="0" fontId="0" fillId="11" borderId="0" xfId="0" applyFill="1" applyAlignment="1">
      <alignment horizontal="left"/>
    </xf>
    <xf numFmtId="0" fontId="27" fillId="0" borderId="0" xfId="0" applyFont="1" applyAlignment="1">
      <alignment horizontal="center" vertical="center"/>
    </xf>
    <xf numFmtId="0" fontId="14" fillId="0" borderId="0" xfId="0" applyFont="1"/>
    <xf numFmtId="0" fontId="2" fillId="0" borderId="0" xfId="0" applyFont="1" applyAlignment="1">
      <alignment horizontal="left" vertical="center" wrapText="1"/>
    </xf>
    <xf numFmtId="0" fontId="2" fillId="9" borderId="0" xfId="0" applyFont="1" applyFill="1"/>
    <xf numFmtId="49" fontId="2" fillId="2" borderId="0" xfId="0" applyNumberFormat="1" applyFont="1" applyFill="1" applyAlignment="1">
      <alignment horizontal="left"/>
    </xf>
    <xf numFmtId="0" fontId="2" fillId="2" borderId="0" xfId="0" applyFont="1" applyFill="1"/>
    <xf numFmtId="49" fontId="0" fillId="0" borderId="0" xfId="0" applyNumberFormat="1"/>
    <xf numFmtId="1" fontId="0" fillId="0" borderId="0" xfId="0" applyNumberFormat="1" applyAlignment="1">
      <alignment wrapText="1"/>
    </xf>
    <xf numFmtId="0" fontId="0" fillId="0" borderId="0" xfId="0" applyAlignment="1">
      <alignment wrapText="1"/>
    </xf>
    <xf numFmtId="49" fontId="0" fillId="0" borderId="0" xfId="0" applyNumberFormat="1" applyAlignment="1">
      <alignment horizontal="left" wrapText="1"/>
    </xf>
    <xf numFmtId="49" fontId="0" fillId="0" borderId="0" xfId="0" applyNumberFormat="1" applyAlignment="1">
      <alignment horizontal="left" vertical="center"/>
    </xf>
    <xf numFmtId="0" fontId="20" fillId="0" borderId="0" xfId="0" applyFont="1"/>
    <xf numFmtId="0" fontId="17" fillId="11" borderId="1" xfId="0" applyFont="1" applyFill="1" applyBorder="1" applyAlignment="1">
      <alignment horizontal="right" vertical="center"/>
    </xf>
    <xf numFmtId="0" fontId="11" fillId="2" borderId="2" xfId="0" applyFont="1" applyFill="1" applyBorder="1" applyAlignment="1">
      <alignment horizontal="center" vertical="center"/>
    </xf>
    <xf numFmtId="0" fontId="11" fillId="14" borderId="2" xfId="0" applyFont="1" applyFill="1" applyBorder="1" applyAlignment="1">
      <alignment horizontal="center" vertical="center"/>
    </xf>
    <xf numFmtId="0" fontId="11" fillId="13" borderId="2" xfId="0" applyFont="1" applyFill="1" applyBorder="1" applyAlignment="1">
      <alignment horizontal="center" vertical="center"/>
    </xf>
    <xf numFmtId="0" fontId="0" fillId="6" borderId="2" xfId="0" applyFill="1" applyBorder="1" applyAlignment="1">
      <alignment horizontal="left"/>
    </xf>
    <xf numFmtId="0" fontId="0" fillId="2" borderId="2" xfId="0" applyFill="1" applyBorder="1" applyAlignment="1">
      <alignment horizontal="center" vertical="center" wrapText="1"/>
    </xf>
    <xf numFmtId="0" fontId="24" fillId="2" borderId="2" xfId="0" applyFont="1" applyFill="1" applyBorder="1" applyAlignment="1">
      <alignment horizontal="center" vertical="center" wrapText="1"/>
    </xf>
    <xf numFmtId="0" fontId="0" fillId="2" borderId="2" xfId="0" applyFill="1" applyBorder="1" applyAlignment="1">
      <alignment horizontal="center" vertical="center"/>
    </xf>
    <xf numFmtId="0" fontId="23" fillId="2" borderId="2" xfId="0" applyFont="1" applyFill="1" applyBorder="1" applyAlignment="1">
      <alignment horizontal="center" vertical="center" wrapText="1"/>
    </xf>
    <xf numFmtId="0" fontId="0" fillId="2" borderId="3" xfId="0" applyFill="1" applyBorder="1" applyAlignment="1">
      <alignment horizontal="center" vertical="center"/>
    </xf>
    <xf numFmtId="0" fontId="27" fillId="6" borderId="4" xfId="0" applyFont="1" applyFill="1" applyBorder="1" applyAlignment="1">
      <alignment horizontal="center" vertical="center"/>
    </xf>
    <xf numFmtId="0" fontId="27" fillId="6" borderId="0" xfId="0" applyFont="1" applyFill="1" applyAlignment="1">
      <alignment horizontal="center" vertical="center"/>
    </xf>
    <xf numFmtId="0" fontId="0" fillId="2" borderId="0" xfId="0" applyFill="1" applyAlignment="1">
      <alignment horizontal="center" vertical="center" wrapText="1"/>
    </xf>
    <xf numFmtId="0" fontId="7" fillId="2" borderId="0" xfId="0" applyFont="1" applyFill="1" applyAlignment="1">
      <alignment horizontal="center" vertical="center" wrapText="1"/>
    </xf>
    <xf numFmtId="0" fontId="0" fillId="2" borderId="0" xfId="0" applyFill="1" applyAlignment="1">
      <alignment horizontal="center" vertical="center"/>
    </xf>
    <xf numFmtId="0" fontId="24" fillId="2" borderId="0" xfId="0" applyFont="1" applyFill="1" applyAlignment="1">
      <alignment horizontal="center" vertical="center" wrapText="1"/>
    </xf>
    <xf numFmtId="0" fontId="0" fillId="2" borderId="5" xfId="0" applyFill="1" applyBorder="1" applyAlignment="1">
      <alignment horizontal="center" vertical="center"/>
    </xf>
    <xf numFmtId="0" fontId="12" fillId="14" borderId="4" xfId="0" applyFont="1" applyFill="1" applyBorder="1" applyAlignment="1">
      <alignment horizontal="right"/>
    </xf>
    <xf numFmtId="0" fontId="12" fillId="2" borderId="4" xfId="0" applyFont="1" applyFill="1" applyBorder="1" applyAlignment="1">
      <alignment horizontal="right"/>
    </xf>
    <xf numFmtId="0" fontId="12" fillId="2" borderId="4" xfId="0" applyFont="1" applyFill="1" applyBorder="1" applyAlignment="1">
      <alignment horizontal="right" vertical="center"/>
    </xf>
    <xf numFmtId="0" fontId="0" fillId="14" borderId="4" xfId="0" applyFill="1" applyBorder="1" applyAlignment="1">
      <alignment horizontal="right" vertical="center"/>
    </xf>
    <xf numFmtId="0" fontId="0" fillId="2" borderId="4" xfId="0" applyFill="1" applyBorder="1" applyAlignment="1">
      <alignment horizontal="right" vertical="center"/>
    </xf>
    <xf numFmtId="0" fontId="21" fillId="2" borderId="4" xfId="0" applyFont="1" applyFill="1" applyBorder="1" applyAlignment="1">
      <alignment horizontal="right" vertical="center"/>
    </xf>
    <xf numFmtId="0" fontId="0" fillId="2" borderId="4" xfId="0" applyFill="1" applyBorder="1" applyAlignment="1">
      <alignment horizontal="right"/>
    </xf>
    <xf numFmtId="0" fontId="0" fillId="14" borderId="4" xfId="0" applyFill="1" applyBorder="1" applyAlignment="1">
      <alignment horizontal="right"/>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11" fillId="0" borderId="0" xfId="0" applyFont="1" applyAlignment="1">
      <alignment horizontal="center" vertical="center"/>
    </xf>
    <xf numFmtId="0" fontId="2" fillId="2" borderId="0" xfId="0" applyFont="1" applyFill="1" applyAlignment="1">
      <alignment horizontal="center" vertical="center" wrapText="1"/>
    </xf>
    <xf numFmtId="49" fontId="2" fillId="2" borderId="0" xfId="0" applyNumberFormat="1" applyFont="1" applyFill="1" applyAlignment="1">
      <alignment horizontal="center" vertical="center" wrapText="1"/>
    </xf>
    <xf numFmtId="0" fontId="2" fillId="2" borderId="0" xfId="0" applyFont="1" applyFill="1" applyAlignment="1">
      <alignment horizontal="center" vertical="center"/>
    </xf>
    <xf numFmtId="49" fontId="2" fillId="2" borderId="0" xfId="0" applyNumberFormat="1" applyFont="1" applyFill="1" applyAlignment="1">
      <alignment horizontal="center"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0" xfId="0" applyFont="1" applyAlignment="1">
      <alignment horizontal="center" vertical="center"/>
    </xf>
    <xf numFmtId="0" fontId="11" fillId="2" borderId="4" xfId="0" applyFont="1" applyFill="1" applyBorder="1" applyAlignment="1">
      <alignment horizontal="right" vertical="center"/>
    </xf>
    <xf numFmtId="0" fontId="4" fillId="2" borderId="1" xfId="0" applyFont="1" applyFill="1" applyBorder="1" applyAlignment="1">
      <alignment horizontal="fill"/>
    </xf>
    <xf numFmtId="0" fontId="4" fillId="2" borderId="2" xfId="0" applyFont="1" applyFill="1" applyBorder="1" applyAlignment="1">
      <alignment horizontal="fill"/>
    </xf>
    <xf numFmtId="0" fontId="4" fillId="2" borderId="2" xfId="0" applyFont="1" applyFill="1" applyBorder="1" applyAlignment="1">
      <alignment horizontal="left"/>
    </xf>
    <xf numFmtId="0" fontId="4" fillId="2" borderId="2" xfId="0" applyFont="1" applyFill="1" applyBorder="1"/>
    <xf numFmtId="0" fontId="0" fillId="2" borderId="2" xfId="0" applyFill="1" applyBorder="1" applyAlignment="1">
      <alignment horizontal="fill"/>
    </xf>
    <xf numFmtId="2" fontId="4" fillId="2" borderId="2" xfId="0" applyNumberFormat="1" applyFont="1" applyFill="1" applyBorder="1"/>
    <xf numFmtId="0" fontId="4" fillId="2" borderId="4" xfId="0" applyFont="1" applyFill="1" applyBorder="1" applyAlignment="1">
      <alignment horizontal="fill"/>
    </xf>
    <xf numFmtId="0" fontId="4" fillId="2" borderId="0" xfId="0" applyFont="1" applyFill="1" applyAlignment="1">
      <alignment horizontal="fill"/>
    </xf>
    <xf numFmtId="0" fontId="4" fillId="2" borderId="0" xfId="0" applyFont="1" applyFill="1" applyAlignment="1">
      <alignment horizontal="left"/>
    </xf>
    <xf numFmtId="0" fontId="4" fillId="2" borderId="0" xfId="0" applyFont="1" applyFill="1"/>
    <xf numFmtId="0" fontId="0" fillId="2" borderId="0" xfId="0" applyFill="1" applyAlignment="1">
      <alignment horizontal="fill"/>
    </xf>
    <xf numFmtId="2" fontId="4" fillId="2" borderId="0" xfId="0" applyNumberFormat="1" applyFont="1" applyFill="1"/>
    <xf numFmtId="10" fontId="2" fillId="3" borderId="0" xfId="0" applyNumberFormat="1" applyFont="1" applyFill="1" applyAlignment="1">
      <alignment horizontal="center"/>
    </xf>
    <xf numFmtId="10" fontId="2" fillId="4" borderId="0" xfId="0" applyNumberFormat="1" applyFont="1" applyFill="1" applyAlignment="1">
      <alignment horizontal="center"/>
    </xf>
    <xf numFmtId="10" fontId="2" fillId="10" borderId="0" xfId="0" applyNumberFormat="1" applyFont="1" applyFill="1" applyAlignment="1">
      <alignment horizontal="center"/>
    </xf>
    <xf numFmtId="10" fontId="2" fillId="5" borderId="0" xfId="0" applyNumberFormat="1" applyFont="1" applyFill="1" applyAlignment="1">
      <alignment horizontal="center"/>
    </xf>
    <xf numFmtId="10" fontId="2" fillId="12" borderId="0" xfId="0" applyNumberFormat="1" applyFont="1" applyFill="1" applyAlignment="1">
      <alignment horizontal="center"/>
    </xf>
    <xf numFmtId="10" fontId="2" fillId="12" borderId="5" xfId="0" applyNumberFormat="1" applyFont="1" applyFill="1" applyBorder="1" applyAlignment="1">
      <alignment horizontal="center"/>
    </xf>
    <xf numFmtId="0" fontId="2" fillId="2" borderId="4" xfId="0" applyFont="1" applyFill="1" applyBorder="1" applyAlignment="1">
      <alignment horizontal="right"/>
    </xf>
    <xf numFmtId="0" fontId="2" fillId="3" borderId="0" xfId="0" applyFont="1" applyFill="1"/>
    <xf numFmtId="0" fontId="2" fillId="4" borderId="0" xfId="0" applyFont="1" applyFill="1"/>
    <xf numFmtId="0" fontId="2" fillId="10"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8" borderId="5" xfId="0" applyFont="1" applyFill="1" applyBorder="1"/>
    <xf numFmtId="0" fontId="17" fillId="2" borderId="4" xfId="0" applyFont="1" applyFill="1" applyBorder="1" applyAlignment="1">
      <alignment horizontal="center" vertical="center"/>
    </xf>
    <xf numFmtId="2" fontId="2" fillId="2" borderId="0" xfId="0" applyNumberFormat="1"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10"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2" fillId="8" borderId="5" xfId="0" applyFont="1" applyFill="1" applyBorder="1" applyAlignment="1">
      <alignment horizontal="center" vertical="center"/>
    </xf>
    <xf numFmtId="0" fontId="11" fillId="2" borderId="4" xfId="0" applyFont="1" applyFill="1" applyBorder="1" applyAlignment="1">
      <alignment horizontal="right"/>
    </xf>
    <xf numFmtId="14" fontId="0" fillId="0" borderId="0" xfId="0" applyNumberFormat="1"/>
    <xf numFmtId="0" fontId="5" fillId="0" borderId="0" xfId="0" applyFont="1"/>
    <xf numFmtId="1" fontId="0" fillId="0" borderId="0" xfId="0" applyNumberFormat="1" applyAlignment="1">
      <alignment horizontal="left"/>
    </xf>
    <xf numFmtId="1" fontId="0" fillId="0" borderId="0" xfId="0" applyNumberFormat="1" applyAlignment="1">
      <alignment horizontal="left" vertical="center"/>
    </xf>
    <xf numFmtId="0" fontId="16" fillId="2" borderId="4" xfId="0" applyFont="1" applyFill="1" applyBorder="1" applyAlignment="1">
      <alignment horizontal="right" vertical="center"/>
    </xf>
    <xf numFmtId="0" fontId="7" fillId="0" borderId="0" xfId="0" applyFont="1" applyAlignment="1">
      <alignment horizontal="fill"/>
    </xf>
    <xf numFmtId="0" fontId="7" fillId="0" borderId="0" xfId="0" applyFont="1" applyAlignment="1">
      <alignment horizontal="left" vertical="center"/>
    </xf>
    <xf numFmtId="1" fontId="7" fillId="0" borderId="0" xfId="0" applyNumberFormat="1" applyFont="1" applyAlignment="1">
      <alignment horizontal="left" vertical="center"/>
    </xf>
    <xf numFmtId="2" fontId="7" fillId="0" borderId="0" xfId="0" applyNumberFormat="1" applyFont="1"/>
    <xf numFmtId="0" fontId="7" fillId="0" borderId="5" xfId="0" applyFont="1" applyBorder="1"/>
    <xf numFmtId="164" fontId="0" fillId="0" borderId="0" xfId="0" applyNumberFormat="1"/>
    <xf numFmtId="0" fontId="19" fillId="2" borderId="4" xfId="0" applyFont="1" applyFill="1" applyBorder="1" applyAlignment="1">
      <alignment horizontal="right" vertical="center"/>
    </xf>
    <xf numFmtId="1" fontId="8" fillId="0" borderId="0" xfId="0" applyNumberFormat="1" applyFont="1" applyAlignment="1">
      <alignment horizontal="left"/>
    </xf>
    <xf numFmtId="0" fontId="8" fillId="0" borderId="0" xfId="0" applyFont="1" applyAlignment="1">
      <alignment horizontal="fill"/>
    </xf>
    <xf numFmtId="0" fontId="19" fillId="2" borderId="4" xfId="0" applyFont="1" applyFill="1" applyBorder="1" applyAlignment="1">
      <alignment horizontal="right"/>
    </xf>
    <xf numFmtId="0" fontId="19" fillId="2" borderId="6" xfId="0" applyFont="1" applyFill="1" applyBorder="1" applyAlignment="1">
      <alignment horizontal="right" vertical="center"/>
    </xf>
    <xf numFmtId="0" fontId="0" fillId="0" borderId="7" xfId="0" applyBorder="1" applyAlignment="1">
      <alignment horizontal="fill"/>
    </xf>
    <xf numFmtId="0" fontId="0" fillId="0" borderId="7" xfId="0" applyBorder="1" applyAlignment="1">
      <alignment horizontal="left" vertical="center"/>
    </xf>
    <xf numFmtId="0" fontId="0" fillId="0" borderId="1" xfId="0" applyBorder="1"/>
    <xf numFmtId="0" fontId="0" fillId="0" borderId="2" xfId="0" applyBorder="1"/>
    <xf numFmtId="0" fontId="8" fillId="0" borderId="2" xfId="0" applyFont="1" applyBorder="1"/>
    <xf numFmtId="0" fontId="0" fillId="0" borderId="5" xfId="0" applyBorder="1" applyAlignment="1">
      <alignment horizontal="center" vertical="center"/>
    </xf>
    <xf numFmtId="0" fontId="0" fillId="0" borderId="8" xfId="0" applyBorder="1" applyAlignment="1">
      <alignment horizontal="center" vertical="center"/>
    </xf>
    <xf numFmtId="0" fontId="27" fillId="2" borderId="4" xfId="0" applyFont="1" applyFill="1" applyBorder="1"/>
    <xf numFmtId="0" fontId="27" fillId="2" borderId="6" xfId="0" applyFont="1" applyFill="1" applyBorder="1"/>
    <xf numFmtId="0" fontId="9" fillId="0" borderId="0" xfId="0" applyFont="1"/>
    <xf numFmtId="0" fontId="7" fillId="0" borderId="0" xfId="1" applyFont="1"/>
    <xf numFmtId="0" fontId="27" fillId="0" borderId="0" xfId="0" applyFont="1"/>
    <xf numFmtId="0" fontId="27" fillId="0" borderId="0" xfId="0" applyFont="1" applyAlignment="1">
      <alignment horizontal="center"/>
    </xf>
    <xf numFmtId="0" fontId="0" fillId="0" borderId="10" xfId="0" applyBorder="1"/>
    <xf numFmtId="0" fontId="4" fillId="0" borderId="0" xfId="0" applyFont="1" applyAlignment="1">
      <alignment horizontal="left"/>
    </xf>
    <xf numFmtId="0" fontId="7" fillId="0" borderId="0" xfId="0" applyFont="1" applyAlignment="1">
      <alignment horizontal="left"/>
    </xf>
    <xf numFmtId="0" fontId="7" fillId="0" borderId="0" xfId="0" applyFont="1" applyAlignment="1">
      <alignment horizontal="left" vertical="justify"/>
    </xf>
    <xf numFmtId="0" fontId="16" fillId="0" borderId="0" xfId="0" applyFont="1" applyAlignment="1">
      <alignment horizontal="left"/>
    </xf>
    <xf numFmtId="0" fontId="7" fillId="9" borderId="0" xfId="0" applyFont="1" applyFill="1" applyAlignment="1">
      <alignment horizontal="left"/>
    </xf>
    <xf numFmtId="0" fontId="2" fillId="0" borderId="0" xfId="0" applyFont="1" applyAlignment="1">
      <alignment horizontal="distributed" vertical="center"/>
    </xf>
    <xf numFmtId="0" fontId="15" fillId="0" borderId="0" xfId="0" applyFont="1" applyAlignment="1">
      <alignment horizontal="left"/>
    </xf>
    <xf numFmtId="0" fontId="7" fillId="2" borderId="0" xfId="0" applyFont="1" applyFill="1" applyAlignment="1">
      <alignment horizontal="left"/>
    </xf>
    <xf numFmtId="0" fontId="7" fillId="0" borderId="0" xfId="0" applyFont="1" applyAlignment="1">
      <alignment horizontal="left" wrapText="1"/>
    </xf>
    <xf numFmtId="0" fontId="4" fillId="0" borderId="0" xfId="0" applyFont="1" applyAlignment="1">
      <alignment horizontal="left" vertical="justify"/>
    </xf>
    <xf numFmtId="0" fontId="0" fillId="0" borderId="4" xfId="0" applyBorder="1" applyAlignment="1">
      <alignment horizontal="left" vertical="justify"/>
    </xf>
    <xf numFmtId="0" fontId="0" fillId="0" borderId="6" xfId="0" applyBorder="1" applyAlignment="1">
      <alignment horizontal="left" vertical="justify"/>
    </xf>
    <xf numFmtId="0" fontId="0" fillId="0" borderId="7" xfId="0" applyBorder="1" applyAlignment="1">
      <alignment horizontal="left" vertical="justify"/>
    </xf>
    <xf numFmtId="0" fontId="0" fillId="0" borderId="8" xfId="0" applyBorder="1" applyAlignment="1">
      <alignment horizontal="left"/>
    </xf>
    <xf numFmtId="1" fontId="2" fillId="2" borderId="0" xfId="0" applyNumberFormat="1" applyFont="1" applyFill="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164" fontId="9" fillId="0" borderId="0" xfId="0" applyNumberFormat="1" applyFont="1" applyAlignment="1">
      <alignment horizontal="center" vertical="center"/>
    </xf>
    <xf numFmtId="1" fontId="9" fillId="0" borderId="0" xfId="0" applyNumberFormat="1" applyFont="1" applyAlignment="1">
      <alignment horizontal="center" vertical="center"/>
    </xf>
    <xf numFmtId="0" fontId="8" fillId="0" borderId="0" xfId="0" applyFont="1" applyAlignment="1">
      <alignment horizontal="center" vertical="center"/>
    </xf>
    <xf numFmtId="164" fontId="5" fillId="0" borderId="0" xfId="0" applyNumberFormat="1" applyFont="1" applyAlignment="1">
      <alignment horizontal="center" vertical="center"/>
    </xf>
    <xf numFmtId="164" fontId="7" fillId="0" borderId="0" xfId="0" applyNumberFormat="1" applyFont="1" applyAlignment="1">
      <alignment horizontal="center" vertical="center"/>
    </xf>
    <xf numFmtId="164" fontId="8" fillId="0" borderId="0" xfId="0" applyNumberFormat="1" applyFont="1" applyAlignment="1">
      <alignment horizontal="center" vertical="center"/>
    </xf>
    <xf numFmtId="164" fontId="2" fillId="2" borderId="0" xfId="0" applyNumberFormat="1" applyFont="1" applyFill="1" applyAlignment="1">
      <alignment horizontal="center" vertical="center"/>
    </xf>
    <xf numFmtId="2" fontId="0" fillId="0" borderId="0" xfId="0" applyNumberFormat="1" applyAlignment="1">
      <alignment horizontal="center" vertical="center"/>
    </xf>
    <xf numFmtId="2" fontId="7" fillId="0" borderId="0" xfId="0" applyNumberFormat="1" applyFont="1" applyAlignment="1">
      <alignment horizontal="center" vertical="center"/>
    </xf>
    <xf numFmtId="2" fontId="9" fillId="0" borderId="0" xfId="0" applyNumberFormat="1" applyFont="1" applyAlignment="1">
      <alignment horizontal="center" vertical="center"/>
    </xf>
    <xf numFmtId="2" fontId="8" fillId="0" borderId="0" xfId="0" applyNumberFormat="1" applyFont="1" applyAlignment="1">
      <alignment horizontal="center" vertical="center"/>
    </xf>
    <xf numFmtId="0" fontId="13" fillId="0" borderId="0" xfId="0" applyFont="1" applyAlignment="1">
      <alignment horizontal="center" vertical="center"/>
    </xf>
    <xf numFmtId="0" fontId="27" fillId="2" borderId="2" xfId="0" applyFont="1" applyFill="1" applyBorder="1" applyAlignment="1">
      <alignment horizontal="center" vertical="center"/>
    </xf>
    <xf numFmtId="1" fontId="27" fillId="2" borderId="2" xfId="0" applyNumberFormat="1" applyFont="1" applyFill="1" applyBorder="1" applyAlignment="1">
      <alignment horizontal="center" vertical="center"/>
    </xf>
    <xf numFmtId="0" fontId="27" fillId="2" borderId="3" xfId="0" applyFont="1" applyFill="1" applyBorder="1" applyAlignment="1">
      <alignment horizontal="center" vertical="center"/>
    </xf>
    <xf numFmtId="0" fontId="0" fillId="0" borderId="7" xfId="0" applyBorder="1" applyAlignment="1">
      <alignment horizontal="center" vertical="center"/>
    </xf>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49" fontId="0" fillId="0" borderId="0" xfId="0" applyNumberFormat="1" applyAlignment="1">
      <alignment horizontal="center" vertical="center"/>
    </xf>
    <xf numFmtId="0" fontId="6" fillId="0" borderId="0" xfId="2" applyFill="1" applyBorder="1" applyAlignment="1">
      <alignment horizontal="fill"/>
    </xf>
    <xf numFmtId="0" fontId="8" fillId="0" borderId="0" xfId="1" applyFont="1" applyAlignment="1">
      <alignment horizontal="fill"/>
    </xf>
    <xf numFmtId="0" fontId="6" fillId="0" borderId="0" xfId="2" applyFill="1" applyBorder="1"/>
    <xf numFmtId="0" fontId="18" fillId="0" borderId="0" xfId="0" applyFont="1"/>
    <xf numFmtId="0" fontId="6" fillId="0" borderId="7" xfId="2" applyFill="1" applyBorder="1"/>
    <xf numFmtId="0" fontId="4" fillId="2" borderId="2" xfId="0" applyFont="1" applyFill="1" applyBorder="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horizontal="center" vertical="center" wrapText="1"/>
    </xf>
    <xf numFmtId="0" fontId="22" fillId="0" borderId="0" xfId="0" applyFont="1" applyAlignment="1">
      <alignment horizontal="center" vertical="center" wrapText="1"/>
    </xf>
    <xf numFmtId="0" fontId="7" fillId="0" borderId="0" xfId="0" applyFont="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2" fillId="2" borderId="13" xfId="0" applyFont="1" applyFill="1" applyBorder="1" applyAlignment="1">
      <alignment horizontal="center" vertical="center"/>
    </xf>
    <xf numFmtId="0" fontId="0" fillId="0" borderId="13" xfId="0" applyBorder="1" applyAlignment="1">
      <alignment horizontal="center" vertical="center"/>
    </xf>
    <xf numFmtId="0" fontId="0" fillId="2" borderId="14" xfId="0" applyFill="1" applyBorder="1" applyAlignment="1">
      <alignment horizontal="center" vertical="center"/>
    </xf>
    <xf numFmtId="0" fontId="0" fillId="0" borderId="13" xfId="0" applyBorder="1"/>
    <xf numFmtId="0" fontId="0" fillId="2" borderId="12" xfId="0" applyFill="1" applyBorder="1" applyAlignment="1">
      <alignment horizontal="center" vertical="center"/>
    </xf>
    <xf numFmtId="0" fontId="2" fillId="2" borderId="13" xfId="0" applyFont="1" applyFill="1" applyBorder="1" applyAlignment="1">
      <alignment horizontal="center" vertical="center" wrapText="1"/>
    </xf>
    <xf numFmtId="0" fontId="8" fillId="0" borderId="13" xfId="0" applyFont="1" applyBorder="1" applyAlignment="1">
      <alignment horizontal="center" vertical="center"/>
    </xf>
    <xf numFmtId="0" fontId="0" fillId="2" borderId="13" xfId="0" applyFill="1" applyBorder="1" applyAlignment="1">
      <alignment horizontal="center" vertical="center"/>
    </xf>
    <xf numFmtId="49" fontId="2" fillId="2" borderId="13" xfId="0" applyNumberFormat="1" applyFont="1" applyFill="1" applyBorder="1" applyAlignment="1">
      <alignment horizontal="center" vertical="center"/>
    </xf>
    <xf numFmtId="0" fontId="27" fillId="2" borderId="1" xfId="0" applyFont="1" applyFill="1" applyBorder="1" applyAlignment="1">
      <alignment horizontal="right"/>
    </xf>
    <xf numFmtId="0" fontId="27" fillId="2" borderId="2" xfId="0" applyFont="1" applyFill="1" applyBorder="1" applyAlignment="1">
      <alignment horizontal="right"/>
    </xf>
    <xf numFmtId="0" fontId="27" fillId="2" borderId="2" xfId="0" applyFont="1" applyFill="1" applyBorder="1"/>
    <xf numFmtId="0" fontId="27" fillId="2" borderId="3" xfId="0" applyFont="1" applyFill="1" applyBorder="1" applyAlignment="1">
      <alignment horizontal="right"/>
    </xf>
    <xf numFmtId="0" fontId="0" fillId="0" borderId="4" xfId="0" applyBorder="1" applyAlignment="1">
      <alignment horizontal="right"/>
    </xf>
    <xf numFmtId="2" fontId="11" fillId="0" borderId="0" xfId="0" applyNumberFormat="1" applyFont="1" applyAlignment="1">
      <alignment horizontal="center" vertical="center"/>
    </xf>
    <xf numFmtId="2" fontId="11" fillId="0" borderId="5" xfId="0" applyNumberFormat="1" applyFont="1" applyBorder="1" applyAlignment="1">
      <alignment horizontal="center" vertical="center"/>
    </xf>
    <xf numFmtId="0" fontId="22" fillId="0" borderId="0" xfId="0" applyFont="1"/>
    <xf numFmtId="0" fontId="0" fillId="0" borderId="6" xfId="0" applyBorder="1" applyAlignment="1">
      <alignment horizontal="right"/>
    </xf>
    <xf numFmtId="0" fontId="0" fillId="0" borderId="7" xfId="0" applyBorder="1" applyAlignment="1">
      <alignment horizontal="right"/>
    </xf>
    <xf numFmtId="2" fontId="11" fillId="0" borderId="7" xfId="0" applyNumberFormat="1" applyFont="1" applyBorder="1" applyAlignment="1">
      <alignment horizontal="center" vertical="center"/>
    </xf>
    <xf numFmtId="2" fontId="11" fillId="0" borderId="8" xfId="0" applyNumberFormat="1" applyFont="1" applyBorder="1" applyAlignment="1">
      <alignment horizontal="center" vertical="center"/>
    </xf>
    <xf numFmtId="0" fontId="0" fillId="0" borderId="13" xfId="0" applyBorder="1" applyAlignment="1">
      <alignment horizontal="center"/>
    </xf>
    <xf numFmtId="0" fontId="27" fillId="2" borderId="0" xfId="0" applyFont="1" applyFill="1" applyAlignment="1">
      <alignment horizontal="center"/>
    </xf>
    <xf numFmtId="0" fontId="22" fillId="0" borderId="0" xfId="0" applyFont="1" applyAlignment="1">
      <alignment horizontal="center" vertical="center"/>
    </xf>
    <xf numFmtId="49" fontId="22" fillId="0" borderId="0" xfId="0" applyNumberFormat="1" applyFont="1" applyAlignment="1">
      <alignment horizontal="center" vertical="center"/>
    </xf>
    <xf numFmtId="49" fontId="22" fillId="0" borderId="0" xfId="0" applyNumberFormat="1" applyFont="1" applyAlignment="1">
      <alignment horizontal="center" vertical="center" wrapText="1"/>
    </xf>
    <xf numFmtId="0" fontId="27" fillId="9" borderId="0" xfId="0" applyFont="1" applyFill="1" applyAlignment="1">
      <alignment horizontal="center"/>
    </xf>
    <xf numFmtId="0" fontId="28" fillId="15" borderId="15" xfId="4" applyFont="1" applyFill="1" applyBorder="1" applyAlignment="1">
      <alignment horizontal="center" vertical="center"/>
    </xf>
    <xf numFmtId="0" fontId="28" fillId="15" borderId="16" xfId="4" applyFont="1" applyFill="1" applyBorder="1" applyAlignment="1">
      <alignment horizontal="center" vertical="center"/>
    </xf>
    <xf numFmtId="0" fontId="28" fillId="15" borderId="16" xfId="4" applyFont="1" applyFill="1" applyBorder="1" applyAlignment="1">
      <alignment horizontal="center" vertical="center" wrapText="1"/>
    </xf>
    <xf numFmtId="0" fontId="28" fillId="15" borderId="17" xfId="4" applyFont="1" applyFill="1" applyBorder="1" applyAlignment="1">
      <alignment horizontal="center" vertical="center"/>
    </xf>
    <xf numFmtId="0" fontId="29" fillId="0" borderId="0" xfId="4" applyFont="1" applyAlignment="1">
      <alignment horizontal="center" vertical="center"/>
    </xf>
    <xf numFmtId="0" fontId="29" fillId="0" borderId="0" xfId="4" applyFont="1"/>
    <xf numFmtId="0" fontId="1" fillId="0" borderId="0" xfId="4" applyAlignment="1">
      <alignment horizontal="center" vertical="center"/>
    </xf>
    <xf numFmtId="0" fontId="30" fillId="15" borderId="4" xfId="4" applyFont="1" applyFill="1" applyBorder="1" applyAlignment="1">
      <alignment horizontal="center" vertical="center"/>
    </xf>
    <xf numFmtId="0" fontId="30" fillId="15" borderId="0" xfId="4" applyFont="1" applyFill="1" applyAlignment="1">
      <alignment vertical="center"/>
    </xf>
    <xf numFmtId="0" fontId="30" fillId="15" borderId="0" xfId="4" applyFont="1" applyFill="1" applyAlignment="1">
      <alignment horizontal="center" vertical="center"/>
    </xf>
    <xf numFmtId="0" fontId="30" fillId="15" borderId="5" xfId="4" applyFont="1" applyFill="1" applyBorder="1" applyAlignment="1">
      <alignment horizontal="center" vertical="center"/>
    </xf>
    <xf numFmtId="0" fontId="28" fillId="0" borderId="4" xfId="4" applyFont="1" applyBorder="1" applyAlignment="1">
      <alignment horizontal="left" vertical="center" wrapText="1"/>
    </xf>
    <xf numFmtId="0" fontId="29" fillId="0" borderId="0" xfId="4" applyFont="1" applyAlignment="1">
      <alignment horizontal="left" vertical="center" wrapText="1"/>
    </xf>
    <xf numFmtId="0" fontId="29" fillId="0" borderId="5" xfId="4" applyFont="1" applyBorder="1" applyAlignment="1">
      <alignment horizontal="left" vertical="center" wrapText="1"/>
    </xf>
    <xf numFmtId="0" fontId="29" fillId="0" borderId="0" xfId="4" applyFont="1" applyAlignment="1">
      <alignment horizontal="left" vertical="justify"/>
    </xf>
    <xf numFmtId="0" fontId="1" fillId="0" borderId="0" xfId="4"/>
    <xf numFmtId="0" fontId="28" fillId="16" borderId="4" xfId="4" applyFont="1" applyFill="1" applyBorder="1" applyAlignment="1">
      <alignment horizontal="left" vertical="center" wrapText="1"/>
    </xf>
    <xf numFmtId="0" fontId="29" fillId="16" borderId="0" xfId="4" applyFont="1" applyFill="1" applyAlignment="1">
      <alignment horizontal="left" vertical="center" wrapText="1"/>
    </xf>
    <xf numFmtId="0" fontId="29" fillId="16" borderId="5" xfId="4" applyFont="1" applyFill="1" applyBorder="1" applyAlignment="1">
      <alignment horizontal="left" vertical="center" wrapText="1"/>
    </xf>
    <xf numFmtId="49" fontId="28" fillId="0" borderId="4" xfId="4" applyNumberFormat="1" applyFont="1" applyBorder="1" applyAlignment="1">
      <alignment horizontal="left" vertical="center" wrapText="1"/>
    </xf>
    <xf numFmtId="0" fontId="1" fillId="0" borderId="0" xfId="4" applyAlignment="1">
      <alignment horizontal="left" vertical="justify"/>
    </xf>
    <xf numFmtId="0" fontId="29" fillId="16" borderId="0" xfId="4" applyFont="1" applyFill="1" applyAlignment="1">
      <alignment horizontal="left" vertical="center"/>
    </xf>
    <xf numFmtId="0" fontId="29" fillId="16" borderId="0" xfId="4" applyFont="1" applyFill="1" applyAlignment="1">
      <alignment horizontal="left" vertical="center" wrapText="1" readingOrder="1"/>
    </xf>
    <xf numFmtId="0" fontId="30" fillId="15" borderId="4" xfId="4" applyFont="1" applyFill="1" applyBorder="1" applyAlignment="1">
      <alignment horizontal="center"/>
    </xf>
    <xf numFmtId="0" fontId="30" fillId="15" borderId="0" xfId="4" applyFont="1" applyFill="1"/>
    <xf numFmtId="0" fontId="30" fillId="15" borderId="0" xfId="4" applyFont="1" applyFill="1" applyAlignment="1">
      <alignment horizontal="center"/>
    </xf>
    <xf numFmtId="0" fontId="30" fillId="15" borderId="5" xfId="4" applyFont="1" applyFill="1" applyBorder="1" applyAlignment="1">
      <alignment horizontal="center"/>
    </xf>
    <xf numFmtId="49" fontId="28" fillId="16" borderId="4" xfId="4" applyNumberFormat="1" applyFont="1" applyFill="1" applyBorder="1" applyAlignment="1">
      <alignment horizontal="left" vertical="center" wrapText="1"/>
    </xf>
    <xf numFmtId="0" fontId="8" fillId="16" borderId="5" xfId="4" applyFont="1" applyFill="1" applyBorder="1" applyAlignment="1">
      <alignment horizontal="left" vertical="center" wrapText="1"/>
    </xf>
    <xf numFmtId="0" fontId="31" fillId="0" borderId="0" xfId="4" applyFont="1" applyAlignment="1">
      <alignment horizontal="left" vertical="justify"/>
    </xf>
    <xf numFmtId="0" fontId="32" fillId="0" borderId="0" xfId="4" applyFont="1" applyAlignment="1">
      <alignment horizontal="left" vertical="center" wrapText="1"/>
    </xf>
    <xf numFmtId="0" fontId="28" fillId="0" borderId="4" xfId="4" applyFont="1" applyBorder="1" applyAlignment="1">
      <alignment horizontal="left" vertical="center"/>
    </xf>
    <xf numFmtId="0" fontId="29" fillId="0" borderId="0" xfId="4" applyFont="1" applyAlignment="1">
      <alignment vertical="center"/>
    </xf>
    <xf numFmtId="0" fontId="29" fillId="0" borderId="5" xfId="4" applyFont="1" applyBorder="1" applyAlignment="1">
      <alignment horizontal="left" vertical="center"/>
    </xf>
    <xf numFmtId="0" fontId="29" fillId="0" borderId="0" xfId="4" applyFont="1" applyAlignment="1">
      <alignment horizontal="left" vertical="center"/>
    </xf>
    <xf numFmtId="0" fontId="31" fillId="0" borderId="0" xfId="4" applyFont="1" applyAlignment="1">
      <alignment horizontal="left" vertical="center"/>
    </xf>
    <xf numFmtId="0" fontId="32" fillId="16" borderId="0" xfId="4" applyFont="1" applyFill="1" applyAlignment="1">
      <alignment horizontal="left" vertical="center" wrapText="1"/>
    </xf>
    <xf numFmtId="0" fontId="29" fillId="16" borderId="5" xfId="4" applyFont="1" applyFill="1" applyBorder="1" applyAlignment="1">
      <alignment horizontal="left" vertical="center"/>
    </xf>
    <xf numFmtId="0" fontId="29" fillId="0" borderId="5" xfId="4" applyFont="1" applyBorder="1"/>
    <xf numFmtId="0" fontId="8" fillId="0" borderId="0" xfId="4" applyFont="1" applyAlignment="1">
      <alignment horizontal="left" vertical="center" wrapText="1"/>
    </xf>
    <xf numFmtId="0" fontId="29" fillId="0" borderId="5" xfId="4" applyFont="1" applyBorder="1" applyAlignment="1">
      <alignment horizontal="left" vertical="justify"/>
    </xf>
    <xf numFmtId="0" fontId="30" fillId="15" borderId="4" xfId="4" applyFont="1" applyFill="1" applyBorder="1"/>
    <xf numFmtId="0" fontId="28" fillId="15" borderId="4" xfId="4" applyFont="1" applyFill="1" applyBorder="1"/>
    <xf numFmtId="0" fontId="28" fillId="15" borderId="0" xfId="4" applyFont="1" applyFill="1"/>
    <xf numFmtId="0" fontId="28" fillId="15" borderId="0" xfId="4" applyFont="1" applyFill="1" applyAlignment="1">
      <alignment horizontal="center"/>
    </xf>
    <xf numFmtId="0" fontId="28" fillId="15" borderId="5" xfId="4" applyFont="1" applyFill="1" applyBorder="1" applyAlignment="1">
      <alignment horizontal="center"/>
    </xf>
    <xf numFmtId="0" fontId="28" fillId="16" borderId="4" xfId="4" applyFont="1" applyFill="1" applyBorder="1" applyAlignment="1">
      <alignment horizontal="left" vertical="center"/>
    </xf>
    <xf numFmtId="0" fontId="29" fillId="16" borderId="0" xfId="4" applyFont="1" applyFill="1" applyAlignment="1">
      <alignment vertical="center"/>
    </xf>
    <xf numFmtId="0" fontId="29" fillId="16" borderId="0" xfId="4" applyFont="1" applyFill="1"/>
    <xf numFmtId="0" fontId="35" fillId="16" borderId="0" xfId="4" applyFont="1" applyFill="1" applyAlignment="1">
      <alignment horizontal="left" vertical="center" wrapText="1"/>
    </xf>
    <xf numFmtId="0" fontId="36" fillId="0" borderId="0" xfId="4" applyFont="1" applyAlignment="1">
      <alignment horizontal="left" vertical="center" wrapText="1"/>
    </xf>
    <xf numFmtId="0" fontId="36" fillId="16" borderId="0" xfId="4" applyFont="1" applyFill="1" applyAlignment="1">
      <alignment horizontal="left" vertical="center" wrapText="1"/>
    </xf>
    <xf numFmtId="49" fontId="28" fillId="0" borderId="4" xfId="4" applyNumberFormat="1" applyFont="1" applyBorder="1" applyAlignment="1">
      <alignment horizontal="left" vertical="center"/>
    </xf>
    <xf numFmtId="49" fontId="28" fillId="16" borderId="4" xfId="4" applyNumberFormat="1" applyFont="1" applyFill="1" applyBorder="1" applyAlignment="1">
      <alignment horizontal="left" vertical="center"/>
    </xf>
    <xf numFmtId="0" fontId="1" fillId="0" borderId="0" xfId="4" applyAlignment="1">
      <alignment horizontal="left" vertical="center"/>
    </xf>
    <xf numFmtId="0" fontId="28" fillId="0" borderId="18" xfId="4" applyFont="1" applyBorder="1" applyAlignment="1">
      <alignment horizontal="left" vertical="center"/>
    </xf>
    <xf numFmtId="0" fontId="29" fillId="0" borderId="19" xfId="4" applyFont="1" applyBorder="1"/>
    <xf numFmtId="0" fontId="29" fillId="0" borderId="19" xfId="4" applyFont="1" applyBorder="1" applyAlignment="1">
      <alignment horizontal="left" vertical="center" wrapText="1"/>
    </xf>
    <xf numFmtId="0" fontId="29" fillId="0" borderId="20" xfId="4" applyFont="1" applyBorder="1" applyAlignment="1">
      <alignment horizontal="left" vertical="center"/>
    </xf>
    <xf numFmtId="0" fontId="28" fillId="15" borderId="6" xfId="4" applyFont="1" applyFill="1" applyBorder="1" applyAlignment="1">
      <alignment horizontal="center"/>
    </xf>
    <xf numFmtId="0" fontId="28" fillId="15" borderId="7" xfId="4" applyFont="1" applyFill="1" applyBorder="1" applyAlignment="1">
      <alignment horizontal="center"/>
    </xf>
    <xf numFmtId="0" fontId="28" fillId="15" borderId="7" xfId="4" applyFont="1" applyFill="1" applyBorder="1" applyAlignment="1">
      <alignment horizontal="left" vertical="center" wrapText="1"/>
    </xf>
    <xf numFmtId="0" fontId="28" fillId="15" borderId="8" xfId="4" applyFont="1" applyFill="1" applyBorder="1" applyAlignment="1">
      <alignment horizontal="center"/>
    </xf>
    <xf numFmtId="0" fontId="28" fillId="0" borderId="0" xfId="4" applyFont="1" applyAlignment="1">
      <alignment horizontal="center"/>
    </xf>
    <xf numFmtId="0" fontId="28" fillId="15" borderId="1" xfId="4" applyFont="1" applyFill="1" applyBorder="1" applyAlignment="1">
      <alignment horizontal="right"/>
    </xf>
    <xf numFmtId="0" fontId="29" fillId="0" borderId="3" xfId="4" applyFont="1" applyBorder="1" applyAlignment="1">
      <alignment horizontal="left" vertical="center"/>
    </xf>
    <xf numFmtId="0" fontId="28" fillId="15" borderId="4" xfId="4" applyFont="1" applyFill="1" applyBorder="1" applyAlignment="1">
      <alignment horizontal="right"/>
    </xf>
    <xf numFmtId="0" fontId="28" fillId="15" borderId="6" xfId="4" applyFont="1" applyFill="1" applyBorder="1" applyAlignment="1">
      <alignment horizontal="right"/>
    </xf>
    <xf numFmtId="0" fontId="29" fillId="0" borderId="8" xfId="4" applyFont="1" applyBorder="1" applyAlignment="1">
      <alignment horizontal="left" vertical="center"/>
    </xf>
    <xf numFmtId="0" fontId="29" fillId="0" borderId="0" xfId="4" applyFont="1" applyAlignment="1">
      <alignment horizontal="right" vertical="center"/>
    </xf>
    <xf numFmtId="0" fontId="39" fillId="0" borderId="0" xfId="4" applyFont="1" applyAlignment="1">
      <alignment vertical="center" wrapText="1"/>
    </xf>
    <xf numFmtId="0" fontId="39" fillId="15" borderId="1" xfId="4" applyFont="1" applyFill="1" applyBorder="1" applyAlignment="1">
      <alignment horizontal="right" vertical="center" wrapText="1"/>
    </xf>
    <xf numFmtId="0" fontId="29" fillId="0" borderId="3" xfId="4" applyFont="1" applyBorder="1" applyAlignment="1">
      <alignment horizontal="left" vertical="center" wrapText="1"/>
    </xf>
    <xf numFmtId="0" fontId="39" fillId="15" borderId="4" xfId="4" applyFont="1" applyFill="1" applyBorder="1" applyAlignment="1">
      <alignment horizontal="right" vertical="center" wrapText="1"/>
    </xf>
    <xf numFmtId="0" fontId="39" fillId="15" borderId="6" xfId="4" applyFont="1" applyFill="1" applyBorder="1" applyAlignment="1">
      <alignment horizontal="right" vertical="center" wrapText="1"/>
    </xf>
    <xf numFmtId="0" fontId="29" fillId="0" borderId="8" xfId="4" applyFont="1" applyBorder="1" applyAlignment="1">
      <alignment horizontal="left" vertical="center" wrapText="1"/>
    </xf>
    <xf numFmtId="0" fontId="2" fillId="0" borderId="0" xfId="4" applyFont="1" applyAlignment="1">
      <alignment horizontal="center"/>
    </xf>
    <xf numFmtId="0" fontId="1" fillId="0" borderId="0" xfId="4" applyAlignment="1">
      <alignment vertical="center"/>
    </xf>
    <xf numFmtId="0" fontId="1" fillId="0" borderId="0" xfId="4" applyAlignment="1">
      <alignment horizontal="left" vertical="center" wrapText="1"/>
    </xf>
    <xf numFmtId="0" fontId="0" fillId="2" borderId="1" xfId="0" applyFill="1" applyBorder="1" applyAlignment="1">
      <alignment horizontal="center" vertical="center"/>
    </xf>
    <xf numFmtId="0" fontId="0" fillId="2" borderId="4" xfId="0" applyFill="1" applyBorder="1" applyAlignment="1">
      <alignment horizontal="center" vertical="center"/>
    </xf>
    <xf numFmtId="0" fontId="0" fillId="2" borderId="9" xfId="0" applyFill="1" applyBorder="1" applyAlignment="1">
      <alignment horizontal="center" vertical="center"/>
    </xf>
    <xf numFmtId="0" fontId="0" fillId="2" borderId="6" xfId="0" applyFill="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2" fillId="12" borderId="2" xfId="0" applyFont="1" applyFill="1" applyBorder="1" applyAlignment="1">
      <alignment horizontal="center"/>
    </xf>
    <xf numFmtId="0" fontId="2" fillId="12" borderId="3" xfId="0" applyFont="1" applyFill="1" applyBorder="1" applyAlignment="1">
      <alignment horizontal="center"/>
    </xf>
    <xf numFmtId="0" fontId="2" fillId="3" borderId="2" xfId="0" applyFont="1" applyFill="1" applyBorder="1" applyAlignment="1">
      <alignment horizontal="center"/>
    </xf>
    <xf numFmtId="0" fontId="2" fillId="4" borderId="2" xfId="0" applyFont="1" applyFill="1" applyBorder="1" applyAlignment="1">
      <alignment horizontal="center"/>
    </xf>
    <xf numFmtId="0" fontId="2" fillId="10" borderId="2" xfId="0" applyFont="1" applyFill="1" applyBorder="1" applyAlignment="1">
      <alignment horizontal="center"/>
    </xf>
    <xf numFmtId="0" fontId="2" fillId="5" borderId="2" xfId="0" applyFont="1" applyFill="1" applyBorder="1" applyAlignment="1">
      <alignment horizontal="center"/>
    </xf>
    <xf numFmtId="0" fontId="27" fillId="9" borderId="0" xfId="0" applyFont="1" applyFill="1" applyAlignment="1">
      <alignment horizontal="center"/>
    </xf>
    <xf numFmtId="0" fontId="2" fillId="9" borderId="1" xfId="0" applyFont="1" applyFill="1" applyBorder="1" applyAlignment="1">
      <alignment horizontal="center"/>
    </xf>
    <xf numFmtId="0" fontId="2" fillId="9" borderId="2" xfId="0" applyFont="1" applyFill="1" applyBorder="1" applyAlignment="1">
      <alignment horizontal="center"/>
    </xf>
    <xf numFmtId="0" fontId="2" fillId="9" borderId="3"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xf>
    <xf numFmtId="0" fontId="0" fillId="0" borderId="0" xfId="0" applyAlignment="1">
      <alignment horizontal="center"/>
    </xf>
    <xf numFmtId="0" fontId="0" fillId="0" borderId="5" xfId="0" applyBorder="1" applyAlignment="1">
      <alignment horizontal="center"/>
    </xf>
    <xf numFmtId="0" fontId="0" fillId="0" borderId="4" xfId="0" applyBorder="1" applyAlignment="1">
      <alignment horizontal="center"/>
    </xf>
    <xf numFmtId="0" fontId="27" fillId="9" borderId="4" xfId="0" applyFont="1" applyFill="1" applyBorder="1" applyAlignment="1">
      <alignment horizontal="center"/>
    </xf>
    <xf numFmtId="0" fontId="27" fillId="9" borderId="5" xfId="0"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6" xfId="0" applyBorder="1" applyAlignment="1">
      <alignment horizontal="center"/>
    </xf>
  </cellXfs>
  <cellStyles count="5">
    <cellStyle name="Hyperlink" xfId="2" builtinId="8"/>
    <cellStyle name="Normal" xfId="0" builtinId="0"/>
    <cellStyle name="Normal 2" xfId="4" xr:uid="{00882B2D-4F2E-CC4A-8C43-71AEEEE0343D}"/>
    <cellStyle name="Normale 2" xfId="1" xr:uid="{0C541269-41F8-470A-91D9-F5CD1AFBC424}"/>
    <cellStyle name="Percent" xfId="3" builtinId="5"/>
  </cellStyles>
  <dxfs count="37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 formatCode="0"/>
      <fill>
        <patternFill patternType="none">
          <fgColor indexed="64"/>
          <bgColor indexed="65"/>
        </patternFill>
      </fill>
      <alignment horizontal="center" vertical="center" textRotation="0" wrapText="0" indent="0" justifyLastLine="0" shrinkToFit="0" readingOrder="0"/>
    </dxf>
    <dxf>
      <numFmt numFmtId="1" formatCode="0"/>
      <fill>
        <patternFill patternType="none">
          <fgColor indexed="64"/>
          <bgColor indexed="65"/>
        </patternFill>
      </fill>
      <alignment horizontal="center" vertical="center" textRotation="0" wrapText="0" indent="0" justifyLastLine="0" shrinkToFit="0" readingOrder="0"/>
    </dxf>
    <dxf>
      <numFmt numFmtId="1" formatCode="0"/>
      <fill>
        <patternFill patternType="none">
          <fgColor indexed="64"/>
          <bgColor indexed="65"/>
        </patternFill>
      </fill>
      <alignment horizontal="center" vertical="center" textRotation="0" wrapText="0" indent="0" justifyLastLine="0" shrinkToFit="0" readingOrder="0"/>
    </dxf>
    <dxf>
      <numFmt numFmtId="30" formatCode="@"/>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border diagonalUp="0" diagonalDown="0">
        <left style="medium">
          <color indexed="64"/>
        </left>
        <right style="medium">
          <color indexed="64"/>
        </right>
        <top style="medium">
          <color indexed="64"/>
        </top>
        <bottom style="medium">
          <color indexed="64"/>
        </bottom>
      </border>
    </dxf>
    <dxf>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vertical/>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fill>
        <patternFill patternType="solid">
          <fgColor indexed="64"/>
          <bgColor theme="3" tint="0.74999237037263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alignment horizontal="center" vertical="center" textRotation="0" wrapText="0" indent="0" justifyLastLine="0" shrinkToFit="0" readingOrder="0"/>
    </dxf>
    <dxf>
      <alignment horizontal="fill" vertical="bottom" textRotation="0" wrapText="0" indent="0" justifyLastLine="0" shrinkToFit="0" readingOrder="0"/>
    </dxf>
    <dxf>
      <numFmt numFmtId="2" formatCode="0.00"/>
      <alignment horizontal="fill" vertical="bottom" textRotation="0" wrapText="0" indent="0" justifyLastLine="0" shrinkToFit="0" readingOrder="0"/>
    </dxf>
    <dxf>
      <alignment horizontal="left" vertical="center" textRotation="0" wrapText="0" indent="0" justifyLastLine="0" shrinkToFit="0" readingOrder="0"/>
    </dxf>
    <dxf>
      <alignment horizontal="center" vertical="center" textRotation="0" wrapText="1" indent="0" justifyLastLine="0" shrinkToFit="0" readingOrder="0"/>
    </dxf>
    <dxf>
      <font>
        <b/>
        <i/>
        <strike val="0"/>
        <condense val="0"/>
        <extend val="0"/>
        <outline val="0"/>
        <shadow val="0"/>
        <u val="none"/>
        <vertAlign val="baseline"/>
        <sz val="11"/>
        <color theme="1"/>
        <name val="Aptos Narrow"/>
        <scheme val="minor"/>
      </font>
      <fill>
        <patternFill patternType="solid">
          <fgColor indexed="64"/>
          <bgColor theme="3" tint="0.749992370372631"/>
        </patternFill>
      </fill>
      <alignment horizontal="righ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0" tint="-0.34998626667073579"/>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none">
          <fgColor indexed="64"/>
          <bgColor indexed="65"/>
        </patternFill>
      </fill>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numFmt numFmtId="1" formatCode="0"/>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3" tint="0.749992370372631"/>
        </patternFill>
      </fill>
    </dxf>
  </dxfs>
  <tableStyles count="0" defaultTableStyle="TableStyleMedium2" defaultPivotStyle="PivotStyleLight16"/>
  <colors>
    <mruColors>
      <color rgb="FFF2F69C"/>
      <color rgb="FFF1A9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86F21B-EFEE-2342-B109-CA23847E9CCE}" name="Table5" displayName="Table5" ref="A1:T223" totalsRowShown="0" headerRowDxfId="374" tableBorderDxfId="373">
  <autoFilter ref="A1:T223" xr:uid="{4386F21B-EFEE-2342-B109-CA23847E9CCE}"/>
  <tableColumns count="20">
    <tableColumn id="1" xr3:uid="{06725A35-3DEA-DD4D-BB53-FA4D13DCDD6E}" name="Title" dataDxfId="372"/>
    <tableColumn id="2" xr3:uid="{E0135AA8-D4CD-CD40-8E7E-2064B63E8E01}" name="Link" dataDxfId="371" dataCellStyle="Hyperlink"/>
    <tableColumn id="3" xr3:uid="{ED2C0C9B-858D-2F48-B8C5-593A7B128193}" name="Pubblication Class" dataDxfId="370"/>
    <tableColumn id="4" xr3:uid="{7F0DFBE0-1B2C-0E49-87A1-38A0519B2CDD}" name="Q1" dataDxfId="369"/>
    <tableColumn id="5" xr3:uid="{188F8D94-F00D-6B4D-B0AB-98E6E0DB14B4}" name="Q2" dataDxfId="368"/>
    <tableColumn id="6" xr3:uid="{9E69A2D9-D20B-8A44-9F15-2AC66508CF30}" name="Q3" dataDxfId="367"/>
    <tableColumn id="7" xr3:uid="{EB57690B-E34A-FF46-A0EE-A867C00A3091}" name="Q4" dataDxfId="366"/>
    <tableColumn id="8" xr3:uid="{A18CB10D-28D8-5E43-B59C-B2E30D94D925}" name="Q5" dataDxfId="365"/>
    <tableColumn id="9" xr3:uid="{C9CE08E9-2FD7-AC46-9A50-34D801D71D33}" name="Q6" dataDxfId="364"/>
    <tableColumn id="10" xr3:uid="{E6796521-3CB9-EB48-9404-8B914CDC04D4}" name="Q7" dataDxfId="363"/>
    <tableColumn id="11" xr3:uid="{C546B940-1140-DD48-B954-6A8D6CB0A2B6}" name="Year" dataDxfId="362"/>
    <tableColumn id="12" xr3:uid="{58F1B307-C5D8-7A4F-9310-7CD2D5D302DC}" name="Exc.Crit" dataDxfId="361"/>
    <tableColumn id="13" xr3:uid="{77867B38-3218-1D48-84AC-CBEA4DBA90C6}" name="Inc.Crit" dataDxfId="360"/>
    <tableColumn id="14" xr3:uid="{9A9C8977-4E96-904A-ADD1-AA31E934E2FD}" name="Pubblication Venue" dataDxfId="359"/>
    <tableColumn id="15" xr3:uid="{10F85301-E5CF-F842-8C40-AA45E0E403F8}" name="Vanue Name" dataDxfId="358"/>
    <tableColumn id="16" xr3:uid="{A9C3BE99-5E60-984A-B366-E0D44CCB827B}" name="IDQ" dataDxfId="357"/>
    <tableColumn id="17" xr3:uid="{7745D7C0-5643-2F4F-BF7F-CEFBBB736324}" name="CDQ" dataDxfId="356"/>
    <tableColumn id="18" xr3:uid="{E7C35B11-C7B9-DF41-A15D-764F60BC8D6F}" name="FDQ" dataDxfId="355"/>
    <tableColumn id="19" xr3:uid="{DE9A6FE5-1F32-4C43-B9DD-E3E91C8F9273}" name="Digital Library" dataDxfId="354"/>
    <tableColumn id="20" xr3:uid="{BD54E397-8755-2544-AB3A-AF23171F26F8}" name="Reference" dataDxfId="35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703F06-8C6A-B64D-A20A-F912F4578725}" name="Table3" displayName="Table3" ref="A4:AN223" totalsRowShown="0" headerRowDxfId="352">
  <autoFilter ref="A4:AN223" xr:uid="{57703F06-8C6A-B64D-A20A-F912F4578725}"/>
  <tableColumns count="40">
    <tableColumn id="1" xr3:uid="{35ED0C62-ADC9-EE46-9CC0-BA9459D97F73}" name="Tool" dataDxfId="351"/>
    <tableColumn id="2" xr3:uid="{27B7F236-4005-B647-9A35-33C03CDC2628}" name="Description" dataDxfId="350"/>
    <tableColumn id="3" xr3:uid="{6ADA40AC-4E29-224B-99C6-D21CE0F21DBC}" name="Article introducer"/>
    <tableColumn id="4" xr3:uid="{93304341-7B4C-3940-8571-D0E630B0E4CD}" name="Discussed " dataDxfId="349"/>
    <tableColumn id="5" xr3:uid="{F75FF73C-95F2-4944-AE79-057626C7118C}" name="Open Source"/>
    <tableColumn id="6" xr3:uid="{F6FBE541-2857-CF47-A216-5A2EAFD4CB01}" name="Link" dataDxfId="348" dataCellStyle="Hyperlink"/>
    <tableColumn id="7" xr3:uid="{C8C953AD-053B-B84F-8752-5653CF982BD5}" name="Year" dataDxfId="347"/>
    <tableColumn id="8" xr3:uid="{788F3FBA-8538-F347-9E7D-BD38FD8C9425}" name="Pub. Date"/>
    <tableColumn id="9" xr3:uid="{226A5D4C-C01A-4C4F-B09A-ACFC781A62E5}" name="Last update"/>
    <tableColumn id="10" xr3:uid="{CAA155D8-DC98-7A46-B12D-9121B8A8AB6F}" name="Source Language"/>
    <tableColumn id="11" xr3:uid="{B53107DA-BFB4-984D-B0EB-F63D75BE89A8}" name="EVM Bytecode"/>
    <tableColumn id="12" xr3:uid="{3B1622B4-57AD-154E-8953-01FE2BF4D1B5}" name="Source Code"/>
    <tableColumn id="13" xr3:uid="{1967BFDF-8E6B-344B-8082-9DDFDE1C8195}" name="Vulnerability Detection"/>
    <tableColumn id="14" xr3:uid="{0473FF6F-FD5F-4B45-A174-B55AFB73A5DB}" name="Program Correctness"/>
    <tableColumn id="15" xr3:uid="{96546EDF-F258-7543-B46A-F67E0291BD9E}" name="Gas/Resource Analysis"/>
    <tableColumn id="16" xr3:uid="{31A1CA72-7DB8-6C49-B675-796D762DB40C}" name="Bulk Analysis/Full Automation"/>
    <tableColumn id="17" xr3:uid="{3E407C33-E10D-D04F-A533-65B4BA0D1467}" name="Exploit Generation/ Detection"/>
    <tableColumn id="18" xr3:uid="{580B356C-8550-0149-ADF0-6E15F116F52B}" name="Reactive Defenses/ Repair"/>
    <tableColumn id="19" xr3:uid="{A0355037-C4C7-D847-BDC1-A13228420EB7}" name="Manual Analysis/Dev.Support"/>
    <tableColumn id="20" xr3:uid="{244021BF-DD98-D14B-9C40-582FAF2FCDD3}" name="Static Analysis"/>
    <tableColumn id="21" xr3:uid="{04BC97B9-4379-CB42-A3DC-053F543BD576}" name="Dynamic Analysis"/>
    <tableColumn id="22" xr3:uid="{23D90FCE-9F0E-1C44-8ECD-B7A84E127CF1}" name="CFG"/>
    <tableColumn id="23" xr3:uid="{A4D4D85C-ABDC-F14A-BDFB-8A665501726C}" name="Data Flow/ Transaction Analysis/Traces"/>
    <tableColumn id="24" xr3:uid="{29C1DDE9-1AD1-3944-8C7A-F53A1C44D038}" name="AST"/>
    <tableColumn id="25" xr3:uid="{B8C3D504-2A3A-CB45-8BF3-D52ED121FFDC}" name="Decompilation/Compiler"/>
    <tableColumn id="26" xr3:uid="{1899D070-EC94-6048-8C99-0C4F67014688}" name="Intermediate Representation/ Specification Language (Opcode)"/>
    <tableColumn id="27" xr3:uid="{447478F3-76CB-C14D-B65D-2813C92BC77F}" name="Disassembly"/>
    <tableColumn id="28" xr3:uid="{6C369C72-BF21-1543-97EA-F4A1E5E168F4}" name="FSM"/>
    <tableColumn id="29" xr3:uid="{47375DD6-A0C5-D046-B790-E7429B5B9E92}" name="Symbolic Execution"/>
    <tableColumn id="30" xr3:uid="{6D384F3C-B343-0348-9DBA-F34570B932C2}" name="Formal Verification and Constraint Solving"/>
    <tableColumn id="31" xr3:uid="{9AAD9304-9724-9643-8153-5D0006A15EFA}" name="Model Checking"/>
    <tableColumn id="32" xr3:uid="{22BA4E58-9149-7042-B23F-4FC58E8EF69C}" name="Abstract Interpretation"/>
    <tableColumn id="33" xr3:uid="{3ADBB487-045D-EA43-B059-05E8354AE3E1}" name="Fuzzing"/>
    <tableColumn id="34" xr3:uid="{E02F98DB-A7F8-7B43-B844-987A5E890237}" name="Runtime Verification"/>
    <tableColumn id="35" xr3:uid="{15FCBEC3-7FE2-E943-9B60-44BBB319BD37}" name="Concoli Testing"/>
    <tableColumn id="36" xr3:uid="{00E5F32F-ACDC-414B-89BD-91D2276F0F1B}" name="Mutation testing (method)"/>
    <tableColumn id="37" xr3:uid="{74F73A6A-7CAA-724F-9FC3-782AA9ADFD9B}" name="Pattern Matching/ Rule-Based"/>
    <tableColumn id="38" xr3:uid="{7270224C-2684-5748-A952-8F68ED2A2795}" name="Code Instrumentation (ALGO)"/>
    <tableColumn id="39" xr3:uid="{6D65F8CD-B1BC-F64B-8722-016DD2DF3AA2}" name="Machine Learning/ Deep Learning/ AI"/>
    <tableColumn id="40" xr3:uid="{32ECD6EE-AD74-3143-AF19-61AA299DF40E}" name="Taint Analysi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EA5FAB3-CD6D-DC4D-AC97-87ACE0394355}" name="Table28" displayName="Table28" ref="A3:GP166" totalsRowShown="0" headerRowDxfId="346">
  <autoFilter ref="A3:GP166" xr:uid="{F28E7C06-040F-8B4A-AEB5-6488FF16A9AE}"/>
  <tableColumns count="198">
    <tableColumn id="1" xr3:uid="{52BA4D12-62E3-6248-AE10-5308F57F779D}" name="Tool" dataDxfId="345"/>
    <tableColumn id="2" xr3:uid="{A43451E3-8328-634B-AE2E-0938236FBD22}" name="Link" dataDxfId="344"/>
    <tableColumn id="3" xr3:uid="{45033CF6-50DE-7F4D-B057-CDA928B4C429}" name="Static" dataDxfId="343"/>
    <tableColumn id="4" xr3:uid="{3D09E3C8-B9F8-C54F-B27F-602A4EAC4973}" name="Dynamic" dataDxfId="342"/>
    <tableColumn id="5" xr3:uid="{EF10F651-E7D2-024A-B44A-514A50B63894}" name="Open Source" dataDxfId="341"/>
    <tableColumn id="6" xr3:uid="{AD78EF90-33B2-3C4A-BFB1-63802364B5C0}" name="Mapping" dataDxfId="340"/>
    <tableColumn id="7" xr3:uid="{EB6899A3-BA5C-8748-8BC4-DA6714B4D9AE}" name="1A" dataDxfId="339"/>
    <tableColumn id="8" xr3:uid="{2CD127CB-9ECC-654D-8C3F-649E05579A15}" name="1A1" dataDxfId="338"/>
    <tableColumn id="9" xr3:uid="{3F64547E-1212-6F4B-8436-057BBF1F1CBD}" name="1A1.1" dataDxfId="337"/>
    <tableColumn id="10" xr3:uid="{811FC548-CA74-674E-A989-A22B063E6F57}" name="1A1.2" dataDxfId="336"/>
    <tableColumn id="11" xr3:uid="{F08FEC5D-C65E-5C44-BBE1-C9C889B820EF}" name="1A1.3" dataDxfId="335"/>
    <tableColumn id="12" xr3:uid="{92CCDEED-6E37-544D-8F56-993FAD28CDF3}" name="1A1.4" dataDxfId="334"/>
    <tableColumn id="13" xr3:uid="{BD1821BA-00AB-0B45-8D08-42E87E0470A4}" name="1B" dataDxfId="333"/>
    <tableColumn id="14" xr3:uid="{2D82A361-6DC1-3A4D-9A9A-77B3CFFF85F5}" name="1B1" dataDxfId="332"/>
    <tableColumn id="15" xr3:uid="{E8450952-558D-C647-947C-E5848074EC8B}" name="1B2" dataDxfId="331"/>
    <tableColumn id="16" xr3:uid="{24C6DFBC-52D5-EE42-AA50-D589C208D6E5}" name="1C" dataDxfId="330"/>
    <tableColumn id="17" xr3:uid="{2B942D77-673E-7248-A8A0-5707873EA28B}" name="1D" dataDxfId="329"/>
    <tableColumn id="34" xr3:uid="{C0899AAE-22B7-0B4B-8F3E-BCAF3D3DCF32}" name="1E" dataDxfId="328"/>
    <tableColumn id="79" xr3:uid="{C786916A-35BD-C549-AB81-D619430787DD}" name="1F" dataDxfId="327"/>
    <tableColumn id="63" xr3:uid="{57287B34-B9F3-9845-AD5B-1B9FD61D3A42}" name="1G" dataDxfId="326"/>
    <tableColumn id="137" xr3:uid="{33F1F145-6323-A047-902B-C29530AC96C2}" name="1H" dataDxfId="325"/>
    <tableColumn id="58" xr3:uid="{3CC56451-A7FB-714B-9E37-D6C30179BB04}" name="1I" dataDxfId="324"/>
    <tableColumn id="49" xr3:uid="{551A2639-D2C2-F748-8AE9-4082EE0125FF}" name="1J" dataDxfId="323"/>
    <tableColumn id="51" xr3:uid="{7090C5C9-06C3-6240-9F68-8558A9CBB272}" name="1J1" dataDxfId="322"/>
    <tableColumn id="18" xr3:uid="{E90E8AEC-CF47-144A-804F-8749E660BE58}" name="2A" dataDxfId="321"/>
    <tableColumn id="19" xr3:uid="{08A8B03A-1AD9-9544-897D-E8FD01402248}" name="2A1" dataDxfId="320"/>
    <tableColumn id="20" xr3:uid="{4E1861F4-2E1C-464F-A373-065D0CD1F581}" name="2A2" dataDxfId="319"/>
    <tableColumn id="21" xr3:uid="{AE9ABB13-A846-304B-AD85-6B9F8C98D36B}" name="2A3" dataDxfId="318"/>
    <tableColumn id="22" xr3:uid="{14543038-C30D-DD4D-BA65-8F5012948707}" name="2B" dataDxfId="317"/>
    <tableColumn id="23" xr3:uid="{6A281854-8A5D-E34B-A707-D916D7ECE54D}" name="2B1" dataDxfId="316"/>
    <tableColumn id="24" xr3:uid="{D70CC542-B5A4-B146-A575-A52286AFE2C9}" name="2B2" dataDxfId="315"/>
    <tableColumn id="25" xr3:uid="{C1EC9E99-F216-8845-B7FC-BEFA88D9CD1F}" name="2B3" dataDxfId="314"/>
    <tableColumn id="26" xr3:uid="{80689845-2EBA-FF4E-8177-8F7450E32EA9}" name="2B4" dataDxfId="313"/>
    <tableColumn id="27" xr3:uid="{0F11C04D-A989-B541-A686-6BEE3B85B272}" name="2C" dataDxfId="312"/>
    <tableColumn id="28" xr3:uid="{3CC97205-DDA7-6F45-A5C7-8F816212B61B}" name="2C1" dataDxfId="311"/>
    <tableColumn id="29" xr3:uid="{2EA8F810-45D8-F24E-B472-F27BA217C694}" name="2D" dataDxfId="310"/>
    <tableColumn id="30" xr3:uid="{749B3CA5-5EEF-8D40-AE1C-8962871D4E05}" name="2E" dataDxfId="309"/>
    <tableColumn id="31" xr3:uid="{DB48047F-2D37-4948-9B0E-52142D41058E}" name="2E1" dataDxfId="308"/>
    <tableColumn id="32" xr3:uid="{22997B8A-C11D-F142-B41E-9C9B2B61A461}" name="2E2" dataDxfId="307"/>
    <tableColumn id="33" xr3:uid="{036FDEE0-5DC2-EB4C-8635-17FA919D661E}" name="2E3" dataDxfId="306"/>
    <tableColumn id="35" xr3:uid="{F84C70C2-3ED7-AE48-8DB6-60E4D031B5B8}" name="2F" dataDxfId="305"/>
    <tableColumn id="36" xr3:uid="{67BE536C-59F2-034E-AC9A-BCD3A5DDBB92}" name="2F1" dataDxfId="304"/>
    <tableColumn id="37" xr3:uid="{6F2EE93B-B66D-2543-A6D1-DA0C7AAF76F7}" name="2F2" dataDxfId="303"/>
    <tableColumn id="38" xr3:uid="{F02EE699-CAED-E54F-8670-1055463D6E46}" name="2F3" dataDxfId="302"/>
    <tableColumn id="39" xr3:uid="{3F3BB2B6-3719-EB4F-AABB-9068C95351BA}" name="2G" dataDxfId="301"/>
    <tableColumn id="40" xr3:uid="{641A0204-F9EB-074E-BCFA-F3719B85286D}" name="3A" dataDxfId="300"/>
    <tableColumn id="41" xr3:uid="{4136952C-B865-7042-98DA-320001CBB59F}" name="3A1" dataDxfId="299"/>
    <tableColumn id="42" xr3:uid="{82F9B23F-3DA4-A04E-B2D2-C87FCFCB397E}" name="3A2" dataDxfId="298"/>
    <tableColumn id="43" xr3:uid="{EC679A56-8E57-FA4F-8016-E6239A51D775}" name="3A3" dataDxfId="297"/>
    <tableColumn id="44" xr3:uid="{7D407EA0-CCF4-3140-820B-67880EC37D74}" name="3B" dataDxfId="296"/>
    <tableColumn id="45" xr3:uid="{C24FF85B-77EA-B347-878D-C0BCBD792A57}" name="3B1" dataDxfId="295"/>
    <tableColumn id="46" xr3:uid="{614ECB40-3B05-8144-8EC5-AD70A49DEB25}" name="3C" dataDxfId="294"/>
    <tableColumn id="47" xr3:uid="{D9CF2631-1B73-F746-A945-94CB822E5014}" name="3C1" dataDxfId="293"/>
    <tableColumn id="48" xr3:uid="{392F86BC-4FB7-BE49-84E9-E85479531DDD}" name="3D" dataDxfId="292"/>
    <tableColumn id="62" xr3:uid="{96D33CE1-B6B3-2E49-AB03-5717F0532506}" name="3E" dataDxfId="291"/>
    <tableColumn id="57" xr3:uid="{641C8B05-C598-504D-A45E-F91F25B8A183}" name="3F" dataDxfId="290"/>
    <tableColumn id="64" xr3:uid="{CA2F2A3D-993A-E649-B2A3-500DD65046D4}" name="4A" dataDxfId="289"/>
    <tableColumn id="65" xr3:uid="{423D5B6B-E066-284B-8D20-5AFF327E9788}" name="4B" dataDxfId="288"/>
    <tableColumn id="66" xr3:uid="{9ABF1FF3-58AA-FA42-A9C7-DA21EDE3DC90}" name="4C" dataDxfId="287"/>
    <tableColumn id="67" xr3:uid="{C9563785-2325-244C-8C92-4A4CA0942072}" name="4C1" dataDxfId="286"/>
    <tableColumn id="68" xr3:uid="{8F2247CF-55C9-BB4B-87E3-451CBEE105E8}" name="4C2" dataDxfId="285"/>
    <tableColumn id="69" xr3:uid="{572D9A83-9E02-5849-8DBB-9F7F6DE9A67C}" name="4D" dataDxfId="284"/>
    <tableColumn id="70" xr3:uid="{E23730AC-B5CF-FC44-9D6E-426D158E8E4F}" name="4E" dataDxfId="283"/>
    <tableColumn id="71" xr3:uid="{AB6734DB-0EB8-334D-97B6-5552BF581621}" name="4F" dataDxfId="282"/>
    <tableColumn id="125" xr3:uid="{B79B2139-17EE-4042-8651-5C9FE813DE4E}" name="4G" dataDxfId="281"/>
    <tableColumn id="181" xr3:uid="{2934D48D-289C-BA43-B918-5F897C90159D}" name="4H" dataDxfId="280"/>
    <tableColumn id="53" xr3:uid="{D25D9F03-85E1-B64C-A053-E1902CC3CE74}" name="4I" dataDxfId="279"/>
    <tableColumn id="54" xr3:uid="{629A3812-2958-2549-B8AC-DADD668DC533}" name="4I1" dataDxfId="278"/>
    <tableColumn id="72" xr3:uid="{C556AA70-4D5E-EA46-B5F9-F92550BF3A96}" name="5A" dataDxfId="277"/>
    <tableColumn id="73" xr3:uid="{2130E0F5-C6D6-644D-911A-1698A5D5AD62}" name="5A1" dataDxfId="276"/>
    <tableColumn id="74" xr3:uid="{4A37E625-2A1F-5D4D-B681-D18BBD536940}" name="5B" dataDxfId="275"/>
    <tableColumn id="75" xr3:uid="{31F00D5D-8F24-9B4C-825C-9422D569CF48}" name="5B1" dataDxfId="274"/>
    <tableColumn id="76" xr3:uid="{6706B38D-2112-FF4D-A440-8AB77CF2B5B3}" name="5B2" dataDxfId="273"/>
    <tableColumn id="77" xr3:uid="{B2E36FFB-75EA-E14A-9AB0-A254ACF6B76D}" name="5B3" dataDxfId="272"/>
    <tableColumn id="78" xr3:uid="{86B6F5AF-9056-5148-8592-308A298983D3}" name="5B4" dataDxfId="271"/>
    <tableColumn id="80" xr3:uid="{5F9AA5E4-48A2-C246-A15F-EC632CC6237E}" name="5B5" dataDxfId="270"/>
    <tableColumn id="81" xr3:uid="{BB576F93-58A7-8C4B-98DC-4B6CD9AD7DBB}" name="5B5.1" dataDxfId="269"/>
    <tableColumn id="82" xr3:uid="{BE0746A0-3188-5741-8BBD-95D04D9526A2}" name="5B5.2" dataDxfId="268"/>
    <tableColumn id="83" xr3:uid="{DBD1BAC4-BDFA-3042-8EF2-EEBF45E75328}" name="5B6" dataDxfId="267"/>
    <tableColumn id="84" xr3:uid="{0711D811-1676-0D43-871C-FF532F42D4CE}" name="5C" dataDxfId="266"/>
    <tableColumn id="85" xr3:uid="{80DDBD2C-98ED-9540-B1BB-C4011AD15026}" name="5C1" dataDxfId="265"/>
    <tableColumn id="86" xr3:uid="{E8DF18F7-9AF0-EC4E-87C5-E8055278FD10}" name="5C2" dataDxfId="264"/>
    <tableColumn id="87" xr3:uid="{9235C150-1ACE-C447-BCE0-653C548359DE}" name="5C3" dataDxfId="263"/>
    <tableColumn id="88" xr3:uid="{13654FBA-73EE-2647-884B-987FE785EE90}" name="5C4" dataDxfId="262"/>
    <tableColumn id="89" xr3:uid="{59FF368E-BDFB-BA44-BE41-EAF8B5D881A5}" name="5C5" dataDxfId="261"/>
    <tableColumn id="91" xr3:uid="{96C6B0D9-5B89-BA4B-887A-68683CD8B53C}" name="5D" dataDxfId="260"/>
    <tableColumn id="92" xr3:uid="{6E8F63B8-1189-3C44-955D-5F38370501EE}" name="5E" dataDxfId="259"/>
    <tableColumn id="59" xr3:uid="{2AF90893-A003-5540-8895-986B286F26BE}" name="5F" dataDxfId="258"/>
    <tableColumn id="93" xr3:uid="{16610852-002B-9942-87D8-36C2D9C779EE}" name="6A" dataDxfId="257"/>
    <tableColumn id="94" xr3:uid="{A844DEFA-1E04-8E43-BC22-DDBA6D0CC398}" name="6A1" dataDxfId="256"/>
    <tableColumn id="95" xr3:uid="{221B241E-08F4-1947-94FD-DCE044657A07}" name="6A2" dataDxfId="255"/>
    <tableColumn id="96" xr3:uid="{9247DE44-5DAB-5745-B28B-5E206D933372}" name="6B" dataDxfId="254"/>
    <tableColumn id="97" xr3:uid="{856D2FF0-0737-C04B-BB01-963844762F43}" name="6B1" dataDxfId="253"/>
    <tableColumn id="98" xr3:uid="{CFC9F000-65FD-8843-B56C-DB6C3C079D68}" name="6B2" dataDxfId="252"/>
    <tableColumn id="99" xr3:uid="{C735EBEF-A820-CF4F-A1F4-87ECC454EECF}" name="6B3" dataDxfId="251"/>
    <tableColumn id="100" xr3:uid="{A8F0479B-3924-7A4E-BA30-8360CD9A63CD}" name="6C" dataDxfId="250"/>
    <tableColumn id="101" xr3:uid="{357F4981-8AFF-D344-BD43-86FD2915945D}" name="6C1" dataDxfId="249"/>
    <tableColumn id="102" xr3:uid="{17BCC62C-9C30-854A-BC80-9BE2CEB177C2}" name="6C2" dataDxfId="248"/>
    <tableColumn id="103" xr3:uid="{60E4FD00-AD55-2B4E-9B09-1491F84C9B9C}" name="6C3" dataDxfId="247"/>
    <tableColumn id="55" xr3:uid="{38808BDF-8E40-1F4D-8731-3AD2DC97A128}" name="6D" dataDxfId="246"/>
    <tableColumn id="104" xr3:uid="{179864DC-4B71-E34E-8B41-8615B8543D0B}" name="7A" dataDxfId="245"/>
    <tableColumn id="105" xr3:uid="{3BA97C84-B6DD-4545-88C8-51563FE98839}" name="7B" dataDxfId="244"/>
    <tableColumn id="106" xr3:uid="{EB71A904-DDE5-7841-842A-0DAF7E592C69}" name="7C" dataDxfId="243"/>
    <tableColumn id="107" xr3:uid="{F1FA3BF9-715E-D049-B6AB-2E860B070F52}" name="7D" dataDxfId="242"/>
    <tableColumn id="108" xr3:uid="{0C7EDDE7-672C-5C47-9FAB-E582F0218BF3}" name="7E" dataDxfId="241"/>
    <tableColumn id="109" xr3:uid="{E415378F-65BE-D048-BF0B-BC3F47A47926}" name="7E1" dataDxfId="240"/>
    <tableColumn id="110" xr3:uid="{D794D13B-D66D-CA45-A138-ACA46E952192}" name="7E2" dataDxfId="239"/>
    <tableColumn id="111" xr3:uid="{E59F6885-4D38-B848-8E53-65BB9B9362A5}" name="7E3" dataDxfId="238"/>
    <tableColumn id="112" xr3:uid="{E3719404-95AC-5342-800B-452D14D6ABED}" name="7F" dataDxfId="237"/>
    <tableColumn id="113" xr3:uid="{4BC1862A-D1EA-FB43-A64D-A5DCEF01BE85}" name="7G" dataDxfId="236"/>
    <tableColumn id="114" xr3:uid="{CF07E661-6D4C-2D49-BA88-B047C5F770FC}" name="7G1" dataDxfId="235"/>
    <tableColumn id="115" xr3:uid="{41B7DBF5-CF53-1044-9635-11548912AAFF}" name="7G2" dataDxfId="234"/>
    <tableColumn id="116" xr3:uid="{5061A6AF-C1AE-804D-992C-2CF452E41418}" name="7G3" dataDxfId="233"/>
    <tableColumn id="117" xr3:uid="{E576D40B-6BE7-CF4D-B68A-0D15A9B382E9}" name="7H" dataDxfId="232"/>
    <tableColumn id="118" xr3:uid="{D43D415F-5CDF-5647-83E8-F415F39AA5D8}" name="7H1" dataDxfId="231"/>
    <tableColumn id="120" xr3:uid="{6E0EDC45-B818-BD46-906D-BCCF0782673B}" name="7H2" dataDxfId="230"/>
    <tableColumn id="121" xr3:uid="{2E94BC40-6E11-8C49-9DC8-5FA6D4451497}" name="7I" dataDxfId="229"/>
    <tableColumn id="122" xr3:uid="{98E3F076-1317-4E45-8F4C-8A1B5AE9A299}" name="7I1" dataDxfId="228"/>
    <tableColumn id="123" xr3:uid="{B4C1D6B0-563C-AE40-9516-0AB900C2F677}" name="7I2" dataDxfId="227"/>
    <tableColumn id="124" xr3:uid="{16BFE4EB-49F7-F74F-93C9-6521818CA161}" name="7I3" dataDxfId="226"/>
    <tableColumn id="126" xr3:uid="{3093407A-C976-3B4B-9877-6A7047DDA17B}" name="7I4" dataDxfId="225"/>
    <tableColumn id="127" xr3:uid="{5481CF45-B247-E245-80B1-5D531898FA6B}" name="7I5" dataDxfId="224"/>
    <tableColumn id="128" xr3:uid="{3BAD3C8F-CCBD-E748-A47D-5098FD01962D}" name="7I6" dataDxfId="223"/>
    <tableColumn id="129" xr3:uid="{4FA9D80F-6FBF-4B4D-95E9-4E4DCBBCF092}" name="7I7" dataDxfId="222"/>
    <tableColumn id="130" xr3:uid="{3B5B70F5-7B44-A042-B1DD-8C0AC0A5B2F2}" name="7I8" dataDxfId="221"/>
    <tableColumn id="131" xr3:uid="{382CDD1C-B3FF-9D48-BC32-957B50AF6820}" name="7I9" dataDxfId="220"/>
    <tableColumn id="132" xr3:uid="{CFCE4BC8-FF78-A041-B9FB-0ACFDA40BB5E}" name="7I10" dataDxfId="219"/>
    <tableColumn id="133" xr3:uid="{FCA8BA01-E899-544E-BD5C-CA657CB1197A}" name="7I11" dataDxfId="218"/>
    <tableColumn id="134" xr3:uid="{0357710B-D7A1-6B4B-92E1-19D6ACA334C7}" name="7J" dataDxfId="217"/>
    <tableColumn id="135" xr3:uid="{26AFFD9E-6F37-294F-9934-DAD34BD27CCF}" name="7K" dataDxfId="216"/>
    <tableColumn id="136" xr3:uid="{4B4C3291-9A5F-4B42-9FBE-F24900C64963}" name="7L" dataDxfId="215"/>
    <tableColumn id="52" xr3:uid="{FA0EC684-4D35-E748-AC44-54772756BF30}" name="7M" dataDxfId="214"/>
    <tableColumn id="50" xr3:uid="{72433948-C9F8-8B42-AAA4-60D98DEE6814}" name="7N" dataDxfId="213"/>
    <tableColumn id="139" xr3:uid="{F7A5294D-F2AD-E440-AFE0-A9E89319BE6A}" name="7O" dataDxfId="212"/>
    <tableColumn id="140" xr3:uid="{8C03ADB1-4396-AC46-9D73-364F1B4489D6}" name="7P" dataDxfId="211"/>
    <tableColumn id="141" xr3:uid="{D113D151-856F-2640-A32C-51F70D35DE3E}" name="7Q" dataDxfId="210"/>
    <tableColumn id="90" xr3:uid="{EACA0D79-441D-5B4C-BAC7-A66F08335A82}" name="7R" dataDxfId="209"/>
    <tableColumn id="152" xr3:uid="{CE2AD268-B376-624A-8814-CB56FDB91ED7}" name="7S" dataDxfId="208"/>
    <tableColumn id="60" xr3:uid="{5DE73186-E50C-CB40-A014-2AB8AE305378}" name="7T" dataDxfId="207"/>
    <tableColumn id="61" xr3:uid="{1DB2C1C2-81BB-3141-880A-0FF0DA02CE69}" name="7U" dataDxfId="206"/>
    <tableColumn id="56" xr3:uid="{9B901D46-EF25-7647-B57C-60FA3BEED1E0}" name="7V" dataDxfId="205"/>
    <tableColumn id="142" xr3:uid="{A07D1CA3-6AD7-BF4D-A988-636753370352}" name="8A" dataDxfId="204"/>
    <tableColumn id="143" xr3:uid="{CD8F54CB-8F15-6D4B-9BBE-70F3CA3B5908}" name="8B" dataDxfId="203"/>
    <tableColumn id="144" xr3:uid="{69B96EFD-CF93-BC4B-A08E-E886AB339AAF}" name="8C" dataDxfId="202"/>
    <tableColumn id="145" xr3:uid="{6A7A4B16-B4ED-EF41-A1C0-E5BBA0D9E221}" name="8D" dataDxfId="201"/>
    <tableColumn id="146" xr3:uid="{B98A0166-B624-144C-BCE8-99CAFBC9F5F6}" name="8D1" dataDxfId="200"/>
    <tableColumn id="147" xr3:uid="{0ADF4C3E-3591-7142-ABA0-0D56BB79B30A}" name="8D2" dataDxfId="199"/>
    <tableColumn id="148" xr3:uid="{8EA9613D-F100-B84F-9C4F-D1C79AE918D0}" name="8E" dataDxfId="198"/>
    <tableColumn id="149" xr3:uid="{7EB38341-A961-AD4A-89D2-069797E31134}" name="8E1" dataDxfId="197"/>
    <tableColumn id="150" xr3:uid="{4D212829-FB6C-5B4B-809D-102FCE14F492}" name="8E2" dataDxfId="196"/>
    <tableColumn id="151" xr3:uid="{EE5A9467-1FEB-B447-B197-2E847156AAED}" name="8F" dataDxfId="195"/>
    <tableColumn id="156" xr3:uid="{8967AFF0-A4FE-9A41-94EB-6D8B704C0E86}" name="8G" dataDxfId="194"/>
    <tableColumn id="153" xr3:uid="{741DF86B-D362-0B40-9AEE-6C42E9EA34A4}" name="9A" dataDxfId="193"/>
    <tableColumn id="154" xr3:uid="{C3C7D924-EFC5-374F-A397-746540C39C82}" name="9B" dataDxfId="192"/>
    <tableColumn id="155" xr3:uid="{BF06963B-6BBA-EF4F-861A-6117CE061D1B}" name="9C" dataDxfId="191"/>
    <tableColumn id="138" xr3:uid="{EBC42634-28A4-4241-A977-80FA660F3100}" name="9D" dataDxfId="190"/>
    <tableColumn id="157" xr3:uid="{6F33DC1C-B0F2-D64A-8AA5-E122BC75AE85}" name="10A" dataDxfId="189"/>
    <tableColumn id="158" xr3:uid="{24FC1842-D909-284E-99F7-96DE8DB7C23A}" name="10B" dataDxfId="188"/>
    <tableColumn id="159" xr3:uid="{B1399D98-1309-F941-ACD8-F694CF841D31}" name="10C" dataDxfId="187"/>
    <tableColumn id="160" xr3:uid="{B760B937-B59F-434F-B959-5FD9AB9CFBA3}" name="10D" dataDxfId="186"/>
    <tableColumn id="161" xr3:uid="{73532782-4D8B-7E47-B999-2BD4741ED66F}" name="10E" dataDxfId="185"/>
    <tableColumn id="162" xr3:uid="{4C2D2017-E439-A24B-822D-33963DF0B743}" name="10F" dataDxfId="184"/>
    <tableColumn id="163" xr3:uid="{637750B2-6A22-6149-9127-6672FDFD12FC}" name="10G" dataDxfId="183"/>
    <tableColumn id="164" xr3:uid="{D111FBBF-B1A0-3B4B-AB17-401AA39A45EA}" name="10H" dataDxfId="182"/>
    <tableColumn id="165" xr3:uid="{5AB144B9-BB91-4348-8303-2D26FF78C996}" name="11A" dataDxfId="181"/>
    <tableColumn id="166" xr3:uid="{28EF9FB4-31C8-6448-A7ED-D28A050789D6}" name="11A1" dataDxfId="180"/>
    <tableColumn id="167" xr3:uid="{FF655654-08A8-BC49-839C-80A9C1FC67A4}" name="11A2" dataDxfId="179"/>
    <tableColumn id="168" xr3:uid="{71E18CED-1EA0-164E-8689-71E57A7606F9}" name="11B" dataDxfId="178"/>
    <tableColumn id="169" xr3:uid="{672BEE9B-B3D2-BB4F-AFD8-4E3FE2DDBF4D}" name="11C" dataDxfId="177"/>
    <tableColumn id="170" xr3:uid="{06F3C472-D187-524D-A4D1-F3668E2F6C2B}" name="11D" dataDxfId="176"/>
    <tableColumn id="171" xr3:uid="{5758C4F5-EA14-9641-9406-F3940B66FF2B}" name="11E" dataDxfId="175"/>
    <tableColumn id="172" xr3:uid="{9A10DB26-0F3A-8A4B-B6B1-AE8A0BCB4AC4}" name="11F" dataDxfId="174"/>
    <tableColumn id="173" xr3:uid="{5C247F35-E298-FA43-9DF1-494AD010678F}" name="11G" dataDxfId="173"/>
    <tableColumn id="174" xr3:uid="{B2939D6E-5EFC-C840-BD8E-D489EB59E8C2}" name="11H" dataDxfId="172"/>
    <tableColumn id="175" xr3:uid="{6BC399C0-2B12-DC47-B2DA-2EE989F66E14}" name="11I" dataDxfId="171"/>
    <tableColumn id="176" xr3:uid="{FE3B3B2A-E350-FC46-82AA-89D66FDAD988}" name="12A" dataDxfId="170"/>
    <tableColumn id="177" xr3:uid="{947EB6B2-41CB-AA46-8747-8571C3045D19}" name="12A1" dataDxfId="169"/>
    <tableColumn id="178" xr3:uid="{152C8845-8F96-EE41-B6A8-50E35CDE8974}" name="12A2" dataDxfId="168"/>
    <tableColumn id="179" xr3:uid="{EB952228-6887-A049-AF3F-02B5B1BE6C43}" name="12B" dataDxfId="167"/>
    <tableColumn id="180" xr3:uid="{70A2BD76-235C-2F4A-A7BF-FD5E8383114C}" name="12C" dataDxfId="166"/>
    <tableColumn id="119" xr3:uid="{2D67AF60-057D-BC4E-AA57-A7348AB1562C}" name="12D" dataDxfId="165"/>
    <tableColumn id="182" xr3:uid="{B1F9BD8A-B7A2-464E-983E-2E526618DAC7}" name="13A" dataDxfId="164"/>
    <tableColumn id="183" xr3:uid="{7C871681-7AAD-A64F-A5BE-E33AAE60DCCE}" name="13B" dataDxfId="163"/>
    <tableColumn id="184" xr3:uid="{95ABDD13-DDE4-6445-8066-BBF89CD3C4B8}" name="13C" dataDxfId="162"/>
    <tableColumn id="185" xr3:uid="{847D40CB-F349-AA4F-8FD8-E94AFD7E1BAC}" name="13D" dataDxfId="161"/>
    <tableColumn id="186" xr3:uid="{3D0FA678-DF00-1946-8AE7-2B756AAFA3D3}" name="13E" dataDxfId="160"/>
    <tableColumn id="187" xr3:uid="{4FD46FBE-6566-DA47-8B19-F957369FF5DC}" name="13F" dataDxfId="159"/>
    <tableColumn id="188" xr3:uid="{8562EF50-9ADD-F447-99F2-44BA89E0A3BC}" name="13G" dataDxfId="158"/>
    <tableColumn id="189" xr3:uid="{1EAC0908-3CCC-E647-BC97-54B24DCCB11F}" name="13H" dataDxfId="157"/>
    <tableColumn id="190" xr3:uid="{207EF6FF-4C02-0543-A2DA-2F48E95D7B2C}" name="13I" dataDxfId="156"/>
    <tableColumn id="191" xr3:uid="{6BD8DBAF-A69A-C045-A116-7480BFD5AC78}" name="13J" dataDxfId="155"/>
    <tableColumn id="192" xr3:uid="{9576F4B9-823C-2C46-A44B-49C6A20556C2}" name="13K" dataDxfId="154"/>
    <tableColumn id="193" xr3:uid="{E0491319-45F9-6446-A905-5695801E1C07}" name="13L" dataDxfId="153"/>
    <tableColumn id="194" xr3:uid="{6E7AE168-8719-8D45-B186-69A59478158F}" name="13M" dataDxfId="152"/>
    <tableColumn id="195" xr3:uid="{67D6338E-AB94-114C-A7E6-1CC519C66329}" name="13N" dataDxfId="151"/>
    <tableColumn id="196" xr3:uid="{BECF377C-28F3-9B47-A8DE-70489EB4724A}" name="13O" dataDxfId="150"/>
    <tableColumn id="197" xr3:uid="{B942C150-64DC-5640-8CAE-E491D5EE8D7E}" name="13P" dataDxfId="149"/>
    <tableColumn id="198" xr3:uid="{74DAB768-817A-164C-9FBE-D10A0C3D5433}" name="13Q" dataDxfId="14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D4095D-9FDD-E943-A859-04FAB0CF10ED}" name="Table1" displayName="Table1" ref="A1:L133" totalsRowShown="0" headerRowDxfId="147" dataDxfId="146" tableBorderDxfId="145">
  <autoFilter ref="A1:L133" xr:uid="{92D4095D-9FDD-E943-A859-04FAB0CF10ED}"/>
  <tableColumns count="12">
    <tableColumn id="1" xr3:uid="{2A545CF7-96AA-F94B-9D45-EF2DB29476CD}" name="Discussed in" dataDxfId="144"/>
    <tableColumn id="2" xr3:uid="{624B1963-AC8C-0F41-A98A-6D35FB1E8335}" name="Pubblication"/>
    <tableColumn id="3" xr3:uid="{E2B115D4-88AE-5049-8F1E-8E080A391E41}" name="Project/Tool" dataDxfId="143"/>
    <tableColumn id="4" xr3:uid="{FC57BD75-A166-8E45-8536-C2325B322F9C}" name="Repository" dataDxfId="142" dataCellStyle="Hyperlink"/>
    <tableColumn id="5" xr3:uid="{F7681FE8-BC5F-8846-AFA6-EC2F5674D9A9}" name="N. Contracts" dataDxfId="141"/>
    <tableColumn id="6" xr3:uid="{D8DCE321-5F89-6A4C-B306-A84B27B4FA80}" name="Ground truth" dataDxfId="140"/>
    <tableColumn id="7" xr3:uid="{367F6697-171F-6645-A1CE-05AB37F5C0E5}" name="Analysis result" dataDxfId="139"/>
    <tableColumn id="8" xr3:uid="{ACD6D718-EA52-3B47-8DED-9C8CA95E76AA}" name="Solidity" dataDxfId="138"/>
    <tableColumn id="9" xr3:uid="{7CB70D1F-0AB4-1340-A580-4B8B88D4A8CF}" name="Bytecode" dataDxfId="137"/>
    <tableColumn id="10" xr3:uid="{38D43D73-8CDF-4E43-AE3C-4E76601AA4D4}" name="Addresses" dataDxfId="136"/>
    <tableColumn id="11" xr3:uid="{B8AD3395-AB6A-F545-A8F0-E27555B3DEBF}" name="Real" dataDxfId="135"/>
    <tableColumn id="12" xr3:uid="{9F740A38-682B-AE4C-B55E-57051E25FA19}" name="Synthetic" dataDxfId="134"/>
  </tableColumns>
  <tableStyleInfo name="TableStyleLight1"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30E9E-0964-46BF-9AF8-01913A2CF2D8}">
  <dimension ref="A1:V460"/>
  <sheetViews>
    <sheetView topLeftCell="E1" zoomScale="107" zoomScaleNormal="108" workbookViewId="0">
      <selection activeCell="M77" sqref="M77"/>
    </sheetView>
  </sheetViews>
  <sheetFormatPr baseColWidth="10" defaultColWidth="8.83203125" defaultRowHeight="15" x14ac:dyDescent="0.2"/>
  <cols>
    <col min="1" max="1" width="78.6640625" customWidth="1"/>
    <col min="2" max="2" width="22.33203125" style="7" customWidth="1"/>
    <col min="3" max="3" width="21.6640625" bestFit="1" customWidth="1"/>
    <col min="4" max="10" width="5.5" customWidth="1"/>
    <col min="11" max="11" width="7.5" style="5" customWidth="1"/>
    <col min="12" max="12" width="9.33203125" customWidth="1"/>
    <col min="13" max="13" width="9" customWidth="1"/>
    <col min="14" max="14" width="29.83203125" style="11" bestFit="1" customWidth="1"/>
    <col min="15" max="15" width="119.1640625" style="11" bestFit="1" customWidth="1"/>
    <col min="16" max="16" width="6.1640625" style="11" customWidth="1"/>
    <col min="17" max="17" width="7.1640625" style="186" bestFit="1" customWidth="1"/>
    <col min="18" max="18" width="6.6640625" style="11" customWidth="1"/>
    <col min="19" max="19" width="24" style="11" customWidth="1"/>
    <col min="20" max="20" width="27" style="11" customWidth="1"/>
    <col min="21" max="21" width="22.83203125" customWidth="1"/>
    <col min="22" max="22" width="32.33203125" bestFit="1" customWidth="1"/>
  </cols>
  <sheetData>
    <row r="1" spans="1:20" x14ac:dyDescent="0.2">
      <c r="A1" s="49" t="s">
        <v>835</v>
      </c>
      <c r="B1" s="87" t="s">
        <v>836</v>
      </c>
      <c r="C1" s="87" t="s">
        <v>837</v>
      </c>
      <c r="D1" s="87" t="s">
        <v>838</v>
      </c>
      <c r="E1" s="87" t="s">
        <v>839</v>
      </c>
      <c r="F1" s="87" t="s">
        <v>840</v>
      </c>
      <c r="G1" s="87" t="s">
        <v>841</v>
      </c>
      <c r="H1" s="87" t="s">
        <v>842</v>
      </c>
      <c r="I1" s="87" t="s">
        <v>843</v>
      </c>
      <c r="J1" s="87" t="s">
        <v>844</v>
      </c>
      <c r="K1" s="175" t="s">
        <v>845</v>
      </c>
      <c r="L1" s="87" t="s">
        <v>846</v>
      </c>
      <c r="M1" s="87" t="s">
        <v>847</v>
      </c>
      <c r="N1" s="87" t="s">
        <v>848</v>
      </c>
      <c r="O1" s="87" t="s">
        <v>849</v>
      </c>
      <c r="P1" s="185" t="s">
        <v>850</v>
      </c>
      <c r="Q1" s="121" t="s">
        <v>851</v>
      </c>
      <c r="R1" s="87" t="s">
        <v>852</v>
      </c>
      <c r="S1" s="87" t="s">
        <v>853</v>
      </c>
      <c r="T1" s="87" t="s">
        <v>854</v>
      </c>
    </row>
    <row r="2" spans="1:20" x14ac:dyDescent="0.2">
      <c r="A2" s="13" t="s">
        <v>855</v>
      </c>
      <c r="B2" s="11" t="str">
        <f>IF(AND(ISTEXT("https://ieeexplore.ieee.org/abstract/document/10062423?casa_token=IUQZ9sL6XdsAAAAA:nv5iR-GG1yMX9b5sPkmki5272YADOyNY_DecZjHn9n8XLKuXB1RXqriUstDfLR4vvHOj8zzzqw"),"https://ieeexplore.ieee.org/abstract/document/10062423?casa_token=IUQZ9sL6XdsAAAAA:nv5iR-GG1yMX9b5sPkmki5272YADOyNY_DecZjHn9n8XLKuXB1RXqriUstDfLR4vvHOj8zzzqw"&lt;&gt;""), HYPERLINK("https://ieeexplore.ieee.org/abstract/document/10062423?casa_token=IUQZ9sL6XdsAAAAA:nv5iR-GG1yMX9b5sPkmki5272YADOyNY_DecZjHn9n8XLKuXB1RXqriUstDfLR4vvHOj8zzzqw", "Link"),"-")</f>
        <v>Link</v>
      </c>
      <c r="C2" s="11" t="s">
        <v>856</v>
      </c>
      <c r="D2" s="176">
        <v>0</v>
      </c>
      <c r="E2" s="176">
        <v>1</v>
      </c>
      <c r="F2" s="11"/>
      <c r="G2" s="11"/>
      <c r="H2" s="11"/>
      <c r="I2" s="11"/>
      <c r="J2" s="177"/>
      <c r="K2" s="177">
        <v>2022</v>
      </c>
      <c r="L2" s="11"/>
      <c r="M2" s="11">
        <v>2</v>
      </c>
      <c r="N2" s="11" t="s">
        <v>857</v>
      </c>
      <c r="O2" s="11" t="s">
        <v>858</v>
      </c>
      <c r="P2" s="176">
        <v>0.8</v>
      </c>
      <c r="Q2" s="186">
        <v>0.5</v>
      </c>
      <c r="R2" s="186">
        <v>0.65</v>
      </c>
      <c r="S2" s="11" t="s">
        <v>859</v>
      </c>
      <c r="T2" s="11" t="s">
        <v>860</v>
      </c>
    </row>
    <row r="3" spans="1:20" x14ac:dyDescent="0.2">
      <c r="A3" s="13" t="s">
        <v>861</v>
      </c>
      <c r="B3" s="11" t="str">
        <f>IF(AND(ISTEXT("https://ieeexplore.ieee.org/abstract/document/10130487"),"https://ieeexplore.ieee.org/abstract/document/10130487"&lt;&gt;""), HYPERLINK("https://ieeexplore.ieee.org/abstract/document/10130487", "Link"),"-")</f>
        <v>Link</v>
      </c>
      <c r="C3" s="11" t="s">
        <v>856</v>
      </c>
      <c r="D3" s="176">
        <v>0</v>
      </c>
      <c r="E3" s="176">
        <v>1</v>
      </c>
      <c r="F3" s="176"/>
      <c r="G3" s="176"/>
      <c r="H3" s="176"/>
      <c r="I3" s="176"/>
      <c r="J3" s="176"/>
      <c r="K3" s="177">
        <v>2023</v>
      </c>
      <c r="L3" s="11"/>
      <c r="M3" s="11">
        <v>2</v>
      </c>
      <c r="N3" s="11" t="s">
        <v>862</v>
      </c>
      <c r="O3" s="11" t="s">
        <v>863</v>
      </c>
      <c r="P3" s="176">
        <v>1</v>
      </c>
      <c r="Q3" s="186">
        <v>0.5</v>
      </c>
      <c r="R3" s="186">
        <v>0.75</v>
      </c>
      <c r="S3" s="11" t="s">
        <v>864</v>
      </c>
      <c r="T3" s="11" t="s">
        <v>865</v>
      </c>
    </row>
    <row r="4" spans="1:20" x14ac:dyDescent="0.2">
      <c r="A4" t="s">
        <v>866</v>
      </c>
      <c r="B4" s="11" t="str">
        <f>IF(AND(ISTEXT("https://www.sciencedirect.com/science/article/pii/S0020025523004565"),"https://www.sciencedirect.com/science/article/pii/S0020025523004565"&lt;&gt;""), HYPERLINK("https://www.sciencedirect.com/science/article/pii/S0020025523004565", "Link"),"-")</f>
        <v>Link</v>
      </c>
      <c r="C4" s="11" t="s">
        <v>856</v>
      </c>
      <c r="D4" s="176">
        <v>1</v>
      </c>
      <c r="E4" s="176">
        <v>1</v>
      </c>
      <c r="F4" s="11"/>
      <c r="G4" s="11"/>
      <c r="H4" s="11"/>
      <c r="I4" s="11"/>
      <c r="J4" s="11"/>
      <c r="K4" s="177">
        <v>2023</v>
      </c>
      <c r="L4" s="11"/>
      <c r="M4" s="11" t="s">
        <v>867</v>
      </c>
      <c r="N4" s="11" t="s">
        <v>862</v>
      </c>
      <c r="O4" s="11" t="s">
        <v>868</v>
      </c>
      <c r="P4" s="183">
        <v>1</v>
      </c>
      <c r="Q4" s="11">
        <v>1</v>
      </c>
      <c r="R4" s="186">
        <v>1</v>
      </c>
      <c r="S4" s="11" t="s">
        <v>869</v>
      </c>
      <c r="T4" s="11" t="s">
        <v>870</v>
      </c>
    </row>
    <row r="5" spans="1:20" x14ac:dyDescent="0.2">
      <c r="A5" s="13" t="s">
        <v>871</v>
      </c>
      <c r="B5" s="11" t="str">
        <f>IF(AND(ISTEXT("https://www.hindawi.com/journals/scn/2021/5798033/"),"https://www.hindawi.com/journals/scn/2021/5798033/"&lt;&gt;""), HYPERLINK("https://www.hindawi.com/journals/scn/2021/5798033/", "Link"),"-")</f>
        <v>Link</v>
      </c>
      <c r="C5" s="11" t="s">
        <v>856</v>
      </c>
      <c r="D5" s="176">
        <v>1</v>
      </c>
      <c r="E5" s="176">
        <v>1</v>
      </c>
      <c r="F5" s="176"/>
      <c r="G5" s="176"/>
      <c r="H5" s="176"/>
      <c r="I5" s="176"/>
      <c r="J5" s="176"/>
      <c r="K5" s="177">
        <v>2021</v>
      </c>
      <c r="L5" s="11"/>
      <c r="M5" s="11">
        <v>1</v>
      </c>
      <c r="N5" s="11" t="s">
        <v>862</v>
      </c>
      <c r="O5" s="11" t="s">
        <v>872</v>
      </c>
      <c r="P5" s="176">
        <v>0.8</v>
      </c>
      <c r="Q5" s="186">
        <v>1</v>
      </c>
      <c r="R5" s="186">
        <v>0.9</v>
      </c>
      <c r="S5" s="11" t="s">
        <v>873</v>
      </c>
      <c r="T5" s="11" t="s">
        <v>874</v>
      </c>
    </row>
    <row r="6" spans="1:20" x14ac:dyDescent="0.2">
      <c r="A6" s="13" t="s">
        <v>875</v>
      </c>
      <c r="B6" s="11" t="str">
        <f>IF(AND(ISTEXT("https://www.mdpi.com/1424-8220/22/9/3581"),"https://www.mdpi.com/1424-8220/22/9/3581"&lt;&gt;""), HYPERLINK("https://www.mdpi.com/1424-8220/22/9/3581", "Link"),"-")</f>
        <v>Link</v>
      </c>
      <c r="C6" s="11" t="s">
        <v>856</v>
      </c>
      <c r="D6" s="176">
        <v>1</v>
      </c>
      <c r="E6" s="176">
        <v>1</v>
      </c>
      <c r="F6" s="176"/>
      <c r="G6" s="176"/>
      <c r="H6" s="176"/>
      <c r="I6" s="176"/>
      <c r="J6" s="176"/>
      <c r="K6" s="177">
        <v>2022</v>
      </c>
      <c r="L6" s="11"/>
      <c r="M6" s="11">
        <v>1</v>
      </c>
      <c r="N6" s="11" t="s">
        <v>862</v>
      </c>
      <c r="O6" s="11" t="s">
        <v>876</v>
      </c>
      <c r="P6" s="176">
        <v>0.8</v>
      </c>
      <c r="Q6" s="186">
        <v>1</v>
      </c>
      <c r="R6" s="186">
        <v>0.9</v>
      </c>
      <c r="S6" s="11" t="s">
        <v>864</v>
      </c>
      <c r="T6" s="11" t="s">
        <v>877</v>
      </c>
    </row>
    <row r="7" spans="1:20" x14ac:dyDescent="0.2">
      <c r="A7" s="13" t="s">
        <v>878</v>
      </c>
      <c r="B7" s="11" t="str">
        <f>IF(AND(ISTEXT("https://www.sciencedirect.com/science/article/pii/S0140366421001043?via%3Dihub"),"https://www.sciencedirect.com/science/article/pii/S0140366421001043?via%3Dihub"&lt;&gt;""), HYPERLINK("https://www.sciencedirect.com/science/article/pii/S0140366421001043?via%3Dihub", "Link"),"-")</f>
        <v>Link</v>
      </c>
      <c r="C7" s="11" t="s">
        <v>856</v>
      </c>
      <c r="D7" s="176">
        <v>1</v>
      </c>
      <c r="E7" s="176">
        <v>1</v>
      </c>
      <c r="F7" s="176"/>
      <c r="G7" s="176"/>
      <c r="H7" s="176"/>
      <c r="I7" s="176"/>
      <c r="J7" s="176"/>
      <c r="K7" s="177">
        <v>2021</v>
      </c>
      <c r="L7" s="11"/>
      <c r="M7" s="11">
        <v>2</v>
      </c>
      <c r="N7" s="11" t="s">
        <v>862</v>
      </c>
      <c r="O7" s="11" t="s">
        <v>879</v>
      </c>
      <c r="P7" s="176">
        <v>1</v>
      </c>
      <c r="Q7" s="186">
        <v>1</v>
      </c>
      <c r="R7" s="186">
        <v>1</v>
      </c>
      <c r="S7" s="11" t="s">
        <v>880</v>
      </c>
      <c r="T7" s="11" t="s">
        <v>20</v>
      </c>
    </row>
    <row r="8" spans="1:20" x14ac:dyDescent="0.2">
      <c r="A8" s="13" t="s">
        <v>881</v>
      </c>
      <c r="B8" s="11" t="str">
        <f>IF(AND(ISTEXT("https://dl.acm.org/doi/10.1145/3564699"),"https://dl.acm.org/doi/10.1145/3564699"&lt;&gt;""), HYPERLINK("https://dl.acm.org/doi/10.1145/3564699", "Link"),"-")</f>
        <v>Link</v>
      </c>
      <c r="C8" s="11" t="s">
        <v>856</v>
      </c>
      <c r="D8" s="176">
        <v>0.3</v>
      </c>
      <c r="E8" s="176">
        <v>1</v>
      </c>
      <c r="F8" s="176"/>
      <c r="G8" s="176"/>
      <c r="H8" s="176"/>
      <c r="I8" s="176"/>
      <c r="J8" s="176"/>
      <c r="K8" s="177">
        <v>2023</v>
      </c>
      <c r="L8" s="11"/>
      <c r="M8" s="11">
        <v>3</v>
      </c>
      <c r="N8" s="11" t="s">
        <v>862</v>
      </c>
      <c r="O8" s="11" t="s">
        <v>882</v>
      </c>
      <c r="P8" s="176">
        <v>1</v>
      </c>
      <c r="Q8" s="186">
        <v>0.65</v>
      </c>
      <c r="R8" s="186">
        <v>0.82499999999999996</v>
      </c>
      <c r="S8" s="11" t="s">
        <v>883</v>
      </c>
      <c r="T8" s="11" t="s">
        <v>884</v>
      </c>
    </row>
    <row r="9" spans="1:20" x14ac:dyDescent="0.2">
      <c r="A9" s="13" t="s">
        <v>885</v>
      </c>
      <c r="B9" s="11" t="str">
        <f>IF(AND(ISTEXT("https://www.sciencedirect.com/science/article/pii/S0950584923000757"),"https://www.sciencedirect.com/science/article/pii/S0950584923000757"&lt;&gt;""), HYPERLINK("https://www.sciencedirect.com/science/article/pii/S0950584923000757", "Link"),"-")</f>
        <v>Link</v>
      </c>
      <c r="C9" s="11" t="s">
        <v>886</v>
      </c>
      <c r="D9" s="176">
        <v>0</v>
      </c>
      <c r="E9" s="176">
        <v>1</v>
      </c>
      <c r="F9" s="176">
        <v>0.6</v>
      </c>
      <c r="G9" s="176">
        <v>0.3</v>
      </c>
      <c r="H9" s="176">
        <v>0</v>
      </c>
      <c r="I9" s="176">
        <v>0</v>
      </c>
      <c r="J9" s="176">
        <v>1</v>
      </c>
      <c r="K9" s="177">
        <v>2023</v>
      </c>
      <c r="L9" s="11"/>
      <c r="M9" s="11">
        <v>1</v>
      </c>
      <c r="N9" s="11" t="s">
        <v>862</v>
      </c>
      <c r="O9" s="11" t="s">
        <v>887</v>
      </c>
      <c r="P9" s="176">
        <v>1</v>
      </c>
      <c r="Q9" s="186">
        <v>0.58000000000000007</v>
      </c>
      <c r="R9" s="186">
        <v>0.79</v>
      </c>
      <c r="S9" s="11" t="s">
        <v>864</v>
      </c>
      <c r="T9" s="11" t="s">
        <v>888</v>
      </c>
    </row>
    <row r="10" spans="1:20" x14ac:dyDescent="0.2">
      <c r="A10" s="13" t="s">
        <v>889</v>
      </c>
      <c r="B10" s="11" t="str">
        <f>IF(AND(ISTEXT("https://www.sciencedirect.com/science/article/pii/S0164121220302818"),"https://www.sciencedirect.com/science/article/pii/S0164121220302818"&lt;&gt;""), HYPERLINK("https://www.sciencedirect.com/science/article/pii/S0164121220302818", "Link"),"-")</f>
        <v>Link</v>
      </c>
      <c r="C10" s="11" t="s">
        <v>890</v>
      </c>
      <c r="D10" s="176">
        <v>1</v>
      </c>
      <c r="E10" s="176">
        <v>0.3</v>
      </c>
      <c r="F10" s="176">
        <v>0</v>
      </c>
      <c r="G10" s="176">
        <v>1</v>
      </c>
      <c r="H10" s="176">
        <v>0.3</v>
      </c>
      <c r="I10" s="176">
        <v>1</v>
      </c>
      <c r="J10" s="176">
        <v>0</v>
      </c>
      <c r="K10" s="177">
        <v>2021</v>
      </c>
      <c r="L10" s="11"/>
      <c r="M10" s="11">
        <v>1.2</v>
      </c>
      <c r="N10" s="11" t="s">
        <v>862</v>
      </c>
      <c r="O10" s="11" t="s">
        <v>891</v>
      </c>
      <c r="P10" s="176">
        <v>1</v>
      </c>
      <c r="Q10" s="186">
        <v>0.51428571428571423</v>
      </c>
      <c r="R10" s="186">
        <v>0.75714285714285712</v>
      </c>
      <c r="S10" s="11" t="s">
        <v>880</v>
      </c>
      <c r="T10" s="11" t="s">
        <v>892</v>
      </c>
    </row>
    <row r="11" spans="1:20" x14ac:dyDescent="0.2">
      <c r="A11" s="13" t="s">
        <v>893</v>
      </c>
      <c r="B11" s="11" t="str">
        <f>IF(AND(ISTEXT("https://www.degruyter.com/document/doi/10.1515/jisys-2023-0038/html"),"https://www.degruyter.com/document/doi/10.1515/jisys-2023-0038/html"&lt;&gt;""), HYPERLINK("https://www.degruyter.com/document/doi/10.1515/jisys-2023-0038/html", "Link"),"-")</f>
        <v>Link</v>
      </c>
      <c r="C11" s="11" t="s">
        <v>890</v>
      </c>
      <c r="D11" s="176">
        <v>1</v>
      </c>
      <c r="E11" s="176">
        <v>1</v>
      </c>
      <c r="F11" s="176">
        <v>1</v>
      </c>
      <c r="G11" s="176">
        <v>1</v>
      </c>
      <c r="H11" s="176">
        <v>0.6</v>
      </c>
      <c r="I11" s="176">
        <v>0</v>
      </c>
      <c r="J11" s="176">
        <v>1</v>
      </c>
      <c r="K11" s="177">
        <v>2023</v>
      </c>
      <c r="L11" s="11"/>
      <c r="M11" s="11" t="s">
        <v>894</v>
      </c>
      <c r="N11" s="11" t="s">
        <v>862</v>
      </c>
      <c r="O11" s="11" t="s">
        <v>895</v>
      </c>
      <c r="P11" s="176">
        <v>0.8</v>
      </c>
      <c r="Q11" s="186">
        <v>0.93333333333333324</v>
      </c>
      <c r="R11" s="186">
        <v>0.8666666666666667</v>
      </c>
      <c r="S11" s="11" t="s">
        <v>864</v>
      </c>
      <c r="T11" s="11" t="s">
        <v>896</v>
      </c>
    </row>
    <row r="12" spans="1:20" x14ac:dyDescent="0.2">
      <c r="A12" s="13" t="s">
        <v>897</v>
      </c>
      <c r="B12" s="11" t="str">
        <f>IF(AND(ISTEXT("https://dl.acm.org/doi/10.1109/ICSE48619.2023.00087"),"https://dl.acm.org/doi/10.1109/ICSE48619.2023.00087"&lt;&gt;""), HYPERLINK("https://dl.acm.org/doi/10.1109/ICSE48619.2023.00087", "Link"),"-")</f>
        <v>Link</v>
      </c>
      <c r="C12" s="11" t="s">
        <v>856</v>
      </c>
      <c r="D12" s="176">
        <v>0.3</v>
      </c>
      <c r="E12" s="176">
        <v>1</v>
      </c>
      <c r="F12" s="176"/>
      <c r="G12" s="176"/>
      <c r="H12" s="176"/>
      <c r="I12" s="176"/>
      <c r="J12" s="176"/>
      <c r="K12" s="177">
        <v>2023</v>
      </c>
      <c r="L12" s="11"/>
      <c r="M12" s="11">
        <v>2</v>
      </c>
      <c r="N12" s="11" t="s">
        <v>857</v>
      </c>
      <c r="O12" s="11" t="s">
        <v>898</v>
      </c>
      <c r="P12" s="176">
        <v>1</v>
      </c>
      <c r="Q12" s="186">
        <v>0.65</v>
      </c>
      <c r="R12" s="186">
        <v>0.82499999999999996</v>
      </c>
      <c r="S12" s="11" t="s">
        <v>883</v>
      </c>
      <c r="T12" s="11" t="s">
        <v>899</v>
      </c>
    </row>
    <row r="13" spans="1:20" x14ac:dyDescent="0.2">
      <c r="A13" s="13" t="s">
        <v>900</v>
      </c>
      <c r="B13" s="11" t="str">
        <f>IF(AND(ISTEXT("https://ieeexplore.ieee.org/document/9667768"),"https://ieeexplore.ieee.org/document/9667768"&lt;&gt;""), HYPERLINK("https://ieeexplore.ieee.org/document/9667768", "Link"),"-")</f>
        <v>Link</v>
      </c>
      <c r="C13" s="11" t="s">
        <v>886</v>
      </c>
      <c r="D13" s="176">
        <v>0</v>
      </c>
      <c r="E13" s="176">
        <v>1</v>
      </c>
      <c r="F13" s="176">
        <v>1</v>
      </c>
      <c r="G13" s="176">
        <v>0.3</v>
      </c>
      <c r="H13" s="176">
        <v>0.3</v>
      </c>
      <c r="I13" s="176">
        <v>0</v>
      </c>
      <c r="J13" s="176">
        <v>0</v>
      </c>
      <c r="K13" s="177">
        <v>2021</v>
      </c>
      <c r="L13" s="11"/>
      <c r="M13" s="11">
        <v>2</v>
      </c>
      <c r="N13" s="11" t="s">
        <v>857</v>
      </c>
      <c r="O13" s="11" t="s">
        <v>901</v>
      </c>
      <c r="P13" s="176">
        <v>0.8</v>
      </c>
      <c r="Q13" s="186">
        <v>0.51999999999999991</v>
      </c>
      <c r="R13" s="186">
        <v>0.65999999999999992</v>
      </c>
      <c r="S13" s="11" t="s">
        <v>873</v>
      </c>
      <c r="T13" s="11" t="s">
        <v>902</v>
      </c>
    </row>
    <row r="14" spans="1:20" x14ac:dyDescent="0.2">
      <c r="A14" s="13" t="s">
        <v>903</v>
      </c>
      <c r="B14" s="11" t="str">
        <f>IF(AND(ISTEXT("https://ieeexplore.ieee.org/abstract/document/9591399"),"https://ieeexplore.ieee.org/abstract/document/9591399"&lt;&gt;""), HYPERLINK("https://ieeexplore.ieee.org/abstract/document/9591399", "Link"),"-")</f>
        <v>Link</v>
      </c>
      <c r="C14" s="11" t="s">
        <v>856</v>
      </c>
      <c r="D14" s="176">
        <v>0.6</v>
      </c>
      <c r="E14" s="176">
        <v>1</v>
      </c>
      <c r="F14" s="176"/>
      <c r="G14" s="176"/>
      <c r="H14" s="176"/>
      <c r="I14" s="176"/>
      <c r="J14" s="176"/>
      <c r="K14" s="177">
        <v>2022</v>
      </c>
      <c r="L14" s="11"/>
      <c r="M14" s="11">
        <v>3</v>
      </c>
      <c r="N14" s="11" t="s">
        <v>862</v>
      </c>
      <c r="O14" s="11" t="s">
        <v>904</v>
      </c>
      <c r="P14" s="176">
        <v>1</v>
      </c>
      <c r="Q14" s="186">
        <v>0.8</v>
      </c>
      <c r="R14" s="186">
        <v>0.9</v>
      </c>
      <c r="S14" s="11" t="s">
        <v>869</v>
      </c>
      <c r="T14" s="11" t="s">
        <v>905</v>
      </c>
    </row>
    <row r="15" spans="1:20" x14ac:dyDescent="0.2">
      <c r="A15" s="13" t="s">
        <v>906</v>
      </c>
      <c r="B15" s="11" t="str">
        <f>IF(AND(ISTEXT("https://www.sciencedirect.com/science/article/pii/S221421262300008X?casa_token=L17-2HJTgKsAAAAA:23B-zr-DrCcMyTvK3pFKbj39IVgciQFPTp_DaQSmLk8oOziBxuzZ7HZ2uvb-4gb_A9oGJQHW"),"https://www.sciencedirect.com/science/article/pii/S221421262300008X?casa_token=L17-2HJTgKsAAAAA:23B-zr-DrCcMyTvK3pFKbj39IVgciQFPTp_DaQSmLk8oOziBxuzZ7HZ2uvb-4gb_A9oGJQHW"&lt;&gt;""), HYPERLINK("https://www.sciencedirect.com/science/article/pii/S221421262300008X?casa_token=L17-2HJTgKsAAAAA:23B-zr-DrCcMyTvK3pFKbj39IVgciQFPTp_DaQSmLk8oOziBxuzZ7HZ2uvb-4gb_A9oGJQHW", "Link"),"-")</f>
        <v>Link</v>
      </c>
      <c r="C15" s="11" t="s">
        <v>856</v>
      </c>
      <c r="D15" s="176">
        <v>0.6</v>
      </c>
      <c r="E15" s="176">
        <v>1</v>
      </c>
      <c r="F15" s="176"/>
      <c r="G15" s="176"/>
      <c r="H15" s="176"/>
      <c r="I15" s="176"/>
      <c r="J15" s="176"/>
      <c r="K15" s="177">
        <v>2023</v>
      </c>
      <c r="L15" s="11"/>
      <c r="M15" s="11">
        <v>2</v>
      </c>
      <c r="N15" s="11" t="s">
        <v>862</v>
      </c>
      <c r="O15" s="11" t="s">
        <v>907</v>
      </c>
      <c r="P15" s="176">
        <v>1</v>
      </c>
      <c r="Q15" s="186">
        <v>0.8</v>
      </c>
      <c r="R15" s="186">
        <v>0.9</v>
      </c>
      <c r="S15" s="11" t="s">
        <v>864</v>
      </c>
      <c r="T15" s="11" t="s">
        <v>908</v>
      </c>
    </row>
    <row r="16" spans="1:20" x14ac:dyDescent="0.2">
      <c r="A16" s="13" t="s">
        <v>909</v>
      </c>
      <c r="B16" s="11" t="str">
        <f>IF(AND(ISTEXT("https://www.jatit.org/volumes/Vol101No21/22Vol101No21.pdf"),"https://www.jatit.org/volumes/Vol101No21/22Vol101No21.pdf"&lt;&gt;""), HYPERLINK("https://www.jatit.org/volumes/Vol101No21/22Vol101No21.pdf", "Link"),"-")</f>
        <v>Link</v>
      </c>
      <c r="C16" s="11" t="s">
        <v>856</v>
      </c>
      <c r="D16" s="176">
        <v>0</v>
      </c>
      <c r="E16" s="176">
        <v>1</v>
      </c>
      <c r="F16" s="176"/>
      <c r="G16" s="176"/>
      <c r="H16" s="176"/>
      <c r="I16" s="176"/>
      <c r="J16" s="176"/>
      <c r="K16" s="177">
        <v>2023</v>
      </c>
      <c r="L16" s="11"/>
      <c r="M16" s="11">
        <v>2</v>
      </c>
      <c r="N16" s="11" t="s">
        <v>862</v>
      </c>
      <c r="O16" s="11" t="s">
        <v>910</v>
      </c>
      <c r="P16" s="176">
        <v>0.5</v>
      </c>
      <c r="Q16" s="186">
        <v>0.5</v>
      </c>
      <c r="R16" s="186">
        <v>0.5</v>
      </c>
      <c r="S16" s="11" t="s">
        <v>864</v>
      </c>
      <c r="T16" s="11" t="s">
        <v>911</v>
      </c>
    </row>
    <row r="17" spans="1:22" x14ac:dyDescent="0.2">
      <c r="A17" s="13" t="s">
        <v>912</v>
      </c>
      <c r="B17" s="11" t="str">
        <f>IF(AND(ISTEXT("https://www.sciencedirect.com/science/article/pii/S2214785321030273?casa_token=iI8eqBHd0dAAAAAA:IsrBBuibA8NSlZ2kPSsIOCioFA4YnsqFasV7Uz0FasX4NaFgid2wbeF7pHvjC-05SulB-Rii"),"https://www.sciencedirect.com/science/article/pii/S2214785321030273?casa_token=iI8eqBHd0dAAAAAA:IsrBBuibA8NSlZ2kPSsIOCioFA4YnsqFasV7Uz0FasX4NaFgid2wbeF7pHvjC-05SulB-Rii"&lt;&gt;""), HYPERLINK("https://www.sciencedirect.com/science/article/pii/S2214785321030273?casa_token=iI8eqBHd0dAAAAAA:IsrBBuibA8NSlZ2kPSsIOCioFA4YnsqFasV7Uz0FasX4NaFgid2wbeF7pHvjC-05SulB-Rii", "Link"),"-")</f>
        <v>Link</v>
      </c>
      <c r="C17" s="11" t="s">
        <v>856</v>
      </c>
      <c r="D17" s="176">
        <v>1</v>
      </c>
      <c r="E17" s="176">
        <v>0</v>
      </c>
      <c r="F17" s="176"/>
      <c r="G17" s="176"/>
      <c r="H17" s="176"/>
      <c r="I17" s="176"/>
      <c r="J17" s="176"/>
      <c r="K17" s="177">
        <v>2021</v>
      </c>
      <c r="L17" s="11"/>
      <c r="M17" s="11">
        <v>3</v>
      </c>
      <c r="N17" s="11" t="s">
        <v>862</v>
      </c>
      <c r="O17" s="11" t="s">
        <v>913</v>
      </c>
      <c r="P17" s="176">
        <v>0.8</v>
      </c>
      <c r="Q17" s="186">
        <v>0.5</v>
      </c>
      <c r="R17" s="186">
        <v>0.65</v>
      </c>
      <c r="S17" s="11" t="s">
        <v>864</v>
      </c>
      <c r="T17" s="11" t="s">
        <v>914</v>
      </c>
    </row>
    <row r="18" spans="1:22" x14ac:dyDescent="0.2">
      <c r="A18" s="13" t="s">
        <v>915</v>
      </c>
      <c r="B18" s="11" t="str">
        <f>IF(AND(ISTEXT("https://ieeexplore.ieee.org/abstract/document/10371421?casa_token=mSO-2-SQH6wAAAAA:TxW1DRrUmpfyKVVIY9sJfnUq6o24yaXucDPJ7Q-RuH778THgkvPEOJ9lbptgqemmDqQ1M-s"),"https://ieeexplore.ieee.org/abstract/document/10371421?casa_token=mSO-2-SQH6wAAAAA:TxW1DRrUmpfyKVVIY9sJfnUq6o24yaXucDPJ7Q-RuH778THgkvPEOJ9lbptgqemmDqQ1M-s"&lt;&gt;""), HYPERLINK("https://ieeexplore.ieee.org/abstract/document/10371421?casa_token=mSO-2-SQH6wAAAAA:TxW1DRrUmpfyKVVIY9sJfnUq6o24yaXucDPJ7Q-RuH778THgkvPEOJ9lbptgqemmDqQ1M-s", "Link"),"-")</f>
        <v>Link</v>
      </c>
      <c r="C18" s="11" t="s">
        <v>856</v>
      </c>
      <c r="D18" s="176">
        <v>0</v>
      </c>
      <c r="E18" s="176">
        <v>1</v>
      </c>
      <c r="F18" s="176"/>
      <c r="G18" s="176"/>
      <c r="H18" s="176"/>
      <c r="I18" s="176"/>
      <c r="J18" s="176"/>
      <c r="K18" s="177">
        <v>2023</v>
      </c>
      <c r="L18" s="11"/>
      <c r="M18" s="11">
        <v>2</v>
      </c>
      <c r="N18" s="11" t="s">
        <v>857</v>
      </c>
      <c r="O18" s="11" t="s">
        <v>916</v>
      </c>
      <c r="P18" s="183">
        <v>0.5</v>
      </c>
      <c r="Q18" s="186">
        <v>0.5</v>
      </c>
      <c r="R18" s="186">
        <v>0.5</v>
      </c>
      <c r="S18" s="11" t="s">
        <v>864</v>
      </c>
      <c r="T18" s="11" t="s">
        <v>917</v>
      </c>
    </row>
    <row r="19" spans="1:22" x14ac:dyDescent="0.2">
      <c r="A19" s="13" t="s">
        <v>918</v>
      </c>
      <c r="B19" s="11" t="str">
        <f>IF(AND(ISTEXT("https://www.sciencedirect.com/science/article/pii/S2352864823001347"),"https://www.sciencedirect.com/science/article/pii/S2352864823001347"&lt;&gt;""), HYPERLINK("https://www.sciencedirect.com/science/article/pii/S2352864823001347", "Link"),"-")</f>
        <v>Link</v>
      </c>
      <c r="C19" s="11" t="s">
        <v>856</v>
      </c>
      <c r="D19" s="176">
        <v>0</v>
      </c>
      <c r="E19" s="176">
        <v>1</v>
      </c>
      <c r="F19" s="176"/>
      <c r="G19" s="176"/>
      <c r="H19" s="176"/>
      <c r="I19" s="176"/>
      <c r="J19" s="176"/>
      <c r="K19" s="177">
        <v>2023</v>
      </c>
      <c r="L19" s="11"/>
      <c r="M19" s="11">
        <v>2</v>
      </c>
      <c r="N19" s="11" t="s">
        <v>862</v>
      </c>
      <c r="O19" s="11" t="s">
        <v>919</v>
      </c>
      <c r="P19" s="176">
        <v>1</v>
      </c>
      <c r="Q19" s="186">
        <v>0.5</v>
      </c>
      <c r="R19" s="186">
        <v>0.75</v>
      </c>
      <c r="S19" s="11" t="s">
        <v>880</v>
      </c>
      <c r="T19" s="11" t="s">
        <v>920</v>
      </c>
    </row>
    <row r="20" spans="1:22" x14ac:dyDescent="0.2">
      <c r="A20" s="13" t="s">
        <v>921</v>
      </c>
      <c r="B20" s="11" t="str">
        <f>IF(AND(ISTEXT("https://catalogplus.tuwien.at/permalink/f/1m011kq/TN_cdi_doaj_primary_oai_doaj_org_article_040ca2e2762c4fed9f705272910ece1d"),"https://catalogplus.tuwien.at/permalink/f/1m011kq/TN_cdi_doaj_primary_oai_doaj_org_article_040ca2e2762c4fed9f705272910ece1d"&lt;&gt;""), HYPERLINK("https://catalogplus.tuwien.at/permalink/f/1m011kq/TN_cdi_doaj_primary_oai_doaj_org_article_040ca2e2762c4fed9f705272910ece1d", "Link"),"-")</f>
        <v>Link</v>
      </c>
      <c r="C20" s="11" t="s">
        <v>856</v>
      </c>
      <c r="D20" s="176">
        <v>1</v>
      </c>
      <c r="E20" s="176">
        <v>0</v>
      </c>
      <c r="F20" s="176"/>
      <c r="G20" s="176"/>
      <c r="H20" s="176"/>
      <c r="I20" s="176"/>
      <c r="J20" s="176"/>
      <c r="K20" s="177">
        <v>2022</v>
      </c>
      <c r="L20" s="11"/>
      <c r="M20" s="11">
        <v>2</v>
      </c>
      <c r="N20" s="11" t="s">
        <v>862</v>
      </c>
      <c r="O20" s="11" t="s">
        <v>876</v>
      </c>
      <c r="P20" s="176">
        <v>0.8</v>
      </c>
      <c r="Q20" s="186">
        <v>0.5</v>
      </c>
      <c r="R20" s="186">
        <v>0.65</v>
      </c>
      <c r="S20" s="11" t="s">
        <v>869</v>
      </c>
      <c r="T20" s="11" t="s">
        <v>922</v>
      </c>
    </row>
    <row r="21" spans="1:22" x14ac:dyDescent="0.2">
      <c r="A21" s="13" t="s">
        <v>923</v>
      </c>
      <c r="B21" s="11" t="str">
        <f>IF(AND(ISTEXT("https://ieeexplore.ieee.org/document/9740682"),"https://ieeexplore.ieee.org/document/9740682"&lt;&gt;""), HYPERLINK("https://ieeexplore.ieee.org/document/9740682", "Link"),"-")</f>
        <v>Link</v>
      </c>
      <c r="C21" s="11" t="s">
        <v>856</v>
      </c>
      <c r="D21" s="176">
        <v>1</v>
      </c>
      <c r="E21" s="176">
        <v>0</v>
      </c>
      <c r="F21" s="176"/>
      <c r="G21" s="176"/>
      <c r="H21" s="176"/>
      <c r="I21" s="176"/>
      <c r="J21" s="176"/>
      <c r="K21" s="177">
        <v>2022</v>
      </c>
      <c r="L21" s="11"/>
      <c r="M21" s="11">
        <v>2</v>
      </c>
      <c r="N21" s="11" t="s">
        <v>862</v>
      </c>
      <c r="O21" s="11" t="s">
        <v>924</v>
      </c>
      <c r="P21" s="176">
        <v>1</v>
      </c>
      <c r="Q21" s="186">
        <v>0.5</v>
      </c>
      <c r="R21" s="186">
        <v>0.75</v>
      </c>
      <c r="S21" s="11" t="s">
        <v>869</v>
      </c>
      <c r="T21" s="11" t="s">
        <v>925</v>
      </c>
    </row>
    <row r="22" spans="1:22" s="156" customFormat="1" x14ac:dyDescent="0.2">
      <c r="A22" s="13" t="s">
        <v>926</v>
      </c>
      <c r="B22" s="11" t="str">
        <f>IF(AND(ISTEXT("https://www.sciencedirect.com/science/article/pii/S0164121222002266"),"https://www.sciencedirect.com/science/article/pii/S0164121222002266"&lt;&gt;""), HYPERLINK("https://www.sciencedirect.com/science/article/pii/S0164121222002266", "Link"),"-")</f>
        <v>Link</v>
      </c>
      <c r="C22" s="11" t="s">
        <v>856</v>
      </c>
      <c r="D22" s="176">
        <v>1</v>
      </c>
      <c r="E22" s="176">
        <v>1</v>
      </c>
      <c r="F22" s="176"/>
      <c r="G22" s="176"/>
      <c r="H22" s="176"/>
      <c r="I22" s="176"/>
      <c r="J22" s="176"/>
      <c r="K22" s="177">
        <v>2023</v>
      </c>
      <c r="L22" s="11"/>
      <c r="M22" s="11">
        <v>2</v>
      </c>
      <c r="N22" s="11" t="s">
        <v>862</v>
      </c>
      <c r="O22" s="11" t="s">
        <v>891</v>
      </c>
      <c r="P22" s="176">
        <v>1</v>
      </c>
      <c r="Q22" s="186">
        <v>1</v>
      </c>
      <c r="R22" s="186">
        <v>1</v>
      </c>
      <c r="S22" s="11" t="s">
        <v>880</v>
      </c>
      <c r="T22" s="11" t="s">
        <v>927</v>
      </c>
    </row>
    <row r="23" spans="1:22" x14ac:dyDescent="0.2">
      <c r="A23" s="13" t="s">
        <v>928</v>
      </c>
      <c r="B23" s="11" t="str">
        <f>IF(AND(ISTEXT("https://ieeexplore.ieee.org/document/9477066"),"https://ieeexplore.ieee.org/document/9477066"&lt;&gt;""), HYPERLINK("https://ieeexplore.ieee.org/document/9477066", "Link"),"-")</f>
        <v>Link</v>
      </c>
      <c r="C23" s="11" t="s">
        <v>856</v>
      </c>
      <c r="D23" s="176">
        <v>1</v>
      </c>
      <c r="E23" s="176">
        <v>0</v>
      </c>
      <c r="F23" s="176"/>
      <c r="G23" s="176"/>
      <c r="H23" s="176"/>
      <c r="I23" s="176"/>
      <c r="J23" s="176"/>
      <c r="K23" s="177">
        <v>2023</v>
      </c>
      <c r="L23" s="11"/>
      <c r="M23" s="11">
        <v>2</v>
      </c>
      <c r="N23" s="11" t="s">
        <v>862</v>
      </c>
      <c r="O23" s="11" t="s">
        <v>929</v>
      </c>
      <c r="P23" s="176">
        <v>1</v>
      </c>
      <c r="Q23" s="186">
        <v>0.5</v>
      </c>
      <c r="R23" s="186">
        <v>0.75</v>
      </c>
      <c r="S23" s="11" t="s">
        <v>869</v>
      </c>
      <c r="T23" s="11" t="s">
        <v>930</v>
      </c>
    </row>
    <row r="24" spans="1:22" x14ac:dyDescent="0.2">
      <c r="A24" s="13" t="s">
        <v>931</v>
      </c>
      <c r="B24" s="11" t="str">
        <f>IF(AND(ISTEXT("https://ieeexplore.ieee.org/document/9581164"),"https://ieeexplore.ieee.org/document/9581164"&lt;&gt;""), HYPERLINK("https://ieeexplore.ieee.org/document/9581164", "Link"),"-")</f>
        <v>Link</v>
      </c>
      <c r="C24" s="11" t="s">
        <v>856</v>
      </c>
      <c r="D24" s="176">
        <v>1</v>
      </c>
      <c r="E24" s="176">
        <v>1</v>
      </c>
      <c r="F24" s="176"/>
      <c r="G24" s="176"/>
      <c r="H24" s="176"/>
      <c r="I24" s="176"/>
      <c r="J24" s="176"/>
      <c r="K24" s="177">
        <v>2021</v>
      </c>
      <c r="L24" s="11"/>
      <c r="M24" s="11">
        <v>2</v>
      </c>
      <c r="N24" s="11" t="s">
        <v>857</v>
      </c>
      <c r="O24" s="11" t="s">
        <v>932</v>
      </c>
      <c r="P24" s="183">
        <v>0.2</v>
      </c>
      <c r="Q24" s="186">
        <v>1</v>
      </c>
      <c r="R24" s="186">
        <v>0.6</v>
      </c>
      <c r="S24" s="11" t="s">
        <v>873</v>
      </c>
      <c r="T24" s="11" t="s">
        <v>933</v>
      </c>
    </row>
    <row r="25" spans="1:22" x14ac:dyDescent="0.2">
      <c r="A25" s="13" t="s">
        <v>934</v>
      </c>
      <c r="B25" s="11" t="str">
        <f>IF(AND(ISTEXT("https://link.springer.com/chapter/10.1007/978-3-031-48806-1_28"),"https://link.springer.com/chapter/10.1007/978-3-031-48806-1_28"&lt;&gt;""), HYPERLINK("https://link.springer.com/chapter/10.1007/978-3-031-48806-1_28", "Link"),"-")</f>
        <v>Link</v>
      </c>
      <c r="C25" s="11" t="s">
        <v>886</v>
      </c>
      <c r="D25" s="176">
        <v>0</v>
      </c>
      <c r="E25" s="176">
        <v>0.6</v>
      </c>
      <c r="F25" s="176">
        <v>0.3</v>
      </c>
      <c r="G25" s="176">
        <v>0.3</v>
      </c>
      <c r="H25" s="176">
        <v>0</v>
      </c>
      <c r="I25" s="176">
        <v>1</v>
      </c>
      <c r="J25" s="176">
        <v>1</v>
      </c>
      <c r="K25" s="177">
        <v>2023</v>
      </c>
      <c r="L25" s="11"/>
      <c r="M25" s="177">
        <v>3</v>
      </c>
      <c r="N25" s="11" t="s">
        <v>857</v>
      </c>
      <c r="O25" s="11" t="s">
        <v>935</v>
      </c>
      <c r="P25" s="176">
        <v>1</v>
      </c>
      <c r="Q25" s="186">
        <v>0.53333333333333333</v>
      </c>
      <c r="R25" s="186">
        <v>0.77857142857142858</v>
      </c>
      <c r="S25" s="11" t="s">
        <v>859</v>
      </c>
      <c r="T25" s="11" t="s">
        <v>936</v>
      </c>
    </row>
    <row r="26" spans="1:22" x14ac:dyDescent="0.2">
      <c r="A26" s="13" t="s">
        <v>937</v>
      </c>
      <c r="B26" s="11" t="str">
        <f>IF(AND(ISTEXT("https://dl.acm.org/doi/10.1145/3543507.3583367"),"https://dl.acm.org/doi/10.1145/3543507.3583367"&lt;&gt;""), HYPERLINK("https://dl.acm.org/doi/10.1145/3543507.3583367", "Link"),"-")</f>
        <v>Link</v>
      </c>
      <c r="C26" s="11" t="s">
        <v>856</v>
      </c>
      <c r="D26" s="176">
        <v>0</v>
      </c>
      <c r="E26" s="176">
        <v>1</v>
      </c>
      <c r="F26" s="176"/>
      <c r="G26" s="176"/>
      <c r="H26" s="176"/>
      <c r="I26" s="176"/>
      <c r="J26" s="176"/>
      <c r="K26" s="177">
        <v>2023</v>
      </c>
      <c r="L26" s="11"/>
      <c r="M26" s="11">
        <v>2</v>
      </c>
      <c r="N26" s="11" t="s">
        <v>857</v>
      </c>
      <c r="O26" s="11" t="s">
        <v>938</v>
      </c>
      <c r="P26" s="176">
        <v>1</v>
      </c>
      <c r="Q26" s="186">
        <v>0.5</v>
      </c>
      <c r="R26" s="186">
        <v>0.75</v>
      </c>
      <c r="S26" s="11" t="s">
        <v>883</v>
      </c>
      <c r="T26" s="11" t="s">
        <v>939</v>
      </c>
    </row>
    <row r="27" spans="1:22" x14ac:dyDescent="0.2">
      <c r="A27" s="136" t="s">
        <v>940</v>
      </c>
      <c r="B27" s="11" t="str">
        <f>IF(AND(ISTEXT("https://www.sciencedirect.com/science/article/pii/S0167642323001582"),"https://www.sciencedirect.com/science/article/pii/S0167642323001582"&lt;&gt;""), HYPERLINK("https://www.sciencedirect.com/science/article/pii/S0167642323001582", "Link"),"-")</f>
        <v>Link</v>
      </c>
      <c r="C27" s="11" t="s">
        <v>856</v>
      </c>
      <c r="D27" s="176">
        <v>0</v>
      </c>
      <c r="E27" s="176">
        <v>1</v>
      </c>
      <c r="F27" s="176"/>
      <c r="G27" s="176"/>
      <c r="H27" s="176"/>
      <c r="I27" s="176"/>
      <c r="J27" s="176"/>
      <c r="K27" s="177">
        <v>2024</v>
      </c>
      <c r="L27" s="11"/>
      <c r="M27" s="11">
        <v>2</v>
      </c>
      <c r="N27" s="11" t="s">
        <v>862</v>
      </c>
      <c r="O27" s="11" t="s">
        <v>941</v>
      </c>
      <c r="P27" s="176">
        <v>0.5</v>
      </c>
      <c r="Q27" s="186">
        <v>0.5</v>
      </c>
      <c r="R27" s="186">
        <v>0.5</v>
      </c>
      <c r="S27" s="11" t="s">
        <v>880</v>
      </c>
      <c r="T27" s="11" t="s">
        <v>942</v>
      </c>
      <c r="V27" s="3"/>
    </row>
    <row r="28" spans="1:22" x14ac:dyDescent="0.2">
      <c r="A28" s="13" t="s">
        <v>943</v>
      </c>
      <c r="B28" s="11" t="str">
        <f>IF(AND(ISTEXT("https://ieeexplore.ieee.org/abstract/document/10279381"),"https://ieeexplore.ieee.org/abstract/document/10279381"&lt;&gt;""), HYPERLINK("https://ieeexplore.ieee.org/abstract/document/10279381", "Link"),"-")</f>
        <v>Link</v>
      </c>
      <c r="C28" s="11" t="s">
        <v>856</v>
      </c>
      <c r="D28" s="176">
        <v>0</v>
      </c>
      <c r="E28" s="176">
        <v>1</v>
      </c>
      <c r="F28" s="176"/>
      <c r="G28" s="176"/>
      <c r="H28" s="176"/>
      <c r="I28" s="176"/>
      <c r="J28" s="176"/>
      <c r="K28" s="177">
        <v>2023</v>
      </c>
      <c r="L28" s="11"/>
      <c r="M28" s="11">
        <v>2</v>
      </c>
      <c r="N28" s="11" t="s">
        <v>857</v>
      </c>
      <c r="O28" s="11" t="s">
        <v>944</v>
      </c>
      <c r="P28" s="176">
        <v>1</v>
      </c>
      <c r="Q28" s="186">
        <v>0.5</v>
      </c>
      <c r="R28" s="186">
        <v>0.75</v>
      </c>
      <c r="S28" s="11" t="s">
        <v>864</v>
      </c>
      <c r="T28" s="11" t="s">
        <v>945</v>
      </c>
      <c r="V28" s="3"/>
    </row>
    <row r="29" spans="1:22" x14ac:dyDescent="0.2">
      <c r="A29" s="13" t="s">
        <v>946</v>
      </c>
      <c r="B29" s="11" t="str">
        <f>IF(AND(ISTEXT("https://ieeexplore.ieee.org/document/9534324"),"https://ieeexplore.ieee.org/document/9534324"&lt;&gt;""), HYPERLINK("https://ieeexplore.ieee.org/document/9534324", "Link"),"-")</f>
        <v>Link</v>
      </c>
      <c r="C29" s="11" t="s">
        <v>856</v>
      </c>
      <c r="D29" s="176">
        <v>1</v>
      </c>
      <c r="E29" s="176">
        <v>1</v>
      </c>
      <c r="F29" s="176"/>
      <c r="G29" s="176"/>
      <c r="H29" s="176"/>
      <c r="I29" s="176"/>
      <c r="J29" s="176"/>
      <c r="K29" s="177">
        <v>2021</v>
      </c>
      <c r="L29" s="11"/>
      <c r="M29" s="11">
        <v>2</v>
      </c>
      <c r="N29" s="11" t="s">
        <v>857</v>
      </c>
      <c r="O29" s="11" t="s">
        <v>947</v>
      </c>
      <c r="P29" s="176">
        <v>1</v>
      </c>
      <c r="Q29" s="186">
        <v>1</v>
      </c>
      <c r="R29" s="186">
        <v>1</v>
      </c>
      <c r="S29" s="11" t="s">
        <v>869</v>
      </c>
      <c r="T29" s="11" t="s">
        <v>948</v>
      </c>
      <c r="V29" s="3"/>
    </row>
    <row r="30" spans="1:22" x14ac:dyDescent="0.2">
      <c r="A30" s="13" t="s">
        <v>949</v>
      </c>
      <c r="B30" s="11" t="str">
        <f>IF(AND(ISTEXT("https://ieeexplore.ieee.org/document/9337195"),"https://ieeexplore.ieee.org/document/9337195"&lt;&gt;""), HYPERLINK("https://ieeexplore.ieee.org/document/9337195", "Link"),"-")</f>
        <v>Link</v>
      </c>
      <c r="C30" s="11" t="s">
        <v>856</v>
      </c>
      <c r="D30" s="176">
        <v>1</v>
      </c>
      <c r="E30" s="176">
        <v>1</v>
      </c>
      <c r="F30" s="176"/>
      <c r="G30" s="176"/>
      <c r="H30" s="176"/>
      <c r="I30" s="176"/>
      <c r="J30" s="176"/>
      <c r="K30" s="177">
        <v>2022</v>
      </c>
      <c r="L30" s="11"/>
      <c r="M30" s="11">
        <v>2</v>
      </c>
      <c r="N30" s="11" t="s">
        <v>862</v>
      </c>
      <c r="O30" s="11" t="s">
        <v>904</v>
      </c>
      <c r="P30" s="176">
        <v>1</v>
      </c>
      <c r="Q30" s="186">
        <v>1</v>
      </c>
      <c r="R30" s="186">
        <v>1</v>
      </c>
      <c r="S30" s="11" t="s">
        <v>869</v>
      </c>
      <c r="T30" s="11" t="s">
        <v>950</v>
      </c>
      <c r="V30" s="3"/>
    </row>
    <row r="31" spans="1:22" x14ac:dyDescent="0.2">
      <c r="A31" s="157" t="s">
        <v>951</v>
      </c>
      <c r="B31" s="11" t="str">
        <f>IF(AND(ISTEXT("https://catalogplus.tuwien.at/permalink/f/1m011kq/TN_cdi_ieee_primary_9072659"),"https://catalogplus.tuwien.at/permalink/f/1m011kq/TN_cdi_ieee_primary_9072659"&lt;&gt;""), HYPERLINK("https://catalogplus.tuwien.at/permalink/f/1m011kq/TN_cdi_ieee_primary_9072659", "Link"),"-")</f>
        <v>Link</v>
      </c>
      <c r="C31" s="11" t="s">
        <v>886</v>
      </c>
      <c r="D31" s="176">
        <v>0</v>
      </c>
      <c r="E31" s="176">
        <v>1</v>
      </c>
      <c r="F31" s="176">
        <v>1</v>
      </c>
      <c r="G31" s="176">
        <v>0.3</v>
      </c>
      <c r="H31" s="176">
        <v>0</v>
      </c>
      <c r="I31" s="176">
        <v>0</v>
      </c>
      <c r="J31" s="176">
        <v>0.5</v>
      </c>
      <c r="K31" s="177">
        <v>2022</v>
      </c>
      <c r="L31" s="11"/>
      <c r="M31" s="11">
        <v>1</v>
      </c>
      <c r="N31" s="11" t="s">
        <v>862</v>
      </c>
      <c r="O31" s="11" t="s">
        <v>952</v>
      </c>
      <c r="P31" s="176">
        <v>1</v>
      </c>
      <c r="Q31" s="186">
        <v>0.55999999999999994</v>
      </c>
      <c r="R31" s="186">
        <v>0.78</v>
      </c>
      <c r="S31" s="11" t="s">
        <v>869</v>
      </c>
      <c r="T31" s="11" t="s">
        <v>953</v>
      </c>
      <c r="V31" s="3"/>
    </row>
    <row r="32" spans="1:22" x14ac:dyDescent="0.2">
      <c r="A32" s="13" t="s">
        <v>954</v>
      </c>
      <c r="B32" s="11" t="str">
        <f>IF(AND(ISTEXT("https://dl.acm.org/doi/10.1109/ICSE48619.2023.00061"),"https://dl.acm.org/doi/10.1109/ICSE48619.2023.00061"&lt;&gt;""), HYPERLINK("https://dl.acm.org/doi/10.1109/ICSE48619.2023.00061", "Link"),"-")</f>
        <v>Link</v>
      </c>
      <c r="C32" s="11" t="s">
        <v>886</v>
      </c>
      <c r="D32" s="176">
        <v>0</v>
      </c>
      <c r="E32" s="176">
        <v>1</v>
      </c>
      <c r="F32" s="176">
        <v>0.6</v>
      </c>
      <c r="G32" s="176">
        <v>1</v>
      </c>
      <c r="H32" s="176">
        <v>0.6</v>
      </c>
      <c r="I32" s="176">
        <v>0</v>
      </c>
      <c r="J32" s="176">
        <v>1</v>
      </c>
      <c r="K32" s="177">
        <v>2023</v>
      </c>
      <c r="L32" s="11"/>
      <c r="M32" s="11">
        <v>1</v>
      </c>
      <c r="N32" s="11" t="s">
        <v>857</v>
      </c>
      <c r="O32" s="11" t="s">
        <v>955</v>
      </c>
      <c r="P32" s="176">
        <v>1</v>
      </c>
      <c r="Q32" s="186">
        <v>0.84000000000000008</v>
      </c>
      <c r="R32" s="186">
        <v>0.92</v>
      </c>
      <c r="S32" s="11" t="s">
        <v>883</v>
      </c>
      <c r="T32" s="11" t="s">
        <v>956</v>
      </c>
      <c r="V32" s="3"/>
    </row>
    <row r="33" spans="1:22" x14ac:dyDescent="0.2">
      <c r="A33" s="13" t="s">
        <v>957</v>
      </c>
      <c r="B33" s="11" t="str">
        <f>IF(AND(ISTEXT("https://ieeexplore.ieee.org/abstract/document/10111037?casa_token=QEdDIblGokYAAAAA:0B4lB52irnYXlCYtNceVkNaGiA5hElARm1S8YLbzMMQtbyF5ZRpIQp76i-3VF9gQPwTO31g"),"https://ieeexplore.ieee.org/abstract/document/10111037?casa_token=QEdDIblGokYAAAAA:0B4lB52irnYXlCYtNceVkNaGiA5hElARm1S8YLbzMMQtbyF5ZRpIQp76i-3VF9gQPwTO31g"&lt;&gt;""), HYPERLINK("https://ieeexplore.ieee.org/abstract/document/10111037?casa_token=QEdDIblGokYAAAAA:0B4lB52irnYXlCYtNceVkNaGiA5hElARm1S8YLbzMMQtbyF5ZRpIQp76i-3VF9gQPwTO31g", "Link"),"-")</f>
        <v>Link</v>
      </c>
      <c r="C33" s="11" t="s">
        <v>856</v>
      </c>
      <c r="D33" s="176">
        <v>0.3</v>
      </c>
      <c r="E33" s="176">
        <v>1</v>
      </c>
      <c r="F33" s="176"/>
      <c r="G33" s="176"/>
      <c r="H33" s="176"/>
      <c r="I33" s="176"/>
      <c r="J33" s="176"/>
      <c r="K33" s="177">
        <v>2023</v>
      </c>
      <c r="L33" s="11"/>
      <c r="M33" s="11">
        <v>1</v>
      </c>
      <c r="N33" s="11" t="s">
        <v>862</v>
      </c>
      <c r="O33" s="11" t="s">
        <v>904</v>
      </c>
      <c r="P33" s="176">
        <v>1</v>
      </c>
      <c r="Q33" s="186">
        <v>0.65</v>
      </c>
      <c r="R33" s="186">
        <v>0.82499999999999996</v>
      </c>
      <c r="S33" s="11" t="s">
        <v>864</v>
      </c>
      <c r="T33" s="11" t="s">
        <v>958</v>
      </c>
      <c r="V33" s="3"/>
    </row>
    <row r="34" spans="1:22" x14ac:dyDescent="0.2">
      <c r="A34" s="13" t="s">
        <v>959</v>
      </c>
      <c r="B34" s="11" t="str">
        <f>IF(AND(ISTEXT("https://link.springer.com/article/10.1007/s10618-023-00981-1"),"https://link.springer.com/article/10.1007/s10618-023-00981-1"&lt;&gt;""), HYPERLINK("https://link.springer.com/article/10.1007/s10618-023-00981-1", "Link"),"-")</f>
        <v>Link</v>
      </c>
      <c r="C34" s="11" t="s">
        <v>856</v>
      </c>
      <c r="D34" s="176">
        <v>0</v>
      </c>
      <c r="E34" s="176">
        <v>1</v>
      </c>
      <c r="F34" s="176"/>
      <c r="G34" s="176"/>
      <c r="H34" s="176"/>
      <c r="I34" s="176"/>
      <c r="J34" s="176"/>
      <c r="K34" s="177">
        <v>2023</v>
      </c>
      <c r="L34" s="11"/>
      <c r="M34" s="11">
        <v>1.2</v>
      </c>
      <c r="N34" s="11" t="s">
        <v>862</v>
      </c>
      <c r="O34" s="11" t="s">
        <v>960</v>
      </c>
      <c r="P34" s="176">
        <v>1</v>
      </c>
      <c r="Q34" s="186">
        <v>0.5</v>
      </c>
      <c r="R34" s="186">
        <v>0.75</v>
      </c>
      <c r="S34" s="11" t="s">
        <v>864</v>
      </c>
      <c r="T34" s="11" t="s">
        <v>961</v>
      </c>
      <c r="V34" s="3"/>
    </row>
    <row r="35" spans="1:22" x14ac:dyDescent="0.2">
      <c r="A35" s="13" t="s">
        <v>962</v>
      </c>
      <c r="B35" s="11" t="str">
        <f>IF(AND(ISTEXT("https://catalogplus.tuwien.at/permalink/f/1m011kq/TN_cdi_ieee_primary_10025570"),"https://catalogplus.tuwien.at/permalink/f/1m011kq/TN_cdi_ieee_primary_10025570"&lt;&gt;""), HYPERLINK("https://catalogplus.tuwien.at/permalink/f/1m011kq/TN_cdi_ieee_primary_10025570", "Link"),"-")</f>
        <v>Link</v>
      </c>
      <c r="C35" s="11" t="s">
        <v>856</v>
      </c>
      <c r="D35" s="176">
        <v>0</v>
      </c>
      <c r="E35" s="176">
        <v>1</v>
      </c>
      <c r="F35" s="176"/>
      <c r="G35" s="176"/>
      <c r="H35" s="176"/>
      <c r="I35" s="176"/>
      <c r="J35" s="176"/>
      <c r="K35" s="177">
        <v>2024</v>
      </c>
      <c r="L35" s="11"/>
      <c r="M35" s="11">
        <v>2</v>
      </c>
      <c r="N35" s="11" t="s">
        <v>862</v>
      </c>
      <c r="O35" s="11" t="s">
        <v>963</v>
      </c>
      <c r="P35" s="176">
        <v>1</v>
      </c>
      <c r="Q35" s="186">
        <v>0.5</v>
      </c>
      <c r="R35" s="186">
        <v>0.75</v>
      </c>
      <c r="S35" s="11" t="s">
        <v>869</v>
      </c>
      <c r="T35" s="11" t="s">
        <v>964</v>
      </c>
    </row>
    <row r="36" spans="1:22" x14ac:dyDescent="0.2">
      <c r="A36" t="s">
        <v>965</v>
      </c>
      <c r="B36" s="11" t="str">
        <f>IF(AND(ISTEXT("https://www.sciencedirect.com/science/article/pii/S221421262200148X"),"https://www.sciencedirect.com/science/article/pii/S221421262200148X"&lt;&gt;""), HYPERLINK("https://www.sciencedirect.com/science/article/pii/S221421262200148X", "Link"),"-")</f>
        <v>Link</v>
      </c>
      <c r="C36" s="11" t="s">
        <v>856</v>
      </c>
      <c r="D36" s="176">
        <v>0.3</v>
      </c>
      <c r="E36" s="176">
        <v>1</v>
      </c>
      <c r="F36" s="11"/>
      <c r="G36" s="11"/>
      <c r="H36" s="11"/>
      <c r="I36" s="11"/>
      <c r="J36" s="11"/>
      <c r="K36" s="177">
        <v>2022</v>
      </c>
      <c r="L36" s="11"/>
      <c r="M36" s="11" t="s">
        <v>867</v>
      </c>
      <c r="N36" s="11" t="s">
        <v>862</v>
      </c>
      <c r="O36" s="11" t="s">
        <v>907</v>
      </c>
      <c r="P36" s="183">
        <v>1</v>
      </c>
      <c r="Q36" s="186">
        <v>0.65</v>
      </c>
      <c r="R36" s="186">
        <v>0.82499999999999996</v>
      </c>
      <c r="S36" s="11" t="s">
        <v>873</v>
      </c>
      <c r="T36" s="11" t="s">
        <v>966</v>
      </c>
    </row>
    <row r="37" spans="1:22" x14ac:dyDescent="0.2">
      <c r="A37" s="13" t="s">
        <v>967</v>
      </c>
      <c r="B37" s="11" t="str">
        <f>IF(AND(ISTEXT("https://onlinelibrary.wiley.com/doi/epdf/10.1002/spe.3156"),"https://onlinelibrary.wiley.com/doi/epdf/10.1002/spe.3156"&lt;&gt;""), HYPERLINK("https://onlinelibrary.wiley.com/doi/epdf/10.1002/spe.3156", "Link"),"-")</f>
        <v>Link</v>
      </c>
      <c r="C37" s="11" t="s">
        <v>890</v>
      </c>
      <c r="D37" s="176">
        <v>1</v>
      </c>
      <c r="E37" s="176">
        <v>0.3</v>
      </c>
      <c r="F37" s="176">
        <v>0.3</v>
      </c>
      <c r="G37" s="176">
        <v>1</v>
      </c>
      <c r="H37" s="176">
        <v>1</v>
      </c>
      <c r="I37" s="176">
        <v>1</v>
      </c>
      <c r="J37" s="176">
        <v>0.5</v>
      </c>
      <c r="K37" s="177">
        <v>2022</v>
      </c>
      <c r="L37" s="11"/>
      <c r="M37" s="11">
        <v>1.2</v>
      </c>
      <c r="N37" s="11" t="s">
        <v>862</v>
      </c>
      <c r="O37" s="11" t="s">
        <v>968</v>
      </c>
      <c r="P37" s="176">
        <v>0.8</v>
      </c>
      <c r="Q37" s="186">
        <v>0.72857142857142854</v>
      </c>
      <c r="R37" s="186">
        <v>0.76428571428571423</v>
      </c>
      <c r="S37" s="11" t="s">
        <v>864</v>
      </c>
      <c r="T37" s="11" t="s">
        <v>969</v>
      </c>
      <c r="V37" s="3"/>
    </row>
    <row r="38" spans="1:22" x14ac:dyDescent="0.2">
      <c r="A38" t="s">
        <v>970</v>
      </c>
      <c r="B38" s="11" t="str">
        <f>IF(AND(ISTEXT("https://ieeexplore.ieee.org/document/10454763"),"https://ieeexplore.ieee.org/document/10454763"&lt;&gt;""), HYPERLINK("https://ieeexplore.ieee.org/document/10454763", "Link"),"-")</f>
        <v>Link</v>
      </c>
      <c r="C38" s="11" t="s">
        <v>856</v>
      </c>
      <c r="D38" s="176">
        <v>0</v>
      </c>
      <c r="E38" s="176">
        <v>1</v>
      </c>
      <c r="F38" s="11"/>
      <c r="G38" s="11"/>
      <c r="H38" s="11"/>
      <c r="I38" s="11"/>
      <c r="J38" s="11"/>
      <c r="K38" s="177">
        <v>2024</v>
      </c>
      <c r="L38" s="11"/>
      <c r="M38" s="11" t="s">
        <v>867</v>
      </c>
      <c r="N38" s="11" t="s">
        <v>857</v>
      </c>
      <c r="O38" s="11" t="s">
        <v>971</v>
      </c>
      <c r="P38" s="183">
        <v>0.8</v>
      </c>
      <c r="Q38" s="186">
        <v>0.5</v>
      </c>
      <c r="R38" s="186">
        <v>0.65</v>
      </c>
      <c r="S38" s="11" t="s">
        <v>873</v>
      </c>
      <c r="T38" s="11" t="s">
        <v>972</v>
      </c>
      <c r="V38" s="3"/>
    </row>
    <row r="39" spans="1:22" x14ac:dyDescent="0.2">
      <c r="A39" s="157" t="s">
        <v>973</v>
      </c>
      <c r="B39" s="11" t="str">
        <f>IF(AND(ISTEXT("https://catalogplus.tuwien.at/permalink/f/1m011kq/TN_cdi_crossref_primary_10_1109_JIOT_2023_3241544"),"https://catalogplus.tuwien.at/permalink/f/1m011kq/TN_cdi_crossref_primary_10_1109_JIOT_2023_3241544"&lt;&gt;""), HYPERLINK("https://catalogplus.tuwien.at/permalink/f/1m011kq/TN_cdi_crossref_primary_10_1109_JIOT_2023_3241544", "Link"),"-")</f>
        <v>Link</v>
      </c>
      <c r="C39" s="11" t="s">
        <v>886</v>
      </c>
      <c r="D39" s="176">
        <v>0</v>
      </c>
      <c r="E39" s="176">
        <v>0.6</v>
      </c>
      <c r="F39" s="176">
        <v>0.6</v>
      </c>
      <c r="G39" s="176">
        <v>1</v>
      </c>
      <c r="H39" s="176">
        <v>0.3</v>
      </c>
      <c r="I39" s="176">
        <v>0</v>
      </c>
      <c r="J39" s="176">
        <v>1</v>
      </c>
      <c r="K39" s="177">
        <v>2023</v>
      </c>
      <c r="L39" s="11"/>
      <c r="M39" s="11">
        <v>2</v>
      </c>
      <c r="N39" s="11" t="s">
        <v>862</v>
      </c>
      <c r="O39" s="11" t="s">
        <v>974</v>
      </c>
      <c r="P39" s="176">
        <v>1</v>
      </c>
      <c r="Q39" s="186">
        <v>0.7</v>
      </c>
      <c r="R39" s="186">
        <v>0.85</v>
      </c>
      <c r="S39" s="11" t="s">
        <v>869</v>
      </c>
      <c r="T39" s="11" t="s">
        <v>975</v>
      </c>
    </row>
    <row r="40" spans="1:22" x14ac:dyDescent="0.2">
      <c r="A40" t="s">
        <v>976</v>
      </c>
      <c r="B40" s="11" t="str">
        <f>IF(AND(ISTEXT("https://dl.acm.org/doi/10.1007/s10515-024-00418-z#:~:text=At%20present,%20deep%20learning-based"),"https://dl.acm.org/doi/10.1007/s10515-024-00418-z#:~:text=At%20present,%20deep%20learning-based"&lt;&gt;""), HYPERLINK("https://dl.acm.org/doi/10.1007/s10515-024-00418-z#:~:text=At%20present,%20deep%20learning-based", "Link"),"-")</f>
        <v>Link</v>
      </c>
      <c r="C40" s="11" t="s">
        <v>856</v>
      </c>
      <c r="D40" s="176">
        <v>0</v>
      </c>
      <c r="E40" s="176">
        <v>1</v>
      </c>
      <c r="F40" s="11"/>
      <c r="G40" s="11"/>
      <c r="H40" s="11"/>
      <c r="I40" s="11"/>
      <c r="J40" s="11"/>
      <c r="K40" s="177">
        <v>2024</v>
      </c>
      <c r="L40" s="11"/>
      <c r="M40" s="11" t="s">
        <v>867</v>
      </c>
      <c r="N40" s="11" t="s">
        <v>862</v>
      </c>
      <c r="O40" s="11" t="s">
        <v>977</v>
      </c>
      <c r="P40" s="187">
        <v>1</v>
      </c>
      <c r="Q40" s="186">
        <v>0.5</v>
      </c>
      <c r="R40" s="186">
        <v>0.75</v>
      </c>
      <c r="S40" s="11" t="s">
        <v>873</v>
      </c>
      <c r="T40" s="11" t="s">
        <v>978</v>
      </c>
    </row>
    <row r="41" spans="1:22" x14ac:dyDescent="0.2">
      <c r="A41" s="13" t="s">
        <v>979</v>
      </c>
      <c r="B41" s="11" t="str">
        <f>IF(AND(ISTEXT("https://dl.acm.org/doi/10.1145/3463274.3463348"),"https://dl.acm.org/doi/10.1145/3463274.3463348"&lt;&gt;""), HYPERLINK("https://dl.acm.org/doi/10.1145/3463274.3463348", "Link"),"-")</f>
        <v>Link</v>
      </c>
      <c r="C41" s="11" t="s">
        <v>856</v>
      </c>
      <c r="D41" s="176">
        <v>1</v>
      </c>
      <c r="E41" s="176">
        <v>0</v>
      </c>
      <c r="F41" s="176"/>
      <c r="G41" s="176"/>
      <c r="H41" s="176"/>
      <c r="I41" s="176"/>
      <c r="J41" s="176"/>
      <c r="K41" s="177">
        <v>2021</v>
      </c>
      <c r="L41" s="11"/>
      <c r="M41" s="11">
        <v>2</v>
      </c>
      <c r="N41" s="11" t="s">
        <v>857</v>
      </c>
      <c r="O41" s="11" t="s">
        <v>980</v>
      </c>
      <c r="P41" s="176">
        <v>1</v>
      </c>
      <c r="Q41" s="186">
        <v>0.5</v>
      </c>
      <c r="R41" s="186">
        <v>0.75</v>
      </c>
      <c r="S41" s="11" t="s">
        <v>883</v>
      </c>
      <c r="T41" s="11" t="s">
        <v>981</v>
      </c>
    </row>
    <row r="42" spans="1:22" x14ac:dyDescent="0.2">
      <c r="A42" s="13" t="s">
        <v>982</v>
      </c>
      <c r="B42" s="11" t="str">
        <f>IF(AND(ISTEXT("https://www.sciencedirect.com/science/article/pii/S0167739X24000013"),"https://www.sciencedirect.com/science/article/pii/S0167739X24000013"&lt;&gt;""), HYPERLINK("https://www.sciencedirect.com/science/article/pii/S0167739X24000013", "Link"),"-")</f>
        <v>Link</v>
      </c>
      <c r="C42" s="11" t="s">
        <v>856</v>
      </c>
      <c r="D42" s="176">
        <v>0</v>
      </c>
      <c r="E42" s="176">
        <v>1</v>
      </c>
      <c r="F42" s="176"/>
      <c r="G42" s="176"/>
      <c r="H42" s="176"/>
      <c r="I42" s="176"/>
      <c r="J42" s="176"/>
      <c r="K42" s="177">
        <v>2024</v>
      </c>
      <c r="L42" s="11"/>
      <c r="M42" s="11">
        <v>2</v>
      </c>
      <c r="N42" s="11" t="s">
        <v>862</v>
      </c>
      <c r="O42" s="11" t="s">
        <v>983</v>
      </c>
      <c r="P42" s="176">
        <v>1</v>
      </c>
      <c r="Q42" s="186">
        <v>0.5</v>
      </c>
      <c r="R42" s="186">
        <v>0.75</v>
      </c>
      <c r="S42" s="11" t="s">
        <v>864</v>
      </c>
      <c r="T42" s="11" t="s">
        <v>984</v>
      </c>
    </row>
    <row r="43" spans="1:22" x14ac:dyDescent="0.2">
      <c r="A43" s="13" t="s">
        <v>985</v>
      </c>
      <c r="B43" s="11" t="str">
        <f>IF(AND(ISTEXT("https://dl.acm.org/doi/10.1145/3551349.3560429"),"https://dl.acm.org/doi/10.1145/3551349.3560429"&lt;&gt;""), HYPERLINK("https://dl.acm.org/doi/10.1145/3551349.3560429", "Link"),"-")</f>
        <v>Link</v>
      </c>
      <c r="C43" s="11" t="s">
        <v>856</v>
      </c>
      <c r="D43" s="176">
        <v>1</v>
      </c>
      <c r="E43" s="176">
        <v>1</v>
      </c>
      <c r="F43" s="176"/>
      <c r="G43" s="176"/>
      <c r="H43" s="176"/>
      <c r="I43" s="176"/>
      <c r="J43" s="176"/>
      <c r="K43" s="177">
        <v>2022</v>
      </c>
      <c r="L43" s="11"/>
      <c r="M43" s="11" t="s">
        <v>867</v>
      </c>
      <c r="N43" s="11" t="s">
        <v>857</v>
      </c>
      <c r="O43" s="11" t="s">
        <v>977</v>
      </c>
      <c r="P43" s="183">
        <v>1</v>
      </c>
      <c r="Q43" s="11">
        <v>1</v>
      </c>
      <c r="R43" s="186">
        <v>1</v>
      </c>
      <c r="S43" s="11" t="s">
        <v>883</v>
      </c>
      <c r="T43" s="11" t="s">
        <v>986</v>
      </c>
    </row>
    <row r="44" spans="1:22" x14ac:dyDescent="0.2">
      <c r="A44" s="136" t="s">
        <v>987</v>
      </c>
      <c r="B44" s="11" t="str">
        <f>IF(AND(ISTEXT("https://www.sciencedirect.com/science/article/pii/S0950584923000678"),"https://www.sciencedirect.com/science/article/pii/S0950584923000678"&lt;&gt;""), HYPERLINK("https://www.sciencedirect.com/science/article/pii/S0950584923000678", "Link"),"-")</f>
        <v>Link</v>
      </c>
      <c r="C44" s="11" t="s">
        <v>856</v>
      </c>
      <c r="D44" s="176">
        <v>0</v>
      </c>
      <c r="E44" s="176">
        <v>1</v>
      </c>
      <c r="F44" s="176"/>
      <c r="G44" s="176"/>
      <c r="H44" s="176"/>
      <c r="I44" s="176"/>
      <c r="J44" s="176"/>
      <c r="K44" s="177">
        <v>2024</v>
      </c>
      <c r="L44" s="11"/>
      <c r="M44" s="11">
        <v>2</v>
      </c>
      <c r="N44" s="11" t="s">
        <v>862</v>
      </c>
      <c r="O44" s="11" t="s">
        <v>887</v>
      </c>
      <c r="P44" s="176">
        <v>1</v>
      </c>
      <c r="Q44" s="186">
        <v>0.5</v>
      </c>
      <c r="R44" s="186">
        <v>0.75</v>
      </c>
      <c r="S44" s="11" t="s">
        <v>880</v>
      </c>
      <c r="T44" s="11" t="s">
        <v>988</v>
      </c>
    </row>
    <row r="45" spans="1:22" x14ac:dyDescent="0.2">
      <c r="A45" s="13" t="s">
        <v>989</v>
      </c>
      <c r="B45" s="11" t="str">
        <f>IF(AND(ISTEXT("https://dl.acm.org/doi/10.1145/3545948.3545975"),"https://dl.acm.org/doi/10.1145/3545948.3545975"&lt;&gt;""), HYPERLINK("https://dl.acm.org/doi/10.1145/3545948.3545975", "Link"),"-")</f>
        <v>Link</v>
      </c>
      <c r="C45" s="11" t="s">
        <v>856</v>
      </c>
      <c r="D45" s="176">
        <v>1</v>
      </c>
      <c r="E45" s="176">
        <v>1</v>
      </c>
      <c r="F45" s="176"/>
      <c r="G45" s="176"/>
      <c r="H45" s="176"/>
      <c r="I45" s="176"/>
      <c r="J45" s="176"/>
      <c r="K45" s="177">
        <v>2022</v>
      </c>
      <c r="L45" s="11"/>
      <c r="M45" s="11">
        <v>3</v>
      </c>
      <c r="N45" s="11" t="s">
        <v>857</v>
      </c>
      <c r="O45" s="11" t="s">
        <v>990</v>
      </c>
      <c r="P45" s="176">
        <v>0.8</v>
      </c>
      <c r="Q45" s="186">
        <v>1</v>
      </c>
      <c r="R45" s="186">
        <v>0.9</v>
      </c>
      <c r="S45" s="11" t="s">
        <v>883</v>
      </c>
      <c r="T45" s="11" t="s">
        <v>991</v>
      </c>
    </row>
    <row r="46" spans="1:22" x14ac:dyDescent="0.2">
      <c r="A46" s="13" t="s">
        <v>992</v>
      </c>
      <c r="B46" s="11" t="str">
        <f>IF(AND(ISTEXT("https://arxiv.org/abs/2309.02391"),"https://arxiv.org/abs/2309.02391"&lt;&gt;""), HYPERLINK("https://arxiv.org/abs/2309.02391", "Link"),"-")</f>
        <v>Link</v>
      </c>
      <c r="C46" s="11" t="s">
        <v>886</v>
      </c>
      <c r="D46" s="176">
        <v>0</v>
      </c>
      <c r="E46" s="176">
        <v>1</v>
      </c>
      <c r="F46" s="176">
        <v>0.6</v>
      </c>
      <c r="G46" s="176">
        <v>1</v>
      </c>
      <c r="H46" s="176">
        <v>1</v>
      </c>
      <c r="I46" s="176">
        <v>1</v>
      </c>
      <c r="J46" s="176">
        <v>1</v>
      </c>
      <c r="K46" s="177">
        <v>2023</v>
      </c>
      <c r="L46" s="11"/>
      <c r="M46" s="11">
        <v>1.3</v>
      </c>
      <c r="N46" s="11" t="s">
        <v>993</v>
      </c>
      <c r="P46" s="176">
        <v>0.2</v>
      </c>
      <c r="Q46" s="186">
        <v>0.93333333333333324</v>
      </c>
      <c r="R46" s="186">
        <v>0.56666666666666665</v>
      </c>
      <c r="S46" s="11" t="s">
        <v>864</v>
      </c>
      <c r="T46" s="11" t="s">
        <v>994</v>
      </c>
    </row>
    <row r="47" spans="1:22" x14ac:dyDescent="0.2">
      <c r="A47" s="136" t="s">
        <v>995</v>
      </c>
      <c r="B47" s="11" t="str">
        <f>IF(AND(ISTEXT("https://www.sciencedirect.com/science/article/pii/S0164121223000481"),"https://www.sciencedirect.com/science/article/pii/S0164121223000481"&lt;&gt;""), HYPERLINK("https://www.sciencedirect.com/science/article/pii/S0164121223000481", "Link"),"-")</f>
        <v>Link</v>
      </c>
      <c r="C47" s="11" t="s">
        <v>856</v>
      </c>
      <c r="D47" s="176">
        <v>0</v>
      </c>
      <c r="E47" s="176">
        <v>1</v>
      </c>
      <c r="F47" s="176"/>
      <c r="G47" s="176"/>
      <c r="H47" s="176"/>
      <c r="I47" s="176"/>
      <c r="J47" s="176"/>
      <c r="K47" s="177">
        <v>2023</v>
      </c>
      <c r="L47" s="11"/>
      <c r="M47" s="11">
        <v>1</v>
      </c>
      <c r="N47" s="11" t="s">
        <v>862</v>
      </c>
      <c r="O47" s="11" t="s">
        <v>891</v>
      </c>
      <c r="P47" s="176">
        <v>1</v>
      </c>
      <c r="Q47" s="186">
        <v>0.5</v>
      </c>
      <c r="R47" s="186">
        <v>0.75</v>
      </c>
      <c r="S47" s="11" t="s">
        <v>880</v>
      </c>
      <c r="T47" s="11" t="s">
        <v>996</v>
      </c>
    </row>
    <row r="48" spans="1:22" x14ac:dyDescent="0.2">
      <c r="A48" s="13" t="s">
        <v>997</v>
      </c>
      <c r="B48" s="11" t="str">
        <f>IF(AND(ISTEXT("https://www.mdpi.com/2079-9292/12/9/2046"),"https://www.mdpi.com/2079-9292/12/9/2046"&lt;&gt;""), HYPERLINK("https://www.mdpi.com/2079-9292/12/9/2046", "Link"),"-")</f>
        <v>Link</v>
      </c>
      <c r="C48" s="11" t="s">
        <v>886</v>
      </c>
      <c r="D48" s="176">
        <v>0</v>
      </c>
      <c r="E48" s="176">
        <v>0.6</v>
      </c>
      <c r="F48" s="176">
        <v>0.3</v>
      </c>
      <c r="G48" s="176">
        <v>0.6</v>
      </c>
      <c r="H48" s="176">
        <v>0.6</v>
      </c>
      <c r="I48" s="176">
        <v>0</v>
      </c>
      <c r="J48" s="176">
        <v>1</v>
      </c>
      <c r="K48" s="177">
        <v>2023</v>
      </c>
      <c r="L48" s="11"/>
      <c r="M48" s="11">
        <v>1</v>
      </c>
      <c r="N48" s="11" t="s">
        <v>862</v>
      </c>
      <c r="O48" s="11" t="s">
        <v>998</v>
      </c>
      <c r="P48" s="176">
        <v>0.8</v>
      </c>
      <c r="Q48" s="186">
        <v>0.62</v>
      </c>
      <c r="R48" s="186">
        <v>0.71</v>
      </c>
      <c r="S48" s="11" t="s">
        <v>864</v>
      </c>
      <c r="T48" s="11" t="s">
        <v>999</v>
      </c>
    </row>
    <row r="49" spans="1:20" x14ac:dyDescent="0.2">
      <c r="A49" s="13" t="s">
        <v>1000</v>
      </c>
      <c r="B49" s="11" t="str">
        <f>IF(AND(ISTEXT("https://arxiv.org/abs/2103.12607"),"https://arxiv.org/abs/2103.12607"&lt;&gt;""), HYPERLINK("https://arxiv.org/abs/2103.12607", "Link"),"-")</f>
        <v>Link</v>
      </c>
      <c r="C49" s="11" t="s">
        <v>856</v>
      </c>
      <c r="D49" s="176">
        <v>1</v>
      </c>
      <c r="E49" s="176">
        <v>1</v>
      </c>
      <c r="F49" s="176"/>
      <c r="G49" s="176"/>
      <c r="H49" s="176"/>
      <c r="I49" s="176"/>
      <c r="J49" s="176"/>
      <c r="K49" s="177">
        <v>2021</v>
      </c>
      <c r="L49" s="11"/>
      <c r="M49" s="11">
        <v>2</v>
      </c>
      <c r="N49" s="11" t="s">
        <v>993</v>
      </c>
      <c r="P49" s="176">
        <v>0.2</v>
      </c>
      <c r="Q49" s="186">
        <v>1</v>
      </c>
      <c r="R49" s="186">
        <v>0.6</v>
      </c>
      <c r="S49" s="11" t="s">
        <v>864</v>
      </c>
      <c r="T49" s="11" t="s">
        <v>1001</v>
      </c>
    </row>
    <row r="50" spans="1:20" x14ac:dyDescent="0.2">
      <c r="A50" s="13" t="s">
        <v>1002</v>
      </c>
      <c r="B50" s="11" t="str">
        <f>IF(AND(ISTEXT("https://dl.acm.org/doi/10.1145/3533767.3534378"),"https://dl.acm.org/doi/10.1145/3533767.3534378"&lt;&gt;""), HYPERLINK("https://dl.acm.org/doi/10.1145/3533767.3534378", "Link"),"-")</f>
        <v>Link</v>
      </c>
      <c r="C50" s="11" t="s">
        <v>856</v>
      </c>
      <c r="D50" s="176">
        <v>1</v>
      </c>
      <c r="E50" s="176">
        <v>1</v>
      </c>
      <c r="F50" s="176"/>
      <c r="G50" s="176"/>
      <c r="H50" s="176"/>
      <c r="I50" s="176"/>
      <c r="J50" s="176"/>
      <c r="K50" s="177">
        <v>2022</v>
      </c>
      <c r="L50" s="11"/>
      <c r="M50" s="11">
        <v>2</v>
      </c>
      <c r="N50" s="11" t="s">
        <v>857</v>
      </c>
      <c r="O50" s="11" t="s">
        <v>1003</v>
      </c>
      <c r="P50" s="176">
        <v>1</v>
      </c>
      <c r="Q50" s="186">
        <v>1</v>
      </c>
      <c r="R50" s="186">
        <v>1</v>
      </c>
      <c r="S50" s="11" t="s">
        <v>883</v>
      </c>
      <c r="T50" s="11" t="s">
        <v>1004</v>
      </c>
    </row>
    <row r="51" spans="1:20" x14ac:dyDescent="0.2">
      <c r="A51" s="13" t="s">
        <v>1005</v>
      </c>
      <c r="B51" s="11" t="str">
        <f>IF(AND(ISTEXT("https://dl.acm.org/doi/10.1145/3457337.3457841"),"https://dl.acm.org/doi/10.1145/3457337.3457841"&lt;&gt;""), HYPERLINK("https://dl.acm.org/doi/10.1145/3457337.3457841", "Link"),"-")</f>
        <v>Link</v>
      </c>
      <c r="C51" s="11" t="s">
        <v>856</v>
      </c>
      <c r="D51" s="176">
        <v>1</v>
      </c>
      <c r="E51" s="176">
        <v>1</v>
      </c>
      <c r="F51" s="176"/>
      <c r="G51" s="176"/>
      <c r="H51" s="176"/>
      <c r="I51" s="176"/>
      <c r="J51" s="176"/>
      <c r="K51" s="177">
        <v>2021</v>
      </c>
      <c r="L51" s="11"/>
      <c r="M51" s="11">
        <v>2</v>
      </c>
      <c r="N51" s="11" t="s">
        <v>857</v>
      </c>
      <c r="O51" s="11" t="s">
        <v>1006</v>
      </c>
      <c r="P51" s="176">
        <v>0.4</v>
      </c>
      <c r="Q51" s="186">
        <v>1</v>
      </c>
      <c r="R51" s="186">
        <v>0.7</v>
      </c>
      <c r="S51" s="11" t="s">
        <v>883</v>
      </c>
      <c r="T51" s="11" t="s">
        <v>1007</v>
      </c>
    </row>
    <row r="52" spans="1:20" x14ac:dyDescent="0.2">
      <c r="A52" t="s">
        <v>1008</v>
      </c>
      <c r="B52" s="11" t="str">
        <f>IF(AND(ISTEXT("https://link.springer.com/article/10.1007/s11227-024-05954-9#:~:text=In%20this%20paper,%20we%20propose%20a%20novel"),"https://link.springer.com/article/10.1007/s11227-024-05954-9#:~:text=In%20this%20paper,%20we%20propose%20a%20novel"&lt;&gt;""), HYPERLINK("https://link.springer.com/article/10.1007/s11227-024-05954-9#:~:text=In%20this%20paper,%20we%20propose%20a%20novel", "Link"),"-")</f>
        <v>Link</v>
      </c>
      <c r="C52" s="11" t="s">
        <v>856</v>
      </c>
      <c r="D52" s="176">
        <v>0</v>
      </c>
      <c r="E52" s="176">
        <v>1</v>
      </c>
      <c r="F52" s="11"/>
      <c r="G52" s="11"/>
      <c r="H52" s="11"/>
      <c r="I52" s="11"/>
      <c r="J52" s="11"/>
      <c r="K52" s="177">
        <v>2024</v>
      </c>
      <c r="L52" s="11"/>
      <c r="M52" s="11">
        <v>1.2</v>
      </c>
      <c r="N52" s="11" t="s">
        <v>862</v>
      </c>
      <c r="O52" s="11" t="s">
        <v>1009</v>
      </c>
      <c r="P52" s="183">
        <v>0.8</v>
      </c>
      <c r="Q52" s="11">
        <v>0.5</v>
      </c>
      <c r="R52" s="186">
        <v>0.65</v>
      </c>
      <c r="S52" s="11" t="s">
        <v>873</v>
      </c>
      <c r="T52" s="11" t="s">
        <v>1010</v>
      </c>
    </row>
    <row r="53" spans="1:20" x14ac:dyDescent="0.2">
      <c r="A53" s="157" t="s">
        <v>1011</v>
      </c>
      <c r="B53" s="11" t="str">
        <f>IF(AND(ISTEXT("https://ieeexplore.ieee.org/document/9762279"),"https://ieeexplore.ieee.org/document/9762279"&lt;&gt;""), HYPERLINK("https://ieeexplore.ieee.org/document/9762279", "Link"),"-")</f>
        <v>Link</v>
      </c>
      <c r="C53" s="178" t="s">
        <v>890</v>
      </c>
      <c r="D53" s="179">
        <v>1</v>
      </c>
      <c r="E53" s="179">
        <v>1</v>
      </c>
      <c r="F53" s="179">
        <v>0.6</v>
      </c>
      <c r="G53" s="179">
        <v>0.3</v>
      </c>
      <c r="H53" s="179">
        <v>0</v>
      </c>
      <c r="I53" s="179">
        <v>0</v>
      </c>
      <c r="J53" s="179">
        <v>0.5</v>
      </c>
      <c r="K53" s="180">
        <v>2022</v>
      </c>
      <c r="L53" s="178"/>
      <c r="M53" s="178">
        <v>2</v>
      </c>
      <c r="N53" s="178" t="s">
        <v>862</v>
      </c>
      <c r="O53" s="178" t="s">
        <v>924</v>
      </c>
      <c r="P53" s="179">
        <v>1</v>
      </c>
      <c r="Q53" s="188">
        <v>0.56666666666666665</v>
      </c>
      <c r="R53" s="188">
        <v>0.78333333333333333</v>
      </c>
      <c r="S53" s="178" t="s">
        <v>869</v>
      </c>
      <c r="T53" s="11" t="s">
        <v>1012</v>
      </c>
    </row>
    <row r="54" spans="1:20" x14ac:dyDescent="0.2">
      <c r="A54" s="13" t="s">
        <v>1013</v>
      </c>
      <c r="B54" s="11" t="str">
        <f>IF(AND(ISTEXT("https://catalogplus.tuwien.at/permalink/f/1m011kq/TN_cdi_unpaywall_primary_10_1155_2022_1565007"),"https://catalogplus.tuwien.at/permalink/f/1m011kq/TN_cdi_unpaywall_primary_10_1155_2022_1565007"&lt;&gt;""), HYPERLINK("https://catalogplus.tuwien.at/permalink/f/1m011kq/TN_cdi_unpaywall_primary_10_1155_2022_1565007", "Link"),"-")</f>
        <v>Link</v>
      </c>
      <c r="C54" s="11" t="s">
        <v>856</v>
      </c>
      <c r="D54" s="176">
        <v>0.3</v>
      </c>
      <c r="E54" s="176">
        <v>1</v>
      </c>
      <c r="F54" s="176"/>
      <c r="G54" s="176"/>
      <c r="H54" s="176"/>
      <c r="I54" s="176"/>
      <c r="J54" s="176"/>
      <c r="K54" s="177">
        <v>2022</v>
      </c>
      <c r="L54" s="11"/>
      <c r="M54" s="11">
        <v>2</v>
      </c>
      <c r="N54" s="11" t="s">
        <v>862</v>
      </c>
      <c r="O54" s="11" t="s">
        <v>1014</v>
      </c>
      <c r="P54" s="176">
        <v>0.5</v>
      </c>
      <c r="Q54" s="186">
        <v>0.65</v>
      </c>
      <c r="R54" s="186">
        <v>0.57499999999999996</v>
      </c>
      <c r="S54" s="11" t="s">
        <v>869</v>
      </c>
      <c r="T54" s="11" t="s">
        <v>1015</v>
      </c>
    </row>
    <row r="55" spans="1:20" x14ac:dyDescent="0.2">
      <c r="A55" t="s">
        <v>1016</v>
      </c>
      <c r="B55" s="11" t="str">
        <f>IF(AND(ISTEXT("https://ieeexplore.ieee.org/document/9842713"),"https://ieeexplore.ieee.org/document/9842713"&lt;&gt;""), HYPERLINK("https://ieeexplore.ieee.org/document/9842713", "Link"),"-")</f>
        <v>Link</v>
      </c>
      <c r="C55" s="11" t="s">
        <v>856</v>
      </c>
      <c r="D55" s="176">
        <v>1</v>
      </c>
      <c r="E55" s="176">
        <v>1</v>
      </c>
      <c r="F55" s="11"/>
      <c r="G55" s="11"/>
      <c r="H55" s="11"/>
      <c r="I55" s="11"/>
      <c r="J55" s="11"/>
      <c r="K55" s="177">
        <v>2022</v>
      </c>
      <c r="L55" s="11"/>
      <c r="M55" s="11" t="s">
        <v>867</v>
      </c>
      <c r="N55" s="11" t="s">
        <v>857</v>
      </c>
      <c r="O55" s="11" t="s">
        <v>1017</v>
      </c>
      <c r="P55" s="183">
        <v>1</v>
      </c>
      <c r="Q55" s="11">
        <v>1</v>
      </c>
      <c r="R55" s="186">
        <v>1</v>
      </c>
      <c r="S55" s="11" t="s">
        <v>873</v>
      </c>
      <c r="T55" s="11" t="s">
        <v>1018</v>
      </c>
    </row>
    <row r="56" spans="1:20" x14ac:dyDescent="0.2">
      <c r="A56" s="13" t="s">
        <v>1019</v>
      </c>
      <c r="B56" s="11" t="str">
        <f>IF(AND(ISTEXT("https://ieeexplore.ieee.org/abstract/document/9680507?casa_token=EvobFcapGO8AAAAA:77f_1k1cz7PPbn_R-F_IJdxxZf7jSADmcjNxkRh-oNewQmKb3GQK9IwdCv1A8Ikm6fWqoRE"),"https://ieeexplore.ieee.org/abstract/document/9680507?casa_token=EvobFcapGO8AAAAA:77f_1k1cz7PPbn_R-F_IJdxxZf7jSADmcjNxkRh-oNewQmKb3GQK9IwdCv1A8Ikm6fWqoRE"&lt;&gt;""), HYPERLINK("https://ieeexplore.ieee.org/abstract/document/9680507?casa_token=EvobFcapGO8AAAAA:77f_1k1cz7PPbn_R-F_IJdxxZf7jSADmcjNxkRh-oNewQmKb3GQK9IwdCv1A8Ikm6fWqoRE", "Link"),"-")</f>
        <v>Link</v>
      </c>
      <c r="C56" s="11" t="s">
        <v>856</v>
      </c>
      <c r="D56" s="176">
        <v>0.6</v>
      </c>
      <c r="E56" s="176">
        <v>1</v>
      </c>
      <c r="F56" s="176"/>
      <c r="G56" s="176"/>
      <c r="H56" s="176"/>
      <c r="I56" s="176"/>
      <c r="J56" s="176"/>
      <c r="K56" s="177">
        <v>2022</v>
      </c>
      <c r="L56" s="11"/>
      <c r="M56" s="11">
        <v>1</v>
      </c>
      <c r="N56" s="11" t="s">
        <v>857</v>
      </c>
      <c r="O56" s="11" t="s">
        <v>1020</v>
      </c>
      <c r="P56" s="176">
        <v>0.2</v>
      </c>
      <c r="Q56" s="186">
        <v>0.8</v>
      </c>
      <c r="R56" s="186">
        <v>0.5</v>
      </c>
      <c r="S56" s="11" t="s">
        <v>864</v>
      </c>
      <c r="T56" s="11" t="s">
        <v>1021</v>
      </c>
    </row>
    <row r="57" spans="1:20" x14ac:dyDescent="0.2">
      <c r="A57" s="13" t="s">
        <v>1022</v>
      </c>
      <c r="B57" s="11" t="str">
        <f>IF(AND(ISTEXT("https://ieeexplore.ieee.org/document/9462980"),"https://ieeexplore.ieee.org/document/9462980"&lt;&gt;""), HYPERLINK("https://ieeexplore.ieee.org/document/9462980", "Link"),"-")</f>
        <v>Link</v>
      </c>
      <c r="C57" s="11" t="s">
        <v>856</v>
      </c>
      <c r="D57" s="176">
        <v>1</v>
      </c>
      <c r="E57" s="176">
        <v>1</v>
      </c>
      <c r="F57" s="176"/>
      <c r="G57" s="176"/>
      <c r="H57" s="176"/>
      <c r="I57" s="176"/>
      <c r="J57" s="176"/>
      <c r="K57" s="177">
        <v>2021</v>
      </c>
      <c r="L57" s="11"/>
      <c r="M57" s="11">
        <v>2</v>
      </c>
      <c r="N57" s="11" t="s">
        <v>857</v>
      </c>
      <c r="O57" s="11" t="s">
        <v>1023</v>
      </c>
      <c r="P57" s="176">
        <v>0.5</v>
      </c>
      <c r="Q57" s="186">
        <v>1</v>
      </c>
      <c r="R57" s="186">
        <v>0.75</v>
      </c>
      <c r="S57" s="11" t="s">
        <v>873</v>
      </c>
      <c r="T57" s="11" t="s">
        <v>1024</v>
      </c>
    </row>
    <row r="58" spans="1:20" x14ac:dyDescent="0.2">
      <c r="A58" s="13" t="s">
        <v>1025</v>
      </c>
      <c r="B58" s="11" t="str">
        <f>IF(AND(ISTEXT("https://link.springer.com/chapter/10.1007/978-3-662-63958-0_30"),"https://link.springer.com/chapter/10.1007/978-3-662-63958-0_30"&lt;&gt;""), HYPERLINK("https://link.springer.com/chapter/10.1007/978-3-662-63958-0_30", "Link"),"-")</f>
        <v>Link</v>
      </c>
      <c r="C58" s="11" t="s">
        <v>856</v>
      </c>
      <c r="D58" s="176">
        <v>0</v>
      </c>
      <c r="E58" s="176">
        <v>1</v>
      </c>
      <c r="F58" s="11"/>
      <c r="G58" s="11"/>
      <c r="H58" s="11"/>
      <c r="I58" s="11"/>
      <c r="J58" s="176"/>
      <c r="K58" s="177">
        <v>2021</v>
      </c>
      <c r="L58" s="11"/>
      <c r="M58" s="11">
        <v>2</v>
      </c>
      <c r="N58" s="11" t="s">
        <v>857</v>
      </c>
      <c r="O58" s="11" t="s">
        <v>1026</v>
      </c>
      <c r="P58" s="176">
        <v>1</v>
      </c>
      <c r="Q58" s="186">
        <v>0.5</v>
      </c>
      <c r="R58" s="186">
        <v>0.75</v>
      </c>
      <c r="S58" s="11" t="s">
        <v>869</v>
      </c>
      <c r="T58" s="11" t="s">
        <v>1027</v>
      </c>
    </row>
    <row r="59" spans="1:20" x14ac:dyDescent="0.2">
      <c r="A59" s="13" t="s">
        <v>1028</v>
      </c>
      <c r="B59" s="11" t="str">
        <f>IF(AND(ISTEXT("https://link.springer.com/article/10.1007/s10664-023-10414-8"),"https://link.springer.com/article/10.1007/s10664-023-10414-8"&lt;&gt;""), HYPERLINK("https://link.springer.com/article/10.1007/s10664-023-10414-8", "Link"),"-")</f>
        <v>Link</v>
      </c>
      <c r="C59" s="11" t="s">
        <v>886</v>
      </c>
      <c r="D59" s="176">
        <v>0</v>
      </c>
      <c r="E59" s="176">
        <v>1</v>
      </c>
      <c r="F59" s="176">
        <v>0.3</v>
      </c>
      <c r="G59" s="176">
        <v>0.6</v>
      </c>
      <c r="H59" s="176">
        <v>1</v>
      </c>
      <c r="I59" s="176">
        <v>1</v>
      </c>
      <c r="J59" s="176">
        <v>1</v>
      </c>
      <c r="K59" s="177">
        <v>2024</v>
      </c>
      <c r="L59" s="11"/>
      <c r="M59" s="11">
        <v>2.2999999999999998</v>
      </c>
      <c r="N59" s="11" t="s">
        <v>862</v>
      </c>
      <c r="O59" s="11" t="s">
        <v>1029</v>
      </c>
      <c r="P59" s="176">
        <v>1</v>
      </c>
      <c r="Q59" s="186">
        <v>0.81666666666666676</v>
      </c>
      <c r="R59" s="186">
        <v>0.85000000000000009</v>
      </c>
      <c r="S59" s="11" t="s">
        <v>859</v>
      </c>
      <c r="T59" s="11" t="s">
        <v>1030</v>
      </c>
    </row>
    <row r="60" spans="1:20" x14ac:dyDescent="0.2">
      <c r="A60" t="s">
        <v>1031</v>
      </c>
      <c r="B60" s="11" t="str">
        <f>IF(AND(ISTEXT("https://arxiv.org/abs/2112.14771"),"https://arxiv.org/abs/2112.14771"&lt;&gt;""), HYPERLINK("https://arxiv.org/abs/2112.14771", "Link"),"-")</f>
        <v>Link</v>
      </c>
      <c r="C60" s="11" t="s">
        <v>856</v>
      </c>
      <c r="D60" s="176">
        <v>1</v>
      </c>
      <c r="E60" s="176">
        <v>1</v>
      </c>
      <c r="F60" s="11"/>
      <c r="G60" s="11"/>
      <c r="H60" s="11"/>
      <c r="I60" s="11"/>
      <c r="J60" s="11"/>
      <c r="K60" s="177">
        <v>2021</v>
      </c>
      <c r="L60" s="11"/>
      <c r="M60" s="11" t="s">
        <v>867</v>
      </c>
      <c r="N60" s="11" t="s">
        <v>993</v>
      </c>
      <c r="O60" s="11" t="s">
        <v>1032</v>
      </c>
      <c r="P60" s="183">
        <v>0.2</v>
      </c>
      <c r="Q60" s="11">
        <v>1</v>
      </c>
      <c r="R60" s="186">
        <v>0.6</v>
      </c>
      <c r="S60" s="11" t="s">
        <v>873</v>
      </c>
      <c r="T60" s="11" t="s">
        <v>1033</v>
      </c>
    </row>
    <row r="61" spans="1:20" x14ac:dyDescent="0.2">
      <c r="A61" s="13" t="s">
        <v>1034</v>
      </c>
      <c r="B61" s="11" t="str">
        <f>IF(AND(ISTEXT("https://catalogplus.tuwien.at/permalink/f/1m011kq/TN_cdi_ieee_primary_10301241"),"https://catalogplus.tuwien.at/permalink/f/1m011kq/TN_cdi_ieee_primary_10301241"&lt;&gt;""), HYPERLINK("https://catalogplus.tuwien.at/permalink/f/1m011kq/TN_cdi_ieee_primary_10301241", "Link"),"-")</f>
        <v>Link</v>
      </c>
      <c r="C61" s="11" t="s">
        <v>856</v>
      </c>
      <c r="D61" s="176">
        <v>0</v>
      </c>
      <c r="E61" s="176">
        <v>1</v>
      </c>
      <c r="F61" s="176"/>
      <c r="G61" s="176"/>
      <c r="H61" s="176"/>
      <c r="I61" s="176"/>
      <c r="J61" s="176"/>
      <c r="K61" s="177">
        <v>2023</v>
      </c>
      <c r="L61" s="11"/>
      <c r="M61" s="11">
        <v>2</v>
      </c>
      <c r="N61" s="11" t="s">
        <v>857</v>
      </c>
      <c r="O61" s="11" t="s">
        <v>1035</v>
      </c>
      <c r="P61" s="176">
        <v>1</v>
      </c>
      <c r="Q61" s="186">
        <v>0.5</v>
      </c>
      <c r="R61" s="186">
        <v>0.75</v>
      </c>
      <c r="S61" s="11" t="s">
        <v>869</v>
      </c>
      <c r="T61" s="11" t="s">
        <v>1036</v>
      </c>
    </row>
    <row r="62" spans="1:20" x14ac:dyDescent="0.2">
      <c r="A62" s="13" t="s">
        <v>1037</v>
      </c>
      <c r="B62" s="11" t="str">
        <f>IF(AND(ISTEXT("https://ebooks.iospress.nl/doi/10.3233/FAIA230374"),"https://ebooks.iospress.nl/doi/10.3233/FAIA230374"&lt;&gt;""), HYPERLINK("https://ebooks.iospress.nl/doi/10.3233/FAIA230374", "Link"),"-")</f>
        <v>Link</v>
      </c>
      <c r="C62" s="11" t="s">
        <v>856</v>
      </c>
      <c r="D62" s="176">
        <v>0</v>
      </c>
      <c r="E62" s="176">
        <v>1</v>
      </c>
      <c r="F62" s="176"/>
      <c r="G62" s="176"/>
      <c r="H62" s="176"/>
      <c r="I62" s="176"/>
      <c r="J62" s="176"/>
      <c r="K62" s="177">
        <v>2023</v>
      </c>
      <c r="L62" s="11"/>
      <c r="M62" s="11">
        <v>2</v>
      </c>
      <c r="N62" s="11" t="s">
        <v>1038</v>
      </c>
      <c r="O62" s="11" t="s">
        <v>1039</v>
      </c>
      <c r="P62" s="176">
        <v>1</v>
      </c>
      <c r="Q62" s="186">
        <v>0.5</v>
      </c>
      <c r="R62" s="186">
        <v>0.75</v>
      </c>
      <c r="S62" s="11" t="s">
        <v>864</v>
      </c>
      <c r="T62" s="11" t="s">
        <v>1040</v>
      </c>
    </row>
    <row r="63" spans="1:20" x14ac:dyDescent="0.2">
      <c r="A63" s="13" t="s">
        <v>1041</v>
      </c>
      <c r="B63" s="11" t="str">
        <f>IF(AND(ISTEXT("https://cdn.techscience.cn/files/cmc/2023/TSP_CMC-76-2/TSP_CMC_38878/TSP_CMC_38878.pdf"),"https://cdn.techscience.cn/files/cmc/2023/TSP_CMC-76-2/TSP_CMC_38878/TSP_CMC_38878.pdf"&lt;&gt;""), HYPERLINK("https://cdn.techscience.cn/files/cmc/2023/TSP_CMC-76-2/TSP_CMC_38878/TSP_CMC_38878.pdf", "Link"),"-")</f>
        <v>Link</v>
      </c>
      <c r="C63" s="11" t="s">
        <v>856</v>
      </c>
      <c r="D63" s="176">
        <v>0</v>
      </c>
      <c r="E63" s="176">
        <v>1</v>
      </c>
      <c r="F63" s="176"/>
      <c r="G63" s="176"/>
      <c r="H63" s="176"/>
      <c r="I63" s="176"/>
      <c r="J63" s="176"/>
      <c r="K63" s="177">
        <v>2023</v>
      </c>
      <c r="L63" s="11"/>
      <c r="M63" s="11">
        <v>2</v>
      </c>
      <c r="N63" s="11" t="s">
        <v>862</v>
      </c>
      <c r="O63" s="11" t="s">
        <v>1042</v>
      </c>
      <c r="P63" s="176">
        <v>0.8</v>
      </c>
      <c r="Q63" s="186">
        <v>0.5</v>
      </c>
      <c r="R63" s="186">
        <v>0.65</v>
      </c>
      <c r="S63" s="11" t="s">
        <v>864</v>
      </c>
      <c r="T63" s="11" t="s">
        <v>1043</v>
      </c>
    </row>
    <row r="64" spans="1:20" x14ac:dyDescent="0.2">
      <c r="A64" s="13" t="s">
        <v>1044</v>
      </c>
      <c r="B64" s="11" t="str">
        <f>IF(AND(ISTEXT("https://catalogplus.tuwien.at/permalink/f/1m011kq/TN_cdi_doaj_primary_oai_doaj_org_article_8d0de5bbfe0640e6b2b896cb364dca35"),"https://catalogplus.tuwien.at/permalink/f/1m011kq/TN_cdi_doaj_primary_oai_doaj_org_article_8d0de5bbfe0640e6b2b896cb364dca35"&lt;&gt;""), HYPERLINK("https://catalogplus.tuwien.at/permalink/f/1m011kq/TN_cdi_doaj_primary_oai_doaj_org_article_8d0de5bbfe0640e6b2b896cb364dca35", "Link"),"-")</f>
        <v>Link</v>
      </c>
      <c r="C64" s="11" t="s">
        <v>856</v>
      </c>
      <c r="D64" s="176">
        <v>0</v>
      </c>
      <c r="E64" s="176">
        <v>1</v>
      </c>
      <c r="F64" s="176"/>
      <c r="G64" s="176"/>
      <c r="H64" s="176"/>
      <c r="I64" s="176"/>
      <c r="J64" s="176"/>
      <c r="K64" s="177">
        <v>2023</v>
      </c>
      <c r="L64" s="11"/>
      <c r="M64" s="11">
        <v>2</v>
      </c>
      <c r="N64" s="11" t="s">
        <v>862</v>
      </c>
      <c r="O64" s="11" t="s">
        <v>1045</v>
      </c>
      <c r="P64" s="176">
        <v>0.8</v>
      </c>
      <c r="Q64" s="186">
        <v>0.5</v>
      </c>
      <c r="R64" s="186">
        <v>0.65</v>
      </c>
      <c r="S64" s="11" t="s">
        <v>869</v>
      </c>
      <c r="T64" s="11" t="s">
        <v>1046</v>
      </c>
    </row>
    <row r="65" spans="1:20" x14ac:dyDescent="0.2">
      <c r="A65" s="157" t="s">
        <v>1047</v>
      </c>
      <c r="B65" s="11" t="str">
        <f>IF(AND(ISTEXT("https://catalogplus.tuwien.at/permalink/f/1m011kq/TN_cdi_webofscience_primary_000616307600013"),"https://catalogplus.tuwien.at/permalink/f/1m011kq/TN_cdi_webofscience_primary_000616307600013"&lt;&gt;""), HYPERLINK("https://catalogplus.tuwien.at/permalink/f/1m011kq/TN_cdi_webofscience_primary_000616307600013", "Link"),"-")</f>
        <v>Link</v>
      </c>
      <c r="C65" s="11" t="s">
        <v>856</v>
      </c>
      <c r="D65" s="176">
        <v>1</v>
      </c>
      <c r="E65" s="176">
        <v>0</v>
      </c>
      <c r="F65" s="176"/>
      <c r="G65" s="176"/>
      <c r="H65" s="176"/>
      <c r="I65" s="176"/>
      <c r="J65" s="176"/>
      <c r="K65" s="177">
        <v>2021</v>
      </c>
      <c r="L65" s="11"/>
      <c r="M65" s="11">
        <v>2</v>
      </c>
      <c r="N65" s="11" t="s">
        <v>862</v>
      </c>
      <c r="O65" s="11" t="s">
        <v>1048</v>
      </c>
      <c r="P65" s="176">
        <v>1</v>
      </c>
      <c r="Q65" s="186">
        <v>0.5</v>
      </c>
      <c r="R65" s="186">
        <v>0.75</v>
      </c>
      <c r="S65" s="11" t="s">
        <v>869</v>
      </c>
      <c r="T65" s="11" t="s">
        <v>1049</v>
      </c>
    </row>
    <row r="66" spans="1:20" x14ac:dyDescent="0.2">
      <c r="A66" s="13" t="s">
        <v>1050</v>
      </c>
      <c r="B66" s="11" t="str">
        <f>IF(AND(ISTEXT("https://ieeexplore.ieee.org/abstract/document/10192903"),"https://ieeexplore.ieee.org/abstract/document/10192903"&lt;&gt;""), HYPERLINK("https://ieeexplore.ieee.org/abstract/document/10192903", "Link"),"-")</f>
        <v>Link</v>
      </c>
      <c r="C66" s="11" t="s">
        <v>856</v>
      </c>
      <c r="D66" s="176">
        <v>0</v>
      </c>
      <c r="E66" s="176">
        <v>1</v>
      </c>
      <c r="F66" s="176"/>
      <c r="G66" s="176"/>
      <c r="H66" s="176"/>
      <c r="I66" s="176"/>
      <c r="J66" s="176"/>
      <c r="K66" s="177">
        <v>2023</v>
      </c>
      <c r="L66" s="11"/>
      <c r="M66" s="11">
        <v>2</v>
      </c>
      <c r="N66" s="11" t="s">
        <v>862</v>
      </c>
      <c r="O66" s="11" t="s">
        <v>924</v>
      </c>
      <c r="P66" s="176">
        <v>1</v>
      </c>
      <c r="Q66" s="186">
        <v>0.5</v>
      </c>
      <c r="R66" s="186">
        <v>0.75</v>
      </c>
      <c r="S66" s="11" t="s">
        <v>864</v>
      </c>
      <c r="T66" s="11" t="s">
        <v>1051</v>
      </c>
    </row>
    <row r="67" spans="1:20" x14ac:dyDescent="0.2">
      <c r="A67" s="13" t="s">
        <v>1052</v>
      </c>
      <c r="B67" s="11" t="str">
        <f>IF(AND(ISTEXT("https://dl.acm.org/doi/abs/10.1145/3597926.3598059"),"https://dl.acm.org/doi/abs/10.1145/3597926.3598059"&lt;&gt;""), HYPERLINK("https://dl.acm.org/doi/abs/10.1145/3597926.3598059", "Link"),"-")</f>
        <v>Link</v>
      </c>
      <c r="C67" s="181" t="s">
        <v>856</v>
      </c>
      <c r="D67" s="176">
        <v>0.6</v>
      </c>
      <c r="E67" s="176">
        <v>1</v>
      </c>
      <c r="F67" s="176"/>
      <c r="G67" s="176"/>
      <c r="H67" s="176"/>
      <c r="I67" s="176"/>
      <c r="J67" s="176"/>
      <c r="K67" s="177">
        <v>2023</v>
      </c>
      <c r="L67" s="11"/>
      <c r="M67" s="181">
        <v>2.2999999999999998</v>
      </c>
      <c r="N67" s="181" t="s">
        <v>857</v>
      </c>
      <c r="O67" s="181" t="s">
        <v>1053</v>
      </c>
      <c r="P67" s="181">
        <v>1</v>
      </c>
      <c r="Q67" s="11">
        <v>0.8</v>
      </c>
      <c r="R67" s="186">
        <v>0.9</v>
      </c>
      <c r="S67" s="11" t="s">
        <v>1054</v>
      </c>
      <c r="T67" s="11" t="s">
        <v>1055</v>
      </c>
    </row>
    <row r="68" spans="1:20" x14ac:dyDescent="0.2">
      <c r="A68" s="13" t="s">
        <v>1056</v>
      </c>
      <c r="B68" s="11" t="str">
        <f>IF(AND(ISTEXT("http://link.springer.com/chapter/10.1007/978-981-16-7993-3_32"),"http://link.springer.com/chapter/10.1007/978-981-16-7993-3_32"&lt;&gt;""), HYPERLINK("http://link.springer.com/chapter/10.1007/978-981-16-7993-3_32", "Link"),"-")</f>
        <v>Link</v>
      </c>
      <c r="C68" s="11" t="s">
        <v>856</v>
      </c>
      <c r="D68" s="176">
        <v>0</v>
      </c>
      <c r="E68" s="176">
        <v>1</v>
      </c>
      <c r="F68" s="176"/>
      <c r="G68" s="176"/>
      <c r="H68" s="176"/>
      <c r="I68" s="176"/>
      <c r="J68" s="176"/>
      <c r="K68" s="177">
        <v>2021</v>
      </c>
      <c r="L68" s="11"/>
      <c r="M68" s="11">
        <v>2</v>
      </c>
      <c r="N68" s="11" t="s">
        <v>862</v>
      </c>
      <c r="O68" s="11" t="s">
        <v>1057</v>
      </c>
      <c r="P68" s="182">
        <v>0.5</v>
      </c>
      <c r="Q68" s="186">
        <v>0.5</v>
      </c>
      <c r="R68" s="186">
        <v>0.5</v>
      </c>
      <c r="S68" s="11" t="s">
        <v>869</v>
      </c>
      <c r="T68" s="11" t="s">
        <v>1058</v>
      </c>
    </row>
    <row r="69" spans="1:20" x14ac:dyDescent="0.2">
      <c r="A69" s="13" t="s">
        <v>1059</v>
      </c>
      <c r="B69" s="11" t="str">
        <f>IF(AND(ISTEXT("https://ieeexplore.ieee.org/document/10132226"),"https://ieeexplore.ieee.org/document/10132226"&lt;&gt;""), HYPERLINK("https://ieeexplore.ieee.org/document/10132226", "Link"),"-")</f>
        <v>Link</v>
      </c>
      <c r="C69" s="11" t="s">
        <v>856</v>
      </c>
      <c r="D69" s="176">
        <v>0</v>
      </c>
      <c r="E69" s="176">
        <v>1</v>
      </c>
      <c r="F69" s="176"/>
      <c r="G69" s="176"/>
      <c r="H69" s="176"/>
      <c r="I69" s="176"/>
      <c r="J69" s="176"/>
      <c r="K69" s="177">
        <v>2023</v>
      </c>
      <c r="L69" s="11"/>
      <c r="M69" s="11">
        <v>2</v>
      </c>
      <c r="N69" s="11" t="s">
        <v>857</v>
      </c>
      <c r="O69" s="11" t="s">
        <v>1060</v>
      </c>
      <c r="P69" s="176">
        <v>1</v>
      </c>
      <c r="Q69" s="186">
        <v>0.5</v>
      </c>
      <c r="R69" s="186">
        <v>0.75</v>
      </c>
      <c r="S69" s="11" t="s">
        <v>1054</v>
      </c>
      <c r="T69" s="11" t="s">
        <v>1061</v>
      </c>
    </row>
    <row r="70" spans="1:20" x14ac:dyDescent="0.2">
      <c r="A70" s="13" t="s">
        <v>1062</v>
      </c>
      <c r="B70" s="11" t="str">
        <f>IF(AND(ISTEXT("https://dl.acm.org/doi/10.1145/3540250.3558927"),"https://dl.acm.org/doi/10.1145/3540250.3558927"&lt;&gt;""), HYPERLINK("https://dl.acm.org/doi/10.1145/3540250.3558927", "Link"),"-")</f>
        <v>Link</v>
      </c>
      <c r="C70" s="11" t="s">
        <v>856</v>
      </c>
      <c r="D70" s="176">
        <v>0</v>
      </c>
      <c r="E70" s="176">
        <v>1</v>
      </c>
      <c r="F70" s="176"/>
      <c r="G70" s="176"/>
      <c r="H70" s="176"/>
      <c r="I70" s="176"/>
      <c r="J70" s="176"/>
      <c r="K70" s="177">
        <v>2022</v>
      </c>
      <c r="L70" s="11"/>
      <c r="M70" s="11">
        <v>2</v>
      </c>
      <c r="N70" s="11" t="s">
        <v>857</v>
      </c>
      <c r="O70" s="11" t="s">
        <v>1063</v>
      </c>
      <c r="P70" s="176">
        <v>1</v>
      </c>
      <c r="Q70" s="186">
        <v>0.5</v>
      </c>
      <c r="R70" s="186">
        <v>0.75</v>
      </c>
      <c r="S70" s="11" t="s">
        <v>1054</v>
      </c>
      <c r="T70" s="11" t="s">
        <v>1064</v>
      </c>
    </row>
    <row r="71" spans="1:20" x14ac:dyDescent="0.2">
      <c r="A71" s="13" t="s">
        <v>1065</v>
      </c>
      <c r="B71" s="11" t="str">
        <f>IF(AND(ISTEXT("https://catalogplus.tuwien.at/permalink/f/1m011kq/TN_cdi_ieee_primary_10174104"),"https://catalogplus.tuwien.at/permalink/f/1m011kq/TN_cdi_ieee_primary_10174104"&lt;&gt;""), HYPERLINK("https://catalogplus.tuwien.at/permalink/f/1m011kq/TN_cdi_ieee_primary_10174104", "Link"),"-")</f>
        <v>Link</v>
      </c>
      <c r="C71" s="11" t="s">
        <v>856</v>
      </c>
      <c r="D71" s="176">
        <v>0</v>
      </c>
      <c r="E71" s="176">
        <v>1</v>
      </c>
      <c r="F71" s="176"/>
      <c r="G71" s="176"/>
      <c r="H71" s="176"/>
      <c r="I71" s="176"/>
      <c r="J71" s="176"/>
      <c r="K71" s="177">
        <v>2023</v>
      </c>
      <c r="L71" s="11"/>
      <c r="M71" s="11">
        <v>2</v>
      </c>
      <c r="N71" s="11" t="s">
        <v>857</v>
      </c>
      <c r="O71" s="11" t="s">
        <v>1066</v>
      </c>
      <c r="P71" s="176">
        <v>1</v>
      </c>
      <c r="Q71" s="186">
        <v>0.5</v>
      </c>
      <c r="R71" s="186">
        <v>0.75</v>
      </c>
      <c r="S71" s="11" t="s">
        <v>869</v>
      </c>
      <c r="T71" s="11" t="s">
        <v>1067</v>
      </c>
    </row>
    <row r="72" spans="1:20" x14ac:dyDescent="0.2">
      <c r="A72" s="13" t="s">
        <v>1068</v>
      </c>
      <c r="B72" s="11" t="str">
        <f>IF(AND(ISTEXT("https://www.mdpi.com/2076-3417/13/3/1733"),"https://www.mdpi.com/2076-3417/13/3/1733"&lt;&gt;""), HYPERLINK("https://www.mdpi.com/2076-3417/13/3/1733", "Link"),"-")</f>
        <v>Link</v>
      </c>
      <c r="C72" s="11" t="s">
        <v>856</v>
      </c>
      <c r="D72" s="176">
        <v>0</v>
      </c>
      <c r="E72" s="176">
        <v>1</v>
      </c>
      <c r="F72" s="176"/>
      <c r="G72" s="176"/>
      <c r="H72" s="176"/>
      <c r="I72" s="176"/>
      <c r="J72" s="176"/>
      <c r="K72" s="177">
        <v>2023</v>
      </c>
      <c r="L72" s="11"/>
      <c r="M72" s="11">
        <v>2</v>
      </c>
      <c r="N72" s="11" t="s">
        <v>862</v>
      </c>
      <c r="O72" s="11" t="s">
        <v>1069</v>
      </c>
      <c r="P72" s="176">
        <v>0.5</v>
      </c>
      <c r="Q72" s="186">
        <v>0.5</v>
      </c>
      <c r="R72" s="186">
        <v>0.5</v>
      </c>
      <c r="S72" s="11" t="s">
        <v>864</v>
      </c>
      <c r="T72" s="11" t="s">
        <v>1070</v>
      </c>
    </row>
    <row r="73" spans="1:20" x14ac:dyDescent="0.2">
      <c r="A73" s="13" t="s">
        <v>1071</v>
      </c>
      <c r="B73" s="11" t="str">
        <f>IF(AND(ISTEXT("https://link.springer.com/chapter/10.1007/978-981-99-8132-8_1"),"https://link.springer.com/chapter/10.1007/978-981-99-8132-8_1"&lt;&gt;""), HYPERLINK("https://link.springer.com/chapter/10.1007/978-981-99-8132-8_1", "Link"),"-")</f>
        <v>Link</v>
      </c>
      <c r="C73" s="11" t="s">
        <v>856</v>
      </c>
      <c r="D73" s="176">
        <v>0</v>
      </c>
      <c r="E73" s="176">
        <v>1</v>
      </c>
      <c r="F73" s="176"/>
      <c r="G73" s="176"/>
      <c r="H73" s="176"/>
      <c r="I73" s="176"/>
      <c r="J73" s="176"/>
      <c r="K73" s="177">
        <v>2023</v>
      </c>
      <c r="L73" s="11"/>
      <c r="M73" s="11">
        <v>2</v>
      </c>
      <c r="N73" s="11" t="s">
        <v>857</v>
      </c>
      <c r="O73" s="11" t="s">
        <v>1072</v>
      </c>
      <c r="P73" s="176">
        <v>1</v>
      </c>
      <c r="Q73" s="186">
        <v>0.5</v>
      </c>
      <c r="R73" s="186">
        <v>0.75</v>
      </c>
      <c r="S73" s="11" t="s">
        <v>873</v>
      </c>
      <c r="T73" s="11" t="s">
        <v>1073</v>
      </c>
    </row>
    <row r="74" spans="1:20" x14ac:dyDescent="0.2">
      <c r="A74" s="13" t="s">
        <v>1074</v>
      </c>
      <c r="B74" s="11" t="str">
        <f>IF(AND(ISTEXT("https://catalogplus.tuwien.at/permalink/f/1m011kq/TN_cdi_openaire_primary_doi_68a8d6db1eef5feb5fa2632cb54f82ee"),"https://catalogplus.tuwien.at/permalink/f/1m011kq/TN_cdi_openaire_primary_doi_68a8d6db1eef5feb5fa2632cb54f82ee"&lt;&gt;""), HYPERLINK("https://catalogplus.tuwien.at/permalink/f/1m011kq/TN_cdi_openaire_primary_doi_68a8d6db1eef5feb5fa2632cb54f82ee", "Link"),"-")</f>
        <v>Link</v>
      </c>
      <c r="C74" s="11" t="s">
        <v>856</v>
      </c>
      <c r="D74" s="176">
        <v>1</v>
      </c>
      <c r="E74" s="176">
        <v>0</v>
      </c>
      <c r="F74" s="176"/>
      <c r="G74" s="176"/>
      <c r="H74" s="176"/>
      <c r="I74" s="176"/>
      <c r="J74" s="176"/>
      <c r="K74" s="177">
        <v>2022</v>
      </c>
      <c r="L74" s="11"/>
      <c r="M74" s="11">
        <v>1</v>
      </c>
      <c r="N74" s="11" t="s">
        <v>862</v>
      </c>
      <c r="O74" s="11" t="s">
        <v>1075</v>
      </c>
      <c r="P74" s="176">
        <v>1</v>
      </c>
      <c r="Q74" s="186">
        <v>0.5</v>
      </c>
      <c r="R74" s="186">
        <v>0.75</v>
      </c>
      <c r="S74" s="11" t="s">
        <v>869</v>
      </c>
      <c r="T74" s="11" t="s">
        <v>1076</v>
      </c>
    </row>
    <row r="75" spans="1:20" x14ac:dyDescent="0.2">
      <c r="A75" s="13" t="s">
        <v>1077</v>
      </c>
      <c r="B75" s="11" t="str">
        <f>IF(AND(ISTEXT("https://dl.acm.org/doi/10.1145/3533767.3534395"),"https://dl.acm.org/doi/10.1145/3533767.3534395"&lt;&gt;""), HYPERLINK("https://dl.acm.org/doi/10.1145/3533767.3534395", "Link"),"-")</f>
        <v>Link</v>
      </c>
      <c r="C75" s="11" t="s">
        <v>856</v>
      </c>
      <c r="D75" s="176">
        <v>0</v>
      </c>
      <c r="E75" s="176">
        <v>1</v>
      </c>
      <c r="F75" s="176"/>
      <c r="G75" s="176"/>
      <c r="H75" s="176"/>
      <c r="I75" s="176"/>
      <c r="J75" s="176"/>
      <c r="K75" s="177">
        <v>2022</v>
      </c>
      <c r="L75" s="11"/>
      <c r="M75" s="11">
        <v>2</v>
      </c>
      <c r="N75" s="11" t="s">
        <v>857</v>
      </c>
      <c r="O75" s="11" t="s">
        <v>1003</v>
      </c>
      <c r="P75" s="176">
        <v>1</v>
      </c>
      <c r="Q75" s="186">
        <v>0.5</v>
      </c>
      <c r="R75" s="186">
        <v>0.75</v>
      </c>
      <c r="S75" s="11" t="s">
        <v>883</v>
      </c>
      <c r="T75" s="11" t="s">
        <v>1078</v>
      </c>
    </row>
    <row r="76" spans="1:20" x14ac:dyDescent="0.2">
      <c r="A76" t="s">
        <v>1079</v>
      </c>
      <c r="B76" s="11" t="str">
        <f>IF(AND(ISTEXT("https://ieeexplore.ieee.org/document/9700296"),"https://ieeexplore.ieee.org/document/9700296"&lt;&gt;""), HYPERLINK("https://ieeexplore.ieee.org/document/9700296", "Link"),"-")</f>
        <v>Link</v>
      </c>
      <c r="C76" s="11" t="s">
        <v>856</v>
      </c>
      <c r="D76" s="176">
        <v>1</v>
      </c>
      <c r="E76" s="176">
        <v>1</v>
      </c>
      <c r="F76" s="11"/>
      <c r="G76" s="11"/>
      <c r="H76" s="11"/>
      <c r="I76" s="11"/>
      <c r="J76" s="11"/>
      <c r="K76" s="177">
        <v>2021</v>
      </c>
      <c r="L76" s="11"/>
      <c r="M76" s="11" t="s">
        <v>867</v>
      </c>
      <c r="N76" s="11" t="s">
        <v>857</v>
      </c>
      <c r="O76" s="11" t="s">
        <v>1080</v>
      </c>
      <c r="P76" s="183">
        <v>1</v>
      </c>
      <c r="Q76" s="11">
        <v>1</v>
      </c>
      <c r="R76" s="186">
        <v>1</v>
      </c>
      <c r="S76" s="11" t="s">
        <v>873</v>
      </c>
      <c r="T76" s="11" t="s">
        <v>1081</v>
      </c>
    </row>
    <row r="77" spans="1:20" x14ac:dyDescent="0.2">
      <c r="A77" s="13" t="s">
        <v>1082</v>
      </c>
      <c r="B77" s="11" t="str">
        <f>IF(AND(ISTEXT("https://arxiv.org/abs/2301.06079"),"https://arxiv.org/abs/2301.06079"&lt;&gt;""), HYPERLINK("https://arxiv.org/abs/2301.06079", "Link"),"-")</f>
        <v>Link</v>
      </c>
      <c r="C77" s="11" t="s">
        <v>886</v>
      </c>
      <c r="D77" s="176">
        <v>0</v>
      </c>
      <c r="E77" s="176">
        <v>1</v>
      </c>
      <c r="F77" s="176">
        <v>1</v>
      </c>
      <c r="G77" s="176">
        <v>1</v>
      </c>
      <c r="H77" s="176">
        <v>0</v>
      </c>
      <c r="I77" s="176">
        <v>0</v>
      </c>
      <c r="J77" s="176">
        <v>1</v>
      </c>
      <c r="K77" s="177">
        <v>2023</v>
      </c>
      <c r="L77" s="11"/>
      <c r="M77" s="11">
        <v>1</v>
      </c>
      <c r="N77" s="11" t="s">
        <v>993</v>
      </c>
      <c r="P77" s="176">
        <v>0.2</v>
      </c>
      <c r="Q77" s="186">
        <v>0.8</v>
      </c>
      <c r="R77" s="186">
        <v>0.51666666666666672</v>
      </c>
      <c r="S77" s="11" t="s">
        <v>859</v>
      </c>
      <c r="T77" s="11" t="s">
        <v>1083</v>
      </c>
    </row>
    <row r="78" spans="1:20" x14ac:dyDescent="0.2">
      <c r="A78" s="13" t="s">
        <v>1084</v>
      </c>
      <c r="B78" s="11" t="str">
        <f>IF(AND(ISTEXT("https://catalogplus.tuwien.at/permalink/f/1m011kq/TN_cdi_ieee_primary_10301244"),"https://catalogplus.tuwien.at/permalink/f/1m011kq/TN_cdi_ieee_primary_10301244"&lt;&gt;""), HYPERLINK("https://catalogplus.tuwien.at/permalink/f/1m011kq/TN_cdi_ieee_primary_10301244", "Link"),"-")</f>
        <v>Link</v>
      </c>
      <c r="C78" s="11" t="s">
        <v>856</v>
      </c>
      <c r="D78" s="176">
        <v>0</v>
      </c>
      <c r="E78" s="176">
        <v>1</v>
      </c>
      <c r="F78" s="176"/>
      <c r="G78" s="176"/>
      <c r="H78" s="176"/>
      <c r="I78" s="176"/>
      <c r="J78" s="176"/>
      <c r="K78" s="177">
        <v>2023</v>
      </c>
      <c r="L78" s="11"/>
      <c r="M78" s="11">
        <v>2</v>
      </c>
      <c r="N78" s="11" t="s">
        <v>857</v>
      </c>
      <c r="O78" s="11" t="s">
        <v>1035</v>
      </c>
      <c r="P78" s="176">
        <v>1</v>
      </c>
      <c r="Q78" s="186">
        <v>0.5</v>
      </c>
      <c r="R78" s="186">
        <v>0.75</v>
      </c>
      <c r="S78" s="11" t="s">
        <v>869</v>
      </c>
      <c r="T78" s="11" t="s">
        <v>1085</v>
      </c>
    </row>
    <row r="79" spans="1:20" x14ac:dyDescent="0.2">
      <c r="A79" s="13" t="s">
        <v>1086</v>
      </c>
      <c r="B79" s="11" t="str">
        <f>IF(AND(ISTEXT("https://ieeexplore.ieee.org/document/9724842"),"https://ieeexplore.ieee.org/document/9724842"&lt;&gt;""), HYPERLINK("https://ieeexplore.ieee.org/document/9724842", "Link"),"-")</f>
        <v>Link</v>
      </c>
      <c r="C79" s="11" t="s">
        <v>856</v>
      </c>
      <c r="D79" s="176">
        <v>1</v>
      </c>
      <c r="E79" s="176">
        <v>1</v>
      </c>
      <c r="F79" s="176"/>
      <c r="G79" s="176"/>
      <c r="H79" s="176"/>
      <c r="I79" s="176"/>
      <c r="J79" s="176"/>
      <c r="K79" s="177">
        <v>2021</v>
      </c>
      <c r="L79" s="11"/>
      <c r="M79" s="11">
        <v>1.2</v>
      </c>
      <c r="N79" s="11" t="s">
        <v>857</v>
      </c>
      <c r="O79" s="11" t="s">
        <v>1087</v>
      </c>
      <c r="P79" s="176">
        <v>0.4</v>
      </c>
      <c r="Q79" s="186">
        <v>1</v>
      </c>
      <c r="R79" s="186">
        <v>0.7</v>
      </c>
      <c r="S79" s="11" t="s">
        <v>873</v>
      </c>
      <c r="T79" s="11" t="s">
        <v>1088</v>
      </c>
    </row>
    <row r="80" spans="1:20" x14ac:dyDescent="0.2">
      <c r="A80" s="13" t="s">
        <v>1089</v>
      </c>
      <c r="B80" s="11" t="str">
        <f>IF(AND(ISTEXT("https://ieeexplore.ieee.org/document/9751549"),"https://ieeexplore.ieee.org/document/9751549"&lt;&gt;""), HYPERLINK("https://ieeexplore.ieee.org/document/9751549", "Link"),"-")</f>
        <v>Link</v>
      </c>
      <c r="C80" s="11" t="s">
        <v>856</v>
      </c>
      <c r="D80" s="176">
        <v>0.3</v>
      </c>
      <c r="E80" s="176">
        <v>1</v>
      </c>
      <c r="F80" s="176"/>
      <c r="G80" s="176"/>
      <c r="H80" s="176"/>
      <c r="I80" s="176"/>
      <c r="J80" s="176"/>
      <c r="K80" s="177">
        <v>2021</v>
      </c>
      <c r="L80" s="11"/>
      <c r="M80" s="11">
        <v>1.2</v>
      </c>
      <c r="N80" s="11" t="s">
        <v>857</v>
      </c>
      <c r="O80" s="11" t="s">
        <v>1090</v>
      </c>
      <c r="P80" s="176">
        <v>0.4</v>
      </c>
      <c r="Q80" s="186">
        <v>0.65</v>
      </c>
      <c r="R80" s="186">
        <v>0.52500000000000002</v>
      </c>
      <c r="S80" s="11" t="s">
        <v>873</v>
      </c>
      <c r="T80" s="11" t="s">
        <v>1091</v>
      </c>
    </row>
    <row r="81" spans="1:20" x14ac:dyDescent="0.2">
      <c r="A81" s="13" t="s">
        <v>1092</v>
      </c>
      <c r="B81" s="11" t="str">
        <f>IF(AND(ISTEXT("https://dl.acm.org/doi/abs/10.1145/3551349.3560428"),"https://dl.acm.org/doi/abs/10.1145/3551349.3560428"&lt;&gt;""), HYPERLINK("https://dl.acm.org/doi/abs/10.1145/3551349.3560428", "Link"),"-")</f>
        <v>Link</v>
      </c>
      <c r="C81" s="11" t="s">
        <v>856</v>
      </c>
      <c r="D81" s="176">
        <v>1</v>
      </c>
      <c r="E81" s="176">
        <v>1</v>
      </c>
      <c r="F81" s="176"/>
      <c r="G81" s="176"/>
      <c r="H81" s="176"/>
      <c r="I81" s="176"/>
      <c r="J81" s="176"/>
      <c r="K81" s="177">
        <v>2022</v>
      </c>
      <c r="L81" s="11"/>
      <c r="M81" s="11">
        <v>1</v>
      </c>
      <c r="N81" s="11" t="s">
        <v>857</v>
      </c>
      <c r="O81" s="11" t="s">
        <v>1060</v>
      </c>
      <c r="P81" s="176">
        <v>1</v>
      </c>
      <c r="Q81" s="186">
        <v>1</v>
      </c>
      <c r="R81" s="186">
        <v>1</v>
      </c>
      <c r="S81" s="11" t="s">
        <v>1054</v>
      </c>
      <c r="T81" s="11" t="s">
        <v>1093</v>
      </c>
    </row>
    <row r="82" spans="1:20" x14ac:dyDescent="0.2">
      <c r="A82" s="13" t="s">
        <v>1094</v>
      </c>
      <c r="B82" s="11" t="str">
        <f>IF(AND(ISTEXT("https://link.springer.com/article/10.1007/s11219-023-09637-1"),"https://link.springer.com/article/10.1007/s11219-023-09637-1"&lt;&gt;""), HYPERLINK("https://link.springer.com/article/10.1007/s11219-023-09637-1", "Link"),"-")</f>
        <v>Link</v>
      </c>
      <c r="C82" s="11" t="s">
        <v>856</v>
      </c>
      <c r="D82" s="176">
        <v>0</v>
      </c>
      <c r="E82" s="176">
        <v>1</v>
      </c>
      <c r="F82" s="176"/>
      <c r="G82" s="176"/>
      <c r="H82" s="176"/>
      <c r="I82" s="176"/>
      <c r="J82" s="176"/>
      <c r="K82" s="177">
        <v>2023</v>
      </c>
      <c r="L82" s="11"/>
      <c r="M82" s="11">
        <v>2</v>
      </c>
      <c r="N82" s="11" t="s">
        <v>862</v>
      </c>
      <c r="O82" s="11" t="s">
        <v>1095</v>
      </c>
      <c r="P82" s="176">
        <v>0.5</v>
      </c>
      <c r="Q82" s="186">
        <v>0.5</v>
      </c>
      <c r="R82" s="186">
        <v>0.5</v>
      </c>
      <c r="S82" s="11" t="s">
        <v>864</v>
      </c>
      <c r="T82" s="11" t="s">
        <v>1096</v>
      </c>
    </row>
    <row r="83" spans="1:20" x14ac:dyDescent="0.2">
      <c r="A83" s="157" t="s">
        <v>1097</v>
      </c>
      <c r="B83" s="11" t="str">
        <f>IF(AND(ISTEXT("https://catalogplus.tuwien.at/permalink/f/1m011kq/TN_cdi_unpaywall_primary_10_1109_tifs_2023_3237370"),"https://catalogplus.tuwien.at/permalink/f/1m011kq/TN_cdi_unpaywall_primary_10_1109_tifs_2023_3237370"&lt;&gt;""), HYPERLINK("https://catalogplus.tuwien.at/permalink/f/1m011kq/TN_cdi_unpaywall_primary_10_1109_tifs_2023_3237370", "Link"),"-")</f>
        <v>Link</v>
      </c>
      <c r="C83" s="11" t="s">
        <v>856</v>
      </c>
      <c r="D83" s="176">
        <v>1</v>
      </c>
      <c r="E83" s="176">
        <v>1</v>
      </c>
      <c r="F83" s="176"/>
      <c r="G83" s="176"/>
      <c r="H83" s="176"/>
      <c r="I83" s="176"/>
      <c r="J83" s="176"/>
      <c r="K83" s="177">
        <v>2023</v>
      </c>
      <c r="L83" s="11"/>
      <c r="M83" s="11">
        <v>1</v>
      </c>
      <c r="N83" s="11" t="s">
        <v>862</v>
      </c>
      <c r="O83" s="11" t="s">
        <v>1048</v>
      </c>
      <c r="P83" s="176">
        <v>1</v>
      </c>
      <c r="Q83" s="186">
        <v>1</v>
      </c>
      <c r="R83" s="186">
        <v>1</v>
      </c>
      <c r="S83" s="11" t="s">
        <v>869</v>
      </c>
      <c r="T83" s="11" t="s">
        <v>1098</v>
      </c>
    </row>
    <row r="84" spans="1:20" x14ac:dyDescent="0.2">
      <c r="A84" s="13" t="s">
        <v>1099</v>
      </c>
      <c r="B84" s="11" t="str">
        <f>IF(AND(ISTEXT("https://catalogplus.tuwien.at/permalink/f/1m011kq/TN_cdi_ieee_primary_9833721"),"https://catalogplus.tuwien.at/permalink/f/1m011kq/TN_cdi_ieee_primary_9833721"&lt;&gt;""), HYPERLINK("https://catalogplus.tuwien.at/permalink/f/1m011kq/TN_cdi_ieee_primary_9833721", "Link"),"-")</f>
        <v>Link</v>
      </c>
      <c r="C84" s="11" t="s">
        <v>856</v>
      </c>
      <c r="D84" s="176">
        <v>1</v>
      </c>
      <c r="E84" s="176">
        <v>1</v>
      </c>
      <c r="F84" s="176"/>
      <c r="G84" s="176"/>
      <c r="H84" s="176"/>
      <c r="I84" s="176"/>
      <c r="J84" s="176"/>
      <c r="K84" s="177">
        <v>2022</v>
      </c>
      <c r="L84" s="11"/>
      <c r="M84" s="11">
        <v>1</v>
      </c>
      <c r="N84" s="11" t="s">
        <v>857</v>
      </c>
      <c r="O84" s="11" t="s">
        <v>1100</v>
      </c>
      <c r="P84" s="176">
        <v>1</v>
      </c>
      <c r="Q84" s="186">
        <v>1</v>
      </c>
      <c r="R84" s="186">
        <v>1</v>
      </c>
      <c r="S84" s="11" t="s">
        <v>869</v>
      </c>
      <c r="T84" s="11" t="s">
        <v>1101</v>
      </c>
    </row>
    <row r="85" spans="1:20" x14ac:dyDescent="0.2">
      <c r="A85" s="13" t="s">
        <v>1102</v>
      </c>
      <c r="B85" s="11" t="str">
        <f>IF(AND(ISTEXT("https://catalogplus.tuwien.at/permalink/f/1m011kq/TN_cdi_crossref_primary_10_1109_TNSE_2023_3324942"),"https://catalogplus.tuwien.at/permalink/f/1m011kq/TN_cdi_crossref_primary_10_1109_TNSE_2023_3324942"&lt;&gt;""), HYPERLINK("https://catalogplus.tuwien.at/permalink/f/1m011kq/TN_cdi_crossref_primary_10_1109_TNSE_2023_3324942", "Link"),"-")</f>
        <v>Link</v>
      </c>
      <c r="C85" s="11" t="s">
        <v>856</v>
      </c>
      <c r="D85" s="176">
        <v>0</v>
      </c>
      <c r="E85" s="176">
        <v>1</v>
      </c>
      <c r="F85" s="176"/>
      <c r="G85" s="176"/>
      <c r="H85" s="176"/>
      <c r="I85" s="176"/>
      <c r="J85" s="176"/>
      <c r="K85" s="177">
        <v>2023</v>
      </c>
      <c r="L85" s="11"/>
      <c r="M85" s="11">
        <v>2</v>
      </c>
      <c r="N85" s="11" t="s">
        <v>862</v>
      </c>
      <c r="O85" s="11" t="s">
        <v>1103</v>
      </c>
      <c r="P85" s="176">
        <v>1</v>
      </c>
      <c r="Q85" s="186">
        <v>0.5</v>
      </c>
      <c r="R85" s="186">
        <v>0.75</v>
      </c>
      <c r="S85" s="11" t="s">
        <v>869</v>
      </c>
      <c r="T85" s="11" t="s">
        <v>1104</v>
      </c>
    </row>
    <row r="86" spans="1:20" x14ac:dyDescent="0.2">
      <c r="A86" s="13" t="s">
        <v>1105</v>
      </c>
      <c r="B86" s="11" t="str">
        <f>IF(AND(ISTEXT("https://ieeexplore.ieee.org/abstract/document/10270857"),"https://ieeexplore.ieee.org/abstract/document/10270857"&lt;&gt;""), HYPERLINK("https://ieeexplore.ieee.org/abstract/document/10270857", "Link"),"-")</f>
        <v>Link</v>
      </c>
      <c r="C86" s="11" t="s">
        <v>856</v>
      </c>
      <c r="D86" s="176">
        <v>0</v>
      </c>
      <c r="E86" s="182">
        <v>1</v>
      </c>
      <c r="F86" s="176"/>
      <c r="G86" s="176"/>
      <c r="H86" s="176"/>
      <c r="I86" s="176"/>
      <c r="J86" s="176"/>
      <c r="K86" s="177">
        <v>2023</v>
      </c>
      <c r="L86" s="11"/>
      <c r="M86" s="11">
        <v>2</v>
      </c>
      <c r="N86" s="11" t="s">
        <v>857</v>
      </c>
      <c r="O86" s="11" t="s">
        <v>1106</v>
      </c>
      <c r="P86" s="176">
        <v>0.5</v>
      </c>
      <c r="Q86" s="186">
        <v>0.5</v>
      </c>
      <c r="R86" s="186">
        <v>0.5</v>
      </c>
      <c r="S86" s="11" t="s">
        <v>864</v>
      </c>
      <c r="T86" s="11" t="s">
        <v>1107</v>
      </c>
    </row>
    <row r="87" spans="1:20" x14ac:dyDescent="0.2">
      <c r="A87" s="13" t="s">
        <v>1108</v>
      </c>
      <c r="B87" s="11" t="str">
        <f>IF(AND(ISTEXT("https://dl.acm.org/doi/abs/10.1145/3460319.3469078"),"https://dl.acm.org/doi/abs/10.1145/3460319.3469078"&lt;&gt;""), HYPERLINK("https://dl.acm.org/doi/abs/10.1145/3460319.3469078", "Link"),"-")</f>
        <v>Link</v>
      </c>
      <c r="C87" s="11" t="s">
        <v>856</v>
      </c>
      <c r="D87" s="176">
        <v>0.6</v>
      </c>
      <c r="E87" s="176">
        <v>1</v>
      </c>
      <c r="F87" s="176"/>
      <c r="G87" s="176"/>
      <c r="H87" s="176"/>
      <c r="I87" s="176"/>
      <c r="J87" s="176"/>
      <c r="K87" s="177">
        <v>2021</v>
      </c>
      <c r="L87" s="11"/>
      <c r="M87" s="181">
        <v>2.2999999999999998</v>
      </c>
      <c r="N87" s="181" t="s">
        <v>857</v>
      </c>
      <c r="O87" s="181" t="s">
        <v>1109</v>
      </c>
      <c r="P87" s="181">
        <v>1</v>
      </c>
      <c r="Q87" s="11">
        <v>0.8</v>
      </c>
      <c r="R87" s="186">
        <v>0.9</v>
      </c>
      <c r="S87" s="11" t="s">
        <v>1054</v>
      </c>
      <c r="T87" s="11" t="s">
        <v>1110</v>
      </c>
    </row>
    <row r="88" spans="1:20" x14ac:dyDescent="0.2">
      <c r="A88" s="13" t="s">
        <v>1111</v>
      </c>
      <c r="B88" s="11" t="str">
        <f>IF(AND(ISTEXT("https://ieeexplore.ieee.org/abstract/document/10278055"),"https://ieeexplore.ieee.org/abstract/document/10278055"&lt;&gt;""), HYPERLINK("https://ieeexplore.ieee.org/abstract/document/10278055", "Link"),"-")</f>
        <v>Link</v>
      </c>
      <c r="C88" s="11" t="s">
        <v>890</v>
      </c>
      <c r="D88" s="176">
        <v>1</v>
      </c>
      <c r="E88" s="176">
        <v>0.6</v>
      </c>
      <c r="F88" s="176">
        <v>0.6</v>
      </c>
      <c r="G88" s="176">
        <v>0</v>
      </c>
      <c r="H88" s="176">
        <v>0</v>
      </c>
      <c r="I88" s="176">
        <v>0</v>
      </c>
      <c r="J88" s="176">
        <v>1</v>
      </c>
      <c r="K88" s="177">
        <v>2023</v>
      </c>
      <c r="L88" s="11"/>
      <c r="M88" s="11">
        <v>1</v>
      </c>
      <c r="N88" s="11" t="s">
        <v>857</v>
      </c>
      <c r="O88" s="11" t="s">
        <v>1112</v>
      </c>
      <c r="P88" s="176">
        <v>1</v>
      </c>
      <c r="Q88" s="186">
        <v>0.53333333333333333</v>
      </c>
      <c r="R88" s="186">
        <v>0.76666666666666661</v>
      </c>
      <c r="S88" s="11" t="s">
        <v>864</v>
      </c>
      <c r="T88" s="11" t="s">
        <v>1113</v>
      </c>
    </row>
    <row r="89" spans="1:20" x14ac:dyDescent="0.2">
      <c r="A89" s="13" t="s">
        <v>1114</v>
      </c>
      <c r="B89" s="11" t="str">
        <f>IF(AND(ISTEXT("https://onlinelibrary.wiley.com/doi/full/10.1155/2021/2897565"),"https://onlinelibrary.wiley.com/doi/full/10.1155/2021/2897565"&lt;&gt;""), HYPERLINK("https://onlinelibrary.wiley.com/doi/full/10.1155/2021/2897565", "Link"),"-")</f>
        <v>Link</v>
      </c>
      <c r="C89" s="11" t="s">
        <v>856</v>
      </c>
      <c r="D89" s="176">
        <v>0</v>
      </c>
      <c r="E89" s="176">
        <v>1</v>
      </c>
      <c r="F89" s="176"/>
      <c r="G89" s="176"/>
      <c r="H89" s="176"/>
      <c r="I89" s="176"/>
      <c r="J89" s="176"/>
      <c r="K89" s="177">
        <v>2021</v>
      </c>
      <c r="L89" s="11"/>
      <c r="M89" s="11">
        <v>1.2</v>
      </c>
      <c r="N89" s="11" t="s">
        <v>862</v>
      </c>
      <c r="O89" s="11" t="s">
        <v>1115</v>
      </c>
      <c r="P89" s="176">
        <v>0.8</v>
      </c>
      <c r="Q89" s="186">
        <v>0.5</v>
      </c>
      <c r="R89" s="186">
        <v>0.65</v>
      </c>
      <c r="S89" s="11" t="s">
        <v>869</v>
      </c>
      <c r="T89" s="11" t="s">
        <v>1116</v>
      </c>
    </row>
    <row r="90" spans="1:20" x14ac:dyDescent="0.2">
      <c r="A90" s="13" t="s">
        <v>1117</v>
      </c>
      <c r="B90" s="11" t="str">
        <f>IF(AND(ISTEXT("https://onlinelibrary.wiley.com/doi/full/10.1002/smr.2557"),"https://onlinelibrary.wiley.com/doi/full/10.1002/smr.2557"&lt;&gt;""), HYPERLINK("https://onlinelibrary.wiley.com/doi/full/10.1002/smr.2557", "Link"),"-")</f>
        <v>Link</v>
      </c>
      <c r="C90" s="11" t="s">
        <v>856</v>
      </c>
      <c r="D90" s="176">
        <v>0</v>
      </c>
      <c r="E90" s="176">
        <v>1</v>
      </c>
      <c r="F90" s="176"/>
      <c r="G90" s="176"/>
      <c r="H90" s="176"/>
      <c r="I90" s="176"/>
      <c r="J90" s="176"/>
      <c r="K90" s="177">
        <v>2023</v>
      </c>
      <c r="L90" s="11"/>
      <c r="M90" s="11">
        <v>2</v>
      </c>
      <c r="N90" s="11" t="s">
        <v>862</v>
      </c>
      <c r="O90" s="11" t="s">
        <v>1118</v>
      </c>
      <c r="P90" s="176">
        <v>0.8</v>
      </c>
      <c r="Q90" s="186">
        <v>0.5</v>
      </c>
      <c r="R90" s="186">
        <v>0.65</v>
      </c>
      <c r="S90" s="11" t="s">
        <v>869</v>
      </c>
      <c r="T90" s="11" t="s">
        <v>1119</v>
      </c>
    </row>
    <row r="91" spans="1:20" x14ac:dyDescent="0.2">
      <c r="A91" s="13" t="s">
        <v>1120</v>
      </c>
      <c r="B91" s="11" t="str">
        <f>IF(AND(ISTEXT("https://ieeexplore.ieee.org/document/9519444"),"https://ieeexplore.ieee.org/document/9519444"&lt;&gt;""), HYPERLINK("https://ieeexplore.ieee.org/document/9519444", "Link"),"-")</f>
        <v>Link</v>
      </c>
      <c r="C91" s="11" t="s">
        <v>856</v>
      </c>
      <c r="D91" s="176">
        <v>1</v>
      </c>
      <c r="E91" s="176">
        <v>1</v>
      </c>
      <c r="F91" s="176"/>
      <c r="G91" s="176"/>
      <c r="H91" s="176"/>
      <c r="I91" s="176"/>
      <c r="J91" s="176"/>
      <c r="K91" s="177">
        <v>2021</v>
      </c>
      <c r="L91" s="11"/>
      <c r="M91" s="11">
        <v>3</v>
      </c>
      <c r="N91" s="11" t="s">
        <v>857</v>
      </c>
      <c r="O91" s="11" t="s">
        <v>1100</v>
      </c>
      <c r="P91" s="176">
        <v>1</v>
      </c>
      <c r="Q91" s="186">
        <v>1</v>
      </c>
      <c r="R91" s="186">
        <v>1</v>
      </c>
      <c r="S91" s="11" t="s">
        <v>869</v>
      </c>
      <c r="T91" s="11" t="s">
        <v>1121</v>
      </c>
    </row>
    <row r="92" spans="1:20" x14ac:dyDescent="0.2">
      <c r="A92" s="13" t="s">
        <v>1122</v>
      </c>
      <c r="B92" s="11" t="str">
        <f>IF(AND(ISTEXT("https://dl.acm.org/doi/10.1109/ICSE-Companion58688.2023.00019"),"https://dl.acm.org/doi/10.1109/ICSE-Companion58688.2023.00019"&lt;&gt;""), HYPERLINK("https://dl.acm.org/doi/10.1109/ICSE-Companion58688.2023.00019", "Link"),"-")</f>
        <v>Link</v>
      </c>
      <c r="C92" s="11" t="s">
        <v>856</v>
      </c>
      <c r="D92" s="176">
        <v>0</v>
      </c>
      <c r="E92" s="176">
        <v>1</v>
      </c>
      <c r="F92" s="176"/>
      <c r="G92" s="176"/>
      <c r="H92" s="176"/>
      <c r="I92" s="176"/>
      <c r="J92" s="176"/>
      <c r="K92" s="177">
        <v>2023</v>
      </c>
      <c r="L92" s="11"/>
      <c r="M92" s="11">
        <v>2</v>
      </c>
      <c r="N92" s="11" t="s">
        <v>857</v>
      </c>
      <c r="O92" s="11" t="s">
        <v>1123</v>
      </c>
      <c r="P92" s="176">
        <v>1</v>
      </c>
      <c r="Q92" s="186">
        <v>0.5</v>
      </c>
      <c r="R92" s="186">
        <v>0.75</v>
      </c>
      <c r="S92" s="11" t="s">
        <v>883</v>
      </c>
      <c r="T92" s="11" t="s">
        <v>1124</v>
      </c>
    </row>
    <row r="93" spans="1:20" x14ac:dyDescent="0.2">
      <c r="A93" s="13" t="s">
        <v>1125</v>
      </c>
      <c r="B93" s="11" t="str">
        <f>IF(AND(ISTEXT("https://synthical.com/article/ed404388-ffad-11ed-9b54-72eb57fa10b3"),"https://synthical.com/article/ed404388-ffad-11ed-9b54-72eb57fa10b3"&lt;&gt;""), HYPERLINK("https://synthical.com/article/ed404388-ffad-11ed-9b54-72eb57fa10b3", "Link"),"-")</f>
        <v>Link</v>
      </c>
      <c r="C93" s="11" t="s">
        <v>886</v>
      </c>
      <c r="D93" s="176">
        <v>0</v>
      </c>
      <c r="E93" s="176">
        <v>1</v>
      </c>
      <c r="F93" s="176">
        <v>0.6</v>
      </c>
      <c r="G93" s="176">
        <v>0.3</v>
      </c>
      <c r="H93" s="176">
        <v>0.6</v>
      </c>
      <c r="I93" s="176">
        <v>0</v>
      </c>
      <c r="J93" s="176">
        <v>1</v>
      </c>
      <c r="K93" s="177">
        <v>2024</v>
      </c>
      <c r="L93" s="11"/>
      <c r="M93" s="11">
        <v>1</v>
      </c>
      <c r="N93" s="11" t="s">
        <v>857</v>
      </c>
      <c r="O93" s="11" t="s">
        <v>1126</v>
      </c>
      <c r="P93" s="176">
        <v>1</v>
      </c>
      <c r="Q93" s="186">
        <v>0.7</v>
      </c>
      <c r="R93" s="186">
        <v>0.85</v>
      </c>
      <c r="S93" s="11" t="s">
        <v>864</v>
      </c>
      <c r="T93" s="11" t="s">
        <v>1127</v>
      </c>
    </row>
    <row r="94" spans="1:20" x14ac:dyDescent="0.2">
      <c r="A94" s="13" t="s">
        <v>1128</v>
      </c>
      <c r="B94" s="11" t="str">
        <f>IF(AND(ISTEXT("https://www.mdpi.com/2079-9292/13/3/489"),"https://www.mdpi.com/2079-9292/13/3/489"&lt;&gt;""), HYPERLINK("https://www.mdpi.com/2079-9292/13/3/489", "Link"),"-")</f>
        <v>Link</v>
      </c>
      <c r="C94" s="11" t="s">
        <v>856</v>
      </c>
      <c r="D94" s="176">
        <v>0</v>
      </c>
      <c r="E94" s="176">
        <v>1</v>
      </c>
      <c r="F94" s="176"/>
      <c r="G94" s="176"/>
      <c r="H94" s="176"/>
      <c r="I94" s="176"/>
      <c r="J94" s="176"/>
      <c r="K94" s="177">
        <v>2024</v>
      </c>
      <c r="L94" s="11"/>
      <c r="M94" s="11">
        <v>1.2</v>
      </c>
      <c r="N94" s="11" t="s">
        <v>862</v>
      </c>
      <c r="O94" s="11" t="s">
        <v>998</v>
      </c>
      <c r="P94" s="176">
        <v>0.8</v>
      </c>
      <c r="Q94" s="186">
        <v>0.5</v>
      </c>
      <c r="R94" s="186">
        <v>0.65</v>
      </c>
      <c r="S94" s="11" t="s">
        <v>869</v>
      </c>
      <c r="T94" s="11" t="s">
        <v>1129</v>
      </c>
    </row>
    <row r="95" spans="1:20" x14ac:dyDescent="0.2">
      <c r="A95" s="136" t="s">
        <v>1130</v>
      </c>
      <c r="B95" s="11" t="str">
        <f>IF(AND(ISTEXT("https://www.sciencedirect.com/science/article/abs/pii/S1389128622003437"),"https://www.sciencedirect.com/science/article/abs/pii/S1389128622003437"&lt;&gt;""), HYPERLINK("https://www.sciencedirect.com/science/article/abs/pii/S1389128622003437", "Link"),"-")</f>
        <v>Link</v>
      </c>
      <c r="C95" s="11" t="s">
        <v>856</v>
      </c>
      <c r="D95" s="176">
        <v>1</v>
      </c>
      <c r="E95" s="176">
        <v>1</v>
      </c>
      <c r="F95" s="176"/>
      <c r="G95" s="176"/>
      <c r="H95" s="176"/>
      <c r="I95" s="176"/>
      <c r="J95" s="176"/>
      <c r="K95" s="177">
        <v>2022</v>
      </c>
      <c r="L95" s="11"/>
      <c r="M95" s="11">
        <v>2</v>
      </c>
      <c r="N95" s="11" t="s">
        <v>862</v>
      </c>
      <c r="O95" s="11" t="s">
        <v>1131</v>
      </c>
      <c r="P95" s="176">
        <v>1</v>
      </c>
      <c r="Q95" s="186">
        <v>1</v>
      </c>
      <c r="R95" s="186">
        <v>1</v>
      </c>
      <c r="S95" s="11" t="s">
        <v>880</v>
      </c>
      <c r="T95" s="11" t="s">
        <v>1132</v>
      </c>
    </row>
    <row r="96" spans="1:20" x14ac:dyDescent="0.2">
      <c r="A96" s="13" t="s">
        <v>1133</v>
      </c>
      <c r="B96" s="11" t="str">
        <f>IF(AND(ISTEXT("https://www.mdpi.com/1424-8220/22/5/1829"),"https://www.mdpi.com/1424-8220/22/5/1829"&lt;&gt;""), HYPERLINK("https://www.mdpi.com/1424-8220/22/5/1829", "Link"),"-")</f>
        <v>Link</v>
      </c>
      <c r="C96" s="11" t="s">
        <v>856</v>
      </c>
      <c r="D96" s="176">
        <v>1</v>
      </c>
      <c r="E96" s="176">
        <v>0</v>
      </c>
      <c r="F96" s="176"/>
      <c r="G96" s="176"/>
      <c r="H96" s="176"/>
      <c r="I96" s="176"/>
      <c r="J96" s="176"/>
      <c r="K96" s="177">
        <v>2022</v>
      </c>
      <c r="L96" s="11"/>
      <c r="M96" s="11">
        <v>2</v>
      </c>
      <c r="N96" s="11" t="s">
        <v>862</v>
      </c>
      <c r="O96" s="11" t="s">
        <v>876</v>
      </c>
      <c r="P96" s="176">
        <v>0.8</v>
      </c>
      <c r="Q96" s="186">
        <v>0.5</v>
      </c>
      <c r="R96" s="186">
        <v>0.65</v>
      </c>
      <c r="S96" s="11" t="s">
        <v>873</v>
      </c>
      <c r="T96" s="11" t="s">
        <v>1134</v>
      </c>
    </row>
    <row r="97" spans="1:20" x14ac:dyDescent="0.2">
      <c r="A97" t="s">
        <v>1135</v>
      </c>
      <c r="B97" s="11" t="str">
        <f>IF(AND(ISTEXT("https://www.ijcai.org/proceedings/2021/379"),"https://www.ijcai.org/proceedings/2021/379"&lt;&gt;""), HYPERLINK("https://www.ijcai.org/proceedings/2021/379", "Link"),"-")</f>
        <v>Link</v>
      </c>
      <c r="C97" s="11" t="s">
        <v>856</v>
      </c>
      <c r="D97" s="176">
        <v>1</v>
      </c>
      <c r="E97" s="176">
        <v>1</v>
      </c>
      <c r="F97" s="176"/>
      <c r="G97" s="176"/>
      <c r="H97" s="176"/>
      <c r="I97" s="176"/>
      <c r="J97" s="176"/>
      <c r="K97" s="177">
        <v>2021</v>
      </c>
      <c r="L97" s="11"/>
      <c r="M97" s="11">
        <v>1.2</v>
      </c>
      <c r="N97" s="11" t="s">
        <v>857</v>
      </c>
      <c r="O97" s="11" t="s">
        <v>1136</v>
      </c>
      <c r="P97" s="183">
        <v>1</v>
      </c>
      <c r="Q97" s="11">
        <v>1</v>
      </c>
      <c r="R97" s="186">
        <v>1</v>
      </c>
      <c r="S97" s="11" t="s">
        <v>873</v>
      </c>
      <c r="T97" s="11" t="s">
        <v>1137</v>
      </c>
    </row>
    <row r="98" spans="1:20" x14ac:dyDescent="0.2">
      <c r="A98" s="13" t="s">
        <v>1138</v>
      </c>
      <c r="B98" s="11" t="str">
        <f>IF(AND(ISTEXT("https://www.igi-global.com/gateway/article/full-text-pdf/304048&amp;riu=true"),"https://www.igi-global.com/gateway/article/full-text-pdf/304048&amp;riu=true"&lt;&gt;""), HYPERLINK("https://www.igi-global.com/gateway/article/full-text-pdf/304048&amp;riu=true", "Link"),"-")</f>
        <v>Link</v>
      </c>
      <c r="C98" s="11" t="s">
        <v>890</v>
      </c>
      <c r="D98" s="176">
        <v>1</v>
      </c>
      <c r="E98" s="176">
        <v>0.6</v>
      </c>
      <c r="F98" s="176">
        <v>1</v>
      </c>
      <c r="G98" s="176">
        <v>0</v>
      </c>
      <c r="H98" s="176">
        <v>0</v>
      </c>
      <c r="I98" s="176">
        <v>0</v>
      </c>
      <c r="J98" s="176">
        <v>0.5</v>
      </c>
      <c r="K98" s="177">
        <v>2022</v>
      </c>
      <c r="L98" s="11"/>
      <c r="M98" s="11">
        <v>1</v>
      </c>
      <c r="N98" s="11" t="s">
        <v>862</v>
      </c>
      <c r="O98" s="11" t="s">
        <v>1139</v>
      </c>
      <c r="P98" s="176">
        <v>0.5</v>
      </c>
      <c r="Q98" s="186">
        <v>0.51666666666666672</v>
      </c>
      <c r="R98" s="186">
        <v>0.5083333333333333</v>
      </c>
      <c r="S98" s="11" t="s">
        <v>864</v>
      </c>
      <c r="T98" s="11" t="s">
        <v>1140</v>
      </c>
    </row>
    <row r="99" spans="1:20" x14ac:dyDescent="0.2">
      <c r="A99" s="13" t="s">
        <v>1141</v>
      </c>
      <c r="B99" s="11" t="str">
        <f>IF(AND(ISTEXT("https://catalogplus.tuwien.at/permalink/f/1m011kq/TN_cdi_ieee_primary_10298326"),"https://catalogplus.tuwien.at/permalink/f/1m011kq/TN_cdi_ieee_primary_10298326"&lt;&gt;""), HYPERLINK("https://catalogplus.tuwien.at/permalink/f/1m011kq/TN_cdi_ieee_primary_10298326", "Link"),"-")</f>
        <v>Link</v>
      </c>
      <c r="C99" s="11" t="s">
        <v>856</v>
      </c>
      <c r="D99" s="176">
        <v>0</v>
      </c>
      <c r="E99" s="176">
        <v>1</v>
      </c>
      <c r="F99" s="176"/>
      <c r="G99" s="176"/>
      <c r="H99" s="176"/>
      <c r="I99" s="176"/>
      <c r="J99" s="176"/>
      <c r="K99" s="177">
        <v>2023</v>
      </c>
      <c r="L99" s="11"/>
      <c r="M99" s="11">
        <v>2</v>
      </c>
      <c r="N99" s="11" t="s">
        <v>857</v>
      </c>
      <c r="O99" s="11" t="s">
        <v>1142</v>
      </c>
      <c r="P99" s="176">
        <v>1</v>
      </c>
      <c r="Q99" s="186">
        <v>0.5</v>
      </c>
      <c r="R99" s="186">
        <v>0.75</v>
      </c>
      <c r="S99" s="11" t="s">
        <v>869</v>
      </c>
      <c r="T99" s="11" t="s">
        <v>1143</v>
      </c>
    </row>
    <row r="100" spans="1:20" x14ac:dyDescent="0.2">
      <c r="A100" s="13" t="s">
        <v>1144</v>
      </c>
      <c r="B100" s="11" t="str">
        <f>IF(AND(ISTEXT("https://dl.acm.org/doi/10.1145/3533767.3534222"),"https://dl.acm.org/doi/10.1145/3533767.3534222"&lt;&gt;""), HYPERLINK("https://dl.acm.org/doi/10.1145/3533767.3534222", "Link"),"-")</f>
        <v>Link</v>
      </c>
      <c r="C100" s="11" t="s">
        <v>856</v>
      </c>
      <c r="D100" s="176">
        <v>1</v>
      </c>
      <c r="E100" s="176">
        <v>1</v>
      </c>
      <c r="F100" s="176"/>
      <c r="G100" s="176"/>
      <c r="H100" s="176"/>
      <c r="I100" s="176"/>
      <c r="J100" s="176"/>
      <c r="K100" s="177">
        <v>2022</v>
      </c>
      <c r="L100" s="11"/>
      <c r="M100" s="11">
        <v>2</v>
      </c>
      <c r="N100" s="11" t="s">
        <v>857</v>
      </c>
      <c r="O100" s="11" t="s">
        <v>1060</v>
      </c>
      <c r="P100" s="176">
        <v>1</v>
      </c>
      <c r="Q100" s="186">
        <v>1</v>
      </c>
      <c r="R100" s="186">
        <v>1</v>
      </c>
      <c r="S100" s="11" t="s">
        <v>1054</v>
      </c>
      <c r="T100" s="11" t="s">
        <v>1145</v>
      </c>
    </row>
    <row r="101" spans="1:20" x14ac:dyDescent="0.2">
      <c r="A101" t="s">
        <v>1146</v>
      </c>
      <c r="B101" s="11" t="str">
        <f>IF(AND(ISTEXT("https://www.usenix.org/system/files/sec21-so.pdf"),"https://www.usenix.org/system/files/sec21-so.pdf"&lt;&gt;""), HYPERLINK("https://www.usenix.org/system/files/sec21-so.pdf", "Link"),"-")</f>
        <v>Link</v>
      </c>
      <c r="C101" s="11" t="s">
        <v>856</v>
      </c>
      <c r="D101" s="176">
        <v>1</v>
      </c>
      <c r="E101" s="176">
        <v>1</v>
      </c>
      <c r="F101" s="11"/>
      <c r="G101" s="11"/>
      <c r="H101" s="11"/>
      <c r="I101" s="11"/>
      <c r="J101" s="11"/>
      <c r="K101" s="177">
        <v>2021</v>
      </c>
      <c r="L101" s="11"/>
      <c r="M101" s="11" t="s">
        <v>867</v>
      </c>
      <c r="N101" s="11" t="s">
        <v>857</v>
      </c>
      <c r="O101" s="11" t="s">
        <v>1147</v>
      </c>
      <c r="P101" s="183">
        <v>1</v>
      </c>
      <c r="Q101" s="11">
        <v>1</v>
      </c>
      <c r="R101" s="186">
        <v>1</v>
      </c>
      <c r="S101" s="11" t="s">
        <v>873</v>
      </c>
      <c r="T101" s="11" t="s">
        <v>1148</v>
      </c>
    </row>
    <row r="102" spans="1:20" x14ac:dyDescent="0.2">
      <c r="A102" s="13" t="s">
        <v>1149</v>
      </c>
      <c r="B102" s="11" t="str">
        <f>IF(AND(ISTEXT("https://link.springer.com/article/10.1007/s10664-022-10218-2"),"https://link.springer.com/article/10.1007/s10664-022-10218-2"&lt;&gt;""), HYPERLINK("https://link.springer.com/article/10.1007/s10664-022-10218-2", "Link"),"-")</f>
        <v>Link</v>
      </c>
      <c r="C102" s="11" t="s">
        <v>856</v>
      </c>
      <c r="D102" s="176">
        <v>0.3</v>
      </c>
      <c r="E102" s="176">
        <v>1</v>
      </c>
      <c r="F102" s="176"/>
      <c r="G102" s="176"/>
      <c r="H102" s="176"/>
      <c r="I102" s="176"/>
      <c r="J102" s="176"/>
      <c r="K102" s="177">
        <v>2022</v>
      </c>
      <c r="L102" s="11"/>
      <c r="M102" s="11">
        <v>2</v>
      </c>
      <c r="N102" s="11" t="s">
        <v>862</v>
      </c>
      <c r="O102" s="11" t="s">
        <v>1029</v>
      </c>
      <c r="P102" s="176">
        <v>1</v>
      </c>
      <c r="Q102" s="186">
        <v>0.65</v>
      </c>
      <c r="R102" s="186">
        <v>0.82499999999999996</v>
      </c>
      <c r="S102" s="11" t="s">
        <v>864</v>
      </c>
      <c r="T102" s="11" t="s">
        <v>1150</v>
      </c>
    </row>
    <row r="103" spans="1:20" x14ac:dyDescent="0.2">
      <c r="A103" s="13" t="s">
        <v>1151</v>
      </c>
      <c r="B103" s="11" t="str">
        <f>IF(AND(ISTEXT("https://ieeexplore.ieee.org/document/9609227"),"https://ieeexplore.ieee.org/document/9609227"&lt;&gt;""), HYPERLINK("https://ieeexplore.ieee.org/document/9609227", "Link"),"-")</f>
        <v>Link</v>
      </c>
      <c r="C103" s="11" t="s">
        <v>856</v>
      </c>
      <c r="D103" s="176">
        <v>0.6</v>
      </c>
      <c r="E103" s="176">
        <v>1</v>
      </c>
      <c r="F103" s="176"/>
      <c r="G103" s="176"/>
      <c r="H103" s="176"/>
      <c r="I103" s="176"/>
      <c r="J103" s="176"/>
      <c r="K103" s="177">
        <v>2021</v>
      </c>
      <c r="L103" s="11"/>
      <c r="M103" s="11">
        <v>2</v>
      </c>
      <c r="N103" s="11" t="s">
        <v>857</v>
      </c>
      <c r="O103" s="11" t="s">
        <v>1152</v>
      </c>
      <c r="P103" s="176">
        <v>1</v>
      </c>
      <c r="Q103" s="186">
        <v>0.8</v>
      </c>
      <c r="R103" s="186">
        <v>0.9</v>
      </c>
      <c r="S103" s="11" t="s">
        <v>873</v>
      </c>
      <c r="T103" s="11" t="s">
        <v>1153</v>
      </c>
    </row>
    <row r="104" spans="1:20" x14ac:dyDescent="0.2">
      <c r="A104" s="13" t="s">
        <v>1154</v>
      </c>
      <c r="B104" s="11" t="str">
        <f>IF(AND(ISTEXT("https://link.springer.com/chapter/10.1007/978-3-031-37105-9_39"),"https://link.springer.com/chapter/10.1007/978-3-031-37105-9_39"&lt;&gt;""), HYPERLINK("https://link.springer.com/chapter/10.1007/978-3-031-37105-9_39", "Link"),"-")</f>
        <v>Link</v>
      </c>
      <c r="C104" s="11" t="s">
        <v>856</v>
      </c>
      <c r="D104" s="176">
        <v>0</v>
      </c>
      <c r="E104" s="176">
        <v>1</v>
      </c>
      <c r="F104" s="176"/>
      <c r="G104" s="176"/>
      <c r="H104" s="176"/>
      <c r="I104" s="176"/>
      <c r="J104" s="176"/>
      <c r="K104" s="177">
        <v>2023</v>
      </c>
      <c r="L104" s="11"/>
      <c r="M104" s="11">
        <v>2</v>
      </c>
      <c r="N104" s="11" t="s">
        <v>857</v>
      </c>
      <c r="O104" s="11" t="s">
        <v>1155</v>
      </c>
      <c r="P104" s="176">
        <v>0.5</v>
      </c>
      <c r="Q104" s="186">
        <v>0.5</v>
      </c>
      <c r="R104" s="186">
        <v>0.5</v>
      </c>
      <c r="S104" s="11" t="s">
        <v>873</v>
      </c>
      <c r="T104" s="11" t="s">
        <v>1156</v>
      </c>
    </row>
    <row r="105" spans="1:20" x14ac:dyDescent="0.2">
      <c r="A105" s="13" t="s">
        <v>1157</v>
      </c>
      <c r="B105" s="11" t="str">
        <f>IF(AND(ISTEXT("https://ieeexplore.ieee.org/document/9678888"),"https://ieeexplore.ieee.org/document/9678888"&lt;&gt;""), HYPERLINK("https://ieeexplore.ieee.org/document/9678888", "Link"),"-")</f>
        <v>Link</v>
      </c>
      <c r="C105" s="11" t="s">
        <v>856</v>
      </c>
      <c r="D105" s="176">
        <v>1</v>
      </c>
      <c r="E105" s="176">
        <v>1</v>
      </c>
      <c r="F105" s="176"/>
      <c r="G105" s="176"/>
      <c r="H105" s="176"/>
      <c r="I105" s="176"/>
      <c r="J105" s="176"/>
      <c r="K105" s="177">
        <v>2021</v>
      </c>
      <c r="L105" s="11"/>
      <c r="M105" s="11">
        <v>2</v>
      </c>
      <c r="N105" s="11" t="s">
        <v>857</v>
      </c>
      <c r="O105" s="11" t="s">
        <v>1060</v>
      </c>
      <c r="P105" s="176">
        <v>1</v>
      </c>
      <c r="Q105" s="186">
        <v>1</v>
      </c>
      <c r="R105" s="186">
        <v>1</v>
      </c>
      <c r="S105" s="11" t="s">
        <v>1054</v>
      </c>
      <c r="T105" s="11" t="s">
        <v>1158</v>
      </c>
    </row>
    <row r="106" spans="1:20" x14ac:dyDescent="0.2">
      <c r="A106" s="13" t="s">
        <v>1159</v>
      </c>
      <c r="B106" s="11" t="str">
        <f>IF(AND(ISTEXT("https://ieeexplore.ieee.org/document/9474789"),"https://ieeexplore.ieee.org/document/9474789"&lt;&gt;""), HYPERLINK("https://ieeexplore.ieee.org/document/9474789", "Link"),"-")</f>
        <v>Link</v>
      </c>
      <c r="C106" s="11" t="s">
        <v>856</v>
      </c>
      <c r="D106" s="176">
        <v>1</v>
      </c>
      <c r="E106" s="176">
        <v>1</v>
      </c>
      <c r="F106" s="176"/>
      <c r="G106" s="176"/>
      <c r="H106" s="176"/>
      <c r="I106" s="176"/>
      <c r="J106" s="11"/>
      <c r="K106" s="177">
        <v>2021</v>
      </c>
      <c r="L106" s="11"/>
      <c r="M106" s="11">
        <v>1.2</v>
      </c>
      <c r="N106" s="11" t="s">
        <v>857</v>
      </c>
      <c r="O106" s="11" t="s">
        <v>1160</v>
      </c>
      <c r="P106" s="176">
        <v>0.4</v>
      </c>
      <c r="Q106" s="11">
        <v>1</v>
      </c>
      <c r="R106" s="186">
        <v>0.7</v>
      </c>
      <c r="S106" s="11" t="s">
        <v>873</v>
      </c>
      <c r="T106" s="11" t="s">
        <v>1161</v>
      </c>
    </row>
    <row r="107" spans="1:20" x14ac:dyDescent="0.2">
      <c r="A107" s="13" t="s">
        <v>1162</v>
      </c>
      <c r="B107" s="11" t="str">
        <f>IF(AND(ISTEXT("https://dl.acm.org/doi/10.1145/3597926.3598111"),"https://dl.acm.org/doi/10.1145/3597926.3598111"&lt;&gt;""), HYPERLINK("https://dl.acm.org/doi/10.1145/3597926.3598111", "Link"),"-")</f>
        <v>Link</v>
      </c>
      <c r="C107" s="11" t="s">
        <v>856</v>
      </c>
      <c r="D107" s="176">
        <v>0</v>
      </c>
      <c r="E107" s="176">
        <v>1</v>
      </c>
      <c r="F107" s="176"/>
      <c r="G107" s="176"/>
      <c r="H107" s="176"/>
      <c r="I107" s="176"/>
      <c r="J107" s="176"/>
      <c r="K107" s="177">
        <v>2023</v>
      </c>
      <c r="L107" s="11"/>
      <c r="M107" s="11">
        <v>2</v>
      </c>
      <c r="N107" s="11" t="s">
        <v>857</v>
      </c>
      <c r="O107" s="11" t="s">
        <v>1053</v>
      </c>
      <c r="P107" s="176">
        <v>1</v>
      </c>
      <c r="Q107" s="186">
        <v>0.5</v>
      </c>
      <c r="R107" s="186">
        <v>0.75</v>
      </c>
      <c r="S107" s="11" t="s">
        <v>883</v>
      </c>
      <c r="T107" s="11" t="s">
        <v>1163</v>
      </c>
    </row>
    <row r="108" spans="1:20" x14ac:dyDescent="0.2">
      <c r="A108" s="13" t="s">
        <v>1164</v>
      </c>
      <c r="B108" s="11" t="str">
        <f>IF(AND(ISTEXT("https://www.sciencedirect.com/science/article/pii/S0020025521007994"),"https://www.sciencedirect.com/science/article/pii/S0020025521007994"&lt;&gt;""), HYPERLINK("https://www.sciencedirect.com/science/article/pii/S0020025521007994", "Link"),"-")</f>
        <v>Link</v>
      </c>
      <c r="C108" s="11" t="s">
        <v>856</v>
      </c>
      <c r="D108" s="176">
        <v>0</v>
      </c>
      <c r="E108" s="176">
        <v>1</v>
      </c>
      <c r="F108" s="176"/>
      <c r="G108" s="176"/>
      <c r="H108" s="176"/>
      <c r="I108" s="176"/>
      <c r="J108" s="176"/>
      <c r="K108" s="177">
        <v>2021</v>
      </c>
      <c r="L108" s="11"/>
      <c r="M108" s="11">
        <v>2</v>
      </c>
      <c r="N108" s="11" t="s">
        <v>862</v>
      </c>
      <c r="O108" s="11" t="s">
        <v>1165</v>
      </c>
      <c r="P108" s="176">
        <v>1</v>
      </c>
      <c r="Q108" s="186">
        <v>0.5</v>
      </c>
      <c r="R108" s="186">
        <v>0.75</v>
      </c>
      <c r="S108" s="11" t="s">
        <v>880</v>
      </c>
      <c r="T108" s="11" t="s">
        <v>1166</v>
      </c>
    </row>
    <row r="109" spans="1:20" x14ac:dyDescent="0.2">
      <c r="A109" s="13" t="s">
        <v>1167</v>
      </c>
      <c r="B109" s="11" t="str">
        <f>IF(AND(ISTEXT("https://onlinelibrary.wiley.com/doi/full/10.1002/smr.2633"),"https://onlinelibrary.wiley.com/doi/full/10.1002/smr.2633"&lt;&gt;""), HYPERLINK("https://onlinelibrary.wiley.com/doi/full/10.1002/smr.2633", "Link"),"-")</f>
        <v>Link</v>
      </c>
      <c r="C109" s="11" t="s">
        <v>856</v>
      </c>
      <c r="D109" s="176">
        <v>0</v>
      </c>
      <c r="E109" s="176">
        <v>1</v>
      </c>
      <c r="F109" s="176"/>
      <c r="G109" s="176"/>
      <c r="H109" s="176"/>
      <c r="I109" s="176"/>
      <c r="J109" s="176"/>
      <c r="K109" s="177">
        <v>2023</v>
      </c>
      <c r="L109" s="11"/>
      <c r="M109" s="11">
        <v>2</v>
      </c>
      <c r="N109" s="11" t="s">
        <v>862</v>
      </c>
      <c r="O109" s="11" t="s">
        <v>1118</v>
      </c>
      <c r="P109" s="176">
        <v>0.8</v>
      </c>
      <c r="Q109" s="186">
        <v>0.5</v>
      </c>
      <c r="R109" s="186">
        <v>0.65</v>
      </c>
      <c r="S109" s="11" t="s">
        <v>869</v>
      </c>
      <c r="T109" s="11" t="s">
        <v>1168</v>
      </c>
    </row>
    <row r="110" spans="1:20" x14ac:dyDescent="0.2">
      <c r="A110" s="13" t="s">
        <v>1169</v>
      </c>
      <c r="B110" s="11" t="str">
        <f>IF(AND(ISTEXT("https://catalogplus.tuwien.at/permalink/f/1m011kq/TN_cdi_doaj_primary_oai_doaj_org_article_674a4b27177045848022dc9387fb8a5f"),"https://catalogplus.tuwien.at/permalink/f/1m011kq/TN_cdi_doaj_primary_oai_doaj_org_article_674a4b27177045848022dc9387fb8a5f"&lt;&gt;""), HYPERLINK("https://catalogplus.tuwien.at/permalink/f/1m011kq/TN_cdi_doaj_primary_oai_doaj_org_article_674a4b27177045848022dc9387fb8a5f", "Link"),"-")</f>
        <v>Link</v>
      </c>
      <c r="C110" s="11" t="s">
        <v>856</v>
      </c>
      <c r="D110" s="176">
        <v>1</v>
      </c>
      <c r="E110" s="176">
        <v>0</v>
      </c>
      <c r="F110" s="176"/>
      <c r="G110" s="176"/>
      <c r="H110" s="176"/>
      <c r="I110" s="176"/>
      <c r="J110" s="176"/>
      <c r="K110" s="177">
        <v>2022</v>
      </c>
      <c r="L110" s="11"/>
      <c r="M110" s="11">
        <v>2</v>
      </c>
      <c r="N110" s="11" t="s">
        <v>862</v>
      </c>
      <c r="O110" s="11" t="s">
        <v>876</v>
      </c>
      <c r="P110" s="176">
        <v>0.8</v>
      </c>
      <c r="Q110" s="186">
        <v>0.5</v>
      </c>
      <c r="R110" s="186">
        <v>0.65</v>
      </c>
      <c r="S110" s="11" t="s">
        <v>869</v>
      </c>
      <c r="T110" s="11" t="s">
        <v>1170</v>
      </c>
    </row>
    <row r="111" spans="1:20" x14ac:dyDescent="0.2">
      <c r="A111" s="13" t="s">
        <v>1171</v>
      </c>
      <c r="B111" s="11" t="str">
        <f>IF(AND(ISTEXT("https://www.sciencedirect.com/science/article/pii/S0164121222001418"),"https://www.sciencedirect.com/science/article/pii/S0164121222001418"&lt;&gt;""), HYPERLINK("https://www.sciencedirect.com/science/article/pii/S0164121222001418", "Link"),"-")</f>
        <v>Link</v>
      </c>
      <c r="C111" s="11" t="s">
        <v>856</v>
      </c>
      <c r="D111" s="176">
        <v>0.6</v>
      </c>
      <c r="E111" s="176">
        <v>1</v>
      </c>
      <c r="F111" s="176"/>
      <c r="G111" s="176"/>
      <c r="H111" s="176"/>
      <c r="I111" s="176"/>
      <c r="J111" s="176"/>
      <c r="K111" s="177">
        <v>2022</v>
      </c>
      <c r="L111" s="11"/>
      <c r="M111" s="11">
        <v>2</v>
      </c>
      <c r="N111" s="11" t="s">
        <v>862</v>
      </c>
      <c r="O111" s="11" t="s">
        <v>891</v>
      </c>
      <c r="P111" s="176">
        <v>1</v>
      </c>
      <c r="Q111" s="186">
        <v>0.8</v>
      </c>
      <c r="R111" s="186">
        <v>0.9</v>
      </c>
      <c r="S111" s="11" t="s">
        <v>864</v>
      </c>
      <c r="T111" s="11" t="s">
        <v>1172</v>
      </c>
    </row>
    <row r="112" spans="1:20" x14ac:dyDescent="0.2">
      <c r="A112" s="13" t="s">
        <v>1173</v>
      </c>
      <c r="B112" s="11" t="str">
        <f>IF(AND(ISTEXT("https://catalogplus.tuwien.at/permalink/f/1m011kq/TN_cdi_iop_journals_10_1088_1742_6596_2289_1_012010"),"https://catalogplus.tuwien.at/permalink/f/1m011kq/TN_cdi_iop_journals_10_1088_1742_6596_2289_1_012010"&lt;&gt;""), HYPERLINK("https://catalogplus.tuwien.at/permalink/f/1m011kq/TN_cdi_iop_journals_10_1088_1742_6596_2289_1_012010", "Link"),"-")</f>
        <v>Link</v>
      </c>
      <c r="C112" s="11" t="s">
        <v>856</v>
      </c>
      <c r="D112" s="176">
        <v>0</v>
      </c>
      <c r="E112" s="176">
        <v>1</v>
      </c>
      <c r="F112" s="176"/>
      <c r="G112" s="176"/>
      <c r="H112" s="176"/>
      <c r="I112" s="176"/>
      <c r="J112" s="176"/>
      <c r="K112" s="177">
        <v>2022</v>
      </c>
      <c r="L112" s="11"/>
      <c r="M112" s="11">
        <v>2</v>
      </c>
      <c r="N112" s="11" t="s">
        <v>857</v>
      </c>
      <c r="O112" s="11" t="s">
        <v>1174</v>
      </c>
      <c r="P112" s="176">
        <v>0.5</v>
      </c>
      <c r="Q112" s="186">
        <v>0.5</v>
      </c>
      <c r="R112" s="186">
        <v>0.5</v>
      </c>
      <c r="S112" s="11" t="s">
        <v>869</v>
      </c>
      <c r="T112" s="11" t="s">
        <v>1175</v>
      </c>
    </row>
    <row r="113" spans="1:20" x14ac:dyDescent="0.2">
      <c r="A113" s="13" t="s">
        <v>1176</v>
      </c>
      <c r="B113" s="11" t="str">
        <f>IF(AND(ISTEXT("https://arxiv.org/abs/2311.00270"),"https://arxiv.org/abs/2311.00270"&lt;&gt;""), HYPERLINK("https://arxiv.org/abs/2311.00270", "Link"),"-")</f>
        <v>Link</v>
      </c>
      <c r="C113" s="11" t="s">
        <v>886</v>
      </c>
      <c r="D113" s="176">
        <v>0</v>
      </c>
      <c r="E113" s="176">
        <v>1</v>
      </c>
      <c r="F113" s="176">
        <v>0.6</v>
      </c>
      <c r="G113" s="176">
        <v>0.6</v>
      </c>
      <c r="H113" s="176">
        <v>0.6</v>
      </c>
      <c r="I113" s="176">
        <v>1</v>
      </c>
      <c r="J113" s="176">
        <v>1</v>
      </c>
      <c r="K113" s="177">
        <v>2023</v>
      </c>
      <c r="L113" s="11"/>
      <c r="M113" s="177">
        <v>1</v>
      </c>
      <c r="N113" s="11" t="s">
        <v>993</v>
      </c>
      <c r="P113" s="176">
        <v>0.2</v>
      </c>
      <c r="Q113" s="186">
        <v>0.80000000000000016</v>
      </c>
      <c r="R113" s="186">
        <v>0.51428571428571435</v>
      </c>
      <c r="S113" s="11" t="s">
        <v>859</v>
      </c>
      <c r="T113" s="11" t="s">
        <v>1177</v>
      </c>
    </row>
    <row r="114" spans="1:20" x14ac:dyDescent="0.2">
      <c r="A114" s="136" t="s">
        <v>1178</v>
      </c>
      <c r="B114" s="11" t="str">
        <f>IF(AND(ISTEXT("https://www.sciencedirect.com/science/article/abs/pii/S2214212623000686"),"https://www.sciencedirect.com/science/article/abs/pii/S2214212623000686"&lt;&gt;""), HYPERLINK("https://www.sciencedirect.com/science/article/abs/pii/S2214212623000686", "Link"),"-")</f>
        <v>Link</v>
      </c>
      <c r="C114" s="11" t="s">
        <v>856</v>
      </c>
      <c r="D114" s="176">
        <v>0.3</v>
      </c>
      <c r="E114" s="176">
        <v>1</v>
      </c>
      <c r="F114" s="176"/>
      <c r="G114" s="176"/>
      <c r="H114" s="176"/>
      <c r="I114" s="176"/>
      <c r="J114" s="176"/>
      <c r="K114" s="177">
        <v>2023</v>
      </c>
      <c r="L114" s="11"/>
      <c r="M114" s="11">
        <v>2</v>
      </c>
      <c r="N114" s="11" t="s">
        <v>862</v>
      </c>
      <c r="O114" s="11" t="s">
        <v>907</v>
      </c>
      <c r="P114" s="176">
        <v>1</v>
      </c>
      <c r="Q114" s="186">
        <v>0.65</v>
      </c>
      <c r="R114" s="186">
        <v>0.82499999999999996</v>
      </c>
      <c r="S114" s="11" t="s">
        <v>880</v>
      </c>
      <c r="T114" s="11" t="s">
        <v>1179</v>
      </c>
    </row>
    <row r="115" spans="1:20" x14ac:dyDescent="0.2">
      <c r="A115" s="13" t="s">
        <v>1180</v>
      </c>
      <c r="B115" s="11" t="str">
        <f>IF(AND(ISTEXT("https://dl.acm.org/doi/10.1145/3510454.3516869"),"https://dl.acm.org/doi/10.1145/3510454.3516869"&lt;&gt;""), HYPERLINK("https://dl.acm.org/doi/10.1145/3510454.3516869", "Link"),"-")</f>
        <v>Link</v>
      </c>
      <c r="C115" s="11" t="s">
        <v>856</v>
      </c>
      <c r="D115" s="176">
        <v>0.6</v>
      </c>
      <c r="E115" s="176">
        <v>1</v>
      </c>
      <c r="F115" s="176"/>
      <c r="G115" s="176"/>
      <c r="H115" s="176"/>
      <c r="I115" s="176"/>
      <c r="J115" s="176"/>
      <c r="K115" s="177">
        <v>2022</v>
      </c>
      <c r="L115" s="11"/>
      <c r="M115" s="11">
        <v>2.2999999999999998</v>
      </c>
      <c r="N115" s="11" t="s">
        <v>857</v>
      </c>
      <c r="O115" s="11" t="s">
        <v>1181</v>
      </c>
      <c r="P115" s="176">
        <v>1</v>
      </c>
      <c r="Q115" s="186">
        <v>0.8</v>
      </c>
      <c r="R115" s="186">
        <v>0.9</v>
      </c>
      <c r="S115" s="11" t="s">
        <v>883</v>
      </c>
      <c r="T115" s="11" t="s">
        <v>1182</v>
      </c>
    </row>
    <row r="116" spans="1:20" x14ac:dyDescent="0.2">
      <c r="A116" s="13" t="s">
        <v>1183</v>
      </c>
      <c r="B116" s="11" t="str">
        <f>IF(AND(ISTEXT("https://web.archive.org/web/20210909005434id_/https://repositum.tuwien.at/bitstream/20.500.12708/18323/1/Rameder%20Heidelinde%20-%202021%20-%20Systematic%20Review%20of%20Ethereum%20Smart%20Contract...pdf"),"https://web.archive.org/web/20210909005434id_/https://repositum.tuwien.at/bitstream/20.500.12708/18323/1/Rameder%20Heidelinde%20-%202021%20-%20Systematic%20Review%20of%20Ethereum%20Smart%20Contract...pdf"&lt;&gt;""), HYPERLINK("https://web.archive.org/web/20210909005434id_/https://repositum.tuwien.at/bitstream/20.500.12708/18323/1/Rameder%20Heidelinde%20-%202021%20-%20Systematic%20Review%20of%20Ethereum%20Smart%20Contract...pdf", "Link"),"-")</f>
        <v>Link</v>
      </c>
      <c r="C116" s="11" t="s">
        <v>890</v>
      </c>
      <c r="D116" s="176">
        <v>1</v>
      </c>
      <c r="E116" s="176">
        <v>1</v>
      </c>
      <c r="F116" s="176">
        <v>1</v>
      </c>
      <c r="G116" s="176">
        <v>1</v>
      </c>
      <c r="H116" s="176">
        <v>1</v>
      </c>
      <c r="I116" s="176">
        <v>1</v>
      </c>
      <c r="J116" s="176">
        <v>0</v>
      </c>
      <c r="K116" s="177">
        <v>2021</v>
      </c>
      <c r="L116" s="11"/>
      <c r="M116" s="11" t="s">
        <v>894</v>
      </c>
      <c r="N116" s="11" t="s">
        <v>1184</v>
      </c>
      <c r="O116" s="11" t="s">
        <v>1185</v>
      </c>
      <c r="P116" s="176">
        <v>0.2</v>
      </c>
      <c r="Q116" s="186">
        <v>0.8571428571428571</v>
      </c>
      <c r="R116" s="186">
        <v>0.52857142857142858</v>
      </c>
      <c r="S116" s="11" t="s">
        <v>864</v>
      </c>
      <c r="T116" s="11" t="s">
        <v>1186</v>
      </c>
    </row>
    <row r="117" spans="1:20" x14ac:dyDescent="0.2">
      <c r="A117" s="13" t="s">
        <v>1187</v>
      </c>
      <c r="B117" s="11" t="str">
        <f>IF(AND(ISTEXT("https://ieeexplore.ieee.org/abstract/document/9667515"),"https://ieeexplore.ieee.org/abstract/document/9667515"&lt;&gt;""), HYPERLINK("https://ieeexplore.ieee.org/abstract/document/9667515", "Link"),"-")</f>
        <v>Link</v>
      </c>
      <c r="C117" s="11" t="s">
        <v>890</v>
      </c>
      <c r="D117" s="176">
        <v>1</v>
      </c>
      <c r="E117" s="176">
        <v>0.6</v>
      </c>
      <c r="F117" s="176">
        <v>0.6</v>
      </c>
      <c r="G117" s="176">
        <v>1</v>
      </c>
      <c r="H117" s="176">
        <v>0.3</v>
      </c>
      <c r="I117" s="176">
        <v>0</v>
      </c>
      <c r="J117" s="176">
        <v>0</v>
      </c>
      <c r="K117" s="177">
        <v>2021</v>
      </c>
      <c r="L117" s="11"/>
      <c r="M117" s="11">
        <v>1</v>
      </c>
      <c r="N117" s="11" t="s">
        <v>862</v>
      </c>
      <c r="O117" s="11" t="s">
        <v>924</v>
      </c>
      <c r="P117" s="176">
        <v>1</v>
      </c>
      <c r="Q117" s="186">
        <v>0.58333333333333337</v>
      </c>
      <c r="R117" s="186">
        <v>0.79166666666666674</v>
      </c>
      <c r="S117" s="11" t="s">
        <v>869</v>
      </c>
      <c r="T117" s="11" t="s">
        <v>1188</v>
      </c>
    </row>
    <row r="118" spans="1:20" x14ac:dyDescent="0.2">
      <c r="A118" t="s">
        <v>1189</v>
      </c>
      <c r="B118" s="11" t="str">
        <f>IF(AND(ISTEXT("https://link.springer.com/chapter/10.1007/978-3-662-64322-8_2"),"https://link.springer.com/chapter/10.1007/978-3-662-64322-8_2"&lt;&gt;""), HYPERLINK("https://link.springer.com/chapter/10.1007/978-3-662-64322-8_2", "Link"),"-")</f>
        <v>Link</v>
      </c>
      <c r="C118" s="11" t="s">
        <v>856</v>
      </c>
      <c r="D118" s="176">
        <v>1</v>
      </c>
      <c r="E118" s="176">
        <v>1</v>
      </c>
      <c r="F118" s="11"/>
      <c r="G118" s="11"/>
      <c r="H118" s="11"/>
      <c r="I118" s="11"/>
      <c r="J118" s="11"/>
      <c r="K118" s="177">
        <v>2021</v>
      </c>
      <c r="L118" s="11"/>
      <c r="M118" s="11">
        <v>1.2</v>
      </c>
      <c r="N118" s="11" t="s">
        <v>857</v>
      </c>
      <c r="O118" s="11" t="s">
        <v>1190</v>
      </c>
      <c r="P118" s="183">
        <v>0.8</v>
      </c>
      <c r="Q118" s="11">
        <v>1</v>
      </c>
      <c r="R118" s="186">
        <v>0.9</v>
      </c>
      <c r="S118" s="11" t="s">
        <v>873</v>
      </c>
      <c r="T118" s="11" t="s">
        <v>1191</v>
      </c>
    </row>
    <row r="119" spans="1:20" x14ac:dyDescent="0.2">
      <c r="A119" s="13" t="s">
        <v>1192</v>
      </c>
      <c r="B119" s="11" t="str">
        <f>IF(AND(ISTEXT("https://www.mdpi.com/2624-800X/2/2/19"),"https://www.mdpi.com/2624-800X/2/2/19"&lt;&gt;""), HYPERLINK("https://www.mdpi.com/2624-800X/2/2/19", "Link"),"-")</f>
        <v>Link</v>
      </c>
      <c r="C119" s="11" t="s">
        <v>886</v>
      </c>
      <c r="D119" s="176">
        <v>0</v>
      </c>
      <c r="E119" s="176">
        <v>1</v>
      </c>
      <c r="F119" s="176">
        <v>1</v>
      </c>
      <c r="G119" s="176">
        <v>0.6</v>
      </c>
      <c r="H119" s="176">
        <v>0.6</v>
      </c>
      <c r="I119" s="176">
        <v>1</v>
      </c>
      <c r="J119" s="176">
        <v>0.5</v>
      </c>
      <c r="K119" s="177">
        <v>2022</v>
      </c>
      <c r="L119" s="11"/>
      <c r="M119" s="11">
        <v>1</v>
      </c>
      <c r="N119" s="11" t="s">
        <v>862</v>
      </c>
      <c r="O119" s="11" t="s">
        <v>1193</v>
      </c>
      <c r="P119" s="176">
        <v>0.5</v>
      </c>
      <c r="Q119" s="186">
        <v>0.78333333333333333</v>
      </c>
      <c r="R119" s="186">
        <v>0.64166666666666661</v>
      </c>
      <c r="S119" s="11" t="s">
        <v>864</v>
      </c>
      <c r="T119" s="11" t="s">
        <v>1194</v>
      </c>
    </row>
    <row r="120" spans="1:20" x14ac:dyDescent="0.2">
      <c r="A120" s="13" t="s">
        <v>1195</v>
      </c>
      <c r="B120" s="11" t="str">
        <f>IF(AND(ISTEXT("https://link.springer.com/article/10.1007/s10515-023-00392-y"),"https://link.springer.com/article/10.1007/s10515-023-00392-y"&lt;&gt;""), HYPERLINK("https://link.springer.com/article/10.1007/s10515-023-00392-y", "Link"),"-")</f>
        <v>Link</v>
      </c>
      <c r="C120" s="11" t="s">
        <v>856</v>
      </c>
      <c r="D120" s="176">
        <v>0</v>
      </c>
      <c r="E120" s="176">
        <v>1</v>
      </c>
      <c r="F120" s="176"/>
      <c r="G120" s="176"/>
      <c r="H120" s="176"/>
      <c r="I120" s="176"/>
      <c r="J120" s="176"/>
      <c r="K120" s="177">
        <v>2023</v>
      </c>
      <c r="L120" s="11"/>
      <c r="M120" s="11">
        <v>3</v>
      </c>
      <c r="N120" s="11" t="s">
        <v>862</v>
      </c>
      <c r="O120" s="11" t="s">
        <v>1196</v>
      </c>
      <c r="P120" s="176">
        <v>0.8</v>
      </c>
      <c r="Q120" s="186">
        <v>0.5</v>
      </c>
      <c r="R120" s="186">
        <v>0.65</v>
      </c>
      <c r="S120" s="11" t="s">
        <v>869</v>
      </c>
      <c r="T120" s="11" t="s">
        <v>1197</v>
      </c>
    </row>
    <row r="121" spans="1:20" x14ac:dyDescent="0.2">
      <c r="A121" s="13" t="s">
        <v>1198</v>
      </c>
      <c r="B121" s="11" t="str">
        <f>IF(AND(ISTEXT("https://www.mdpi.com/1999-5903/14/11/326"),"https://www.mdpi.com/1999-5903/14/11/326"&lt;&gt;""), HYPERLINK("https://www.mdpi.com/1999-5903/14/11/326", "Link"),"-")</f>
        <v>Link</v>
      </c>
      <c r="C121" s="11" t="s">
        <v>856</v>
      </c>
      <c r="D121" s="176">
        <v>0.3</v>
      </c>
      <c r="E121" s="176">
        <v>1</v>
      </c>
      <c r="F121" s="176"/>
      <c r="G121" s="176"/>
      <c r="H121" s="176"/>
      <c r="I121" s="176"/>
      <c r="J121" s="176"/>
      <c r="K121" s="177">
        <v>2022</v>
      </c>
      <c r="L121" s="11"/>
      <c r="M121" s="11">
        <v>1</v>
      </c>
      <c r="N121" s="11" t="s">
        <v>862</v>
      </c>
      <c r="O121" s="11" t="s">
        <v>1199</v>
      </c>
      <c r="P121" s="176">
        <v>0.8</v>
      </c>
      <c r="Q121" s="186">
        <v>0.65</v>
      </c>
      <c r="R121" s="186">
        <v>0.72500000000000009</v>
      </c>
      <c r="S121" s="11" t="s">
        <v>869</v>
      </c>
      <c r="T121" s="11" t="s">
        <v>1200</v>
      </c>
    </row>
    <row r="122" spans="1:20" x14ac:dyDescent="0.2">
      <c r="A122" s="13" t="s">
        <v>1201</v>
      </c>
      <c r="B122" s="11" t="str">
        <f>IF(AND(ISTEXT("https://flore.unifi.it/handle/2158/1272428"),"https://flore.unifi.it/handle/2158/1272428"&lt;&gt;""), HYPERLINK("https://flore.unifi.it/handle/2158/1272428", "Link"),"-")</f>
        <v>Link</v>
      </c>
      <c r="C122" s="11" t="s">
        <v>886</v>
      </c>
      <c r="D122" s="176">
        <v>0</v>
      </c>
      <c r="E122" s="176">
        <v>1</v>
      </c>
      <c r="F122" s="176">
        <v>1</v>
      </c>
      <c r="G122" s="176">
        <v>1</v>
      </c>
      <c r="H122" s="176">
        <v>1</v>
      </c>
      <c r="I122" s="176">
        <v>0</v>
      </c>
      <c r="J122" s="176">
        <v>0.5</v>
      </c>
      <c r="K122" s="177">
        <v>2022</v>
      </c>
      <c r="L122" s="11"/>
      <c r="M122" s="11">
        <v>1</v>
      </c>
      <c r="N122" s="11" t="s">
        <v>1184</v>
      </c>
      <c r="O122" s="11" t="s">
        <v>1202</v>
      </c>
      <c r="P122" s="176">
        <v>0.2</v>
      </c>
      <c r="Q122" s="186">
        <v>0.9</v>
      </c>
      <c r="R122" s="186">
        <v>0.55000000000000004</v>
      </c>
      <c r="S122" s="11" t="s">
        <v>864</v>
      </c>
      <c r="T122" s="11" t="s">
        <v>1203</v>
      </c>
    </row>
    <row r="123" spans="1:20" x14ac:dyDescent="0.2">
      <c r="A123" s="13" t="s">
        <v>1204</v>
      </c>
      <c r="B123" s="11" t="str">
        <f>IF(AND(ISTEXT("https://catalogplus.tuwien.at/permalink/f/1m011kq/TN_cdi_doaj_primary_oai_doaj_org_article_83944d1895ad427784acedab4ef8136e"),"https://catalogplus.tuwien.at/permalink/f/1m011kq/TN_cdi_doaj_primary_oai_doaj_org_article_83944d1895ad427784acedab4ef8136e"&lt;&gt;""), HYPERLINK("https://catalogplus.tuwien.at/permalink/f/1m011kq/TN_cdi_doaj_primary_oai_doaj_org_article_83944d1895ad427784acedab4ef8136e", "Link"),"-")</f>
        <v>Link</v>
      </c>
      <c r="C123" s="11" t="s">
        <v>856</v>
      </c>
      <c r="D123" s="176">
        <v>0</v>
      </c>
      <c r="E123" s="176">
        <v>1</v>
      </c>
      <c r="F123" s="176"/>
      <c r="G123" s="176"/>
      <c r="H123" s="176"/>
      <c r="I123" s="176"/>
      <c r="J123" s="176"/>
      <c r="K123" s="177">
        <v>2023</v>
      </c>
      <c r="L123" s="11"/>
      <c r="M123" s="11">
        <v>2</v>
      </c>
      <c r="N123" s="11" t="s">
        <v>862</v>
      </c>
      <c r="O123" s="11" t="s">
        <v>1205</v>
      </c>
      <c r="P123" s="176">
        <v>0.8</v>
      </c>
      <c r="Q123" s="186">
        <v>0.5</v>
      </c>
      <c r="R123" s="186">
        <v>0.65</v>
      </c>
      <c r="S123" s="11" t="s">
        <v>869</v>
      </c>
      <c r="T123" s="11" t="s">
        <v>1206</v>
      </c>
    </row>
    <row r="124" spans="1:20" x14ac:dyDescent="0.2">
      <c r="A124" s="157" t="s">
        <v>1207</v>
      </c>
      <c r="B124" s="11" t="str">
        <f>IF(AND(ISTEXT("https://catalogplus.tuwien.at/permalink/f/1m011kq/TN_cdi_proquest_journals_2918030176"),"https://catalogplus.tuwien.at/permalink/f/1m011kq/TN_cdi_proquest_journals_2918030176"&lt;&gt;""), HYPERLINK("https://catalogplus.tuwien.at/permalink/f/1m011kq/TN_cdi_proquest_journals_2918030176", "Link"),"-")</f>
        <v>Link</v>
      </c>
      <c r="C124" s="11" t="s">
        <v>856</v>
      </c>
      <c r="D124" s="176">
        <v>0</v>
      </c>
      <c r="E124" s="176">
        <v>1</v>
      </c>
      <c r="F124" s="176"/>
      <c r="G124" s="176"/>
      <c r="H124" s="176"/>
      <c r="I124" s="176"/>
      <c r="J124" s="176"/>
      <c r="K124" s="177">
        <v>2024</v>
      </c>
      <c r="L124" s="11"/>
      <c r="M124" s="11">
        <v>1.2</v>
      </c>
      <c r="N124" s="11" t="s">
        <v>862</v>
      </c>
      <c r="O124" s="11" t="s">
        <v>1208</v>
      </c>
      <c r="P124" s="176">
        <v>1</v>
      </c>
      <c r="Q124" s="186">
        <v>0.5</v>
      </c>
      <c r="R124" s="186">
        <v>0.75</v>
      </c>
      <c r="S124" s="11" t="s">
        <v>869</v>
      </c>
      <c r="T124" s="11" t="s">
        <v>1209</v>
      </c>
    </row>
    <row r="125" spans="1:20" x14ac:dyDescent="0.2">
      <c r="A125" s="13" t="s">
        <v>1210</v>
      </c>
      <c r="B125" s="11" t="str">
        <f>IF(AND(ISTEXT("https://papers.ssrn.com/sol3/papers.cfm?abstract_id=4650383"),"https://papers.ssrn.com/sol3/papers.cfm?abstract_id=4650383"&lt;&gt;""), HYPERLINK("https://papers.ssrn.com/sol3/papers.cfm?abstract_id=4650383", "Link"),"-")</f>
        <v>Link</v>
      </c>
      <c r="C125" s="11" t="s">
        <v>886</v>
      </c>
      <c r="D125" s="176">
        <v>0</v>
      </c>
      <c r="E125" s="176">
        <v>1</v>
      </c>
      <c r="F125" s="176">
        <v>1</v>
      </c>
      <c r="G125" s="176">
        <v>0</v>
      </c>
      <c r="H125" s="176">
        <v>0</v>
      </c>
      <c r="I125" s="176">
        <v>1</v>
      </c>
      <c r="J125" s="176">
        <v>1</v>
      </c>
      <c r="K125" s="177">
        <v>2023</v>
      </c>
      <c r="L125" s="11"/>
      <c r="M125" s="11">
        <v>1</v>
      </c>
      <c r="N125" s="11" t="s">
        <v>862</v>
      </c>
      <c r="O125" s="11" t="s">
        <v>1211</v>
      </c>
      <c r="P125" s="176">
        <v>0.5</v>
      </c>
      <c r="Q125" s="186">
        <v>0.66666666666666663</v>
      </c>
      <c r="R125" s="186">
        <v>0.58333333333333326</v>
      </c>
      <c r="S125" s="11" t="s">
        <v>864</v>
      </c>
      <c r="T125" s="11" t="s">
        <v>1212</v>
      </c>
    </row>
    <row r="126" spans="1:20" x14ac:dyDescent="0.2">
      <c r="A126" s="136" t="s">
        <v>1213</v>
      </c>
      <c r="B126" s="11" t="str">
        <f>IF(AND(ISTEXT("https://www.sciencedirect.com/science/article/pii/S2096720923000465"),"https://www.sciencedirect.com/science/article/pii/S2096720923000465"&lt;&gt;""), HYPERLINK("https://www.sciencedirect.com/science/article/pii/S2096720923000465", "Link"),"-")</f>
        <v>Link</v>
      </c>
      <c r="C126" s="11" t="s">
        <v>856</v>
      </c>
      <c r="D126" s="176">
        <v>0</v>
      </c>
      <c r="E126" s="176">
        <v>1</v>
      </c>
      <c r="F126" s="176"/>
      <c r="G126" s="176"/>
      <c r="H126" s="176"/>
      <c r="I126" s="176"/>
      <c r="J126" s="176"/>
      <c r="K126" s="177">
        <v>2024</v>
      </c>
      <c r="L126" s="11"/>
      <c r="M126" s="11">
        <v>2</v>
      </c>
      <c r="N126" s="11" t="s">
        <v>993</v>
      </c>
      <c r="O126" s="11" t="s">
        <v>1214</v>
      </c>
      <c r="P126" s="176">
        <v>1</v>
      </c>
      <c r="Q126" s="186">
        <v>0.5</v>
      </c>
      <c r="R126" s="186">
        <v>0.8</v>
      </c>
      <c r="S126" s="11" t="s">
        <v>880</v>
      </c>
      <c r="T126" s="11" t="s">
        <v>1215</v>
      </c>
    </row>
    <row r="127" spans="1:20" x14ac:dyDescent="0.2">
      <c r="A127" s="13" t="s">
        <v>1216</v>
      </c>
      <c r="B127" s="11" t="str">
        <f>IF(AND(ISTEXT("https://ieeexplore.ieee.org/document/9461050"),"https://ieeexplore.ieee.org/document/9461050"&lt;&gt;""), HYPERLINK("https://ieeexplore.ieee.org/document/9461050", "Link"),"-")</f>
        <v>Link</v>
      </c>
      <c r="C127" s="11" t="s">
        <v>856</v>
      </c>
      <c r="D127" s="176">
        <v>1</v>
      </c>
      <c r="E127" s="176">
        <v>1</v>
      </c>
      <c r="F127" s="176"/>
      <c r="G127" s="176"/>
      <c r="H127" s="176"/>
      <c r="I127" s="176"/>
      <c r="J127" s="176"/>
      <c r="K127" s="177">
        <v>2021</v>
      </c>
      <c r="L127" s="11"/>
      <c r="M127" s="11">
        <v>2</v>
      </c>
      <c r="N127" s="11" t="s">
        <v>857</v>
      </c>
      <c r="O127" s="11" t="s">
        <v>1217</v>
      </c>
      <c r="P127" s="176">
        <v>0.4</v>
      </c>
      <c r="Q127" s="186">
        <v>1</v>
      </c>
      <c r="R127" s="186">
        <v>0.7</v>
      </c>
      <c r="S127" s="11" t="s">
        <v>873</v>
      </c>
      <c r="T127" s="11" t="s">
        <v>1218</v>
      </c>
    </row>
    <row r="128" spans="1:20" x14ac:dyDescent="0.2">
      <c r="A128" s="13" t="s">
        <v>1219</v>
      </c>
      <c r="B128" s="11" t="str">
        <f>IF(AND(ISTEXT("https://ieeexplore.ieee.org/abstract/document/10261219"),"https://ieeexplore.ieee.org/abstract/document/10261219"&lt;&gt;""), HYPERLINK("https://ieeexplore.ieee.org/abstract/document/10261219", "Link"),"-")</f>
        <v>Link</v>
      </c>
      <c r="C128" s="11" t="s">
        <v>856</v>
      </c>
      <c r="D128" s="176">
        <v>0</v>
      </c>
      <c r="E128" s="176">
        <v>1</v>
      </c>
      <c r="F128" s="176"/>
      <c r="G128" s="176"/>
      <c r="H128" s="176"/>
      <c r="I128" s="176"/>
      <c r="J128" s="176"/>
      <c r="K128" s="177">
        <v>2023</v>
      </c>
      <c r="L128" s="11"/>
      <c r="M128" s="11">
        <v>1.2</v>
      </c>
      <c r="N128" s="11" t="s">
        <v>862</v>
      </c>
      <c r="O128" s="11" t="s">
        <v>904</v>
      </c>
      <c r="P128" s="176">
        <v>1</v>
      </c>
      <c r="Q128" s="186">
        <v>0.5</v>
      </c>
      <c r="R128" s="186">
        <v>0.75</v>
      </c>
      <c r="S128" s="11" t="s">
        <v>869</v>
      </c>
      <c r="T128" s="11" t="s">
        <v>1220</v>
      </c>
    </row>
    <row r="129" spans="1:22" x14ac:dyDescent="0.2">
      <c r="A129" s="13" t="s">
        <v>1221</v>
      </c>
      <c r="B129" s="11" t="str">
        <f>IF(AND(ISTEXT("https://link.springer.com/chapter/10.1007/978-3-030-94029-4_6"),"https://link.springer.com/chapter/10.1007/978-3-030-94029-4_6"&lt;&gt;""), HYPERLINK("https://link.springer.com/chapter/10.1007/978-3-030-94029-4_6", "Link"),"-")</f>
        <v>Link</v>
      </c>
      <c r="C129" s="11" t="s">
        <v>886</v>
      </c>
      <c r="D129" s="176">
        <v>0</v>
      </c>
      <c r="E129" s="176">
        <v>1</v>
      </c>
      <c r="F129" s="176">
        <v>1</v>
      </c>
      <c r="G129" s="176">
        <v>0.6</v>
      </c>
      <c r="H129" s="176">
        <v>0.3</v>
      </c>
      <c r="I129" s="176">
        <v>0</v>
      </c>
      <c r="J129" s="176">
        <v>0.5</v>
      </c>
      <c r="K129" s="177">
        <v>2022</v>
      </c>
      <c r="L129" s="11"/>
      <c r="M129" s="11">
        <v>2</v>
      </c>
      <c r="N129" s="11" t="s">
        <v>857</v>
      </c>
      <c r="O129" s="11" t="s">
        <v>1222</v>
      </c>
      <c r="P129" s="176">
        <v>0.4</v>
      </c>
      <c r="Q129" s="186">
        <v>0.67999999999999994</v>
      </c>
      <c r="R129" s="186">
        <v>0.54</v>
      </c>
      <c r="S129" s="11" t="s">
        <v>864</v>
      </c>
      <c r="T129" s="11" t="s">
        <v>1223</v>
      </c>
    </row>
    <row r="130" spans="1:22" x14ac:dyDescent="0.2">
      <c r="A130" s="13" t="s">
        <v>1224</v>
      </c>
      <c r="B130" s="11" t="str">
        <f>IF(AND(ISTEXT("https://www.sciencedirect.com/science/article/pii/S0164121222001236"),"https://www.sciencedirect.com/science/article/pii/S0164121222001236"&lt;&gt;""), HYPERLINK("https://www.sciencedirect.com/science/article/pii/S0164121222001236", "Link"),"-")</f>
        <v>Link</v>
      </c>
      <c r="C130" s="11" t="s">
        <v>856</v>
      </c>
      <c r="D130" s="176">
        <v>0.6</v>
      </c>
      <c r="E130" s="176">
        <v>1</v>
      </c>
      <c r="F130" s="176"/>
      <c r="G130" s="176"/>
      <c r="H130" s="176"/>
      <c r="I130" s="176"/>
      <c r="J130" s="176"/>
      <c r="K130" s="177">
        <v>2022</v>
      </c>
      <c r="L130" s="11"/>
      <c r="M130" s="11">
        <v>2</v>
      </c>
      <c r="N130" s="11" t="s">
        <v>862</v>
      </c>
      <c r="O130" s="11" t="s">
        <v>891</v>
      </c>
      <c r="P130" s="176">
        <v>1</v>
      </c>
      <c r="Q130" s="186">
        <v>0.8</v>
      </c>
      <c r="R130" s="186">
        <v>0.9</v>
      </c>
      <c r="S130" s="11" t="s">
        <v>880</v>
      </c>
      <c r="T130" s="11" t="s">
        <v>1225</v>
      </c>
    </row>
    <row r="131" spans="1:22" x14ac:dyDescent="0.2">
      <c r="A131" s="13" t="s">
        <v>1226</v>
      </c>
      <c r="B131" s="11" t="str">
        <f>IF(AND(ISTEXT("https://ieeexplore.ieee.org/document/9724855"),"https://ieeexplore.ieee.org/document/9724855"&lt;&gt;""), HYPERLINK("https://ieeexplore.ieee.org/document/9724855", "Link"),"-")</f>
        <v>Link</v>
      </c>
      <c r="C131" s="11" t="s">
        <v>856</v>
      </c>
      <c r="D131" s="176">
        <v>0.6</v>
      </c>
      <c r="E131" s="176">
        <v>1</v>
      </c>
      <c r="F131" s="176"/>
      <c r="G131" s="176"/>
      <c r="H131" s="176"/>
      <c r="I131" s="176"/>
      <c r="J131" s="176"/>
      <c r="K131" s="177">
        <v>2021</v>
      </c>
      <c r="L131" s="11"/>
      <c r="M131" s="11">
        <v>1.2</v>
      </c>
      <c r="N131" s="11" t="s">
        <v>857</v>
      </c>
      <c r="O131" s="11" t="s">
        <v>1227</v>
      </c>
      <c r="P131" s="176">
        <v>0.4</v>
      </c>
      <c r="Q131" s="186">
        <v>0.8</v>
      </c>
      <c r="R131" s="186">
        <v>0.60000000000000009</v>
      </c>
      <c r="S131" s="11" t="s">
        <v>873</v>
      </c>
      <c r="T131" s="11" t="s">
        <v>1228</v>
      </c>
    </row>
    <row r="132" spans="1:22" x14ac:dyDescent="0.2">
      <c r="A132" t="s">
        <v>1229</v>
      </c>
      <c r="B132" s="11" t="str">
        <f>IF(AND(ISTEXT("https://arxiv.org/pdf/2111.12423.pdf"),"https://arxiv.org/pdf/2111.12423.pdf"&lt;&gt;""), HYPERLINK("https://arxiv.org/pdf/2111.12423.pdf", "Link"),"-")</f>
        <v>Link</v>
      </c>
      <c r="C132" s="11" t="s">
        <v>856</v>
      </c>
      <c r="D132" s="176">
        <v>1</v>
      </c>
      <c r="E132" s="176">
        <v>1</v>
      </c>
      <c r="F132" s="11"/>
      <c r="G132" s="11"/>
      <c r="H132" s="11"/>
      <c r="I132" s="11"/>
      <c r="J132" s="11"/>
      <c r="K132" s="177">
        <v>2022</v>
      </c>
      <c r="L132" s="11"/>
      <c r="M132" s="11" t="s">
        <v>867</v>
      </c>
      <c r="N132" s="11" t="s">
        <v>993</v>
      </c>
      <c r="O132" s="11" t="s">
        <v>1230</v>
      </c>
      <c r="P132" s="183">
        <v>0.2</v>
      </c>
      <c r="Q132" s="11">
        <v>1</v>
      </c>
      <c r="R132" s="186">
        <v>0.6</v>
      </c>
      <c r="S132" s="11" t="s">
        <v>873</v>
      </c>
      <c r="T132" s="11" t="s">
        <v>1231</v>
      </c>
    </row>
    <row r="133" spans="1:22" x14ac:dyDescent="0.2">
      <c r="A133" s="41" t="s">
        <v>1232</v>
      </c>
      <c r="B133" s="11" t="str">
        <f>IF(AND(ISTEXT("https://dl.acm.org/doi/pdf/10.1145/3597503.3639173"),"https://dl.acm.org/doi/pdf/10.1145/3597503.3639173"&lt;&gt;""), HYPERLINK("https://dl.acm.org/doi/pdf/10.1145/3597503.3639173", "Link"),"-")</f>
        <v>Link</v>
      </c>
      <c r="C133" s="181" t="s">
        <v>856</v>
      </c>
      <c r="D133" s="181">
        <v>1</v>
      </c>
      <c r="E133" s="181">
        <v>1</v>
      </c>
      <c r="F133" s="181"/>
      <c r="G133" s="181"/>
      <c r="H133" s="181"/>
      <c r="I133" s="181"/>
      <c r="J133" s="181"/>
      <c r="K133" s="177">
        <v>2024</v>
      </c>
      <c r="L133" s="11"/>
      <c r="M133" s="181">
        <v>3</v>
      </c>
      <c r="N133" s="181" t="s">
        <v>857</v>
      </c>
      <c r="O133" s="181" t="s">
        <v>1233</v>
      </c>
      <c r="P133" s="189">
        <v>1</v>
      </c>
      <c r="Q133" s="189">
        <v>1</v>
      </c>
      <c r="R133" s="189">
        <v>1</v>
      </c>
      <c r="S133" s="181" t="s">
        <v>883</v>
      </c>
      <c r="T133" s="181" t="s">
        <v>1234</v>
      </c>
      <c r="U133" s="41"/>
    </row>
    <row r="134" spans="1:22" ht="16" x14ac:dyDescent="0.2">
      <c r="A134" s="41" t="s">
        <v>1236</v>
      </c>
      <c r="B134" s="11" t="str">
        <f>IF(AND(ISTEXT("https://dl.acm.org/doi/pdf/10.1145/3597503.3639152"),"https://dl.acm.org/doi/pdf/10.1145/3597503.3639152"&lt;&gt;""), HYPERLINK("https://dl.acm.org/doi/pdf/10.1145/3597503.3639152", "Link"),"-")</f>
        <v>Link</v>
      </c>
      <c r="C134" s="181" t="s">
        <v>886</v>
      </c>
      <c r="D134" s="181">
        <v>0</v>
      </c>
      <c r="E134" s="183">
        <v>0.6</v>
      </c>
      <c r="F134" s="183">
        <v>0.6</v>
      </c>
      <c r="G134" s="183">
        <v>0.6</v>
      </c>
      <c r="H134" s="181">
        <v>1</v>
      </c>
      <c r="I134" s="181">
        <v>1</v>
      </c>
      <c r="J134" s="181">
        <v>1</v>
      </c>
      <c r="K134" s="177">
        <v>2024</v>
      </c>
      <c r="L134" s="11"/>
      <c r="M134" s="181">
        <v>2</v>
      </c>
      <c r="N134" s="181" t="s">
        <v>857</v>
      </c>
      <c r="O134" s="181" t="s">
        <v>1233</v>
      </c>
      <c r="P134" s="189">
        <v>1</v>
      </c>
      <c r="Q134" s="189">
        <v>0.8</v>
      </c>
      <c r="R134" s="189">
        <v>0.9</v>
      </c>
      <c r="S134" s="181" t="s">
        <v>883</v>
      </c>
      <c r="T134" s="190" t="s">
        <v>1237</v>
      </c>
      <c r="U134" s="41"/>
      <c r="V134" s="41"/>
    </row>
    <row r="135" spans="1:22" ht="16" x14ac:dyDescent="0.2">
      <c r="A135" s="41" t="s">
        <v>1238</v>
      </c>
      <c r="B135" s="11" t="str">
        <f>IF(AND(ISTEXT("http://dl.acm.org/doi/pdf/10.1145/3597503.3639128"),"http://dl.acm.org/doi/pdf/10.1145/3597503.3639128"&lt;&gt;""), HYPERLINK("http://dl.acm.org/doi/pdf/10.1145/3597503.3639128", "Link"),"-")</f>
        <v>Link</v>
      </c>
      <c r="C135" s="181" t="s">
        <v>856</v>
      </c>
      <c r="D135" s="181">
        <v>0</v>
      </c>
      <c r="E135" s="181">
        <v>1</v>
      </c>
      <c r="F135" s="181"/>
      <c r="G135" s="181"/>
      <c r="H135" s="181"/>
      <c r="I135" s="181"/>
      <c r="J135" s="181"/>
      <c r="K135" s="177">
        <v>2024</v>
      </c>
      <c r="L135" s="11"/>
      <c r="M135" s="181">
        <v>3</v>
      </c>
      <c r="N135" s="181" t="s">
        <v>857</v>
      </c>
      <c r="O135" s="181" t="s">
        <v>1233</v>
      </c>
      <c r="P135" s="189">
        <v>1</v>
      </c>
      <c r="Q135" s="189">
        <v>0.5</v>
      </c>
      <c r="R135" s="189">
        <v>0.75</v>
      </c>
      <c r="S135" s="181" t="s">
        <v>883</v>
      </c>
      <c r="T135" s="190" t="s">
        <v>1239</v>
      </c>
      <c r="U135" s="41"/>
      <c r="V135" s="41"/>
    </row>
    <row r="136" spans="1:22" ht="16" x14ac:dyDescent="0.2">
      <c r="A136" s="41" t="s">
        <v>1240</v>
      </c>
      <c r="B136" s="11" t="str">
        <f>IF(AND(ISTEXT("https://dl.acm.org/doi/pdf/10.1145/3597503.3639117"),"https://dl.acm.org/doi/pdf/10.1145/3597503.3639117"&lt;&gt;""), HYPERLINK("https://dl.acm.org/doi/pdf/10.1145/3597503.3639117", "Link"),"-")</f>
        <v>Link</v>
      </c>
      <c r="C136" s="181" t="s">
        <v>856</v>
      </c>
      <c r="D136" s="181">
        <v>1</v>
      </c>
      <c r="E136" s="181">
        <v>1</v>
      </c>
      <c r="F136" s="181"/>
      <c r="G136" s="181"/>
      <c r="H136" s="181"/>
      <c r="I136" s="181"/>
      <c r="J136" s="181"/>
      <c r="K136" s="177">
        <v>2024</v>
      </c>
      <c r="L136" s="11"/>
      <c r="M136" s="181">
        <v>3</v>
      </c>
      <c r="N136" s="181" t="s">
        <v>857</v>
      </c>
      <c r="O136" s="181" t="s">
        <v>1233</v>
      </c>
      <c r="P136" s="189">
        <v>1</v>
      </c>
      <c r="Q136" s="189">
        <v>1</v>
      </c>
      <c r="R136" s="189">
        <v>1</v>
      </c>
      <c r="S136" s="181" t="s">
        <v>883</v>
      </c>
      <c r="T136" s="190" t="s">
        <v>1241</v>
      </c>
      <c r="U136" s="41"/>
    </row>
    <row r="137" spans="1:22" ht="16" x14ac:dyDescent="0.2">
      <c r="A137" s="41" t="s">
        <v>1242</v>
      </c>
      <c r="B137" s="11" t="str">
        <f>IF(AND(ISTEXT("https://dl.acm.org/doi/pdf/10.1145/3597503.3639213"),"https://dl.acm.org/doi/pdf/10.1145/3597503.3639213"&lt;&gt;""), HYPERLINK("https://dl.acm.org/doi/pdf/10.1145/3597503.3639213", "Link"),"-")</f>
        <v>Link</v>
      </c>
      <c r="C137" s="181" t="s">
        <v>856</v>
      </c>
      <c r="D137" s="181">
        <v>1</v>
      </c>
      <c r="E137" s="181">
        <v>1</v>
      </c>
      <c r="F137" s="181"/>
      <c r="G137" s="181"/>
      <c r="H137" s="181"/>
      <c r="I137" s="181"/>
      <c r="J137" s="181"/>
      <c r="K137" s="177">
        <v>2024</v>
      </c>
      <c r="L137" s="11"/>
      <c r="M137" s="181">
        <v>3</v>
      </c>
      <c r="N137" s="181" t="s">
        <v>857</v>
      </c>
      <c r="O137" s="181" t="s">
        <v>1233</v>
      </c>
      <c r="P137" s="189">
        <v>1</v>
      </c>
      <c r="Q137" s="189">
        <v>1</v>
      </c>
      <c r="R137" s="189">
        <v>1</v>
      </c>
      <c r="S137" s="181" t="s">
        <v>2147</v>
      </c>
      <c r="T137" s="190" t="s">
        <v>1243</v>
      </c>
      <c r="U137" s="41"/>
      <c r="V137" s="41"/>
    </row>
    <row r="138" spans="1:22" ht="16" x14ac:dyDescent="0.2">
      <c r="A138" s="41" t="s">
        <v>1244</v>
      </c>
      <c r="B138" s="11" t="str">
        <f>IF(AND(ISTEXT("https://dl.acm.org/doi/pdf/10.1145/3597503.3639225"),"https://dl.acm.org/doi/pdf/10.1145/3597503.3639225"&lt;&gt;""), HYPERLINK("https://dl.acm.org/doi/pdf/10.1145/3597503.3639225", "Link"),"-")</f>
        <v>Link</v>
      </c>
      <c r="C138" s="181" t="s">
        <v>856</v>
      </c>
      <c r="D138" s="181">
        <v>0.6</v>
      </c>
      <c r="E138" s="181">
        <v>1</v>
      </c>
      <c r="F138" s="181"/>
      <c r="G138" s="181"/>
      <c r="H138" s="181"/>
      <c r="I138" s="181"/>
      <c r="J138" s="181"/>
      <c r="K138" s="177">
        <v>2024</v>
      </c>
      <c r="L138" s="11"/>
      <c r="M138" s="181">
        <v>3</v>
      </c>
      <c r="N138" s="181" t="s">
        <v>857</v>
      </c>
      <c r="O138" s="181" t="s">
        <v>1233</v>
      </c>
      <c r="P138" s="189">
        <v>1</v>
      </c>
      <c r="Q138" s="189">
        <v>0.8</v>
      </c>
      <c r="R138" s="189">
        <v>0.9</v>
      </c>
      <c r="S138" s="181" t="s">
        <v>883</v>
      </c>
      <c r="T138" s="190" t="s">
        <v>1245</v>
      </c>
      <c r="U138" s="41"/>
      <c r="V138" s="41"/>
    </row>
    <row r="139" spans="1:22" ht="16" x14ac:dyDescent="0.2">
      <c r="A139" s="41" t="s">
        <v>1246</v>
      </c>
      <c r="B139" s="11" t="str">
        <f>IF(AND(ISTEXT("https://dl.acm.org/doi/pdf/10.1145/3597503.3639203"),"https://dl.acm.org/doi/pdf/10.1145/3597503.3639203"&lt;&gt;""), HYPERLINK("https://dl.acm.org/doi/pdf/10.1145/3597503.3639203", "Link"),"-")</f>
        <v>Link</v>
      </c>
      <c r="C139" s="181" t="s">
        <v>856</v>
      </c>
      <c r="D139" s="181">
        <v>0</v>
      </c>
      <c r="E139" s="181">
        <v>1</v>
      </c>
      <c r="F139" s="181"/>
      <c r="G139" s="181"/>
      <c r="H139" s="181"/>
      <c r="I139" s="181"/>
      <c r="J139" s="181"/>
      <c r="K139" s="177">
        <v>2024</v>
      </c>
      <c r="L139" s="11"/>
      <c r="M139" s="181">
        <v>3</v>
      </c>
      <c r="N139" s="181" t="s">
        <v>857</v>
      </c>
      <c r="O139" s="181" t="s">
        <v>1233</v>
      </c>
      <c r="P139" s="189">
        <v>1</v>
      </c>
      <c r="Q139" s="189">
        <v>0.5</v>
      </c>
      <c r="R139" s="189">
        <v>0.75</v>
      </c>
      <c r="S139" s="181" t="s">
        <v>883</v>
      </c>
      <c r="T139" s="190" t="s">
        <v>1247</v>
      </c>
      <c r="U139" s="41"/>
      <c r="V139" s="41"/>
    </row>
    <row r="140" spans="1:22" ht="16" x14ac:dyDescent="0.2">
      <c r="A140" s="41" t="s">
        <v>1248</v>
      </c>
      <c r="B140" s="11" t="str">
        <f>IF(AND(ISTEXT("https://dl.acm.org/doi/pdf/10.1145/3597503.3639153"),"https://dl.acm.org/doi/pdf/10.1145/3597503.3639153"&lt;&gt;""), HYPERLINK("https://dl.acm.org/doi/pdf/10.1145/3597503.3639153", "Link"),"-")</f>
        <v>Link</v>
      </c>
      <c r="C140" s="181" t="s">
        <v>856</v>
      </c>
      <c r="D140" s="181">
        <v>0.6</v>
      </c>
      <c r="E140" s="181">
        <v>1</v>
      </c>
      <c r="F140" s="181"/>
      <c r="G140" s="181"/>
      <c r="H140" s="181"/>
      <c r="I140" s="181"/>
      <c r="J140" s="181"/>
      <c r="K140" s="177">
        <v>2024</v>
      </c>
      <c r="L140" s="11"/>
      <c r="M140" s="181">
        <v>3</v>
      </c>
      <c r="N140" s="181" t="s">
        <v>857</v>
      </c>
      <c r="O140" s="181" t="s">
        <v>1233</v>
      </c>
      <c r="P140" s="189">
        <v>1</v>
      </c>
      <c r="Q140" s="189">
        <v>0.8</v>
      </c>
      <c r="R140" s="189">
        <v>0.9</v>
      </c>
      <c r="S140" s="181" t="s">
        <v>1054</v>
      </c>
      <c r="T140" s="190" t="s">
        <v>1249</v>
      </c>
      <c r="U140" s="41"/>
      <c r="V140" s="41"/>
    </row>
    <row r="141" spans="1:22" x14ac:dyDescent="0.2">
      <c r="A141" s="41" t="s">
        <v>1250</v>
      </c>
      <c r="B141" s="11" t="str">
        <f>IF(AND(ISTEXT("https://dl.acm.org/doi/pdf/10.1145/3691620.3695526"),"https://dl.acm.org/doi/pdf/10.1145/3691620.3695526"&lt;&gt;""), HYPERLINK("https://dl.acm.org/doi/pdf/10.1145/3691620.3695526", "Link"),"-")</f>
        <v>Link</v>
      </c>
      <c r="C141" s="181" t="s">
        <v>856</v>
      </c>
      <c r="D141" s="181">
        <v>0</v>
      </c>
      <c r="E141" s="181">
        <v>1</v>
      </c>
      <c r="F141" s="181"/>
      <c r="G141" s="181"/>
      <c r="H141" s="181"/>
      <c r="I141" s="181"/>
      <c r="J141" s="181"/>
      <c r="K141" s="177">
        <v>2024</v>
      </c>
      <c r="L141" s="11"/>
      <c r="M141" s="181">
        <v>3</v>
      </c>
      <c r="N141" s="181" t="s">
        <v>857</v>
      </c>
      <c r="O141" s="181" t="s">
        <v>1251</v>
      </c>
      <c r="P141" s="189">
        <v>1</v>
      </c>
      <c r="Q141" s="189">
        <v>0.5</v>
      </c>
      <c r="R141" s="189">
        <v>0.75</v>
      </c>
      <c r="S141" s="181" t="s">
        <v>883</v>
      </c>
      <c r="T141" s="181" t="s">
        <v>1252</v>
      </c>
      <c r="U141" s="41"/>
      <c r="V141" s="41"/>
    </row>
    <row r="142" spans="1:22" x14ac:dyDescent="0.2">
      <c r="A142" s="41" t="s">
        <v>1253</v>
      </c>
      <c r="B142" s="11" t="str">
        <f>IF(AND(ISTEXT("https://dl.acm.org/doi/pdf/10.1145/3691620.3695361"),"https://dl.acm.org/doi/pdf/10.1145/3691620.3695361"&lt;&gt;""), HYPERLINK("https://dl.acm.org/doi/pdf/10.1145/3691620.3695361", "Link"),"-")</f>
        <v>Link</v>
      </c>
      <c r="C142" s="181" t="s">
        <v>856</v>
      </c>
      <c r="D142" s="181">
        <v>0</v>
      </c>
      <c r="E142" s="181">
        <v>1</v>
      </c>
      <c r="F142" s="181"/>
      <c r="G142" s="181"/>
      <c r="H142" s="181"/>
      <c r="I142" s="181"/>
      <c r="J142" s="181"/>
      <c r="K142" s="177">
        <v>2024</v>
      </c>
      <c r="L142" s="11"/>
      <c r="M142" s="181">
        <v>3</v>
      </c>
      <c r="N142" s="181" t="s">
        <v>857</v>
      </c>
      <c r="O142" s="181" t="s">
        <v>1251</v>
      </c>
      <c r="P142" s="189">
        <v>1</v>
      </c>
      <c r="Q142" s="189">
        <v>0.5</v>
      </c>
      <c r="R142" s="189">
        <v>0.75</v>
      </c>
      <c r="S142" s="181" t="s">
        <v>883</v>
      </c>
      <c r="T142" s="181" t="s">
        <v>1254</v>
      </c>
      <c r="U142" s="41"/>
      <c r="V142" s="41"/>
    </row>
    <row r="143" spans="1:22" x14ac:dyDescent="0.2">
      <c r="A143" s="41" t="s">
        <v>1255</v>
      </c>
      <c r="B143" s="11" t="str">
        <f>IF(AND(ISTEXT("https://dl.acm.org/doi/pdf/10.1145/3691620.3695601"),"https://dl.acm.org/doi/pdf/10.1145/3691620.3695601"&lt;&gt;""), HYPERLINK("https://dl.acm.org/doi/pdf/10.1145/3691620.3695601", "Link"),"-")</f>
        <v>Link</v>
      </c>
      <c r="C143" s="181" t="s">
        <v>856</v>
      </c>
      <c r="D143" s="181">
        <v>0</v>
      </c>
      <c r="E143" s="181">
        <v>1</v>
      </c>
      <c r="F143" s="181"/>
      <c r="G143" s="181"/>
      <c r="H143" s="181"/>
      <c r="I143" s="181"/>
      <c r="J143" s="181"/>
      <c r="K143" s="177">
        <v>2024</v>
      </c>
      <c r="L143" s="11"/>
      <c r="M143" s="181">
        <v>3</v>
      </c>
      <c r="N143" s="181" t="s">
        <v>857</v>
      </c>
      <c r="O143" s="181" t="s">
        <v>1251</v>
      </c>
      <c r="P143" s="189">
        <v>1</v>
      </c>
      <c r="Q143" s="189">
        <v>0.5</v>
      </c>
      <c r="R143" s="189">
        <v>0.75</v>
      </c>
      <c r="S143" s="181" t="s">
        <v>883</v>
      </c>
      <c r="T143" s="181" t="s">
        <v>1256</v>
      </c>
      <c r="V143" s="41"/>
    </row>
    <row r="144" spans="1:22" x14ac:dyDescent="0.2">
      <c r="A144" s="41" t="s">
        <v>1257</v>
      </c>
      <c r="B144" s="11" t="str">
        <f>IF(AND(ISTEXT("https://dl.acm.org/doi/pdf/10.1145/3691620.3695482"),"https://dl.acm.org/doi/pdf/10.1145/3691620.3695482"&lt;&gt;""), HYPERLINK("https://dl.acm.org/doi/pdf/10.1145/3691620.3695482", "Link"),"-")</f>
        <v>Link</v>
      </c>
      <c r="C144" s="181" t="s">
        <v>856</v>
      </c>
      <c r="D144" s="181">
        <v>0</v>
      </c>
      <c r="E144" s="181">
        <v>1</v>
      </c>
      <c r="F144" s="181"/>
      <c r="G144" s="181"/>
      <c r="H144" s="181"/>
      <c r="I144" s="181"/>
      <c r="J144" s="181"/>
      <c r="K144" s="177">
        <v>2024</v>
      </c>
      <c r="L144" s="11"/>
      <c r="M144" s="181">
        <v>3</v>
      </c>
      <c r="N144" s="181" t="s">
        <v>857</v>
      </c>
      <c r="O144" s="181" t="s">
        <v>1251</v>
      </c>
      <c r="P144" s="189">
        <v>1</v>
      </c>
      <c r="Q144" s="189">
        <v>0.5</v>
      </c>
      <c r="R144" s="189">
        <v>0.75</v>
      </c>
      <c r="S144" s="181" t="s">
        <v>883</v>
      </c>
      <c r="T144" s="181" t="s">
        <v>1258</v>
      </c>
      <c r="U144" s="41"/>
      <c r="V144" s="41"/>
    </row>
    <row r="145" spans="1:22" x14ac:dyDescent="0.2">
      <c r="A145" s="41" t="s">
        <v>1259</v>
      </c>
      <c r="B145" s="11" t="str">
        <f>IF(AND(ISTEXT("https://dl.acm.org/doi/pdf/10.1145/3691620.3695349"),"https://dl.acm.org/doi/pdf/10.1145/3691620.3695349"&lt;&gt;""), HYPERLINK("https://dl.acm.org/doi/pdf/10.1145/3691620.3695349", "Link"),"-")</f>
        <v>Link</v>
      </c>
      <c r="C145" s="181" t="s">
        <v>856</v>
      </c>
      <c r="D145" s="181">
        <v>0</v>
      </c>
      <c r="E145" s="181">
        <v>1</v>
      </c>
      <c r="F145" s="181"/>
      <c r="G145" s="181"/>
      <c r="H145" s="181"/>
      <c r="I145" s="181"/>
      <c r="J145" s="181"/>
      <c r="K145" s="177">
        <v>2024</v>
      </c>
      <c r="L145" s="11"/>
      <c r="M145" s="181">
        <v>3</v>
      </c>
      <c r="N145" s="181" t="s">
        <v>857</v>
      </c>
      <c r="O145" s="181" t="s">
        <v>1251</v>
      </c>
      <c r="P145" s="189">
        <v>1</v>
      </c>
      <c r="Q145" s="189">
        <v>0.5</v>
      </c>
      <c r="R145" s="189">
        <v>0.75</v>
      </c>
      <c r="S145" s="181" t="s">
        <v>883</v>
      </c>
      <c r="T145" s="181" t="s">
        <v>1260</v>
      </c>
      <c r="U145" s="41"/>
      <c r="V145" s="41"/>
    </row>
    <row r="146" spans="1:22" x14ac:dyDescent="0.2">
      <c r="A146" s="41" t="s">
        <v>1261</v>
      </c>
      <c r="B146" s="11" t="str">
        <f>IF(AND(ISTEXT("https://dl.acm.org/doi/pdf/10.1145/3691620.3695356"),"https://dl.acm.org/doi/pdf/10.1145/3691620.3695356"&lt;&gt;""), HYPERLINK("https://dl.acm.org/doi/pdf/10.1145/3691620.3695356", "Link"),"-")</f>
        <v>Link</v>
      </c>
      <c r="C146" s="181" t="s">
        <v>856</v>
      </c>
      <c r="D146" s="181">
        <v>0</v>
      </c>
      <c r="E146" s="181">
        <v>1</v>
      </c>
      <c r="F146" s="181"/>
      <c r="G146" s="181"/>
      <c r="H146" s="181"/>
      <c r="I146" s="181"/>
      <c r="J146" s="181"/>
      <c r="K146" s="177">
        <v>2024</v>
      </c>
      <c r="L146" s="11"/>
      <c r="M146" s="181">
        <v>3</v>
      </c>
      <c r="N146" s="181" t="s">
        <v>857</v>
      </c>
      <c r="O146" s="181" t="s">
        <v>1251</v>
      </c>
      <c r="P146" s="189">
        <v>1</v>
      </c>
      <c r="Q146" s="189">
        <v>0.5</v>
      </c>
      <c r="R146" s="189">
        <v>0.75</v>
      </c>
      <c r="S146" s="181" t="s">
        <v>883</v>
      </c>
      <c r="T146" s="181" t="s">
        <v>1262</v>
      </c>
      <c r="U146" s="41"/>
      <c r="V146" s="41"/>
    </row>
    <row r="147" spans="1:22" x14ac:dyDescent="0.2">
      <c r="A147" s="41" t="s">
        <v>1263</v>
      </c>
      <c r="B147" s="11" t="str">
        <f>IF(AND(ISTEXT("https://dl.acm.org/doi/pdf/10.1145/3691620.3695292"),"https://dl.acm.org/doi/pdf/10.1145/3691620.3695292"&lt;&gt;""), HYPERLINK("https://dl.acm.org/doi/pdf/10.1145/3691620.3695292", "Link"),"-")</f>
        <v>Link</v>
      </c>
      <c r="C147" s="181" t="s">
        <v>856</v>
      </c>
      <c r="D147" s="181">
        <v>0</v>
      </c>
      <c r="E147" s="181">
        <v>1</v>
      </c>
      <c r="F147" s="181"/>
      <c r="G147" s="181"/>
      <c r="H147" s="181"/>
      <c r="I147" s="181"/>
      <c r="J147" s="181"/>
      <c r="K147" s="177">
        <v>2024</v>
      </c>
      <c r="L147" s="11"/>
      <c r="M147" s="181">
        <v>3</v>
      </c>
      <c r="N147" s="181" t="s">
        <v>857</v>
      </c>
      <c r="O147" s="181" t="s">
        <v>1251</v>
      </c>
      <c r="P147" s="189">
        <v>1</v>
      </c>
      <c r="Q147" s="189">
        <v>0.5</v>
      </c>
      <c r="R147" s="189">
        <v>0.75</v>
      </c>
      <c r="S147" s="181" t="s">
        <v>883</v>
      </c>
      <c r="T147" s="181" t="s">
        <v>1264</v>
      </c>
      <c r="U147" s="41"/>
      <c r="V147" s="41"/>
    </row>
    <row r="148" spans="1:22" x14ac:dyDescent="0.2">
      <c r="A148" s="41" t="s">
        <v>1265</v>
      </c>
      <c r="B148" s="11" t="str">
        <f>IF(AND(ISTEXT("https://dl.acm.org/doi/pdf/10.1145/3660786"),"https://dl.acm.org/doi/pdf/10.1145/3660786"&lt;&gt;""), HYPERLINK("https://dl.acm.org/doi/pdf/10.1145/3660786", "Link"),"-")</f>
        <v>Link</v>
      </c>
      <c r="C148" s="181" t="s">
        <v>856</v>
      </c>
      <c r="D148" s="181">
        <v>0.3</v>
      </c>
      <c r="E148" s="181">
        <v>1</v>
      </c>
      <c r="F148" s="181"/>
      <c r="G148" s="181"/>
      <c r="H148" s="181"/>
      <c r="I148" s="181"/>
      <c r="J148" s="181"/>
      <c r="K148" s="177">
        <v>2024</v>
      </c>
      <c r="L148" s="11"/>
      <c r="M148" s="181">
        <v>3</v>
      </c>
      <c r="N148" s="181" t="s">
        <v>857</v>
      </c>
      <c r="O148" s="11" t="s">
        <v>1266</v>
      </c>
      <c r="P148" s="189">
        <v>1</v>
      </c>
      <c r="Q148" s="189">
        <v>0.7</v>
      </c>
      <c r="R148" s="189">
        <v>0.83</v>
      </c>
      <c r="S148" s="181" t="s">
        <v>883</v>
      </c>
      <c r="T148" s="181" t="s">
        <v>1267</v>
      </c>
      <c r="U148" s="41"/>
      <c r="V148" s="41"/>
    </row>
    <row r="149" spans="1:22" x14ac:dyDescent="0.2">
      <c r="A149" s="41" t="s">
        <v>1268</v>
      </c>
      <c r="B149" s="11" t="str">
        <f>IF(AND(ISTEXT("https://dl.acm.org/doi/pdf/10.1145/3660772"),"https://dl.acm.org/doi/pdf/10.1145/3660772"&lt;&gt;""), HYPERLINK("https://dl.acm.org/doi/pdf/10.1145/3660772", "Link"),"-")</f>
        <v>Link</v>
      </c>
      <c r="C149" s="181" t="s">
        <v>886</v>
      </c>
      <c r="D149" s="181">
        <v>0</v>
      </c>
      <c r="E149" s="181">
        <v>1</v>
      </c>
      <c r="F149" s="181">
        <v>1</v>
      </c>
      <c r="G149" s="181">
        <v>0</v>
      </c>
      <c r="H149" s="181">
        <v>0</v>
      </c>
      <c r="I149" s="181">
        <v>1</v>
      </c>
      <c r="J149" s="181">
        <v>1</v>
      </c>
      <c r="K149" s="177">
        <v>2024</v>
      </c>
      <c r="L149" s="11"/>
      <c r="M149" s="181">
        <v>2.2999999999999998</v>
      </c>
      <c r="N149" s="181" t="s">
        <v>857</v>
      </c>
      <c r="O149" s="11" t="s">
        <v>1266</v>
      </c>
      <c r="P149" s="189">
        <v>1</v>
      </c>
      <c r="Q149" s="189">
        <v>0.67</v>
      </c>
      <c r="R149" s="189">
        <v>0.83</v>
      </c>
      <c r="S149" s="181" t="s">
        <v>883</v>
      </c>
      <c r="T149" s="181" t="s">
        <v>2318</v>
      </c>
      <c r="U149" s="41"/>
      <c r="V149" s="41"/>
    </row>
    <row r="150" spans="1:22" x14ac:dyDescent="0.2">
      <c r="A150" s="41" t="s">
        <v>1269</v>
      </c>
      <c r="B150" s="11" t="str">
        <f>IF(AND(ISTEXT("https://dl.acm.org/doi/pdf/10.1145/3650212.3685312"),"https://dl.acm.org/doi/pdf/10.1145/3650212.3685312"&lt;&gt;""), HYPERLINK("https://dl.acm.org/doi/pdf/10.1145/3650212.3685312", "Link"),"-")</f>
        <v>Link</v>
      </c>
      <c r="C150" s="181" t="s">
        <v>856</v>
      </c>
      <c r="D150" s="181">
        <v>0</v>
      </c>
      <c r="E150" s="181">
        <v>1</v>
      </c>
      <c r="F150" s="181"/>
      <c r="G150" s="181"/>
      <c r="H150" s="181"/>
      <c r="I150" s="181"/>
      <c r="J150" s="181"/>
      <c r="K150" s="177">
        <v>2024</v>
      </c>
      <c r="L150" s="11"/>
      <c r="M150" s="181">
        <v>3</v>
      </c>
      <c r="N150" s="181" t="s">
        <v>857</v>
      </c>
      <c r="O150" s="11" t="s">
        <v>1270</v>
      </c>
      <c r="P150" s="189">
        <v>1</v>
      </c>
      <c r="Q150" s="189">
        <v>0.5</v>
      </c>
      <c r="R150" s="189">
        <v>0.75</v>
      </c>
      <c r="S150" s="181" t="s">
        <v>883</v>
      </c>
      <c r="T150" s="181" t="s">
        <v>1271</v>
      </c>
      <c r="U150" s="41"/>
      <c r="V150" s="41"/>
    </row>
    <row r="151" spans="1:22" x14ac:dyDescent="0.2">
      <c r="A151" s="41" t="s">
        <v>1272</v>
      </c>
      <c r="B151" s="11" t="str">
        <f>IF(AND(ISTEXT("https://dl.acm.org/doi/pdf/10.1145/3650212.3652146"),"https://dl.acm.org/doi/pdf/10.1145/3650212.3652146"&lt;&gt;""), HYPERLINK("https://dl.acm.org/doi/pdf/10.1145/3650212.3652146", "Link"),"-")</f>
        <v>Link</v>
      </c>
      <c r="C151" s="181" t="s">
        <v>856</v>
      </c>
      <c r="D151" s="181">
        <v>0</v>
      </c>
      <c r="E151" s="181">
        <v>1</v>
      </c>
      <c r="F151" s="181"/>
      <c r="G151" s="181"/>
      <c r="H151" s="181"/>
      <c r="I151" s="181"/>
      <c r="J151" s="181"/>
      <c r="K151" s="177">
        <v>2024</v>
      </c>
      <c r="L151" s="11"/>
      <c r="M151" s="181">
        <v>3</v>
      </c>
      <c r="N151" s="181" t="s">
        <v>857</v>
      </c>
      <c r="O151" s="11" t="s">
        <v>1270</v>
      </c>
      <c r="P151" s="189">
        <v>1</v>
      </c>
      <c r="Q151" s="189">
        <v>0.5</v>
      </c>
      <c r="R151" s="189">
        <v>0.75</v>
      </c>
      <c r="S151" s="181" t="s">
        <v>883</v>
      </c>
      <c r="T151" s="181" t="s">
        <v>1273</v>
      </c>
      <c r="U151" s="41"/>
      <c r="V151" s="41"/>
    </row>
    <row r="152" spans="1:22" x14ac:dyDescent="0.2">
      <c r="A152" s="41" t="s">
        <v>1274</v>
      </c>
      <c r="B152" s="11" t="str">
        <f>IF(AND(ISTEXT("https://dl.acm.org/doi/pdf/10.1145/3650212.3680353"),"https://dl.acm.org/doi/pdf/10.1145/3650212.3680353"&lt;&gt;""), HYPERLINK("https://dl.acm.org/doi/pdf/10.1145/3650212.3680353", "Link"),"-")</f>
        <v>Link</v>
      </c>
      <c r="C152" s="181" t="s">
        <v>856</v>
      </c>
      <c r="D152" s="181">
        <v>0.3</v>
      </c>
      <c r="E152" s="181">
        <v>1</v>
      </c>
      <c r="F152" s="181"/>
      <c r="G152" s="181"/>
      <c r="H152" s="181"/>
      <c r="I152" s="181"/>
      <c r="J152" s="181"/>
      <c r="K152" s="177">
        <v>2024</v>
      </c>
      <c r="L152" s="11"/>
      <c r="M152" s="181">
        <v>3</v>
      </c>
      <c r="N152" s="181" t="s">
        <v>857</v>
      </c>
      <c r="O152" s="11" t="s">
        <v>1270</v>
      </c>
      <c r="P152" s="189">
        <v>1</v>
      </c>
      <c r="Q152" s="189">
        <v>0.7</v>
      </c>
      <c r="R152" s="189">
        <v>0.83</v>
      </c>
      <c r="S152" s="181" t="s">
        <v>883</v>
      </c>
      <c r="T152" s="181" t="s">
        <v>1275</v>
      </c>
      <c r="U152" s="41"/>
      <c r="V152" s="41"/>
    </row>
    <row r="153" spans="1:22" x14ac:dyDescent="0.2">
      <c r="A153" s="41" t="s">
        <v>1276</v>
      </c>
      <c r="B153" s="11" t="str">
        <f>IF(AND(ISTEXT("https://dl.acm.org/doi/pdf/10.1145/3650212.3680321"),"https://dl.acm.org/doi/pdf/10.1145/3650212.3680321"&lt;&gt;""), HYPERLINK("https://dl.acm.org/doi/pdf/10.1145/3650212.3680321", "Link"),"-")</f>
        <v>Link</v>
      </c>
      <c r="C153" s="181" t="s">
        <v>856</v>
      </c>
      <c r="D153" s="181">
        <v>0</v>
      </c>
      <c r="E153" s="181">
        <v>1</v>
      </c>
      <c r="F153" s="181"/>
      <c r="G153" s="181"/>
      <c r="H153" s="181"/>
      <c r="I153" s="181"/>
      <c r="J153" s="181"/>
      <c r="K153" s="177">
        <v>2024</v>
      </c>
      <c r="L153" s="11"/>
      <c r="M153" s="181">
        <v>3</v>
      </c>
      <c r="N153" s="181" t="s">
        <v>857</v>
      </c>
      <c r="O153" s="11" t="s">
        <v>1270</v>
      </c>
      <c r="P153" s="189">
        <v>1</v>
      </c>
      <c r="Q153" s="189">
        <v>0.5</v>
      </c>
      <c r="R153" s="189">
        <v>0.75</v>
      </c>
      <c r="S153" s="181" t="s">
        <v>883</v>
      </c>
      <c r="T153" s="181" t="s">
        <v>1277</v>
      </c>
      <c r="U153" s="41"/>
      <c r="V153" s="41"/>
    </row>
    <row r="154" spans="1:22" x14ac:dyDescent="0.2">
      <c r="A154" s="41" t="s">
        <v>1278</v>
      </c>
      <c r="B154" s="11" t="str">
        <f>IF(AND(ISTEXT("https://ieeexplore.ieee.org/stamp/stamp.jsp?tp=&amp;arnumber=10638567"),"https://ieeexplore.ieee.org/stamp/stamp.jsp?tp=&amp;arnumber=10638567"&lt;&gt;""), HYPERLINK("https://ieeexplore.ieee.org/stamp/stamp.jsp?tp=&amp;arnumber=10638567", "Link"),"-")</f>
        <v>Link</v>
      </c>
      <c r="C154" s="181" t="s">
        <v>856</v>
      </c>
      <c r="D154" s="181">
        <v>0</v>
      </c>
      <c r="E154" s="181">
        <v>1</v>
      </c>
      <c r="F154" s="181"/>
      <c r="G154" s="181"/>
      <c r="H154" s="181"/>
      <c r="I154" s="181"/>
      <c r="J154" s="181"/>
      <c r="K154" s="177">
        <v>2024</v>
      </c>
      <c r="L154" s="11"/>
      <c r="M154" s="181">
        <v>3</v>
      </c>
      <c r="N154" s="181" t="s">
        <v>857</v>
      </c>
      <c r="O154" s="181" t="s">
        <v>1233</v>
      </c>
      <c r="P154" s="189">
        <v>1</v>
      </c>
      <c r="Q154" s="189">
        <v>0.5</v>
      </c>
      <c r="R154" s="189">
        <v>0.75</v>
      </c>
      <c r="S154" s="181" t="s">
        <v>1054</v>
      </c>
      <c r="T154" s="181" t="s">
        <v>1279</v>
      </c>
      <c r="U154" s="41"/>
      <c r="V154" s="41"/>
    </row>
    <row r="155" spans="1:22" x14ac:dyDescent="0.2">
      <c r="A155" s="41" t="s">
        <v>1280</v>
      </c>
      <c r="B155" s="11" t="str">
        <f>IF(AND(ISTEXT("https://dl.acm.org/doi/pdf/10.1145/3707458"),"https://dl.acm.org/doi/pdf/10.1145/3707458"&lt;&gt;""), HYPERLINK("https://dl.acm.org/doi/pdf/10.1145/3707458", "Link"),"-")</f>
        <v>Link</v>
      </c>
      <c r="C155" s="181" t="s">
        <v>856</v>
      </c>
      <c r="D155" s="181">
        <v>0.6</v>
      </c>
      <c r="E155" s="181">
        <v>1</v>
      </c>
      <c r="F155" s="181"/>
      <c r="G155" s="181"/>
      <c r="H155" s="181"/>
      <c r="I155" s="181"/>
      <c r="J155" s="181"/>
      <c r="K155" s="177">
        <v>2024</v>
      </c>
      <c r="L155" s="11"/>
      <c r="M155" s="181">
        <v>3</v>
      </c>
      <c r="N155" s="11" t="s">
        <v>862</v>
      </c>
      <c r="O155" s="181" t="s">
        <v>1281</v>
      </c>
      <c r="P155" s="189">
        <v>1</v>
      </c>
      <c r="Q155" s="189">
        <v>0.8</v>
      </c>
      <c r="R155" s="189">
        <v>0.9</v>
      </c>
      <c r="S155" s="181" t="s">
        <v>1054</v>
      </c>
      <c r="T155" s="181" t="s">
        <v>1282</v>
      </c>
      <c r="U155" s="41"/>
      <c r="V155" s="41"/>
    </row>
    <row r="156" spans="1:22" x14ac:dyDescent="0.2">
      <c r="A156" s="41" t="s">
        <v>1283</v>
      </c>
      <c r="B156" s="11" t="str">
        <f>IF(AND(ISTEXT("https://dl.acm.org/doi/pdf/10.1145/3702973"),"https://dl.acm.org/doi/pdf/10.1145/3702973"&lt;&gt;""), HYPERLINK("https://dl.acm.org/doi/pdf/10.1145/3702973", "Link"),"-")</f>
        <v>Link</v>
      </c>
      <c r="C156" s="181" t="s">
        <v>856</v>
      </c>
      <c r="D156" s="181">
        <v>1</v>
      </c>
      <c r="E156" s="181">
        <v>0</v>
      </c>
      <c r="F156" s="181"/>
      <c r="G156" s="181"/>
      <c r="H156" s="181"/>
      <c r="I156" s="181"/>
      <c r="J156" s="181"/>
      <c r="K156" s="177">
        <v>2024</v>
      </c>
      <c r="L156" s="11"/>
      <c r="M156" s="181">
        <v>3</v>
      </c>
      <c r="N156" s="11" t="s">
        <v>862</v>
      </c>
      <c r="O156" s="181" t="s">
        <v>1281</v>
      </c>
      <c r="P156" s="189">
        <v>1</v>
      </c>
      <c r="Q156" s="189">
        <v>0.5</v>
      </c>
      <c r="R156" s="189">
        <v>0.75</v>
      </c>
      <c r="S156" s="181" t="s">
        <v>883</v>
      </c>
      <c r="T156" s="181" t="s">
        <v>1284</v>
      </c>
      <c r="U156" s="41"/>
      <c r="V156" s="41"/>
    </row>
    <row r="157" spans="1:22" x14ac:dyDescent="0.2">
      <c r="A157" s="41" t="s">
        <v>1285</v>
      </c>
      <c r="B157" s="11" t="str">
        <f>IF(AND(ISTEXT("https://dl.acm.org/doi/pdf/10.1145/3637229"),"https://dl.acm.org/doi/pdf/10.1145/3637229"&lt;&gt;""), HYPERLINK("https://dl.acm.org/doi/pdf/10.1145/3637229", "Link"),"-")</f>
        <v>Link</v>
      </c>
      <c r="C157" s="181" t="s">
        <v>856</v>
      </c>
      <c r="D157" s="181">
        <v>0.6</v>
      </c>
      <c r="E157" s="181">
        <v>1</v>
      </c>
      <c r="F157" s="181"/>
      <c r="G157" s="181"/>
      <c r="H157" s="181"/>
      <c r="I157" s="181"/>
      <c r="J157" s="181"/>
      <c r="K157" s="177">
        <v>2024</v>
      </c>
      <c r="L157" s="11"/>
      <c r="M157" s="181">
        <v>3</v>
      </c>
      <c r="N157" s="11" t="s">
        <v>862</v>
      </c>
      <c r="O157" s="181" t="s">
        <v>1281</v>
      </c>
      <c r="P157" s="189">
        <v>1</v>
      </c>
      <c r="Q157" s="189">
        <v>0.8</v>
      </c>
      <c r="R157" s="189">
        <v>0.9</v>
      </c>
      <c r="S157" s="181" t="s">
        <v>883</v>
      </c>
      <c r="T157" s="181" t="s">
        <v>1286</v>
      </c>
      <c r="U157" s="41"/>
      <c r="V157" s="41"/>
    </row>
    <row r="158" spans="1:22" x14ac:dyDescent="0.2">
      <c r="A158" s="41" t="s">
        <v>1287</v>
      </c>
      <c r="B158" s="11" t="str">
        <f>IF(AND(ISTEXT("FunFuzz: A Function-Oriented Fuzzer for Smart Contract Vulnerability Detection with High Effectiveness and Efficiency"),"FunFuzz: A Function-Oriented Fuzzer for Smart Contract Vulnerability Detection with High Effectiveness and Efficiency"&lt;&gt;""), HYPERLINK("FunFuzz: A Function-Oriented Fuzzer for Smart Contract Vulnerability Detection with High Effectiveness and Efficiency", "Link"),"-")</f>
        <v>Link</v>
      </c>
      <c r="C158" s="181" t="s">
        <v>856</v>
      </c>
      <c r="D158" s="181">
        <v>0</v>
      </c>
      <c r="E158" s="181">
        <v>1</v>
      </c>
      <c r="F158" s="181"/>
      <c r="G158" s="181"/>
      <c r="H158" s="181"/>
      <c r="I158" s="181"/>
      <c r="J158" s="181"/>
      <c r="K158" s="177">
        <v>2024</v>
      </c>
      <c r="L158" s="11"/>
      <c r="M158" s="181">
        <v>3</v>
      </c>
      <c r="N158" s="11" t="s">
        <v>862</v>
      </c>
      <c r="O158" s="181" t="s">
        <v>1281</v>
      </c>
      <c r="P158" s="189">
        <v>1</v>
      </c>
      <c r="Q158" s="189">
        <v>0.5</v>
      </c>
      <c r="R158" s="189">
        <v>0.75</v>
      </c>
      <c r="S158" s="181" t="s">
        <v>883</v>
      </c>
      <c r="T158" s="181" t="s">
        <v>1288</v>
      </c>
      <c r="U158" s="41"/>
      <c r="V158" s="41"/>
    </row>
    <row r="159" spans="1:22" x14ac:dyDescent="0.2">
      <c r="A159" s="41" t="s">
        <v>1289</v>
      </c>
      <c r="B159" s="11" t="str">
        <f>IF(AND(ISTEXT("https://link.springer.com/article/10.1007/s10515-024-00471-8"),"https://link.springer.com/article/10.1007/s10515-024-00471-8"&lt;&gt;""), HYPERLINK("https://link.springer.com/article/10.1007/s10515-024-00471-8", "Link"),"-")</f>
        <v>Link</v>
      </c>
      <c r="C159" s="181" t="s">
        <v>856</v>
      </c>
      <c r="D159" s="181">
        <v>0</v>
      </c>
      <c r="E159" s="181">
        <v>1</v>
      </c>
      <c r="F159" s="181"/>
      <c r="G159" s="181"/>
      <c r="H159" s="181"/>
      <c r="I159" s="181"/>
      <c r="J159" s="181"/>
      <c r="K159" s="177">
        <v>2024</v>
      </c>
      <c r="L159" s="11"/>
      <c r="M159" s="181">
        <v>3</v>
      </c>
      <c r="N159" s="181" t="s">
        <v>857</v>
      </c>
      <c r="O159" s="11" t="s">
        <v>1251</v>
      </c>
      <c r="P159" s="189">
        <v>1</v>
      </c>
      <c r="Q159" s="189">
        <v>0.5</v>
      </c>
      <c r="R159" s="189">
        <v>0.75</v>
      </c>
      <c r="S159" s="181" t="s">
        <v>1054</v>
      </c>
      <c r="T159" s="181" t="s">
        <v>1290</v>
      </c>
      <c r="U159" s="41"/>
      <c r="V159" s="41"/>
    </row>
    <row r="160" spans="1:22" x14ac:dyDescent="0.2">
      <c r="A160" s="41" t="s">
        <v>1291</v>
      </c>
      <c r="B160" s="11" t="str">
        <f>IF(AND(ISTEXT("https://link.springer.com/article/10.1007/s10664-024-10446-8"),"https://link.springer.com/article/10.1007/s10664-024-10446-8"&lt;&gt;""), HYPERLINK("https://link.springer.com/article/10.1007/s10664-024-10446-8", "Link"),"-")</f>
        <v>Link</v>
      </c>
      <c r="C160" s="181" t="s">
        <v>886</v>
      </c>
      <c r="D160" s="181">
        <v>0</v>
      </c>
      <c r="E160" s="181">
        <v>1</v>
      </c>
      <c r="F160" s="181">
        <v>1</v>
      </c>
      <c r="G160" s="181">
        <v>1</v>
      </c>
      <c r="H160" s="181">
        <v>0</v>
      </c>
      <c r="I160" s="181">
        <v>0</v>
      </c>
      <c r="J160" s="181">
        <v>1</v>
      </c>
      <c r="K160" s="177">
        <v>2024</v>
      </c>
      <c r="L160" s="11"/>
      <c r="M160" s="181">
        <v>2.2999999999999998</v>
      </c>
      <c r="N160" s="11" t="s">
        <v>862</v>
      </c>
      <c r="O160" s="181" t="s">
        <v>1292</v>
      </c>
      <c r="P160" s="189">
        <v>1</v>
      </c>
      <c r="Q160" s="189">
        <v>0.5</v>
      </c>
      <c r="R160" s="189">
        <v>0.75</v>
      </c>
      <c r="S160" s="181" t="s">
        <v>869</v>
      </c>
      <c r="T160" s="11" t="s">
        <v>2330</v>
      </c>
      <c r="U160" s="41"/>
      <c r="V160" s="41"/>
    </row>
    <row r="161" spans="1:22" x14ac:dyDescent="0.2">
      <c r="A161" s="41" t="s">
        <v>1293</v>
      </c>
      <c r="B161" s="11" t="str">
        <f>IF(AND(ISTEXT("https://link.springer.com/article/10.1007/s41870-024-01909-8"),"https://link.springer.com/article/10.1007/s41870-024-01909-8"&lt;&gt;""), HYPERLINK("https://link.springer.com/article/10.1007/s41870-024-01909-8", "Link"),"-")</f>
        <v>Link</v>
      </c>
      <c r="C161" s="181" t="s">
        <v>856</v>
      </c>
      <c r="D161" s="181">
        <v>0</v>
      </c>
      <c r="E161" s="181">
        <v>1</v>
      </c>
      <c r="F161" s="181"/>
      <c r="G161" s="181"/>
      <c r="H161" s="181"/>
      <c r="I161" s="181"/>
      <c r="J161" s="181"/>
      <c r="K161" s="177">
        <v>2024</v>
      </c>
      <c r="L161" s="11"/>
      <c r="M161" s="181">
        <v>3</v>
      </c>
      <c r="N161" s="11" t="s">
        <v>862</v>
      </c>
      <c r="O161" s="181" t="s">
        <v>1294</v>
      </c>
      <c r="P161" s="189">
        <v>1</v>
      </c>
      <c r="Q161" s="189">
        <v>0.5</v>
      </c>
      <c r="R161" s="189">
        <v>0.75</v>
      </c>
      <c r="S161" s="11" t="s">
        <v>1054</v>
      </c>
      <c r="T161" s="181" t="s">
        <v>1295</v>
      </c>
      <c r="V161" s="41"/>
    </row>
    <row r="162" spans="1:22" x14ac:dyDescent="0.2">
      <c r="A162" s="41" t="s">
        <v>1296</v>
      </c>
      <c r="B162" s="11" t="str">
        <f>IF(AND(ISTEXT("https://ieeexplore.ieee.org/abstract/document/10190543"),"https://ieeexplore.ieee.org/abstract/document/10190543"&lt;&gt;""), HYPERLINK("https://ieeexplore.ieee.org/abstract/document/10190543", "Link"),"-")</f>
        <v>Link</v>
      </c>
      <c r="C162" s="181" t="s">
        <v>856</v>
      </c>
      <c r="D162" s="181">
        <v>1</v>
      </c>
      <c r="E162" s="181">
        <v>1</v>
      </c>
      <c r="F162" s="181"/>
      <c r="G162" s="181"/>
      <c r="H162" s="181"/>
      <c r="I162" s="181"/>
      <c r="J162" s="181"/>
      <c r="K162" s="177">
        <v>2024</v>
      </c>
      <c r="L162" s="11"/>
      <c r="M162" s="181">
        <v>3</v>
      </c>
      <c r="N162" s="181" t="s">
        <v>857</v>
      </c>
      <c r="O162" s="181" t="s">
        <v>1297</v>
      </c>
      <c r="P162" s="189">
        <v>0.2</v>
      </c>
      <c r="Q162" s="189">
        <v>1</v>
      </c>
      <c r="R162" s="189">
        <v>0.6</v>
      </c>
      <c r="S162" s="11" t="s">
        <v>1054</v>
      </c>
      <c r="T162" s="181" t="s">
        <v>1298</v>
      </c>
      <c r="U162" s="41"/>
      <c r="V162" s="41"/>
    </row>
    <row r="163" spans="1:22" x14ac:dyDescent="0.2">
      <c r="A163" s="41" t="s">
        <v>1299</v>
      </c>
      <c r="B163" s="11" t="str">
        <f>IF(AND(ISTEXT("https://arxiv.org/abs/2401.00650"),"https://arxiv.org/abs/2401.00650"&lt;&gt;""), HYPERLINK("https://arxiv.org/abs/2401.00650", "Link"),"-")</f>
        <v>Link</v>
      </c>
      <c r="C163" s="181" t="s">
        <v>856</v>
      </c>
      <c r="D163" s="181">
        <v>0.6</v>
      </c>
      <c r="E163" s="181">
        <v>1</v>
      </c>
      <c r="F163" s="181"/>
      <c r="G163" s="181"/>
      <c r="H163" s="181"/>
      <c r="I163" s="181"/>
      <c r="J163" s="181"/>
      <c r="K163" s="177">
        <v>2024</v>
      </c>
      <c r="L163" s="11"/>
      <c r="M163" s="181">
        <v>3</v>
      </c>
      <c r="N163" s="11" t="s">
        <v>993</v>
      </c>
      <c r="O163" s="181" t="s">
        <v>1233</v>
      </c>
      <c r="P163" s="189">
        <v>0.2</v>
      </c>
      <c r="Q163" s="189">
        <v>0.8</v>
      </c>
      <c r="R163" s="189">
        <v>0.5</v>
      </c>
      <c r="S163" s="181" t="s">
        <v>1054</v>
      </c>
      <c r="T163" s="181" t="s">
        <v>1300</v>
      </c>
      <c r="U163" s="41"/>
      <c r="V163" s="41"/>
    </row>
    <row r="164" spans="1:22" x14ac:dyDescent="0.2">
      <c r="A164" s="41" t="s">
        <v>1301</v>
      </c>
      <c r="B164" s="11" t="str">
        <f>IF(AND(ISTEXT("https://ieeexplore.ieee.org/abstract/document/10172623"),"https://ieeexplore.ieee.org/abstract/document/10172623"&lt;&gt;""), HYPERLINK("https://ieeexplore.ieee.org/abstract/document/10172623", "Link"),"-")</f>
        <v>Link</v>
      </c>
      <c r="C164" s="181" t="s">
        <v>886</v>
      </c>
      <c r="D164" s="176">
        <v>0</v>
      </c>
      <c r="E164" s="176">
        <v>0.6</v>
      </c>
      <c r="F164" s="176">
        <v>0.3</v>
      </c>
      <c r="G164" s="176">
        <v>0.3</v>
      </c>
      <c r="H164" s="176">
        <v>0.6</v>
      </c>
      <c r="I164" s="176">
        <v>1</v>
      </c>
      <c r="J164" s="176">
        <v>1</v>
      </c>
      <c r="K164" s="177">
        <v>2023</v>
      </c>
      <c r="L164" s="11"/>
      <c r="M164" s="11" t="s">
        <v>2554</v>
      </c>
      <c r="N164" s="181" t="s">
        <v>857</v>
      </c>
      <c r="O164" s="181" t="s">
        <v>1302</v>
      </c>
      <c r="P164" s="189">
        <v>1</v>
      </c>
      <c r="Q164" s="189">
        <v>0.54285714285714282</v>
      </c>
      <c r="R164" s="189">
        <v>0.77142857142857135</v>
      </c>
      <c r="S164" s="181" t="s">
        <v>883</v>
      </c>
      <c r="T164" s="11" t="s">
        <v>1303</v>
      </c>
    </row>
    <row r="165" spans="1:22" x14ac:dyDescent="0.2">
      <c r="A165" t="s">
        <v>1304</v>
      </c>
      <c r="B165" s="11" t="str">
        <f>IF(AND(ISTEXT("https://dl.acm.org/doi/abs/10.1145/3551349.3559539"),"https://dl.acm.org/doi/abs/10.1145/3551349.3559539"&lt;&gt;""), HYPERLINK("https://dl.acm.org/doi/abs/10.1145/3551349.3559539", "Link"),"-")</f>
        <v>Link</v>
      </c>
      <c r="C165" s="181" t="s">
        <v>856</v>
      </c>
      <c r="D165" s="176">
        <v>1</v>
      </c>
      <c r="E165" s="181">
        <v>1</v>
      </c>
      <c r="F165" s="176"/>
      <c r="G165" s="176"/>
      <c r="H165" s="176"/>
      <c r="I165" s="176"/>
      <c r="J165" s="176"/>
      <c r="K165" s="177">
        <v>2022</v>
      </c>
      <c r="L165" s="11"/>
      <c r="M165" s="181">
        <v>3</v>
      </c>
      <c r="N165" s="181" t="s">
        <v>857</v>
      </c>
      <c r="O165" s="181" t="s">
        <v>1305</v>
      </c>
      <c r="P165" s="189">
        <v>1</v>
      </c>
      <c r="Q165" s="189">
        <v>1</v>
      </c>
      <c r="R165" s="189">
        <v>1</v>
      </c>
      <c r="S165" s="181" t="s">
        <v>873</v>
      </c>
      <c r="T165" s="11" t="s">
        <v>1306</v>
      </c>
    </row>
    <row r="166" spans="1:22" x14ac:dyDescent="0.2">
      <c r="A166" t="s">
        <v>1307</v>
      </c>
      <c r="B166" s="11" t="str">
        <f>IF(AND(ISTEXT("https://dl.acm.org/doi/abs/10.1145/3510454.3516855"),"https://dl.acm.org/doi/abs/10.1145/3510454.3516855"&lt;&gt;""), HYPERLINK("https://dl.acm.org/doi/abs/10.1145/3510454.3516855", "Link"),"-")</f>
        <v>Link</v>
      </c>
      <c r="C166" s="11" t="s">
        <v>856</v>
      </c>
      <c r="D166" s="11">
        <v>1</v>
      </c>
      <c r="E166" s="11">
        <v>1</v>
      </c>
      <c r="F166" s="11"/>
      <c r="G166" s="11"/>
      <c r="H166" s="11"/>
      <c r="I166" s="11"/>
      <c r="J166" s="11"/>
      <c r="K166" s="177">
        <v>2022</v>
      </c>
      <c r="L166" s="11"/>
      <c r="M166" s="181">
        <v>3</v>
      </c>
      <c r="N166" s="11" t="s">
        <v>857</v>
      </c>
      <c r="O166" s="11" t="s">
        <v>1308</v>
      </c>
      <c r="P166" s="186">
        <v>1</v>
      </c>
      <c r="Q166" s="186">
        <v>1</v>
      </c>
      <c r="R166" s="186">
        <v>1</v>
      </c>
      <c r="S166" s="11" t="s">
        <v>883</v>
      </c>
      <c r="T166" s="11" t="s">
        <v>1309</v>
      </c>
    </row>
    <row r="167" spans="1:22" x14ac:dyDescent="0.2">
      <c r="A167" t="s">
        <v>1310</v>
      </c>
      <c r="B167" s="11" t="str">
        <f>IF(AND(ISTEXT("https://dl.acm.org/doi/10.1145/3460319.3464837"),"https://dl.acm.org/doi/10.1145/3460319.3464837"&lt;&gt;""), HYPERLINK("https://dl.acm.org/doi/10.1145/3460319.3464837", "Link"),"-")</f>
        <v>Link</v>
      </c>
      <c r="C167" s="181" t="s">
        <v>886</v>
      </c>
      <c r="D167" s="176">
        <v>0</v>
      </c>
      <c r="E167" s="176">
        <v>0.6</v>
      </c>
      <c r="F167" s="176">
        <v>0.3</v>
      </c>
      <c r="G167" s="176">
        <v>0.6</v>
      </c>
      <c r="H167" s="176">
        <v>1</v>
      </c>
      <c r="I167" s="176">
        <v>1</v>
      </c>
      <c r="J167" s="176">
        <v>0</v>
      </c>
      <c r="K167" s="177">
        <v>2021</v>
      </c>
      <c r="L167" s="11"/>
      <c r="M167" s="181">
        <v>2.2999999999999998</v>
      </c>
      <c r="N167" s="11" t="s">
        <v>857</v>
      </c>
      <c r="O167" s="11" t="s">
        <v>1311</v>
      </c>
      <c r="P167" s="187">
        <v>1</v>
      </c>
      <c r="Q167" s="186">
        <v>0.5</v>
      </c>
      <c r="R167" s="186">
        <v>0.75</v>
      </c>
      <c r="S167" s="181" t="s">
        <v>873</v>
      </c>
      <c r="T167" s="11" t="s">
        <v>1312</v>
      </c>
    </row>
    <row r="168" spans="1:22" x14ac:dyDescent="0.2">
      <c r="A168" t="s">
        <v>1313</v>
      </c>
      <c r="B168" s="11" t="str">
        <f>IF(AND(ISTEXT("https://dl.acm.org/doi/abs/10.1145/3597503.3623335"),"https://dl.acm.org/doi/abs/10.1145/3597503.3623335"&lt;&gt;""), HYPERLINK("https://dl.acm.org/doi/abs/10.1145/3597503.3623335", "Link"),"-")</f>
        <v>Link</v>
      </c>
      <c r="C168" s="11" t="s">
        <v>886</v>
      </c>
      <c r="D168" s="183">
        <v>0</v>
      </c>
      <c r="E168" s="183">
        <v>0.6</v>
      </c>
      <c r="F168" s="183">
        <v>0.6</v>
      </c>
      <c r="G168" s="183">
        <v>0</v>
      </c>
      <c r="H168" s="183">
        <v>0</v>
      </c>
      <c r="I168" s="183">
        <v>1</v>
      </c>
      <c r="J168" s="183">
        <v>1</v>
      </c>
      <c r="K168" s="177">
        <v>2024</v>
      </c>
      <c r="L168" s="11"/>
      <c r="M168" s="181">
        <v>2.2999999999999998</v>
      </c>
      <c r="N168" s="11" t="s">
        <v>857</v>
      </c>
      <c r="O168" s="11" t="s">
        <v>1233</v>
      </c>
      <c r="P168" s="186">
        <v>1</v>
      </c>
      <c r="Q168" s="186">
        <v>0.53333333333333333</v>
      </c>
      <c r="R168" s="186">
        <v>0.76666666666666661</v>
      </c>
      <c r="S168" s="181" t="s">
        <v>883</v>
      </c>
      <c r="T168" s="11" t="s">
        <v>1314</v>
      </c>
    </row>
    <row r="169" spans="1:22" x14ac:dyDescent="0.2">
      <c r="A169" t="s">
        <v>1315</v>
      </c>
      <c r="B169" s="11" t="str">
        <f>IF(AND(ISTEXT("https://dl.acm.org/doi/abs/10.1145/3597503.3639140"),"https://dl.acm.org/doi/abs/10.1145/3597503.3639140"&lt;&gt;""), HYPERLINK("https://dl.acm.org/doi/abs/10.1145/3597503.3639140", "Link"),"-")</f>
        <v>Link</v>
      </c>
      <c r="C169" s="11" t="s">
        <v>856</v>
      </c>
      <c r="D169" s="176">
        <v>0</v>
      </c>
      <c r="E169" s="176">
        <v>1</v>
      </c>
      <c r="F169" s="176"/>
      <c r="G169" s="176"/>
      <c r="H169" s="176"/>
      <c r="I169" s="176"/>
      <c r="J169" s="176"/>
      <c r="K169" s="177">
        <v>2024</v>
      </c>
      <c r="L169" s="11"/>
      <c r="M169" s="11">
        <v>3</v>
      </c>
      <c r="N169" s="11" t="s">
        <v>857</v>
      </c>
      <c r="O169" s="11" t="s">
        <v>1233</v>
      </c>
      <c r="P169" s="186">
        <v>1</v>
      </c>
      <c r="Q169" s="186">
        <v>0.5</v>
      </c>
      <c r="R169" s="186">
        <v>0.75</v>
      </c>
      <c r="S169" s="11" t="s">
        <v>1054</v>
      </c>
      <c r="T169" s="11" t="s">
        <v>1316</v>
      </c>
    </row>
    <row r="170" spans="1:22" x14ac:dyDescent="0.2">
      <c r="A170" t="s">
        <v>1317</v>
      </c>
      <c r="B170" s="11" t="str">
        <f>IF(AND(ISTEXT("https://ieeexplore.ieee.org/abstract/document/10486822"),"https://ieeexplore.ieee.org/abstract/document/10486822"&lt;&gt;""), HYPERLINK("https://ieeexplore.ieee.org/abstract/document/10486822", "Link"),"-")</f>
        <v>Link</v>
      </c>
      <c r="C170" s="11" t="s">
        <v>886</v>
      </c>
      <c r="D170" s="183">
        <v>0</v>
      </c>
      <c r="E170" s="183">
        <v>0.6</v>
      </c>
      <c r="F170" s="183">
        <v>0.6</v>
      </c>
      <c r="G170" s="176">
        <v>0.3</v>
      </c>
      <c r="H170" s="176">
        <v>0.6</v>
      </c>
      <c r="I170" s="183">
        <v>1</v>
      </c>
      <c r="J170" s="183">
        <v>1</v>
      </c>
      <c r="K170" s="177">
        <v>2024</v>
      </c>
      <c r="L170" s="11"/>
      <c r="M170" s="181">
        <v>2.2999999999999998</v>
      </c>
      <c r="N170" s="11" t="s">
        <v>862</v>
      </c>
      <c r="O170" s="11" t="s">
        <v>1318</v>
      </c>
      <c r="P170" s="186">
        <v>1</v>
      </c>
      <c r="Q170" s="186">
        <v>0.58571428571428563</v>
      </c>
      <c r="R170" s="186">
        <v>0.79285714285714282</v>
      </c>
      <c r="S170" s="11" t="s">
        <v>1054</v>
      </c>
      <c r="T170" s="11" t="s">
        <v>1319</v>
      </c>
    </row>
    <row r="171" spans="1:22" x14ac:dyDescent="0.2">
      <c r="A171" t="s">
        <v>1320</v>
      </c>
      <c r="B171" s="11" t="str">
        <f>IF(AND(ISTEXT("https://dl.acm.org/doi/abs/10.1145/3643738"),"https://dl.acm.org/doi/abs/10.1145/3643738"&lt;&gt;""), HYPERLINK("https://dl.acm.org/doi/abs/10.1145/3643738", "Link"),"-")</f>
        <v>Link</v>
      </c>
      <c r="C171" s="11" t="s">
        <v>856</v>
      </c>
      <c r="D171" s="11">
        <v>0.3</v>
      </c>
      <c r="E171" s="11">
        <v>1</v>
      </c>
      <c r="F171" s="11"/>
      <c r="G171" s="11"/>
      <c r="H171" s="11"/>
      <c r="I171" s="11"/>
      <c r="J171" s="11"/>
      <c r="K171" s="177">
        <v>2024</v>
      </c>
      <c r="L171" s="11"/>
      <c r="M171" s="11">
        <v>3</v>
      </c>
      <c r="N171" s="11" t="s">
        <v>857</v>
      </c>
      <c r="O171" s="11" t="s">
        <v>1266</v>
      </c>
      <c r="P171" s="186">
        <v>1</v>
      </c>
      <c r="Q171" s="186">
        <v>0.65</v>
      </c>
      <c r="R171" s="186">
        <v>0.82499999999999996</v>
      </c>
      <c r="S171" s="11" t="s">
        <v>1054</v>
      </c>
      <c r="T171" s="11" t="s">
        <v>1321</v>
      </c>
    </row>
    <row r="172" spans="1:22" x14ac:dyDescent="0.2">
      <c r="A172" t="s">
        <v>1322</v>
      </c>
      <c r="B172" s="11" t="str">
        <f>IF(AND(ISTEXT("https://dl.acm.org/doi/abs/10.1145/3643734"),"https://dl.acm.org/doi/abs/10.1145/3643734"&lt;&gt;""), HYPERLINK("https://dl.acm.org/doi/abs/10.1145/3643734", "Link"),"-")</f>
        <v>Link</v>
      </c>
      <c r="C172" s="11" t="s">
        <v>856</v>
      </c>
      <c r="D172" s="11">
        <v>0.3</v>
      </c>
      <c r="E172" s="11">
        <v>1</v>
      </c>
      <c r="F172" s="11"/>
      <c r="G172" s="11"/>
      <c r="H172" s="11"/>
      <c r="I172" s="11"/>
      <c r="J172" s="11"/>
      <c r="K172" s="177">
        <v>2024</v>
      </c>
      <c r="L172" s="11"/>
      <c r="M172" s="11">
        <v>3</v>
      </c>
      <c r="N172" s="11" t="s">
        <v>857</v>
      </c>
      <c r="O172" s="11" t="s">
        <v>1266</v>
      </c>
      <c r="P172" s="186">
        <v>1</v>
      </c>
      <c r="Q172" s="186">
        <v>0.65</v>
      </c>
      <c r="R172" s="186">
        <v>0.82499999999999996</v>
      </c>
      <c r="S172" s="11" t="s">
        <v>1054</v>
      </c>
      <c r="T172" s="11" t="s">
        <v>1323</v>
      </c>
    </row>
    <row r="173" spans="1:22" x14ac:dyDescent="0.2">
      <c r="A173" s="41" t="s">
        <v>1324</v>
      </c>
      <c r="B173" s="11" t="str">
        <f>IF(AND(ISTEXT("https://dl.acm.org/doi/abs/10.1145/3460319.3469076"),"https://dl.acm.org/doi/abs/10.1145/3460319.3469076"&lt;&gt;""), HYPERLINK("https://dl.acm.org/doi/abs/10.1145/3460319.3469076", "Link"),"-")</f>
        <v>Link</v>
      </c>
      <c r="C173" s="11" t="s">
        <v>856</v>
      </c>
      <c r="D173" s="184">
        <v>0.3</v>
      </c>
      <c r="E173" s="184">
        <v>1</v>
      </c>
      <c r="F173" s="184"/>
      <c r="G173" s="184"/>
      <c r="H173" s="184"/>
      <c r="I173" s="184"/>
      <c r="J173" s="184"/>
      <c r="K173" s="177">
        <v>2021</v>
      </c>
      <c r="L173" s="11"/>
      <c r="M173" s="181">
        <v>2.2999999999999998</v>
      </c>
      <c r="N173" s="181" t="s">
        <v>857</v>
      </c>
      <c r="O173" s="181" t="s">
        <v>1311</v>
      </c>
      <c r="P173" s="189">
        <v>1</v>
      </c>
      <c r="Q173" s="189">
        <v>0.7</v>
      </c>
      <c r="R173" s="189">
        <v>0.83</v>
      </c>
      <c r="S173" s="11" t="s">
        <v>873</v>
      </c>
      <c r="T173" s="11" t="s">
        <v>1325</v>
      </c>
    </row>
    <row r="174" spans="1:22" x14ac:dyDescent="0.2">
      <c r="A174" t="s">
        <v>1326</v>
      </c>
      <c r="B174" s="11" t="str">
        <f>IF(AND(ISTEXT("https://ieeexplore.ieee.org/document/9724805"),"https://ieeexplore.ieee.org/document/9724805"&lt;&gt;""), HYPERLINK("https://ieeexplore.ieee.org/document/9724805", "Link"),"-")</f>
        <v>Link</v>
      </c>
      <c r="C174" s="11" t="s">
        <v>856</v>
      </c>
      <c r="D174" s="176">
        <v>0.6</v>
      </c>
      <c r="E174" s="176">
        <v>1</v>
      </c>
      <c r="F174" s="176"/>
      <c r="G174" s="176"/>
      <c r="H174" s="176"/>
      <c r="I174" s="176"/>
      <c r="J174" s="176"/>
      <c r="K174" s="177">
        <v>2021</v>
      </c>
      <c r="L174" s="11"/>
      <c r="M174" s="11">
        <v>1.2</v>
      </c>
      <c r="N174" s="11" t="s">
        <v>857</v>
      </c>
      <c r="O174" s="11" t="s">
        <v>1087</v>
      </c>
      <c r="P174" s="187">
        <v>0.5</v>
      </c>
      <c r="Q174" s="186">
        <v>0.8</v>
      </c>
      <c r="R174" s="186">
        <v>0.65</v>
      </c>
      <c r="S174" s="11" t="s">
        <v>873</v>
      </c>
      <c r="T174" s="11" t="s">
        <v>1327</v>
      </c>
    </row>
    <row r="175" spans="1:22" x14ac:dyDescent="0.2">
      <c r="A175" t="s">
        <v>1328</v>
      </c>
      <c r="B175" s="11" t="str">
        <f>IF(AND(ISTEXT("https://dl.acm.org/doi/abs/10.1145/3533767.3534372"),"https://dl.acm.org/doi/abs/10.1145/3533767.3534372"&lt;&gt;""), HYPERLINK("https://dl.acm.org/doi/abs/10.1145/3533767.3534372", "Link"),"-")</f>
        <v>Link</v>
      </c>
      <c r="C175" s="11" t="s">
        <v>856</v>
      </c>
      <c r="D175" s="11">
        <v>1</v>
      </c>
      <c r="E175" s="11">
        <v>1</v>
      </c>
      <c r="F175" s="11"/>
      <c r="G175" s="11"/>
      <c r="H175" s="11"/>
      <c r="I175" s="11"/>
      <c r="J175" s="11"/>
      <c r="K175" s="177">
        <v>2022</v>
      </c>
      <c r="L175" s="11"/>
      <c r="M175" s="11" t="s">
        <v>867</v>
      </c>
      <c r="N175" s="11" t="s">
        <v>857</v>
      </c>
      <c r="O175" s="11" t="s">
        <v>1329</v>
      </c>
      <c r="P175" s="186">
        <v>1</v>
      </c>
      <c r="Q175" s="186">
        <v>1</v>
      </c>
      <c r="R175" s="186">
        <v>1</v>
      </c>
      <c r="S175" s="11" t="s">
        <v>883</v>
      </c>
      <c r="T175" s="11" t="s">
        <v>1330</v>
      </c>
    </row>
    <row r="176" spans="1:22" x14ac:dyDescent="0.2">
      <c r="A176" t="s">
        <v>1331</v>
      </c>
      <c r="B176" s="11" t="str">
        <f>IF(AND(ISTEXT("https://ieeexplore.ieee.org/abstract/document/9426396"),"https://ieeexplore.ieee.org/abstract/document/9426396"&lt;&gt;""), HYPERLINK("https://ieeexplore.ieee.org/abstract/document/9426396", "Link"),"-")</f>
        <v>Link</v>
      </c>
      <c r="C176" s="11" t="s">
        <v>856</v>
      </c>
      <c r="D176" s="11">
        <v>1</v>
      </c>
      <c r="E176" s="11">
        <v>1</v>
      </c>
      <c r="F176" s="11"/>
      <c r="G176" s="11"/>
      <c r="H176" s="11"/>
      <c r="I176" s="11"/>
      <c r="J176" s="11"/>
      <c r="K176" s="177">
        <v>2022</v>
      </c>
      <c r="L176" s="11"/>
      <c r="M176" s="11" t="s">
        <v>867</v>
      </c>
      <c r="N176" s="11" t="s">
        <v>862</v>
      </c>
      <c r="O176" s="11" t="s">
        <v>1332</v>
      </c>
      <c r="P176" s="186">
        <v>1</v>
      </c>
      <c r="Q176" s="186">
        <v>1</v>
      </c>
      <c r="R176" s="186">
        <v>1</v>
      </c>
      <c r="S176" s="11" t="s">
        <v>873</v>
      </c>
      <c r="T176" s="11" t="s">
        <v>1333</v>
      </c>
    </row>
    <row r="177" spans="1:21" x14ac:dyDescent="0.2">
      <c r="A177" t="s">
        <v>1334</v>
      </c>
      <c r="B177" s="11" t="str">
        <f>IF(AND(ISTEXT("https://ieeexplore.ieee.org/abstract/document/9678932"),"https://ieeexplore.ieee.org/abstract/document/9678932"&lt;&gt;""), HYPERLINK("https://ieeexplore.ieee.org/abstract/document/9678932", "Link"),"-")</f>
        <v>Link</v>
      </c>
      <c r="C177" s="11" t="s">
        <v>856</v>
      </c>
      <c r="D177" s="11">
        <v>1</v>
      </c>
      <c r="E177" s="11">
        <v>1</v>
      </c>
      <c r="F177" s="11"/>
      <c r="G177" s="11"/>
      <c r="H177" s="11"/>
      <c r="I177" s="11"/>
      <c r="J177" s="11"/>
      <c r="K177" s="177">
        <v>2021</v>
      </c>
      <c r="L177" s="11"/>
      <c r="M177" s="11">
        <v>3</v>
      </c>
      <c r="N177" s="11" t="s">
        <v>857</v>
      </c>
      <c r="O177" s="11" t="s">
        <v>1335</v>
      </c>
      <c r="P177" s="186">
        <v>1</v>
      </c>
      <c r="Q177" s="186">
        <v>1</v>
      </c>
      <c r="R177" s="186">
        <v>1</v>
      </c>
      <c r="S177" s="11" t="s">
        <v>883</v>
      </c>
      <c r="T177" s="11" t="s">
        <v>1336</v>
      </c>
    </row>
    <row r="178" spans="1:21" x14ac:dyDescent="0.2">
      <c r="A178" t="s">
        <v>1337</v>
      </c>
      <c r="B178" s="11" t="str">
        <f>IF(AND(ISTEXT("https://ieeexplore.ieee.org/document/8979435"),"https://ieeexplore.ieee.org/document/8979435"&lt;&gt;""), HYPERLINK("https://ieeexplore.ieee.org/document/8979435", "Link"),"-")</f>
        <v>Link</v>
      </c>
      <c r="C178" s="11" t="s">
        <v>856</v>
      </c>
      <c r="D178" s="176">
        <v>1</v>
      </c>
      <c r="E178" s="176">
        <v>1</v>
      </c>
      <c r="F178" s="176"/>
      <c r="G178" s="176"/>
      <c r="H178" s="176"/>
      <c r="I178" s="176"/>
      <c r="J178" s="176"/>
      <c r="K178" s="177">
        <v>2021</v>
      </c>
      <c r="L178" s="11"/>
      <c r="M178" s="11" t="s">
        <v>867</v>
      </c>
      <c r="N178" s="11" t="s">
        <v>862</v>
      </c>
      <c r="O178" s="11" t="s">
        <v>1338</v>
      </c>
      <c r="P178" s="186">
        <v>1</v>
      </c>
      <c r="Q178" s="186">
        <v>1</v>
      </c>
      <c r="R178" s="186">
        <v>1</v>
      </c>
      <c r="S178" s="11" t="s">
        <v>873</v>
      </c>
      <c r="T178" s="11" t="s">
        <v>1339</v>
      </c>
    </row>
    <row r="179" spans="1:21" x14ac:dyDescent="0.2">
      <c r="A179" t="s">
        <v>1340</v>
      </c>
      <c r="B179" s="11" t="str">
        <f>IF(AND(ISTEXT("https://ieeexplore.ieee.org/abstract/document/10531111"),"https://ieeexplore.ieee.org/abstract/document/10531111"&lt;&gt;""), HYPERLINK("https://ieeexplore.ieee.org/abstract/document/10531111", "Link"),"-")</f>
        <v>Link</v>
      </c>
      <c r="C179" s="11" t="s">
        <v>856</v>
      </c>
      <c r="D179" s="11">
        <v>0</v>
      </c>
      <c r="E179" s="11">
        <v>1</v>
      </c>
      <c r="F179" s="11"/>
      <c r="G179" s="11"/>
      <c r="H179" s="11"/>
      <c r="I179" s="11"/>
      <c r="J179" s="11"/>
      <c r="K179" s="177">
        <v>2024</v>
      </c>
      <c r="L179" s="11"/>
      <c r="M179" s="11" t="s">
        <v>867</v>
      </c>
      <c r="N179" s="11" t="s">
        <v>862</v>
      </c>
      <c r="O179" s="11" t="s">
        <v>1341</v>
      </c>
      <c r="P179" s="186">
        <v>1</v>
      </c>
      <c r="Q179" s="186">
        <v>0.5</v>
      </c>
      <c r="R179" s="186">
        <v>0.75</v>
      </c>
      <c r="S179" s="11" t="s">
        <v>1054</v>
      </c>
      <c r="T179" s="11" t="s">
        <v>1342</v>
      </c>
    </row>
    <row r="180" spans="1:21" x14ac:dyDescent="0.2">
      <c r="A180" t="s">
        <v>1343</v>
      </c>
      <c r="B180" s="11" t="str">
        <f>IF(AND(ISTEXT("https://ieeexplore.ieee.org/abstract/document/10684841"),"https://ieeexplore.ieee.org/abstract/document/10684841"&lt;&gt;""), HYPERLINK("https://ieeexplore.ieee.org/abstract/document/10684841", "Link"),"-")</f>
        <v>Link</v>
      </c>
      <c r="C180" s="11" t="s">
        <v>856</v>
      </c>
      <c r="D180" s="11">
        <v>0</v>
      </c>
      <c r="E180" s="11">
        <v>1</v>
      </c>
      <c r="F180" s="11"/>
      <c r="G180" s="11"/>
      <c r="H180" s="11"/>
      <c r="I180" s="11"/>
      <c r="J180" s="11"/>
      <c r="K180" s="177">
        <v>2024</v>
      </c>
      <c r="L180" s="11"/>
      <c r="M180" s="11" t="s">
        <v>867</v>
      </c>
      <c r="N180" s="11" t="s">
        <v>862</v>
      </c>
      <c r="O180" s="11" t="s">
        <v>1341</v>
      </c>
      <c r="P180" s="186">
        <v>1</v>
      </c>
      <c r="Q180" s="186">
        <v>0.5</v>
      </c>
      <c r="R180" s="186">
        <v>0.75</v>
      </c>
      <c r="S180" s="11" t="s">
        <v>1054</v>
      </c>
      <c r="T180" s="11" t="s">
        <v>1344</v>
      </c>
    </row>
    <row r="181" spans="1:21" x14ac:dyDescent="0.2">
      <c r="A181" s="41" t="s">
        <v>1345</v>
      </c>
      <c r="B181" s="11" t="str">
        <f>IF(AND(ISTEXT("https://dl.acm.org/doi/pdf/10.1145/3650212.3680303"),"https://dl.acm.org/doi/pdf/10.1145/3650212.3680303"&lt;&gt;""), HYPERLINK("https://dl.acm.org/doi/pdf/10.1145/3650212.3680303", "Link"),"-")</f>
        <v>Link</v>
      </c>
      <c r="C181" s="181" t="s">
        <v>856</v>
      </c>
      <c r="D181" s="181">
        <v>0</v>
      </c>
      <c r="E181" s="181">
        <v>1</v>
      </c>
      <c r="F181" s="181"/>
      <c r="G181" s="181"/>
      <c r="H181" s="181"/>
      <c r="I181" s="181"/>
      <c r="J181" s="181"/>
      <c r="K181" s="177">
        <v>2024</v>
      </c>
      <c r="L181" s="11"/>
      <c r="M181" s="181">
        <v>3</v>
      </c>
      <c r="N181" s="181" t="s">
        <v>857</v>
      </c>
      <c r="O181" s="11" t="s">
        <v>1270</v>
      </c>
      <c r="P181" s="189">
        <v>1</v>
      </c>
      <c r="Q181" s="189">
        <v>0.5</v>
      </c>
      <c r="R181" s="189">
        <v>0.75</v>
      </c>
      <c r="S181" s="11" t="s">
        <v>883</v>
      </c>
      <c r="T181" s="11" t="s">
        <v>1346</v>
      </c>
    </row>
    <row r="182" spans="1:21" x14ac:dyDescent="0.2">
      <c r="A182" t="s">
        <v>1347</v>
      </c>
      <c r="B182" s="11" t="str">
        <f>IF(AND(ISTEXT("https://link.springer.com/article/10.1007/s10664-025-10623-3"),"https://link.springer.com/article/10.1007/s10664-025-10623-3"&lt;&gt;""), HYPERLINK("https://link.springer.com/article/10.1007/s10664-025-10623-3", "Link"),"-")</f>
        <v>Link</v>
      </c>
      <c r="C182" s="181" t="s">
        <v>856</v>
      </c>
      <c r="D182" s="181">
        <v>0</v>
      </c>
      <c r="E182" s="181">
        <v>1</v>
      </c>
      <c r="F182" s="176"/>
      <c r="G182" s="176"/>
      <c r="H182" s="176"/>
      <c r="I182" s="176"/>
      <c r="J182" s="176"/>
      <c r="K182" s="177">
        <v>2025</v>
      </c>
      <c r="L182" s="11"/>
      <c r="M182" s="11" t="s">
        <v>867</v>
      </c>
      <c r="N182" s="11" t="s">
        <v>862</v>
      </c>
      <c r="O182" s="181" t="s">
        <v>1292</v>
      </c>
      <c r="P182" s="189">
        <v>1</v>
      </c>
      <c r="Q182" s="189">
        <v>0.5</v>
      </c>
      <c r="R182" s="189">
        <v>0.75</v>
      </c>
      <c r="S182" s="11" t="s">
        <v>1054</v>
      </c>
      <c r="T182" s="11" t="s">
        <v>1348</v>
      </c>
    </row>
    <row r="183" spans="1:21" x14ac:dyDescent="0.2">
      <c r="A183" t="s">
        <v>2141</v>
      </c>
      <c r="B183" s="11" t="str">
        <f>IF(AND(ISTEXT("https://doi.org/10.1145/3641846"),"https://doi.org/10.1145/3641846"&lt;&gt;""), HYPERLINK("https://doi.org/10.1145/3641846", "Link"),"-")</f>
        <v>Link</v>
      </c>
      <c r="C183" s="11" t="s">
        <v>856</v>
      </c>
      <c r="D183" s="11">
        <v>0.6</v>
      </c>
      <c r="E183" s="11">
        <v>1</v>
      </c>
      <c r="F183" s="11"/>
      <c r="G183" s="11"/>
      <c r="H183" s="11"/>
      <c r="I183" s="11"/>
      <c r="J183" s="11"/>
      <c r="K183" s="177">
        <v>2024</v>
      </c>
      <c r="L183" s="11"/>
      <c r="M183" s="11" t="s">
        <v>867</v>
      </c>
      <c r="N183" s="11" t="s">
        <v>862</v>
      </c>
      <c r="O183" s="11" t="s">
        <v>1281</v>
      </c>
      <c r="P183" s="186">
        <v>1</v>
      </c>
      <c r="Q183" s="186">
        <v>0.8</v>
      </c>
      <c r="R183" s="186">
        <v>0.9</v>
      </c>
      <c r="S183" s="11" t="s">
        <v>1054</v>
      </c>
      <c r="T183" s="11" t="s">
        <v>2211</v>
      </c>
    </row>
    <row r="184" spans="1:21" x14ac:dyDescent="0.2">
      <c r="A184" t="s">
        <v>2142</v>
      </c>
      <c r="B184" s="11" t="str">
        <f>IF(AND(ISTEXT("https://www.sciencedirect.com/science/article/pii/S1084804524001619"),"https://www.sciencedirect.com/science/article/pii/S1084804524001619"&lt;&gt;""), HYPERLINK("https://www.sciencedirect.com/science/article/pii/S1084804524001619", "Link"),"-")</f>
        <v>Link</v>
      </c>
      <c r="C184" s="11" t="s">
        <v>856</v>
      </c>
      <c r="D184" s="181">
        <v>0</v>
      </c>
      <c r="E184" s="181">
        <v>1</v>
      </c>
      <c r="F184" s="11"/>
      <c r="G184" s="11"/>
      <c r="H184" s="11"/>
      <c r="I184" s="11"/>
      <c r="J184" s="11"/>
      <c r="K184" s="177">
        <v>2024</v>
      </c>
      <c r="L184" s="11"/>
      <c r="M184" s="11" t="s">
        <v>867</v>
      </c>
      <c r="N184" s="11" t="s">
        <v>862</v>
      </c>
      <c r="O184" s="11" t="s">
        <v>2143</v>
      </c>
      <c r="P184" s="186">
        <v>1</v>
      </c>
      <c r="Q184" s="186">
        <v>0.5</v>
      </c>
      <c r="R184" s="186">
        <v>0.75</v>
      </c>
      <c r="S184" s="11" t="s">
        <v>1054</v>
      </c>
      <c r="T184" s="11" t="s">
        <v>2215</v>
      </c>
    </row>
    <row r="185" spans="1:21" x14ac:dyDescent="0.2">
      <c r="A185" t="s">
        <v>2144</v>
      </c>
      <c r="B185" s="11" t="str">
        <f>IF(AND(ISTEXT("https://www.sciencedirect.com/science/article/pii/S2096720924000666"),"https://www.sciencedirect.com/science/article/pii/S2096720924000666"&lt;&gt;""), HYPERLINK("https://www.sciencedirect.com/science/article/pii/S2096720924000666", "Link"),"-")</f>
        <v>Link</v>
      </c>
      <c r="C185" s="11" t="s">
        <v>886</v>
      </c>
      <c r="D185" s="11">
        <v>0</v>
      </c>
      <c r="E185" s="11">
        <v>0.6</v>
      </c>
      <c r="F185" s="11">
        <v>0.6</v>
      </c>
      <c r="G185" s="11">
        <v>1</v>
      </c>
      <c r="H185" s="11">
        <v>1</v>
      </c>
      <c r="I185" s="11">
        <v>1</v>
      </c>
      <c r="J185" s="11">
        <v>1</v>
      </c>
      <c r="K185" s="177">
        <v>2024</v>
      </c>
      <c r="L185" s="11"/>
      <c r="M185" s="11" t="s">
        <v>867</v>
      </c>
      <c r="N185" s="11" t="s">
        <v>862</v>
      </c>
      <c r="O185" s="11" t="s">
        <v>1214</v>
      </c>
      <c r="P185" s="186">
        <v>1</v>
      </c>
      <c r="Q185" s="186">
        <v>0.5</v>
      </c>
      <c r="R185" s="186">
        <v>0.75</v>
      </c>
      <c r="S185" s="11" t="s">
        <v>880</v>
      </c>
      <c r="T185" s="11" t="s">
        <v>2221</v>
      </c>
      <c r="U185" s="158"/>
    </row>
    <row r="186" spans="1:21" x14ac:dyDescent="0.2">
      <c r="A186" t="s">
        <v>2145</v>
      </c>
      <c r="B186" s="11" t="str">
        <f>IF(AND(ISTEXT("https://ieeexplore.ieee.org/stamp/stamp.jsp?arnumber=10380598"),"https://ieeexplore.ieee.org/stamp/stamp.jsp?arnumber=10380598"&lt;&gt;""), HYPERLINK("https://ieeexplore.ieee.org/stamp/stamp.jsp?arnumber=10380598", "Link"),"-")</f>
        <v>Link</v>
      </c>
      <c r="C186" s="11" t="s">
        <v>856</v>
      </c>
      <c r="D186" s="11">
        <v>0</v>
      </c>
      <c r="E186" s="11">
        <v>1</v>
      </c>
      <c r="F186" s="11"/>
      <c r="G186" s="11"/>
      <c r="H186" s="11"/>
      <c r="I186" s="11"/>
      <c r="J186" s="11"/>
      <c r="K186" s="177">
        <v>2024</v>
      </c>
      <c r="L186" s="11"/>
      <c r="M186" s="11" t="s">
        <v>867</v>
      </c>
      <c r="N186" s="11" t="s">
        <v>862</v>
      </c>
      <c r="O186" s="11" t="s">
        <v>2146</v>
      </c>
      <c r="P186" s="186">
        <v>1</v>
      </c>
      <c r="Q186" s="186">
        <v>0.5</v>
      </c>
      <c r="R186" s="186">
        <v>0.75</v>
      </c>
      <c r="S186" s="11" t="s">
        <v>2147</v>
      </c>
      <c r="T186" s="11" t="s">
        <v>2225</v>
      </c>
    </row>
    <row r="187" spans="1:21" x14ac:dyDescent="0.2">
      <c r="A187" t="s">
        <v>2148</v>
      </c>
      <c r="B187" s="11" t="str">
        <f>IF(AND(ISTEXT("https://ieeexplore.ieee.org/stamp/stamp.jsp?arnumber=10664261"),"https://ieeexplore.ieee.org/stamp/stamp.jsp?arnumber=10664261"&lt;&gt;""), HYPERLINK("https://ieeexplore.ieee.org/stamp/stamp.jsp?arnumber=10664261", "Link"),"-")</f>
        <v>Link</v>
      </c>
      <c r="C187" s="11" t="s">
        <v>856</v>
      </c>
      <c r="D187" s="11">
        <v>0</v>
      </c>
      <c r="E187" s="11">
        <v>1</v>
      </c>
      <c r="F187" s="11"/>
      <c r="G187" s="11"/>
      <c r="H187" s="11"/>
      <c r="I187" s="11"/>
      <c r="J187" s="11"/>
      <c r="K187" s="177">
        <v>2024</v>
      </c>
      <c r="L187" s="11"/>
      <c r="M187" s="11" t="s">
        <v>867</v>
      </c>
      <c r="N187" s="11" t="s">
        <v>2149</v>
      </c>
      <c r="O187" s="11" t="s">
        <v>2150</v>
      </c>
      <c r="P187" s="186">
        <v>0.5</v>
      </c>
      <c r="Q187" s="186">
        <v>0.5</v>
      </c>
      <c r="R187" s="186">
        <v>0.5</v>
      </c>
      <c r="S187" s="11" t="s">
        <v>2147</v>
      </c>
      <c r="T187" s="11" t="s">
        <v>2228</v>
      </c>
    </row>
    <row r="188" spans="1:21" x14ac:dyDescent="0.2">
      <c r="A188" t="s">
        <v>2151</v>
      </c>
      <c r="B188" s="11" t="str">
        <f>IF(AND(ISTEXT("https://catalogplus.tuwien.at/permalink/f/1m011kq/TN_cdi_crossref_primary_10_1016_j_procs_2023_12_151"),"https://catalogplus.tuwien.at/permalink/f/1m011kq/TN_cdi_crossref_primary_10_1016_j_procs_2023_12_151"&lt;&gt;""), HYPERLINK("https://catalogplus.tuwien.at/permalink/f/1m011kq/TN_cdi_crossref_primary_10_1016_j_procs_2023_12_151", "Link"),"-")</f>
        <v>Link</v>
      </c>
      <c r="C188" s="11" t="s">
        <v>856</v>
      </c>
      <c r="D188" s="11">
        <v>0.3</v>
      </c>
      <c r="E188" s="11">
        <v>1</v>
      </c>
      <c r="F188" s="11"/>
      <c r="G188" s="11"/>
      <c r="H188" s="11"/>
      <c r="I188" s="11"/>
      <c r="J188" s="11"/>
      <c r="K188" s="177">
        <v>2024</v>
      </c>
      <c r="L188" s="11"/>
      <c r="M188" s="11" t="s">
        <v>867</v>
      </c>
      <c r="N188" s="11" t="s">
        <v>2149</v>
      </c>
      <c r="O188" s="11" t="s">
        <v>2152</v>
      </c>
      <c r="P188" s="186">
        <v>0.8</v>
      </c>
      <c r="Q188" s="186">
        <v>0.65</v>
      </c>
      <c r="R188" s="186">
        <v>0.72500000000000009</v>
      </c>
      <c r="S188" s="181" t="s">
        <v>869</v>
      </c>
      <c r="T188" s="11" t="s">
        <v>2233</v>
      </c>
    </row>
    <row r="189" spans="1:21" x14ac:dyDescent="0.2">
      <c r="A189" t="s">
        <v>2153</v>
      </c>
      <c r="B189" s="11" t="str">
        <f>IF(AND(ISTEXT("https://catalogplus.tuwien.at/permalink/f/1m011kq/TN_cdi_proquest_journals_2917414619"),"https://catalogplus.tuwien.at/permalink/f/1m011kq/TN_cdi_proquest_journals_2917414619"&lt;&gt;""), HYPERLINK("https://catalogplus.tuwien.at/permalink/f/1m011kq/TN_cdi_proquest_journals_2917414619", "Link"),"-")</f>
        <v>Link</v>
      </c>
      <c r="C189" s="11" t="s">
        <v>856</v>
      </c>
      <c r="D189" s="11">
        <v>1</v>
      </c>
      <c r="E189" s="11">
        <v>0</v>
      </c>
      <c r="F189" s="11"/>
      <c r="G189" s="11"/>
      <c r="H189" s="11"/>
      <c r="I189" s="11"/>
      <c r="J189" s="11"/>
      <c r="K189" s="177">
        <v>2024</v>
      </c>
      <c r="L189" s="11"/>
      <c r="M189" s="11" t="s">
        <v>867</v>
      </c>
      <c r="N189" s="11" t="s">
        <v>862</v>
      </c>
      <c r="O189" s="11" t="s">
        <v>2154</v>
      </c>
      <c r="P189" s="186">
        <v>0.8</v>
      </c>
      <c r="Q189" s="186">
        <v>0.5</v>
      </c>
      <c r="R189" s="186">
        <v>0.65</v>
      </c>
      <c r="S189" s="181" t="s">
        <v>869</v>
      </c>
      <c r="T189" s="11" t="s">
        <v>2304</v>
      </c>
    </row>
    <row r="190" spans="1:21" x14ac:dyDescent="0.2">
      <c r="A190" t="s">
        <v>2155</v>
      </c>
      <c r="B190" s="11" t="str">
        <f>IF(AND(ISTEXT("https://catalogplus.tuwien.at/permalink/f/1m011kq/TN_cdi_crossref_primary_10_1002_spy2_393"),"https://catalogplus.tuwien.at/permalink/f/1m011kq/TN_cdi_crossref_primary_10_1002_spy2_393"&lt;&gt;""), HYPERLINK("https://catalogplus.tuwien.at/permalink/f/1m011kq/TN_cdi_crossref_primary_10_1002_spy2_393", "Link"),"-")</f>
        <v>Link</v>
      </c>
      <c r="C190" s="11" t="s">
        <v>856</v>
      </c>
      <c r="D190" s="11">
        <v>0</v>
      </c>
      <c r="E190" s="11">
        <v>1</v>
      </c>
      <c r="F190" s="11"/>
      <c r="G190" s="11"/>
      <c r="H190" s="11"/>
      <c r="I190" s="11"/>
      <c r="J190" s="11"/>
      <c r="K190" s="177">
        <v>2024</v>
      </c>
      <c r="L190" s="11"/>
      <c r="M190" s="11" t="s">
        <v>867</v>
      </c>
      <c r="N190" s="11" t="s">
        <v>862</v>
      </c>
      <c r="O190" s="11" t="s">
        <v>2156</v>
      </c>
      <c r="P190" s="186">
        <v>0.8</v>
      </c>
      <c r="Q190" s="186">
        <v>0.5</v>
      </c>
      <c r="R190" s="186">
        <v>0.65</v>
      </c>
      <c r="S190" s="181" t="s">
        <v>869</v>
      </c>
      <c r="T190" s="11" t="s">
        <v>2237</v>
      </c>
    </row>
    <row r="191" spans="1:21" x14ac:dyDescent="0.2">
      <c r="A191" t="s">
        <v>2157</v>
      </c>
      <c r="B191" s="11" t="str">
        <f>IF(AND(ISTEXT("https://ieeexplore.ieee.org/stamp/stamp.jsp?arnumber=10554916"),"https://ieeexplore.ieee.org/stamp/stamp.jsp?arnumber=10554916"&lt;&gt;""), HYPERLINK("https://ieeexplore.ieee.org/stamp/stamp.jsp?arnumber=10554916", "Link"),"-")</f>
        <v>Link</v>
      </c>
      <c r="C191" s="11" t="s">
        <v>856</v>
      </c>
      <c r="D191" s="11">
        <v>0</v>
      </c>
      <c r="E191" s="11">
        <v>1</v>
      </c>
      <c r="F191" s="11"/>
      <c r="G191" s="11"/>
      <c r="H191" s="11"/>
      <c r="I191" s="11"/>
      <c r="J191" s="11"/>
      <c r="K191" s="177">
        <v>2024</v>
      </c>
      <c r="L191" s="11"/>
      <c r="M191" s="11" t="s">
        <v>867</v>
      </c>
      <c r="N191" s="11" t="s">
        <v>2149</v>
      </c>
      <c r="O191" s="11" t="s">
        <v>2158</v>
      </c>
      <c r="P191" s="186">
        <v>1</v>
      </c>
      <c r="Q191" s="186">
        <v>0.5</v>
      </c>
      <c r="R191" s="186">
        <v>0.75</v>
      </c>
      <c r="S191" s="11" t="s">
        <v>2147</v>
      </c>
      <c r="T191" s="11" t="s">
        <v>2250</v>
      </c>
    </row>
    <row r="192" spans="1:21" x14ac:dyDescent="0.2">
      <c r="A192" t="s">
        <v>2159</v>
      </c>
      <c r="B192" s="11" t="str">
        <f>IF(AND(ISTEXT("https://ieeexplore.ieee.org/stamp/stamp.jsp?arnumber=10885121"),"https://ieeexplore.ieee.org/stamp/stamp.jsp?arnumber=10885121"&lt;&gt;""), HYPERLINK("https://ieeexplore.ieee.org/stamp/stamp.jsp?arnumber=10885121", "Link"),"-")</f>
        <v>Link</v>
      </c>
      <c r="C192" s="11" t="s">
        <v>856</v>
      </c>
      <c r="D192" s="11">
        <v>0</v>
      </c>
      <c r="E192" s="11">
        <v>1</v>
      </c>
      <c r="F192" s="11"/>
      <c r="G192" s="11"/>
      <c r="H192" s="11"/>
      <c r="I192" s="11"/>
      <c r="J192" s="11"/>
      <c r="K192" s="177">
        <v>2024</v>
      </c>
      <c r="L192" s="11"/>
      <c r="M192" s="11" t="s">
        <v>867</v>
      </c>
      <c r="N192" s="11" t="s">
        <v>2149</v>
      </c>
      <c r="O192" s="11" t="s">
        <v>2160</v>
      </c>
      <c r="P192" s="186">
        <v>0.8</v>
      </c>
      <c r="Q192" s="186">
        <v>0.5</v>
      </c>
      <c r="R192" s="186">
        <v>0.65</v>
      </c>
      <c r="S192" s="11" t="s">
        <v>2147</v>
      </c>
      <c r="T192" s="11" t="s">
        <v>2253</v>
      </c>
    </row>
    <row r="193" spans="1:20" x14ac:dyDescent="0.2">
      <c r="A193" t="s">
        <v>2161</v>
      </c>
      <c r="B193" s="11" t="str">
        <f>IF(AND(ISTEXT("https://ieeexplore.ieee.org/stamp/stamp.jsp?arnumber=10597778"),"https://ieeexplore.ieee.org/stamp/stamp.jsp?arnumber=10597778"&lt;&gt;""), HYPERLINK("https://ieeexplore.ieee.org/stamp/stamp.jsp?arnumber=10597778", "Link"),"-")</f>
        <v>Link</v>
      </c>
      <c r="C193" s="11" t="s">
        <v>856</v>
      </c>
      <c r="D193" s="11">
        <v>0</v>
      </c>
      <c r="E193" s="11">
        <v>1</v>
      </c>
      <c r="F193" s="11"/>
      <c r="G193" s="11"/>
      <c r="H193" s="11"/>
      <c r="I193" s="11"/>
      <c r="J193" s="11"/>
      <c r="K193" s="177">
        <v>2024</v>
      </c>
      <c r="L193" s="11"/>
      <c r="M193" s="11" t="s">
        <v>867</v>
      </c>
      <c r="N193" s="11" t="s">
        <v>2149</v>
      </c>
      <c r="O193" s="11" t="s">
        <v>2162</v>
      </c>
      <c r="P193" s="186">
        <v>1</v>
      </c>
      <c r="Q193" s="186">
        <v>0.5</v>
      </c>
      <c r="R193" s="186">
        <v>0.75</v>
      </c>
      <c r="S193" s="11" t="s">
        <v>2147</v>
      </c>
      <c r="T193" s="11" t="s">
        <v>2257</v>
      </c>
    </row>
    <row r="194" spans="1:20" x14ac:dyDescent="0.2">
      <c r="A194" t="s">
        <v>2163</v>
      </c>
      <c r="B194" s="11" t="str">
        <f>IF(AND(ISTEXT("https://ieeexplore.ieee.org/stamp/stamp.jsp?arnumber=10436108"),"https://ieeexplore.ieee.org/stamp/stamp.jsp?arnumber=10436108"&lt;&gt;""), HYPERLINK("https://ieeexplore.ieee.org/stamp/stamp.jsp?arnumber=10436108", "Link"),"-")</f>
        <v>Link</v>
      </c>
      <c r="C194" s="11" t="s">
        <v>856</v>
      </c>
      <c r="D194" s="11">
        <v>0.3</v>
      </c>
      <c r="E194" s="11">
        <v>1</v>
      </c>
      <c r="F194" s="11"/>
      <c r="G194" s="11"/>
      <c r="H194" s="11"/>
      <c r="I194" s="11"/>
      <c r="J194" s="11"/>
      <c r="K194" s="177">
        <v>2024</v>
      </c>
      <c r="L194" s="11"/>
      <c r="M194" s="11" t="s">
        <v>867</v>
      </c>
      <c r="N194" s="11" t="s">
        <v>862</v>
      </c>
      <c r="O194" s="11" t="s">
        <v>924</v>
      </c>
      <c r="P194" s="186">
        <v>1</v>
      </c>
      <c r="Q194" s="186">
        <v>0.65</v>
      </c>
      <c r="R194" s="186">
        <v>0.82499999999999996</v>
      </c>
      <c r="S194" s="11" t="s">
        <v>2147</v>
      </c>
      <c r="T194" s="11" t="s">
        <v>2260</v>
      </c>
    </row>
    <row r="195" spans="1:20" x14ac:dyDescent="0.2">
      <c r="A195" t="s">
        <v>2164</v>
      </c>
      <c r="B195" s="11" t="str">
        <f>IF(AND(ISTEXT("https://ieeexplore.ieee.org/stamp/stamp.jsp?arnumber=10554973"),"https://ieeexplore.ieee.org/stamp/stamp.jsp?arnumber=10554973"&lt;&gt;""), HYPERLINK("https://ieeexplore.ieee.org/stamp/stamp.jsp?arnumber=10554973", "Link"),"-")</f>
        <v>Link</v>
      </c>
      <c r="C195" s="11" t="s">
        <v>856</v>
      </c>
      <c r="D195" s="11">
        <v>0</v>
      </c>
      <c r="E195" s="11">
        <v>1</v>
      </c>
      <c r="F195" s="11"/>
      <c r="G195" s="11"/>
      <c r="H195" s="11"/>
      <c r="I195" s="11"/>
      <c r="J195" s="11"/>
      <c r="K195" s="177">
        <v>2024</v>
      </c>
      <c r="L195" s="11"/>
      <c r="M195" s="11" t="s">
        <v>867</v>
      </c>
      <c r="N195" s="11" t="s">
        <v>2149</v>
      </c>
      <c r="O195" s="11" t="s">
        <v>2158</v>
      </c>
      <c r="P195" s="186">
        <v>1</v>
      </c>
      <c r="Q195" s="186">
        <v>0.5</v>
      </c>
      <c r="R195" s="186">
        <v>0.75</v>
      </c>
      <c r="S195" s="11" t="s">
        <v>2147</v>
      </c>
      <c r="T195" s="11" t="s">
        <v>2263</v>
      </c>
    </row>
    <row r="196" spans="1:20" x14ac:dyDescent="0.2">
      <c r="A196" t="s">
        <v>2165</v>
      </c>
      <c r="B196" s="11" t="str">
        <f>IF(AND(ISTEXT("https://ieeexplore.ieee.org/stamp/stamp.jsp?arnumber=10646885"),"https://ieeexplore.ieee.org/stamp/stamp.jsp?arnumber=10646885"&lt;&gt;""), HYPERLINK("https://ieeexplore.ieee.org/stamp/stamp.jsp?arnumber=10646885", "Link"),"-")</f>
        <v>Link</v>
      </c>
      <c r="C196" s="11" t="s">
        <v>856</v>
      </c>
      <c r="D196" s="11">
        <v>1</v>
      </c>
      <c r="E196" s="11">
        <v>1</v>
      </c>
      <c r="F196" s="11"/>
      <c r="G196" s="11"/>
      <c r="H196" s="11"/>
      <c r="I196" s="11"/>
      <c r="J196" s="11"/>
      <c r="K196" s="177">
        <v>2024</v>
      </c>
      <c r="L196" s="11"/>
      <c r="M196" s="11" t="s">
        <v>867</v>
      </c>
      <c r="N196" s="11" t="s">
        <v>2149</v>
      </c>
      <c r="O196" s="11" t="s">
        <v>2166</v>
      </c>
      <c r="P196" s="186">
        <v>1</v>
      </c>
      <c r="Q196" s="186">
        <v>1</v>
      </c>
      <c r="R196" s="186">
        <v>1</v>
      </c>
      <c r="S196" s="11" t="s">
        <v>2147</v>
      </c>
      <c r="T196" s="11" t="s">
        <v>2266</v>
      </c>
    </row>
    <row r="197" spans="1:20" x14ac:dyDescent="0.2">
      <c r="A197" t="s">
        <v>2167</v>
      </c>
      <c r="B197" s="11" t="str">
        <f>IF(AND(ISTEXT("https://ieeexplore.ieee.org/stamp/stamp.jsp?arnumber=10385052"),"https://ieeexplore.ieee.org/stamp/stamp.jsp?arnumber=10385052"&lt;&gt;""), HYPERLINK("https://ieeexplore.ieee.org/stamp/stamp.jsp?arnumber=10385052", "Link"),"-")</f>
        <v>Link</v>
      </c>
      <c r="C197" s="11" t="s">
        <v>856</v>
      </c>
      <c r="D197" s="11">
        <v>0</v>
      </c>
      <c r="E197" s="11">
        <v>1</v>
      </c>
      <c r="F197" s="11"/>
      <c r="G197" s="11"/>
      <c r="H197" s="11"/>
      <c r="I197" s="11"/>
      <c r="J197" s="11"/>
      <c r="K197" s="177">
        <v>2024</v>
      </c>
      <c r="L197" s="11"/>
      <c r="M197" s="11" t="s">
        <v>867</v>
      </c>
      <c r="N197" s="11" t="s">
        <v>862</v>
      </c>
      <c r="O197" s="11" t="s">
        <v>924</v>
      </c>
      <c r="P197" s="186">
        <v>1</v>
      </c>
      <c r="Q197" s="186">
        <v>0.5</v>
      </c>
      <c r="R197" s="186">
        <v>0.75</v>
      </c>
      <c r="S197" s="11" t="s">
        <v>2147</v>
      </c>
      <c r="T197" s="11" t="s">
        <v>2267</v>
      </c>
    </row>
    <row r="198" spans="1:20" x14ac:dyDescent="0.2">
      <c r="A198" t="s">
        <v>2168</v>
      </c>
      <c r="B198" s="11" t="str">
        <f>IF(AND(ISTEXT("https://ieeexplore.ieee.org/stamp/stamp.jsp?arnumber=10621722"),"https://ieeexplore.ieee.org/stamp/stamp.jsp?arnumber=10621722"&lt;&gt;""), HYPERLINK("https://ieeexplore.ieee.org/stamp/stamp.jsp?arnumber=10621722", "Link"),"-")</f>
        <v>Link</v>
      </c>
      <c r="C198" s="11" t="s">
        <v>856</v>
      </c>
      <c r="D198" s="11">
        <v>0</v>
      </c>
      <c r="E198" s="11">
        <v>1</v>
      </c>
      <c r="F198" s="11"/>
      <c r="G198" s="11"/>
      <c r="H198" s="11"/>
      <c r="I198" s="11"/>
      <c r="J198" s="11"/>
      <c r="K198" s="177">
        <v>2024</v>
      </c>
      <c r="L198" s="11"/>
      <c r="M198" s="11" t="s">
        <v>867</v>
      </c>
      <c r="N198" s="11" t="s">
        <v>2149</v>
      </c>
      <c r="O198" s="11" t="s">
        <v>2169</v>
      </c>
      <c r="P198" s="186">
        <v>1</v>
      </c>
      <c r="Q198" s="186">
        <v>0.5</v>
      </c>
      <c r="R198" s="186">
        <v>0.75</v>
      </c>
      <c r="S198" s="11" t="s">
        <v>2147</v>
      </c>
      <c r="T198" s="11" t="s">
        <v>2270</v>
      </c>
    </row>
    <row r="199" spans="1:20" x14ac:dyDescent="0.2">
      <c r="A199" t="s">
        <v>2170</v>
      </c>
      <c r="B199" s="11" t="str">
        <f>IF(AND(ISTEXT("https://ieeexplore.ieee.org/stamp/stamp.jsp?arnumber=10843662"),"https://ieeexplore.ieee.org/stamp/stamp.jsp?arnumber=10843662"&lt;&gt;""), HYPERLINK("https://ieeexplore.ieee.org/stamp/stamp.jsp?arnumber=10843662", "Link"),"-")</f>
        <v>Link</v>
      </c>
      <c r="C199" s="11" t="s">
        <v>856</v>
      </c>
      <c r="D199" s="11">
        <v>0</v>
      </c>
      <c r="E199" s="11">
        <v>1</v>
      </c>
      <c r="F199" s="11"/>
      <c r="G199" s="11"/>
      <c r="H199" s="11"/>
      <c r="I199" s="11"/>
      <c r="J199" s="11"/>
      <c r="K199" s="177">
        <v>2024</v>
      </c>
      <c r="L199" s="11"/>
      <c r="M199" s="11" t="s">
        <v>867</v>
      </c>
      <c r="N199" s="11" t="s">
        <v>2149</v>
      </c>
      <c r="O199" s="11" t="s">
        <v>2171</v>
      </c>
      <c r="P199" s="186">
        <v>0.8</v>
      </c>
      <c r="Q199" s="186">
        <v>0.5</v>
      </c>
      <c r="R199" s="186">
        <v>0.65</v>
      </c>
      <c r="S199" s="11" t="s">
        <v>2147</v>
      </c>
      <c r="T199" s="11" t="s">
        <v>2273</v>
      </c>
    </row>
    <row r="200" spans="1:20" x14ac:dyDescent="0.2">
      <c r="A200" t="s">
        <v>2172</v>
      </c>
      <c r="B200" s="11" t="str">
        <f>IF(AND(ISTEXT("https://ieeexplore.ieee.org/stamp/stamp.jsp?arnumber=10763613"),"https://ieeexplore.ieee.org/stamp/stamp.jsp?arnumber=10763613"&lt;&gt;""), HYPERLINK("https://ieeexplore.ieee.org/stamp/stamp.jsp?arnumber=10763613", "Link"),"-")</f>
        <v>Link</v>
      </c>
      <c r="C200" s="11" t="s">
        <v>856</v>
      </c>
      <c r="D200" s="11">
        <v>0</v>
      </c>
      <c r="E200" s="11">
        <v>1</v>
      </c>
      <c r="F200" s="11"/>
      <c r="G200" s="11"/>
      <c r="H200" s="11"/>
      <c r="I200" s="11"/>
      <c r="J200" s="11"/>
      <c r="K200" s="177">
        <v>2024</v>
      </c>
      <c r="L200" s="11"/>
      <c r="M200" s="11" t="s">
        <v>867</v>
      </c>
      <c r="N200" s="11" t="s">
        <v>2149</v>
      </c>
      <c r="O200" s="11" t="s">
        <v>2173</v>
      </c>
      <c r="P200" s="186">
        <v>1</v>
      </c>
      <c r="Q200" s="186">
        <v>0.5</v>
      </c>
      <c r="R200" s="186">
        <v>0.75</v>
      </c>
      <c r="S200" s="11" t="s">
        <v>2147</v>
      </c>
      <c r="T200" s="11" t="s">
        <v>2276</v>
      </c>
    </row>
    <row r="201" spans="1:20" x14ac:dyDescent="0.2">
      <c r="A201" t="s">
        <v>2174</v>
      </c>
      <c r="B201" s="11" t="str">
        <f>IF(AND(ISTEXT("https://ieeexplore.ieee.org/stamp/stamp.jsp?arnumber=10530740"),"https://ieeexplore.ieee.org/stamp/stamp.jsp?arnumber=10530740"&lt;&gt;""), HYPERLINK("https://ieeexplore.ieee.org/stamp/stamp.jsp?arnumber=10530740", "Link"),"-")</f>
        <v>Link</v>
      </c>
      <c r="C201" s="11" t="s">
        <v>886</v>
      </c>
      <c r="D201" s="11">
        <v>0</v>
      </c>
      <c r="E201" s="11">
        <v>0.6</v>
      </c>
      <c r="F201" s="11">
        <v>0.6</v>
      </c>
      <c r="G201" s="11">
        <v>0.6</v>
      </c>
      <c r="H201" s="11">
        <v>0.6</v>
      </c>
      <c r="I201" s="11">
        <v>0</v>
      </c>
      <c r="J201" s="11">
        <v>1</v>
      </c>
      <c r="K201" s="177">
        <v>2024</v>
      </c>
      <c r="L201" s="11"/>
      <c r="M201" s="11" t="s">
        <v>867</v>
      </c>
      <c r="N201" s="11" t="s">
        <v>2149</v>
      </c>
      <c r="O201" s="11" t="s">
        <v>2175</v>
      </c>
      <c r="P201" s="186">
        <v>0.5</v>
      </c>
      <c r="Q201" s="186">
        <v>0.56666666666666665</v>
      </c>
      <c r="R201" s="186">
        <v>0.53333333333333333</v>
      </c>
      <c r="S201" s="11" t="s">
        <v>2147</v>
      </c>
      <c r="T201" s="11" t="s">
        <v>2551</v>
      </c>
    </row>
    <row r="202" spans="1:20" x14ac:dyDescent="0.2">
      <c r="A202" t="s">
        <v>2176</v>
      </c>
      <c r="B202" s="11" t="str">
        <f>IF(AND(ISTEXT("https://ieeexplore.ieee.org/stamp/stamp.jsp?arnumber=10607982"),"https://ieeexplore.ieee.org/stamp/stamp.jsp?arnumber=10607982"&lt;&gt;""), HYPERLINK("https://ieeexplore.ieee.org/stamp/stamp.jsp?arnumber=10607982", "Link"),"-")</f>
        <v>Link</v>
      </c>
      <c r="C202" s="11" t="s">
        <v>856</v>
      </c>
      <c r="D202" s="11">
        <v>0</v>
      </c>
      <c r="E202" s="11">
        <v>1</v>
      </c>
      <c r="F202" s="11"/>
      <c r="G202" s="11"/>
      <c r="H202" s="11"/>
      <c r="I202" s="11"/>
      <c r="J202" s="11"/>
      <c r="K202" s="177">
        <v>2024</v>
      </c>
      <c r="L202" s="11"/>
      <c r="M202" s="11" t="s">
        <v>867</v>
      </c>
      <c r="N202" s="11" t="s">
        <v>2149</v>
      </c>
      <c r="O202" s="11" t="s">
        <v>2177</v>
      </c>
      <c r="P202" s="186">
        <v>0.5</v>
      </c>
      <c r="Q202" s="186">
        <v>0.5</v>
      </c>
      <c r="R202" s="186">
        <v>0.5</v>
      </c>
      <c r="S202" s="11" t="s">
        <v>2147</v>
      </c>
      <c r="T202" s="11" t="s">
        <v>2279</v>
      </c>
    </row>
    <row r="203" spans="1:20" x14ac:dyDescent="0.2">
      <c r="A203" t="s">
        <v>2178</v>
      </c>
      <c r="B203" s="11" t="str">
        <f>IF(AND(ISTEXT("https://ieeexplore.ieee.org/stamp/stamp.jsp?arnumber=10844455"),"https://ieeexplore.ieee.org/stamp/stamp.jsp?arnumber=10844455"&lt;&gt;""), HYPERLINK("https://ieeexplore.ieee.org/stamp/stamp.jsp?arnumber=10844455", "Link"),"-")</f>
        <v>Link</v>
      </c>
      <c r="C203" s="11" t="s">
        <v>890</v>
      </c>
      <c r="D203" s="11">
        <v>1</v>
      </c>
      <c r="E203" s="11">
        <v>0.6</v>
      </c>
      <c r="F203" s="11">
        <v>0.6</v>
      </c>
      <c r="G203" s="11">
        <v>0.3</v>
      </c>
      <c r="H203" s="11">
        <v>0.3</v>
      </c>
      <c r="I203" s="11">
        <v>0</v>
      </c>
      <c r="J203" s="11">
        <v>1</v>
      </c>
      <c r="K203" s="177">
        <v>2024</v>
      </c>
      <c r="L203" s="11"/>
      <c r="M203" s="11" t="s">
        <v>867</v>
      </c>
      <c r="N203" s="11" t="s">
        <v>2149</v>
      </c>
      <c r="O203" s="11" t="s">
        <v>2179</v>
      </c>
      <c r="P203" s="186">
        <v>0.8</v>
      </c>
      <c r="Q203" s="186">
        <v>0.6333333333333333</v>
      </c>
      <c r="R203" s="186">
        <v>0.71666666666666667</v>
      </c>
      <c r="S203" s="11" t="s">
        <v>2147</v>
      </c>
      <c r="T203" s="11" t="s">
        <v>2552</v>
      </c>
    </row>
    <row r="204" spans="1:20" x14ac:dyDescent="0.2">
      <c r="A204" t="s">
        <v>2180</v>
      </c>
      <c r="B204" s="11" t="str">
        <f>IF(AND(ISTEXT("https://ieeexplore.ieee.org/stamp/stamp.jsp?arnumber=10664408"),"https://ieeexplore.ieee.org/stamp/stamp.jsp?arnumber=10664408"&lt;&gt;""), HYPERLINK("https://ieeexplore.ieee.org/stamp/stamp.jsp?arnumber=10664408", "Link"),"-")</f>
        <v>Link</v>
      </c>
      <c r="C204" s="11" t="s">
        <v>856</v>
      </c>
      <c r="D204" s="11">
        <v>0.3</v>
      </c>
      <c r="E204" s="11">
        <v>1</v>
      </c>
      <c r="F204" s="11"/>
      <c r="G204" s="11"/>
      <c r="H204" s="11"/>
      <c r="I204" s="11"/>
      <c r="J204" s="11"/>
      <c r="K204" s="177">
        <v>2024</v>
      </c>
      <c r="L204" s="11"/>
      <c r="M204" s="11" t="s">
        <v>867</v>
      </c>
      <c r="N204" s="11" t="s">
        <v>2149</v>
      </c>
      <c r="O204" s="11" t="s">
        <v>2150</v>
      </c>
      <c r="P204" s="186">
        <v>0.5</v>
      </c>
      <c r="Q204" s="186">
        <v>0.65</v>
      </c>
      <c r="R204" s="186">
        <v>0.57499999999999996</v>
      </c>
      <c r="S204" s="11" t="s">
        <v>2147</v>
      </c>
      <c r="T204" s="11" t="s">
        <v>2282</v>
      </c>
    </row>
    <row r="205" spans="1:20" x14ac:dyDescent="0.2">
      <c r="A205" t="s">
        <v>2181</v>
      </c>
      <c r="B205" s="11" t="str">
        <f>IF(AND(ISTEXT("https://ieeexplore.ieee.org/stamp/stamp.jsp?arnumber=10643322"),"https://ieeexplore.ieee.org/stamp/stamp.jsp?arnumber=10643322"&lt;&gt;""), HYPERLINK("https://ieeexplore.ieee.org/stamp/stamp.jsp?arnumber=10643322", "Link"),"-")</f>
        <v>Link</v>
      </c>
      <c r="C205" s="11" t="s">
        <v>856</v>
      </c>
      <c r="D205" s="11">
        <v>0</v>
      </c>
      <c r="E205" s="11">
        <v>1</v>
      </c>
      <c r="F205" s="11"/>
      <c r="G205" s="11"/>
      <c r="H205" s="11"/>
      <c r="I205" s="11"/>
      <c r="J205" s="11"/>
      <c r="K205" s="177">
        <v>2024</v>
      </c>
      <c r="L205" s="11"/>
      <c r="M205" s="11" t="s">
        <v>867</v>
      </c>
      <c r="N205" s="11" t="s">
        <v>862</v>
      </c>
      <c r="O205" s="11" t="s">
        <v>2182</v>
      </c>
      <c r="P205" s="186">
        <v>1</v>
      </c>
      <c r="Q205" s="186">
        <v>0.5</v>
      </c>
      <c r="R205" s="186">
        <v>0.75</v>
      </c>
      <c r="S205" s="11" t="s">
        <v>2147</v>
      </c>
      <c r="T205" s="11" t="s">
        <v>2301</v>
      </c>
    </row>
    <row r="206" spans="1:20" x14ac:dyDescent="0.2">
      <c r="A206" t="s">
        <v>2183</v>
      </c>
      <c r="B206" s="11" t="str">
        <f>IF(AND(ISTEXT("https://ieeexplore.ieee.org/stamp/stamp.jsp?arnumber=10556443"),"https://ieeexplore.ieee.org/stamp/stamp.jsp?arnumber=10556443"&lt;&gt;""), HYPERLINK("https://ieeexplore.ieee.org/stamp/stamp.jsp?arnumber=10556443", "Link"),"-")</f>
        <v>Link</v>
      </c>
      <c r="C206" s="11" t="s">
        <v>886</v>
      </c>
      <c r="D206" s="11">
        <v>0</v>
      </c>
      <c r="E206" s="11">
        <v>0.6</v>
      </c>
      <c r="F206" s="11">
        <v>0.6</v>
      </c>
      <c r="G206" s="11">
        <v>0.3</v>
      </c>
      <c r="H206" s="11">
        <v>0.6</v>
      </c>
      <c r="I206" s="11">
        <v>0</v>
      </c>
      <c r="J206" s="11">
        <v>1</v>
      </c>
      <c r="K206" s="177">
        <v>2024</v>
      </c>
      <c r="L206" s="11"/>
      <c r="M206" s="11" t="s">
        <v>867</v>
      </c>
      <c r="N206" s="11" t="s">
        <v>2149</v>
      </c>
      <c r="O206" s="11" t="s">
        <v>2184</v>
      </c>
      <c r="P206" s="186">
        <v>1</v>
      </c>
      <c r="Q206" s="186">
        <v>0.51666666666666672</v>
      </c>
      <c r="R206" s="186">
        <v>0.7583333333333333</v>
      </c>
      <c r="S206" s="11" t="s">
        <v>2147</v>
      </c>
      <c r="T206" s="11" t="s">
        <v>2247</v>
      </c>
    </row>
    <row r="207" spans="1:20" x14ac:dyDescent="0.2">
      <c r="A207" t="s">
        <v>2185</v>
      </c>
      <c r="B207" s="11" t="str">
        <f>IF(AND(ISTEXT("https://ieeexplore.ieee.org/stamp/stamp.jsp?arnumber=10645154"),"https://ieeexplore.ieee.org/stamp/stamp.jsp?arnumber=10645154"&lt;&gt;""), HYPERLINK("https://ieeexplore.ieee.org/stamp/stamp.jsp?arnumber=10645154", "Link"),"-")</f>
        <v>Link</v>
      </c>
      <c r="C207" s="11" t="s">
        <v>886</v>
      </c>
      <c r="D207" s="11">
        <v>0</v>
      </c>
      <c r="E207" s="11">
        <v>1</v>
      </c>
      <c r="F207" s="11">
        <v>0.6</v>
      </c>
      <c r="G207" s="11">
        <v>0.3</v>
      </c>
      <c r="H207" s="11">
        <v>0.3</v>
      </c>
      <c r="I207" s="11">
        <v>0</v>
      </c>
      <c r="J207" s="11">
        <v>1</v>
      </c>
      <c r="K207" s="177">
        <v>2024</v>
      </c>
      <c r="L207" s="11"/>
      <c r="M207" s="11" t="s">
        <v>867</v>
      </c>
      <c r="N207" s="11" t="s">
        <v>2149</v>
      </c>
      <c r="O207" s="11" t="s">
        <v>2186</v>
      </c>
      <c r="P207" s="186">
        <v>0.5</v>
      </c>
      <c r="Q207" s="186">
        <v>0.53333333333333333</v>
      </c>
      <c r="R207" s="186">
        <v>0.51666666666666661</v>
      </c>
      <c r="S207" s="11" t="s">
        <v>2147</v>
      </c>
      <c r="T207" s="11" t="s">
        <v>2553</v>
      </c>
    </row>
    <row r="208" spans="1:20" x14ac:dyDescent="0.2">
      <c r="A208" t="s">
        <v>2187</v>
      </c>
      <c r="B208" s="11" t="str">
        <f>IF(AND(ISTEXT("https://ieeexplore.ieee.org/stamp/stamp.jsp?arnumber=10373899"),"https://ieeexplore.ieee.org/stamp/stamp.jsp?arnumber=10373899"&lt;&gt;""), HYPERLINK("https://ieeexplore.ieee.org/stamp/stamp.jsp?arnumber=10373899", "Link"),"-")</f>
        <v>Link</v>
      </c>
      <c r="C208" s="11" t="s">
        <v>856</v>
      </c>
      <c r="D208" s="11">
        <v>0</v>
      </c>
      <c r="E208" s="11">
        <v>1</v>
      </c>
      <c r="F208" s="11"/>
      <c r="G208" s="11"/>
      <c r="H208" s="11"/>
      <c r="I208" s="11"/>
      <c r="J208" s="11"/>
      <c r="K208" s="177">
        <v>2023</v>
      </c>
      <c r="L208" s="11"/>
      <c r="M208" s="11" t="s">
        <v>867</v>
      </c>
      <c r="N208" s="11" t="s">
        <v>862</v>
      </c>
      <c r="O208" s="11" t="s">
        <v>1230</v>
      </c>
      <c r="P208" s="186">
        <v>1</v>
      </c>
      <c r="Q208" s="186">
        <v>0.5</v>
      </c>
      <c r="R208" s="186">
        <v>0.75</v>
      </c>
      <c r="S208" s="11" t="s">
        <v>2147</v>
      </c>
      <c r="T208" s="11" t="s">
        <v>2285</v>
      </c>
    </row>
    <row r="209" spans="1:20" x14ac:dyDescent="0.2">
      <c r="A209" t="s">
        <v>2188</v>
      </c>
      <c r="B209" s="11" t="str">
        <f>IF(AND(ISTEXT("https://ieeexplore.ieee.org/stamp/stamp.jsp?arnumber=10621683"),"https://ieeexplore.ieee.org/stamp/stamp.jsp?arnumber=10621683"&lt;&gt;""), HYPERLINK("https://ieeexplore.ieee.org/stamp/stamp.jsp?arnumber=10621683", "Link"),"-")</f>
        <v>Link</v>
      </c>
      <c r="C209" s="11" t="s">
        <v>856</v>
      </c>
      <c r="D209" s="11">
        <v>0</v>
      </c>
      <c r="E209" s="11">
        <v>1</v>
      </c>
      <c r="F209" s="11"/>
      <c r="G209" s="11"/>
      <c r="H209" s="11"/>
      <c r="I209" s="11"/>
      <c r="J209" s="11"/>
      <c r="K209" s="177">
        <v>2024</v>
      </c>
      <c r="L209" s="11"/>
      <c r="M209" s="11" t="s">
        <v>867</v>
      </c>
      <c r="N209" s="11" t="s">
        <v>2149</v>
      </c>
      <c r="O209" s="11" t="s">
        <v>2169</v>
      </c>
      <c r="P209" s="186">
        <v>1</v>
      </c>
      <c r="Q209" s="186">
        <v>0.5</v>
      </c>
      <c r="R209" s="186">
        <v>0.75</v>
      </c>
      <c r="S209" s="11" t="s">
        <v>2147</v>
      </c>
      <c r="T209" s="11" t="s">
        <v>2290</v>
      </c>
    </row>
    <row r="210" spans="1:20" x14ac:dyDescent="0.2">
      <c r="A210" t="s">
        <v>2189</v>
      </c>
      <c r="B210" s="11" t="str">
        <f>IF(AND(ISTEXT("https://ieeexplore.ieee.org/stamp/stamp.jsp?arnumber=10826066"),"https://ieeexplore.ieee.org/stamp/stamp.jsp?arnumber=10826066"&lt;&gt;""), HYPERLINK("https://ieeexplore.ieee.org/stamp/stamp.jsp?arnumber=10826066", "Link"),"-")</f>
        <v>Link</v>
      </c>
      <c r="C210" s="11" t="s">
        <v>890</v>
      </c>
      <c r="D210" s="11">
        <v>1</v>
      </c>
      <c r="E210" s="11">
        <v>0.6</v>
      </c>
      <c r="F210" s="11">
        <v>0.6</v>
      </c>
      <c r="G210" s="11">
        <v>0.3</v>
      </c>
      <c r="H210" s="11">
        <v>0.6</v>
      </c>
      <c r="I210" s="11">
        <v>0</v>
      </c>
      <c r="J210" s="11">
        <v>1</v>
      </c>
      <c r="K210" s="177">
        <v>2024</v>
      </c>
      <c r="L210" s="11"/>
      <c r="M210" s="11" t="s">
        <v>867</v>
      </c>
      <c r="N210" s="11" t="s">
        <v>2149</v>
      </c>
      <c r="O210" s="11" t="s">
        <v>2190</v>
      </c>
      <c r="P210" s="186">
        <v>0.8</v>
      </c>
      <c r="Q210" s="186">
        <v>0.68333333333333324</v>
      </c>
      <c r="R210" s="186">
        <v>0.68333333333333324</v>
      </c>
      <c r="S210" s="11" t="s">
        <v>2147</v>
      </c>
      <c r="T210" s="11" t="s">
        <v>2370</v>
      </c>
    </row>
    <row r="211" spans="1:20" x14ac:dyDescent="0.2">
      <c r="A211" t="s">
        <v>2191</v>
      </c>
      <c r="B211" s="11" t="str">
        <f>IF(AND(ISTEXT("https://catalogplus.tuwien.at/permalink/f/1m011kq/TN_cdi_crossref_primary_10_1016_j_jnca_2024_103882"),"https://catalogplus.tuwien.at/permalink/f/1m011kq/TN_cdi_crossref_primary_10_1016_j_jnca_2024_103882"&lt;&gt;""), HYPERLINK("https://catalogplus.tuwien.at/permalink/f/1m011kq/TN_cdi_crossref_primary_10_1016_j_jnca_2024_103882", "Link"),"-")</f>
        <v>Link</v>
      </c>
      <c r="C211" s="11" t="s">
        <v>886</v>
      </c>
      <c r="D211" s="11">
        <v>0</v>
      </c>
      <c r="E211" s="11">
        <v>0.6</v>
      </c>
      <c r="F211" s="11">
        <v>0.6</v>
      </c>
      <c r="G211" s="11">
        <v>1</v>
      </c>
      <c r="H211" s="11">
        <v>1</v>
      </c>
      <c r="I211" s="11">
        <v>0</v>
      </c>
      <c r="J211" s="11">
        <v>1</v>
      </c>
      <c r="K211" s="177">
        <v>2024</v>
      </c>
      <c r="L211" s="11"/>
      <c r="M211" s="11" t="s">
        <v>867</v>
      </c>
      <c r="N211" s="11" t="s">
        <v>862</v>
      </c>
      <c r="O211" s="11" t="s">
        <v>2192</v>
      </c>
      <c r="P211" s="186">
        <v>1</v>
      </c>
      <c r="Q211" s="186">
        <v>0.6</v>
      </c>
      <c r="R211" s="186">
        <v>0.8</v>
      </c>
      <c r="S211" s="181" t="s">
        <v>869</v>
      </c>
      <c r="T211" s="11" t="s">
        <v>2371</v>
      </c>
    </row>
    <row r="212" spans="1:20" x14ac:dyDescent="0.2">
      <c r="A212" t="s">
        <v>2193</v>
      </c>
      <c r="B212" s="11" t="str">
        <f>IF(AND(ISTEXT("https://catalogplus.tuwien.at/permalink/f/1m011kq/TN_cdi_springer_books_10_1007_978_981_97_0859_8_3"),"https://catalogplus.tuwien.at/permalink/f/1m011kq/TN_cdi_springer_books_10_1007_978_981_97_0859_8_3"&lt;&gt;""), HYPERLINK("https://catalogplus.tuwien.at/permalink/f/1m011kq/TN_cdi_springer_books_10_1007_978_981_97_0859_8_3", "Link"),"-")</f>
        <v>Link</v>
      </c>
      <c r="C212" s="11" t="s">
        <v>856</v>
      </c>
      <c r="D212" s="11">
        <v>0.3</v>
      </c>
      <c r="E212" s="11">
        <v>1</v>
      </c>
      <c r="F212" s="11"/>
      <c r="G212" s="11"/>
      <c r="H212" s="11"/>
      <c r="I212" s="11"/>
      <c r="J212" s="11"/>
      <c r="K212" s="177">
        <v>2024</v>
      </c>
      <c r="L212" s="11"/>
      <c r="M212" s="11" t="s">
        <v>867</v>
      </c>
      <c r="N212" s="11" t="s">
        <v>2194</v>
      </c>
      <c r="O212" s="11" t="s">
        <v>2195</v>
      </c>
      <c r="P212" s="186">
        <v>0.8</v>
      </c>
      <c r="Q212" s="186">
        <v>0.65</v>
      </c>
      <c r="R212" s="186">
        <v>0.72500000000000009</v>
      </c>
      <c r="S212" s="181" t="s">
        <v>869</v>
      </c>
      <c r="T212" s="11" t="s">
        <v>2238</v>
      </c>
    </row>
    <row r="213" spans="1:20" x14ac:dyDescent="0.2">
      <c r="A213" t="s">
        <v>1207</v>
      </c>
      <c r="B213" s="11" t="str">
        <f>IF(AND(ISTEXT("https://catalogplus.tuwien.at/permalink/f/1m011kq/TN_cdi_proquest_journals_2918030176"),"https://catalogplus.tuwien.at/permalink/f/1m011kq/TN_cdi_proquest_journals_2918030176"&lt;&gt;""), HYPERLINK("https://catalogplus.tuwien.at/permalink/f/1m011kq/TN_cdi_proquest_journals_2918030176", "Link"),"-")</f>
        <v>Link</v>
      </c>
      <c r="C213" s="11" t="s">
        <v>856</v>
      </c>
      <c r="D213" s="11">
        <v>0.6</v>
      </c>
      <c r="E213" s="11">
        <v>1</v>
      </c>
      <c r="F213" s="11"/>
      <c r="G213" s="11"/>
      <c r="H213" s="11"/>
      <c r="I213" s="11"/>
      <c r="J213" s="11"/>
      <c r="K213" s="177">
        <v>2024</v>
      </c>
      <c r="L213" s="11"/>
      <c r="M213" s="11" t="s">
        <v>867</v>
      </c>
      <c r="N213" s="11" t="s">
        <v>862</v>
      </c>
      <c r="O213" s="11" t="s">
        <v>2196</v>
      </c>
      <c r="P213" s="186">
        <v>1</v>
      </c>
      <c r="Q213" s="186">
        <v>0.8</v>
      </c>
      <c r="R213" s="186">
        <v>0.9</v>
      </c>
      <c r="S213" s="181" t="s">
        <v>869</v>
      </c>
      <c r="T213" s="11" t="s">
        <v>2210</v>
      </c>
    </row>
    <row r="214" spans="1:20" x14ac:dyDescent="0.2">
      <c r="A214" t="s">
        <v>2197</v>
      </c>
      <c r="B214" s="11" t="str">
        <f>IF(AND(ISTEXT("https://catalogplus.tuwien.at/permalink/f/1m011kq/TN_cdi_crossref_primary_10_1109_TSC_2024_3463394"),"https://catalogplus.tuwien.at/permalink/f/1m011kq/TN_cdi_crossref_primary_10_1109_TSC_2024_3463394"&lt;&gt;""), HYPERLINK("https://catalogplus.tuwien.at/permalink/f/1m011kq/TN_cdi_crossref_primary_10_1109_TSC_2024_3463394", "Link"),"-")</f>
        <v>Link</v>
      </c>
      <c r="C214" s="11" t="s">
        <v>886</v>
      </c>
      <c r="D214" s="11">
        <v>0</v>
      </c>
      <c r="E214" s="11">
        <v>0.6</v>
      </c>
      <c r="F214" s="11">
        <v>0.6</v>
      </c>
      <c r="G214" s="11">
        <v>0.3</v>
      </c>
      <c r="H214" s="11">
        <v>0.6</v>
      </c>
      <c r="I214" s="11">
        <v>0</v>
      </c>
      <c r="J214" s="11">
        <v>1</v>
      </c>
      <c r="K214" s="177">
        <v>2024</v>
      </c>
      <c r="L214" s="11"/>
      <c r="M214" s="11" t="s">
        <v>867</v>
      </c>
      <c r="N214" s="11" t="s">
        <v>862</v>
      </c>
      <c r="O214" s="11" t="s">
        <v>2198</v>
      </c>
      <c r="P214" s="186">
        <v>1</v>
      </c>
      <c r="Q214" s="186">
        <v>0.51666666666666672</v>
      </c>
      <c r="R214" s="186">
        <v>0.51666666666666672</v>
      </c>
      <c r="S214" s="181" t="s">
        <v>869</v>
      </c>
      <c r="T214" s="11" t="s">
        <v>2372</v>
      </c>
    </row>
    <row r="215" spans="1:20" x14ac:dyDescent="0.2">
      <c r="A215" t="s">
        <v>2199</v>
      </c>
      <c r="B215" s="11" t="str">
        <f>IF(AND(ISTEXT("https://catalogplus.tuwien.at/permalink/f/1m011kq/TN_cdi_crossref_primary_10_1109_TR_2024_3480010"),"https://catalogplus.tuwien.at/permalink/f/1m011kq/TN_cdi_crossref_primary_10_1109_TR_2024_3480010"&lt;&gt;""), HYPERLINK("https://catalogplus.tuwien.at/permalink/f/1m011kq/TN_cdi_crossref_primary_10_1109_TR_2024_3480010", "Link"),"-")</f>
        <v>Link</v>
      </c>
      <c r="C215" s="11" t="s">
        <v>856</v>
      </c>
      <c r="D215" s="11">
        <v>0</v>
      </c>
      <c r="E215" s="11">
        <v>1</v>
      </c>
      <c r="F215" s="11"/>
      <c r="G215" s="11"/>
      <c r="H215" s="11"/>
      <c r="I215" s="11"/>
      <c r="J215" s="11"/>
      <c r="K215" s="177">
        <v>2024</v>
      </c>
      <c r="L215" s="11"/>
      <c r="M215" s="11" t="s">
        <v>867</v>
      </c>
      <c r="N215" s="11" t="s">
        <v>862</v>
      </c>
      <c r="O215" s="11" t="s">
        <v>2200</v>
      </c>
      <c r="P215" s="186">
        <v>1</v>
      </c>
      <c r="Q215" s="186">
        <v>0.5</v>
      </c>
      <c r="R215" s="186">
        <v>0.75</v>
      </c>
      <c r="S215" s="181" t="s">
        <v>869</v>
      </c>
      <c r="T215" s="11" t="s">
        <v>2293</v>
      </c>
    </row>
    <row r="216" spans="1:20" x14ac:dyDescent="0.2">
      <c r="A216" t="s">
        <v>2201</v>
      </c>
      <c r="B216" s="11" t="str">
        <f>IF(AND(ISTEXT("https://catalogplus.tuwien.at/permalink/f/1m011kq/TN_cdi_ieee_primary_10752786"),"https://catalogplus.tuwien.at/permalink/f/1m011kq/TN_cdi_ieee_primary_10752786"&lt;&gt;""), HYPERLINK("https://catalogplus.tuwien.at/permalink/f/1m011kq/TN_cdi_ieee_primary_10752786", "Link"),"-")</f>
        <v>Link</v>
      </c>
      <c r="C216" s="11" t="s">
        <v>856</v>
      </c>
      <c r="D216" s="11">
        <v>0</v>
      </c>
      <c r="E216" s="11">
        <v>1</v>
      </c>
      <c r="F216" s="11"/>
      <c r="G216" s="11"/>
      <c r="H216" s="11"/>
      <c r="I216" s="11"/>
      <c r="J216" s="11"/>
      <c r="K216" s="177">
        <v>2024</v>
      </c>
      <c r="L216" s="11"/>
      <c r="M216" s="11" t="s">
        <v>867</v>
      </c>
      <c r="N216" s="11" t="s">
        <v>862</v>
      </c>
      <c r="O216" s="11" t="s">
        <v>2202</v>
      </c>
      <c r="P216" s="186">
        <v>1</v>
      </c>
      <c r="Q216" s="186">
        <v>0.5</v>
      </c>
      <c r="R216" s="186">
        <v>0.75</v>
      </c>
      <c r="S216" s="181" t="s">
        <v>869</v>
      </c>
      <c r="T216" s="11" t="s">
        <v>2241</v>
      </c>
    </row>
    <row r="217" spans="1:20" x14ac:dyDescent="0.2">
      <c r="A217" t="s">
        <v>2203</v>
      </c>
      <c r="B217" s="11" t="str">
        <f>IF(AND(ISTEXT("https://catalogplus.tuwien.at/permalink/f/1m011kq/TN_cdi_ieee_primary_10700860"),"https://catalogplus.tuwien.at/permalink/f/1m011kq/TN_cdi_ieee_primary_10700860"&lt;&gt;""), HYPERLINK("https://catalogplus.tuwien.at/permalink/f/1m011kq/TN_cdi_ieee_primary_10700860", "Link"),"-")</f>
        <v>Link</v>
      </c>
      <c r="C217" s="11" t="s">
        <v>856</v>
      </c>
      <c r="D217" s="11">
        <v>0</v>
      </c>
      <c r="E217" s="11">
        <v>1</v>
      </c>
      <c r="F217" s="11"/>
      <c r="G217" s="11"/>
      <c r="H217" s="11"/>
      <c r="I217" s="11"/>
      <c r="J217" s="11"/>
      <c r="K217" s="177">
        <v>2024</v>
      </c>
      <c r="L217" s="11"/>
      <c r="M217" s="11" t="s">
        <v>867</v>
      </c>
      <c r="N217" s="11" t="s">
        <v>862</v>
      </c>
      <c r="O217" s="11" t="s">
        <v>2204</v>
      </c>
      <c r="P217" s="186">
        <v>1</v>
      </c>
      <c r="Q217" s="186">
        <v>0.5</v>
      </c>
      <c r="R217" s="186">
        <v>0.75</v>
      </c>
      <c r="S217" s="181" t="s">
        <v>869</v>
      </c>
      <c r="T217" s="11" t="s">
        <v>2296</v>
      </c>
    </row>
    <row r="218" spans="1:20" x14ac:dyDescent="0.2">
      <c r="A218" t="s">
        <v>2205</v>
      </c>
      <c r="B218" s="11" t="str">
        <f>IF(AND(ISTEXT("https://catalogplus.tuwien.at/permalink/f/1m011kq/TN_cdi_proquest_journals_3094516749"),"https://catalogplus.tuwien.at/permalink/f/1m011kq/TN_cdi_proquest_journals_3094516749"&lt;&gt;""), HYPERLINK("https://catalogplus.tuwien.at/permalink/f/1m011kq/TN_cdi_proquest_journals_3094516749", "Link"),"-")</f>
        <v>Link</v>
      </c>
      <c r="C218" s="11" t="s">
        <v>856</v>
      </c>
      <c r="D218" s="11">
        <v>0.6</v>
      </c>
      <c r="E218" s="11">
        <v>1</v>
      </c>
      <c r="F218" s="11"/>
      <c r="G218" s="11"/>
      <c r="H218" s="11"/>
      <c r="I218" s="11"/>
      <c r="J218" s="11"/>
      <c r="K218" s="177">
        <v>2024</v>
      </c>
      <c r="L218" s="11"/>
      <c r="M218" s="11" t="s">
        <v>867</v>
      </c>
      <c r="N218" s="11" t="s">
        <v>862</v>
      </c>
      <c r="O218" s="11" t="s">
        <v>2206</v>
      </c>
      <c r="P218" s="186">
        <v>1</v>
      </c>
      <c r="Q218" s="186">
        <v>0.8</v>
      </c>
      <c r="R218" s="186">
        <v>0.9</v>
      </c>
      <c r="S218" s="181" t="s">
        <v>869</v>
      </c>
      <c r="T218" s="11" t="s">
        <v>2299</v>
      </c>
    </row>
    <row r="219" spans="1:20" x14ac:dyDescent="0.2">
      <c r="A219" t="s">
        <v>2207</v>
      </c>
      <c r="B219" s="11" t="str">
        <f>IF(AND(ISTEXT("https://catalogplus.tuwien.at/permalink/f/1m011kq/TN_cdi_acm_books_10_1145_3697355_3697394_brief"),"https://catalogplus.tuwien.at/permalink/f/1m011kq/TN_cdi_acm_books_10_1145_3697355_3697394_brief"&lt;&gt;""), HYPERLINK("https://catalogplus.tuwien.at/permalink/f/1m011kq/TN_cdi_acm_books_10_1145_3697355_3697394_brief", "Link"),"-")</f>
        <v>Link</v>
      </c>
      <c r="C219" s="11" t="s">
        <v>856</v>
      </c>
      <c r="D219" s="11">
        <v>0</v>
      </c>
      <c r="E219" s="11">
        <v>1</v>
      </c>
      <c r="F219" s="11"/>
      <c r="G219" s="11"/>
      <c r="H219" s="11"/>
      <c r="I219" s="11"/>
      <c r="J219" s="11"/>
      <c r="K219" s="177">
        <v>2024</v>
      </c>
      <c r="L219" s="11"/>
      <c r="M219" s="11" t="s">
        <v>867</v>
      </c>
      <c r="N219" s="11" t="s">
        <v>2149</v>
      </c>
      <c r="O219" s="11" t="s">
        <v>2208</v>
      </c>
      <c r="P219" s="186">
        <v>0.5</v>
      </c>
      <c r="Q219" s="186">
        <v>0.5</v>
      </c>
      <c r="R219" s="186">
        <v>0.5</v>
      </c>
      <c r="S219" s="181" t="s">
        <v>869</v>
      </c>
      <c r="T219" s="11" t="s">
        <v>2246</v>
      </c>
    </row>
    <row r="220" spans="1:20" x14ac:dyDescent="0.2">
      <c r="A220" t="s">
        <v>2368</v>
      </c>
      <c r="B220" s="11" t="str">
        <f>IF(AND(ISTEXT("https://www.sciencedirect.com/science/article/pii/S1084804525000396"),"https://www.sciencedirect.com/science/article/pii/S1084804525000396"&lt;&gt;""), HYPERLINK("https://www.sciencedirect.com/science/article/pii/S1084804525000396", "Link"),"-")</f>
        <v>Link</v>
      </c>
      <c r="C220" s="11" t="s">
        <v>890</v>
      </c>
      <c r="D220" s="11">
        <v>1</v>
      </c>
      <c r="E220" s="11">
        <v>0.6</v>
      </c>
      <c r="F220" s="11">
        <v>0.6</v>
      </c>
      <c r="G220" s="11">
        <v>1</v>
      </c>
      <c r="H220" s="11">
        <v>1</v>
      </c>
      <c r="I220" s="11">
        <v>0</v>
      </c>
      <c r="J220" s="11">
        <v>1</v>
      </c>
      <c r="K220" s="177">
        <v>2025</v>
      </c>
      <c r="L220" s="11"/>
      <c r="M220" s="11" t="s">
        <v>894</v>
      </c>
      <c r="N220" s="11" t="s">
        <v>862</v>
      </c>
      <c r="O220" s="11" t="s">
        <v>2143</v>
      </c>
      <c r="P220" s="11">
        <v>1</v>
      </c>
      <c r="Q220" s="186">
        <v>0.74285714285714288</v>
      </c>
      <c r="R220" s="186">
        <v>0.87142857142857144</v>
      </c>
      <c r="S220" s="11" t="s">
        <v>880</v>
      </c>
      <c r="T220" s="11" t="s">
        <v>2369</v>
      </c>
    </row>
    <row r="221" spans="1:20" x14ac:dyDescent="0.2">
      <c r="A221" s="13" t="s">
        <v>2394</v>
      </c>
      <c r="B221" s="11" t="str">
        <f>IF(AND(ISTEXT("https://dl.acm.org/doi/abs/10.1145/3597926.3598125"),"https://dl.acm.org/doi/abs/10.1145/3597926.3598125"&lt;&gt;""), HYPERLINK("https://dl.acm.org/doi/abs/10.1145/3597926.3598125", "Link"),"-")</f>
        <v>Link</v>
      </c>
      <c r="C221" s="11" t="s">
        <v>856</v>
      </c>
      <c r="D221" s="176">
        <v>1</v>
      </c>
      <c r="E221" s="176">
        <v>1</v>
      </c>
      <c r="F221" s="176"/>
      <c r="G221" s="176"/>
      <c r="H221" s="176"/>
      <c r="I221" s="176"/>
      <c r="J221" s="176"/>
      <c r="K221" s="177">
        <v>2023</v>
      </c>
      <c r="L221" s="11"/>
      <c r="M221" s="11">
        <v>2.2999999999999998</v>
      </c>
      <c r="N221" s="11" t="s">
        <v>857</v>
      </c>
      <c r="O221" s="11" t="s">
        <v>2395</v>
      </c>
      <c r="P221" s="183">
        <v>1</v>
      </c>
      <c r="Q221" s="11">
        <v>1</v>
      </c>
      <c r="R221" s="186">
        <v>1</v>
      </c>
      <c r="S221" s="11" t="s">
        <v>883</v>
      </c>
      <c r="T221" s="11" t="s">
        <v>2393</v>
      </c>
    </row>
    <row r="222" spans="1:20" x14ac:dyDescent="0.2">
      <c r="A222" t="s">
        <v>2788</v>
      </c>
      <c r="B222" s="11" t="str">
        <f>IF(AND(ISTEXT("https://arxiv.org/abs/2504.15948"),"https://arxiv.org/abs/2504.15948"&lt;&gt;""), HYPERLINK("https://arxiv.org/abs/2504.15948", "Link"),"-")</f>
        <v>Link</v>
      </c>
      <c r="C222" s="11" t="s">
        <v>856</v>
      </c>
      <c r="D222" s="11">
        <v>0</v>
      </c>
      <c r="E222" s="11">
        <v>1</v>
      </c>
      <c r="F222" s="11"/>
      <c r="G222" s="11"/>
      <c r="H222" s="11"/>
      <c r="I222" s="11"/>
      <c r="J222" s="11"/>
      <c r="K222" s="177">
        <v>2025</v>
      </c>
      <c r="L222" s="11"/>
      <c r="M222" s="11" t="s">
        <v>867</v>
      </c>
      <c r="N222" s="11" t="s">
        <v>857</v>
      </c>
      <c r="O222" s="11" t="s">
        <v>2789</v>
      </c>
      <c r="P222" s="11">
        <v>1</v>
      </c>
      <c r="Q222" s="186">
        <v>0.5</v>
      </c>
      <c r="R222" s="186">
        <v>0.75</v>
      </c>
      <c r="S222" s="181" t="s">
        <v>864</v>
      </c>
      <c r="T222" s="11" t="s">
        <v>2790</v>
      </c>
    </row>
    <row r="223" spans="1:20" x14ac:dyDescent="0.2">
      <c r="A223" s="41" t="s">
        <v>2816</v>
      </c>
      <c r="B223" s="11" t="str">
        <f>IF(AND(ISTEXT("https://catalogplus.tuwien.at/permalink/f/1m011kq/TN_cdi_proquest_journals_3072317710"),"https://catalogplus.tuwien.at/permalink/f/1m011kq/TN_cdi_proquest_journals_3072317710"&lt;&gt;""), HYPERLINK("https://catalogplus.tuwien.at/permalink/f/1m011kq/TN_cdi_proquest_journals_3072317710", "Link"),"-")</f>
        <v>Link</v>
      </c>
      <c r="C223" s="181" t="s">
        <v>890</v>
      </c>
      <c r="D223" s="181">
        <v>1</v>
      </c>
      <c r="E223" s="184">
        <v>1</v>
      </c>
      <c r="F223" s="184">
        <v>0.6</v>
      </c>
      <c r="G223" s="184">
        <v>0.6</v>
      </c>
      <c r="H223" s="184">
        <v>0.6</v>
      </c>
      <c r="I223" s="181">
        <v>0</v>
      </c>
      <c r="J223" s="181">
        <v>1</v>
      </c>
      <c r="K223" s="181">
        <v>2024</v>
      </c>
      <c r="L223" s="11"/>
      <c r="M223" s="11" t="s">
        <v>894</v>
      </c>
      <c r="N223" s="181" t="s">
        <v>862</v>
      </c>
      <c r="O223" s="181" t="s">
        <v>2817</v>
      </c>
      <c r="P223" s="181">
        <v>0.8</v>
      </c>
      <c r="Q223" s="189">
        <f>SUM(D223:J223)/7</f>
        <v>0.68571428571428583</v>
      </c>
      <c r="R223" s="189">
        <f>SUM(P223:Q223)/2</f>
        <v>0.74285714285714288</v>
      </c>
      <c r="S223" s="181" t="s">
        <v>869</v>
      </c>
      <c r="T223" s="11" t="s">
        <v>2818</v>
      </c>
    </row>
    <row r="227" spans="2:19" ht="16" thickBot="1" x14ac:dyDescent="0.25">
      <c r="B227"/>
      <c r="F227" s="159"/>
    </row>
    <row r="228" spans="2:19" x14ac:dyDescent="0.2">
      <c r="B228" s="318" t="s">
        <v>2555</v>
      </c>
      <c r="C228" s="151" t="s">
        <v>869</v>
      </c>
      <c r="D228" s="150">
        <f>COUNTIF($S$2:$S$223,C228)</f>
        <v>51</v>
      </c>
      <c r="E228" s="150"/>
      <c r="F228" s="322">
        <f>SUM(D228:D232)</f>
        <v>164</v>
      </c>
      <c r="M228" s="149"/>
      <c r="N228" s="191">
        <v>2025</v>
      </c>
      <c r="O228" s="191">
        <v>2024</v>
      </c>
      <c r="P228" s="191">
        <v>2023</v>
      </c>
      <c r="Q228" s="192">
        <v>2022</v>
      </c>
      <c r="R228" s="193">
        <v>2021</v>
      </c>
    </row>
    <row r="229" spans="2:19" x14ac:dyDescent="0.2">
      <c r="B229" s="319"/>
      <c r="C229" t="s">
        <v>880</v>
      </c>
      <c r="D229">
        <f t="shared" ref="D229:D232" si="0">COUNTIF($S$2:$S$223,C229)</f>
        <v>14</v>
      </c>
      <c r="F229" s="323"/>
      <c r="M229" s="154" t="s">
        <v>890</v>
      </c>
      <c r="N229" s="11">
        <f>COUNTIFS($C:$C, $M229, $K:$K,$N$228)</f>
        <v>1</v>
      </c>
      <c r="O229" s="11">
        <f>COUNTIFS($C:$C, $M$229, $K:$K,$O228)</f>
        <v>3</v>
      </c>
      <c r="P229" s="11">
        <f>COUNTIFS($C:$C, M229, $K:$K,$P$228)</f>
        <v>2</v>
      </c>
      <c r="Q229" s="11">
        <f>COUNTIFS($C:$C, $M229, $K:$K,$Q$228)</f>
        <v>3</v>
      </c>
      <c r="R229" s="152">
        <f>COUNTIFS($C:$C, $M229, $K:$K,$R$228)</f>
        <v>3</v>
      </c>
    </row>
    <row r="230" spans="2:19" x14ac:dyDescent="0.2">
      <c r="B230" s="319"/>
      <c r="C230" t="s">
        <v>883</v>
      </c>
      <c r="D230">
        <f t="shared" si="0"/>
        <v>42</v>
      </c>
      <c r="F230" s="323"/>
      <c r="M230" s="154" t="s">
        <v>886</v>
      </c>
      <c r="N230" s="11">
        <f>COUNTIFS($C:$C, $M230, $K:$K,$N$228)</f>
        <v>0</v>
      </c>
      <c r="O230" s="11">
        <f>COUNTIFS(C:C, M230, K:K,O228)</f>
        <v>13</v>
      </c>
      <c r="P230" s="11">
        <f>COUNTIFS($C:$C, M230, $K:$K,$P$228)</f>
        <v>10</v>
      </c>
      <c r="Q230" s="11">
        <f>COUNTIFS($C:$C, $M230, $K:$K,$Q$228)</f>
        <v>4</v>
      </c>
      <c r="R230" s="152">
        <f>COUNTIFS($C:$C, $M230, $K:$K,$R$228)</f>
        <v>2</v>
      </c>
    </row>
    <row r="231" spans="2:19" ht="16" thickBot="1" x14ac:dyDescent="0.25">
      <c r="B231" s="319"/>
      <c r="C231" t="s">
        <v>864</v>
      </c>
      <c r="D231">
        <f t="shared" si="0"/>
        <v>34</v>
      </c>
      <c r="F231" s="323"/>
      <c r="M231" s="155" t="s">
        <v>856</v>
      </c>
      <c r="N231" s="194">
        <f>COUNTIFS($C:$C, $M231, $K:$K,$N$228)</f>
        <v>2</v>
      </c>
      <c r="O231" s="194">
        <f>COUNTIFS(C:C, M231, K:K,O228)</f>
        <v>72</v>
      </c>
      <c r="P231" s="194">
        <f>COUNTIFS($C:$C, M231, $K:$K,$P$228)</f>
        <v>42</v>
      </c>
      <c r="Q231" s="194">
        <f>COUNTIFS($C:$C, $M231, $K:$K,$Q$228)</f>
        <v>33</v>
      </c>
      <c r="R231" s="153">
        <f>COUNTIFS($C:$C, $M231, $K:$K,$R$228)</f>
        <v>32</v>
      </c>
    </row>
    <row r="232" spans="2:19" x14ac:dyDescent="0.2">
      <c r="B232" s="320"/>
      <c r="C232" s="160" t="s">
        <v>2147</v>
      </c>
      <c r="D232" s="160">
        <f t="shared" si="0"/>
        <v>23</v>
      </c>
      <c r="E232" s="160"/>
      <c r="F232" s="324"/>
    </row>
    <row r="233" spans="2:19" x14ac:dyDescent="0.2">
      <c r="B233" s="319" t="s">
        <v>2556</v>
      </c>
      <c r="C233" t="s">
        <v>859</v>
      </c>
      <c r="D233">
        <f t="shared" ref="D233:D235" si="1">COUNTIF($S$2:$S$221,C233)</f>
        <v>5</v>
      </c>
      <c r="F233" s="323">
        <f>SUM(D233:D235)</f>
        <v>58</v>
      </c>
    </row>
    <row r="234" spans="2:19" x14ac:dyDescent="0.2">
      <c r="B234" s="319"/>
      <c r="C234" t="s">
        <v>1054</v>
      </c>
      <c r="D234">
        <f t="shared" si="1"/>
        <v>23</v>
      </c>
      <c r="F234" s="323"/>
    </row>
    <row r="235" spans="2:19" ht="16" thickBot="1" x14ac:dyDescent="0.25">
      <c r="B235" s="321"/>
      <c r="C235" s="15" t="s">
        <v>873</v>
      </c>
      <c r="D235" s="15">
        <f t="shared" si="1"/>
        <v>30</v>
      </c>
      <c r="E235" s="15"/>
      <c r="F235" s="325"/>
    </row>
    <row r="236" spans="2:19" x14ac:dyDescent="0.2">
      <c r="B236"/>
    </row>
    <row r="237" spans="2:19" x14ac:dyDescent="0.2">
      <c r="B237"/>
    </row>
    <row r="239" spans="2:19" x14ac:dyDescent="0.2">
      <c r="B239" s="198"/>
    </row>
    <row r="240" spans="2:19" x14ac:dyDescent="0.2">
      <c r="B240" s="198"/>
      <c r="S240" s="44"/>
    </row>
    <row r="241" spans="2:2" x14ac:dyDescent="0.2">
      <c r="B241" s="198"/>
    </row>
    <row r="242" spans="2:2" x14ac:dyDescent="0.2">
      <c r="B242" s="198"/>
    </row>
    <row r="243" spans="2:2" x14ac:dyDescent="0.2">
      <c r="B243" s="198"/>
    </row>
    <row r="244" spans="2:2" x14ac:dyDescent="0.2">
      <c r="B244" s="198"/>
    </row>
    <row r="245" spans="2:2" x14ac:dyDescent="0.2">
      <c r="B245" s="198"/>
    </row>
    <row r="246" spans="2:2" x14ac:dyDescent="0.2">
      <c r="B246" s="198"/>
    </row>
    <row r="247" spans="2:2" x14ac:dyDescent="0.2">
      <c r="B247" s="198"/>
    </row>
    <row r="248" spans="2:2" x14ac:dyDescent="0.2">
      <c r="B248" s="198"/>
    </row>
    <row r="249" spans="2:2" x14ac:dyDescent="0.2">
      <c r="B249" s="198"/>
    </row>
    <row r="250" spans="2:2" x14ac:dyDescent="0.2">
      <c r="B250" s="198"/>
    </row>
    <row r="251" spans="2:2" x14ac:dyDescent="0.2">
      <c r="B251" s="198"/>
    </row>
    <row r="252" spans="2:2" x14ac:dyDescent="0.2">
      <c r="B252" s="198"/>
    </row>
    <row r="253" spans="2:2" x14ac:dyDescent="0.2">
      <c r="B253" s="198"/>
    </row>
    <row r="254" spans="2:2" x14ac:dyDescent="0.2">
      <c r="B254" s="198"/>
    </row>
    <row r="255" spans="2:2" x14ac:dyDescent="0.2">
      <c r="B255" s="198"/>
    </row>
    <row r="256" spans="2:2" x14ac:dyDescent="0.2">
      <c r="B256" s="198"/>
    </row>
    <row r="257" spans="2:2" x14ac:dyDescent="0.2">
      <c r="B257" s="198"/>
    </row>
    <row r="258" spans="2:2" x14ac:dyDescent="0.2">
      <c r="B258" s="198"/>
    </row>
    <row r="259" spans="2:2" x14ac:dyDescent="0.2">
      <c r="B259" s="198"/>
    </row>
    <row r="260" spans="2:2" x14ac:dyDescent="0.2">
      <c r="B260" s="198"/>
    </row>
    <row r="261" spans="2:2" x14ac:dyDescent="0.2">
      <c r="B261" s="198"/>
    </row>
    <row r="262" spans="2:2" x14ac:dyDescent="0.2">
      <c r="B262" s="198"/>
    </row>
    <row r="263" spans="2:2" x14ac:dyDescent="0.2">
      <c r="B263" s="198"/>
    </row>
    <row r="264" spans="2:2" x14ac:dyDescent="0.2">
      <c r="B264" s="198"/>
    </row>
    <row r="265" spans="2:2" x14ac:dyDescent="0.2">
      <c r="B265" s="198"/>
    </row>
    <row r="266" spans="2:2" x14ac:dyDescent="0.2">
      <c r="B266" s="198"/>
    </row>
    <row r="267" spans="2:2" x14ac:dyDescent="0.2">
      <c r="B267" s="198"/>
    </row>
    <row r="268" spans="2:2" x14ac:dyDescent="0.2">
      <c r="B268" s="199"/>
    </row>
    <row r="269" spans="2:2" x14ac:dyDescent="0.2">
      <c r="B269" s="198"/>
    </row>
    <row r="270" spans="2:2" x14ac:dyDescent="0.2">
      <c r="B270" s="198"/>
    </row>
    <row r="271" spans="2:2" x14ac:dyDescent="0.2">
      <c r="B271" s="198"/>
    </row>
    <row r="272" spans="2:2" x14ac:dyDescent="0.2">
      <c r="B272" s="198"/>
    </row>
    <row r="273" spans="2:2" x14ac:dyDescent="0.2">
      <c r="B273" s="198"/>
    </row>
    <row r="274" spans="2:2" x14ac:dyDescent="0.2">
      <c r="B274" s="198"/>
    </row>
    <row r="275" spans="2:2" x14ac:dyDescent="0.2">
      <c r="B275" s="198"/>
    </row>
    <row r="276" spans="2:2" x14ac:dyDescent="0.2">
      <c r="B276" s="199"/>
    </row>
    <row r="277" spans="2:2" x14ac:dyDescent="0.2">
      <c r="B277" s="198"/>
    </row>
    <row r="278" spans="2:2" x14ac:dyDescent="0.2">
      <c r="B278" s="198"/>
    </row>
    <row r="279" spans="2:2" x14ac:dyDescent="0.2">
      <c r="B279" s="198"/>
    </row>
    <row r="280" spans="2:2" x14ac:dyDescent="0.2">
      <c r="B280" s="198"/>
    </row>
    <row r="281" spans="2:2" x14ac:dyDescent="0.2">
      <c r="B281" s="198"/>
    </row>
    <row r="282" spans="2:2" x14ac:dyDescent="0.2">
      <c r="B282" s="198"/>
    </row>
    <row r="283" spans="2:2" x14ac:dyDescent="0.2">
      <c r="B283" s="198"/>
    </row>
    <row r="284" spans="2:2" x14ac:dyDescent="0.2">
      <c r="B284" s="198"/>
    </row>
    <row r="285" spans="2:2" x14ac:dyDescent="0.2">
      <c r="B285" s="198"/>
    </row>
    <row r="286" spans="2:2" x14ac:dyDescent="0.2">
      <c r="B286" s="198"/>
    </row>
    <row r="287" spans="2:2" x14ac:dyDescent="0.2">
      <c r="B287" s="198"/>
    </row>
    <row r="288" spans="2:2" x14ac:dyDescent="0.2">
      <c r="B288" s="198"/>
    </row>
    <row r="289" spans="2:2" x14ac:dyDescent="0.2">
      <c r="B289" s="198"/>
    </row>
    <row r="290" spans="2:2" x14ac:dyDescent="0.2">
      <c r="B290" s="198"/>
    </row>
    <row r="291" spans="2:2" x14ac:dyDescent="0.2">
      <c r="B291" s="198"/>
    </row>
    <row r="292" spans="2:2" x14ac:dyDescent="0.2">
      <c r="B292" s="198"/>
    </row>
    <row r="293" spans="2:2" x14ac:dyDescent="0.2">
      <c r="B293" s="198"/>
    </row>
    <row r="294" spans="2:2" x14ac:dyDescent="0.2">
      <c r="B294" s="198"/>
    </row>
    <row r="295" spans="2:2" x14ac:dyDescent="0.2">
      <c r="B295" s="198"/>
    </row>
    <row r="296" spans="2:2" x14ac:dyDescent="0.2">
      <c r="B296" s="198"/>
    </row>
    <row r="297" spans="2:2" x14ac:dyDescent="0.2">
      <c r="B297" s="198"/>
    </row>
    <row r="298" spans="2:2" x14ac:dyDescent="0.2">
      <c r="B298" s="198"/>
    </row>
    <row r="299" spans="2:2" x14ac:dyDescent="0.2">
      <c r="B299" s="198"/>
    </row>
    <row r="300" spans="2:2" x14ac:dyDescent="0.2">
      <c r="B300" s="198"/>
    </row>
    <row r="301" spans="2:2" x14ac:dyDescent="0.2">
      <c r="B301" s="198"/>
    </row>
    <row r="302" spans="2:2" x14ac:dyDescent="0.2">
      <c r="B302" s="199"/>
    </row>
    <row r="303" spans="2:2" x14ac:dyDescent="0.2">
      <c r="B303" s="198"/>
    </row>
    <row r="304" spans="2:2" x14ac:dyDescent="0.2">
      <c r="B304" s="198"/>
    </row>
    <row r="305" spans="2:2" x14ac:dyDescent="0.2">
      <c r="B305" s="198"/>
    </row>
    <row r="306" spans="2:2" x14ac:dyDescent="0.2">
      <c r="B306" s="198"/>
    </row>
    <row r="307" spans="2:2" x14ac:dyDescent="0.2">
      <c r="B307" s="198"/>
    </row>
    <row r="308" spans="2:2" x14ac:dyDescent="0.2">
      <c r="B308" s="198"/>
    </row>
    <row r="309" spans="2:2" x14ac:dyDescent="0.2">
      <c r="B309" s="198"/>
    </row>
    <row r="310" spans="2:2" x14ac:dyDescent="0.2">
      <c r="B310" s="198"/>
    </row>
    <row r="311" spans="2:2" x14ac:dyDescent="0.2">
      <c r="B311" s="198"/>
    </row>
    <row r="312" spans="2:2" x14ac:dyDescent="0.2">
      <c r="B312" s="198"/>
    </row>
    <row r="313" spans="2:2" x14ac:dyDescent="0.2">
      <c r="B313" s="198"/>
    </row>
    <row r="314" spans="2:2" x14ac:dyDescent="0.2">
      <c r="B314" s="198"/>
    </row>
    <row r="315" spans="2:2" x14ac:dyDescent="0.2">
      <c r="B315" s="198"/>
    </row>
    <row r="316" spans="2:2" x14ac:dyDescent="0.2">
      <c r="B316" s="198"/>
    </row>
    <row r="317" spans="2:2" x14ac:dyDescent="0.2">
      <c r="B317" s="198"/>
    </row>
    <row r="318" spans="2:2" x14ac:dyDescent="0.2">
      <c r="B318" s="198"/>
    </row>
    <row r="319" spans="2:2" x14ac:dyDescent="0.2">
      <c r="B319" s="198"/>
    </row>
    <row r="320" spans="2:2" x14ac:dyDescent="0.2">
      <c r="B320" s="199"/>
    </row>
    <row r="321" spans="2:2" x14ac:dyDescent="0.2">
      <c r="B321" s="198"/>
    </row>
    <row r="322" spans="2:2" x14ac:dyDescent="0.2">
      <c r="B322" s="198"/>
    </row>
    <row r="323" spans="2:2" x14ac:dyDescent="0.2">
      <c r="B323" s="198"/>
    </row>
    <row r="324" spans="2:2" x14ac:dyDescent="0.2">
      <c r="B324" s="198"/>
    </row>
    <row r="325" spans="2:2" x14ac:dyDescent="0.2">
      <c r="B325" s="198"/>
    </row>
    <row r="326" spans="2:2" x14ac:dyDescent="0.2">
      <c r="B326" s="198"/>
    </row>
    <row r="327" spans="2:2" x14ac:dyDescent="0.2">
      <c r="B327" s="198"/>
    </row>
    <row r="328" spans="2:2" x14ac:dyDescent="0.2">
      <c r="B328" s="198"/>
    </row>
    <row r="329" spans="2:2" x14ac:dyDescent="0.2">
      <c r="B329" s="198"/>
    </row>
    <row r="330" spans="2:2" x14ac:dyDescent="0.2">
      <c r="B330" s="198"/>
    </row>
    <row r="331" spans="2:2" x14ac:dyDescent="0.2">
      <c r="B331" s="198"/>
    </row>
    <row r="332" spans="2:2" x14ac:dyDescent="0.2">
      <c r="B332" s="198"/>
    </row>
    <row r="333" spans="2:2" x14ac:dyDescent="0.2">
      <c r="B333" s="198"/>
    </row>
    <row r="334" spans="2:2" x14ac:dyDescent="0.2">
      <c r="B334" s="198"/>
    </row>
    <row r="335" spans="2:2" x14ac:dyDescent="0.2">
      <c r="B335" s="198"/>
    </row>
    <row r="336" spans="2:2" x14ac:dyDescent="0.2">
      <c r="B336" s="198"/>
    </row>
    <row r="337" spans="2:2" x14ac:dyDescent="0.2">
      <c r="B337" s="198"/>
    </row>
    <row r="338" spans="2:2" x14ac:dyDescent="0.2">
      <c r="B338" s="198"/>
    </row>
    <row r="339" spans="2:2" x14ac:dyDescent="0.2">
      <c r="B339" s="198"/>
    </row>
    <row r="340" spans="2:2" x14ac:dyDescent="0.2">
      <c r="B340" s="198"/>
    </row>
    <row r="341" spans="2:2" x14ac:dyDescent="0.2">
      <c r="B341" s="198"/>
    </row>
    <row r="342" spans="2:2" x14ac:dyDescent="0.2">
      <c r="B342" s="198"/>
    </row>
    <row r="343" spans="2:2" x14ac:dyDescent="0.2">
      <c r="B343" s="198"/>
    </row>
    <row r="344" spans="2:2" x14ac:dyDescent="0.2">
      <c r="B344" s="198"/>
    </row>
    <row r="345" spans="2:2" x14ac:dyDescent="0.2">
      <c r="B345" s="198"/>
    </row>
    <row r="346" spans="2:2" x14ac:dyDescent="0.2">
      <c r="B346" s="198"/>
    </row>
    <row r="347" spans="2:2" x14ac:dyDescent="0.2">
      <c r="B347" s="198"/>
    </row>
    <row r="348" spans="2:2" x14ac:dyDescent="0.2">
      <c r="B348" s="198"/>
    </row>
    <row r="349" spans="2:2" x14ac:dyDescent="0.2">
      <c r="B349" s="198"/>
    </row>
    <row r="350" spans="2:2" x14ac:dyDescent="0.2">
      <c r="B350" s="198"/>
    </row>
    <row r="351" spans="2:2" x14ac:dyDescent="0.2">
      <c r="B351" s="198"/>
    </row>
    <row r="352" spans="2:2" x14ac:dyDescent="0.2">
      <c r="B352" s="198"/>
    </row>
    <row r="353" spans="2:2" x14ac:dyDescent="0.2">
      <c r="B353" s="198"/>
    </row>
    <row r="354" spans="2:2" x14ac:dyDescent="0.2">
      <c r="B354" s="198"/>
    </row>
    <row r="355" spans="2:2" x14ac:dyDescent="0.2">
      <c r="B355" s="198"/>
    </row>
    <row r="356" spans="2:2" x14ac:dyDescent="0.2">
      <c r="B356" s="198"/>
    </row>
    <row r="357" spans="2:2" x14ac:dyDescent="0.2">
      <c r="B357" s="198"/>
    </row>
    <row r="358" spans="2:2" x14ac:dyDescent="0.2">
      <c r="B358" s="198"/>
    </row>
    <row r="359" spans="2:2" x14ac:dyDescent="0.2">
      <c r="B359" s="198"/>
    </row>
    <row r="360" spans="2:2" x14ac:dyDescent="0.2">
      <c r="B360" s="198"/>
    </row>
    <row r="361" spans="2:2" x14ac:dyDescent="0.2">
      <c r="B361" s="199"/>
    </row>
    <row r="362" spans="2:2" x14ac:dyDescent="0.2">
      <c r="B362" s="198"/>
    </row>
    <row r="363" spans="2:2" x14ac:dyDescent="0.2">
      <c r="B363" s="198"/>
    </row>
    <row r="364" spans="2:2" x14ac:dyDescent="0.2">
      <c r="B364" s="198"/>
    </row>
    <row r="365" spans="2:2" x14ac:dyDescent="0.2">
      <c r="B365" s="198"/>
    </row>
    <row r="366" spans="2:2" x14ac:dyDescent="0.2">
      <c r="B366" s="198"/>
    </row>
    <row r="367" spans="2:2" x14ac:dyDescent="0.2">
      <c r="B367" s="198"/>
    </row>
    <row r="368" spans="2:2" x14ac:dyDescent="0.2">
      <c r="B368" s="198"/>
    </row>
    <row r="369" spans="2:2" x14ac:dyDescent="0.2">
      <c r="B369" s="198"/>
    </row>
    <row r="370" spans="2:2" x14ac:dyDescent="0.2">
      <c r="B370" s="200"/>
    </row>
    <row r="371" spans="2:2" x14ac:dyDescent="0.2">
      <c r="B371" s="198"/>
    </row>
    <row r="372" spans="2:2" x14ac:dyDescent="0.2">
      <c r="B372" s="200"/>
    </row>
    <row r="373" spans="2:2" x14ac:dyDescent="0.2">
      <c r="B373" s="200"/>
    </row>
    <row r="374" spans="2:2" x14ac:dyDescent="0.2">
      <c r="B374" s="200"/>
    </row>
    <row r="375" spans="2:2" x14ac:dyDescent="0.2">
      <c r="B375" s="200"/>
    </row>
    <row r="376" spans="2:2" x14ac:dyDescent="0.2">
      <c r="B376" s="200"/>
    </row>
    <row r="377" spans="2:2" x14ac:dyDescent="0.2">
      <c r="B377" s="200"/>
    </row>
    <row r="378" spans="2:2" x14ac:dyDescent="0.2">
      <c r="B378" s="200"/>
    </row>
    <row r="379" spans="2:2" x14ac:dyDescent="0.2">
      <c r="B379" s="200"/>
    </row>
    <row r="380" spans="2:2" x14ac:dyDescent="0.2">
      <c r="B380" s="200"/>
    </row>
    <row r="381" spans="2:2" x14ac:dyDescent="0.2">
      <c r="B381" s="200"/>
    </row>
    <row r="382" spans="2:2" x14ac:dyDescent="0.2">
      <c r="B382" s="200"/>
    </row>
    <row r="383" spans="2:2" x14ac:dyDescent="0.2">
      <c r="B383" s="200"/>
    </row>
    <row r="384" spans="2:2" x14ac:dyDescent="0.2">
      <c r="B384" s="200"/>
    </row>
    <row r="385" spans="2:2" x14ac:dyDescent="0.2">
      <c r="B385" s="200"/>
    </row>
    <row r="386" spans="2:2" x14ac:dyDescent="0.2">
      <c r="B386" s="200"/>
    </row>
    <row r="387" spans="2:2" x14ac:dyDescent="0.2">
      <c r="B387" s="200"/>
    </row>
    <row r="388" spans="2:2" x14ac:dyDescent="0.2">
      <c r="B388" s="200"/>
    </row>
    <row r="389" spans="2:2" x14ac:dyDescent="0.2">
      <c r="B389" s="201"/>
    </row>
    <row r="390" spans="2:2" x14ac:dyDescent="0.2">
      <c r="B390" s="201"/>
    </row>
    <row r="391" spans="2:2" x14ac:dyDescent="0.2">
      <c r="B391" s="200"/>
    </row>
    <row r="392" spans="2:2" x14ac:dyDescent="0.2">
      <c r="B392" s="200"/>
    </row>
    <row r="393" spans="2:2" x14ac:dyDescent="0.2">
      <c r="B393" s="200"/>
    </row>
    <row r="394" spans="2:2" x14ac:dyDescent="0.2">
      <c r="B394" s="201"/>
    </row>
    <row r="395" spans="2:2" x14ac:dyDescent="0.2">
      <c r="B395" s="200"/>
    </row>
    <row r="396" spans="2:2" x14ac:dyDescent="0.2">
      <c r="B396" s="198"/>
    </row>
    <row r="397" spans="2:2" x14ac:dyDescent="0.2">
      <c r="B397" s="198"/>
    </row>
    <row r="398" spans="2:2" x14ac:dyDescent="0.2">
      <c r="B398" s="198"/>
    </row>
    <row r="399" spans="2:2" x14ac:dyDescent="0.2">
      <c r="B399" s="198"/>
    </row>
    <row r="400" spans="2:2" x14ac:dyDescent="0.2">
      <c r="B400" s="200"/>
    </row>
    <row r="401" spans="2:2" x14ac:dyDescent="0.2">
      <c r="B401" s="198"/>
    </row>
    <row r="402" spans="2:2" x14ac:dyDescent="0.2">
      <c r="B402" s="198"/>
    </row>
    <row r="403" spans="2:2" x14ac:dyDescent="0.2">
      <c r="B403" s="198"/>
    </row>
    <row r="404" spans="2:2" x14ac:dyDescent="0.2">
      <c r="B404" s="198"/>
    </row>
    <row r="405" spans="2:2" x14ac:dyDescent="0.2">
      <c r="B405" s="200"/>
    </row>
    <row r="406" spans="2:2" x14ac:dyDescent="0.2">
      <c r="B406" s="198"/>
    </row>
    <row r="407" spans="2:2" x14ac:dyDescent="0.2">
      <c r="B407" s="198"/>
    </row>
    <row r="408" spans="2:2" x14ac:dyDescent="0.2">
      <c r="B408" s="198"/>
    </row>
    <row r="410" spans="2:2" x14ac:dyDescent="0.2">
      <c r="B410" s="198"/>
    </row>
    <row r="411" spans="2:2" x14ac:dyDescent="0.2">
      <c r="B411" s="198"/>
    </row>
    <row r="412" spans="2:2" x14ac:dyDescent="0.2">
      <c r="B412" s="198"/>
    </row>
    <row r="414" spans="2:2" x14ac:dyDescent="0.2">
      <c r="B414" s="198"/>
    </row>
    <row r="415" spans="2:2" x14ac:dyDescent="0.2">
      <c r="B415" s="198"/>
    </row>
    <row r="418" spans="2:2" x14ac:dyDescent="0.2">
      <c r="B418" s="200"/>
    </row>
    <row r="419" spans="2:2" x14ac:dyDescent="0.2">
      <c r="B419" s="198"/>
    </row>
    <row r="420" spans="2:2" x14ac:dyDescent="0.2">
      <c r="B420" s="200"/>
    </row>
    <row r="421" spans="2:2" x14ac:dyDescent="0.2">
      <c r="B421"/>
    </row>
    <row r="422" spans="2:2" x14ac:dyDescent="0.2">
      <c r="B422" s="200"/>
    </row>
    <row r="423" spans="2:2" x14ac:dyDescent="0.2">
      <c r="B423"/>
    </row>
    <row r="424" spans="2:2" x14ac:dyDescent="0.2">
      <c r="B424"/>
    </row>
    <row r="425" spans="2:2" x14ac:dyDescent="0.2">
      <c r="B425"/>
    </row>
    <row r="426" spans="2:2" x14ac:dyDescent="0.2">
      <c r="B426"/>
    </row>
    <row r="427" spans="2:2" x14ac:dyDescent="0.2">
      <c r="B427"/>
    </row>
    <row r="428" spans="2:2" x14ac:dyDescent="0.2">
      <c r="B428" s="200"/>
    </row>
    <row r="429" spans="2:2" x14ac:dyDescent="0.2">
      <c r="B429"/>
    </row>
    <row r="430" spans="2:2" x14ac:dyDescent="0.2">
      <c r="B430"/>
    </row>
    <row r="431" spans="2:2" x14ac:dyDescent="0.2">
      <c r="B431"/>
    </row>
    <row r="432" spans="2:2" x14ac:dyDescent="0.2">
      <c r="B432"/>
    </row>
    <row r="433" spans="2:2" x14ac:dyDescent="0.2">
      <c r="B433" s="200"/>
    </row>
    <row r="434" spans="2:2" x14ac:dyDescent="0.2">
      <c r="B434"/>
    </row>
    <row r="435" spans="2:2" x14ac:dyDescent="0.2">
      <c r="B435"/>
    </row>
    <row r="436" spans="2:2" x14ac:dyDescent="0.2">
      <c r="B436"/>
    </row>
    <row r="437" spans="2:2" x14ac:dyDescent="0.2">
      <c r="B437"/>
    </row>
    <row r="438" spans="2:2" x14ac:dyDescent="0.2">
      <c r="B438" s="200"/>
    </row>
    <row r="439" spans="2:2" x14ac:dyDescent="0.2">
      <c r="B439"/>
    </row>
    <row r="440" spans="2:2" x14ac:dyDescent="0.2">
      <c r="B440"/>
    </row>
    <row r="441" spans="2:2" x14ac:dyDescent="0.2">
      <c r="B441"/>
    </row>
    <row r="442" spans="2:2" x14ac:dyDescent="0.2">
      <c r="B442" s="200"/>
    </row>
    <row r="443" spans="2:2" x14ac:dyDescent="0.2">
      <c r="B443" s="200"/>
    </row>
    <row r="444" spans="2:2" x14ac:dyDescent="0.2">
      <c r="B444"/>
    </row>
    <row r="445" spans="2:2" x14ac:dyDescent="0.2">
      <c r="B445"/>
    </row>
    <row r="446" spans="2:2" x14ac:dyDescent="0.2">
      <c r="B446"/>
    </row>
    <row r="447" spans="2:2" x14ac:dyDescent="0.2">
      <c r="B447" s="200"/>
    </row>
    <row r="448" spans="2:2" x14ac:dyDescent="0.2">
      <c r="B448" s="200"/>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s="200"/>
    </row>
    <row r="458" spans="2:2" x14ac:dyDescent="0.2">
      <c r="B458" s="198"/>
    </row>
    <row r="459" spans="2:2" x14ac:dyDescent="0.2">
      <c r="B459" s="200"/>
    </row>
    <row r="460" spans="2:2" ht="16" thickBot="1" x14ac:dyDescent="0.25">
      <c r="B460" s="202"/>
    </row>
  </sheetData>
  <sortState xmlns:xlrd2="http://schemas.microsoft.com/office/spreadsheetml/2017/richdata2" ref="A2:T117">
    <sortCondition descending="1" ref="C2:C117"/>
  </sortState>
  <mergeCells count="4">
    <mergeCell ref="B228:B232"/>
    <mergeCell ref="B233:B235"/>
    <mergeCell ref="F228:F232"/>
    <mergeCell ref="F233:F235"/>
  </mergeCells>
  <phoneticPr fontId="10" type="noConversion"/>
  <conditionalFormatting sqref="A120:A122">
    <cfRule type="duplicateValues" dxfId="133" priority="258"/>
    <cfRule type="duplicateValues" dxfId="132" priority="260"/>
  </conditionalFormatting>
  <conditionalFormatting sqref="A120:A127">
    <cfRule type="duplicateValues" dxfId="131" priority="598"/>
  </conditionalFormatting>
  <conditionalFormatting sqref="A123:A127">
    <cfRule type="duplicateValues" dxfId="130" priority="605"/>
    <cfRule type="duplicateValues" dxfId="129" priority="604"/>
    <cfRule type="duplicateValues" dxfId="128" priority="603"/>
    <cfRule type="duplicateValues" dxfId="127" priority="602"/>
    <cfRule type="duplicateValues" dxfId="126" priority="600"/>
  </conditionalFormatting>
  <conditionalFormatting sqref="A129">
    <cfRule type="duplicateValues" dxfId="125" priority="223"/>
    <cfRule type="duplicateValues" dxfId="124" priority="222"/>
    <cfRule type="duplicateValues" dxfId="123" priority="221"/>
  </conditionalFormatting>
  <conditionalFormatting sqref="A130">
    <cfRule type="duplicateValues" dxfId="122" priority="214"/>
    <cfRule type="duplicateValues" dxfId="121" priority="213"/>
    <cfRule type="duplicateValues" dxfId="120" priority="212"/>
  </conditionalFormatting>
  <conditionalFormatting sqref="A131">
    <cfRule type="duplicateValues" dxfId="119" priority="193"/>
    <cfRule type="duplicateValues" dxfId="118" priority="195"/>
    <cfRule type="duplicateValues" dxfId="117" priority="194"/>
  </conditionalFormatting>
  <conditionalFormatting sqref="A132">
    <cfRule type="duplicateValues" dxfId="116" priority="188"/>
    <cfRule type="duplicateValues" dxfId="115" priority="189"/>
    <cfRule type="duplicateValues" dxfId="114" priority="187"/>
    <cfRule type="duplicateValues" dxfId="113" priority="186"/>
    <cfRule type="duplicateValues" dxfId="112" priority="185"/>
    <cfRule type="duplicateValues" dxfId="111" priority="184"/>
  </conditionalFormatting>
  <conditionalFormatting sqref="A168">
    <cfRule type="duplicateValues" dxfId="110" priority="166"/>
    <cfRule type="duplicateValues" dxfId="109" priority="165"/>
    <cfRule type="duplicateValues" dxfId="108" priority="164"/>
  </conditionalFormatting>
  <conditionalFormatting sqref="A171:A172">
    <cfRule type="duplicateValues" dxfId="107" priority="160"/>
    <cfRule type="duplicateValues" dxfId="106" priority="159"/>
  </conditionalFormatting>
  <conditionalFormatting sqref="A175">
    <cfRule type="duplicateValues" dxfId="105" priority="142"/>
    <cfRule type="duplicateValues" dxfId="104" priority="141"/>
  </conditionalFormatting>
  <conditionalFormatting sqref="A176">
    <cfRule type="duplicateValues" dxfId="103" priority="136"/>
    <cfRule type="duplicateValues" dxfId="102" priority="135"/>
  </conditionalFormatting>
  <conditionalFormatting sqref="A177">
    <cfRule type="duplicateValues" dxfId="101" priority="130"/>
    <cfRule type="duplicateValues" dxfId="100" priority="129"/>
  </conditionalFormatting>
  <conditionalFormatting sqref="A178">
    <cfRule type="duplicateValues" dxfId="99" priority="120"/>
    <cfRule type="duplicateValues" dxfId="98" priority="128"/>
    <cfRule type="duplicateValues" dxfId="97" priority="127"/>
    <cfRule type="duplicateValues" dxfId="96" priority="126"/>
    <cfRule type="duplicateValues" dxfId="95" priority="121"/>
  </conditionalFormatting>
  <conditionalFormatting sqref="A179:A180">
    <cfRule type="duplicateValues" dxfId="94" priority="119"/>
    <cfRule type="duplicateValues" dxfId="93" priority="118"/>
  </conditionalFormatting>
  <conditionalFormatting sqref="A183">
    <cfRule type="duplicateValues" dxfId="92" priority="111"/>
  </conditionalFormatting>
  <conditionalFormatting sqref="A184">
    <cfRule type="duplicateValues" dxfId="91" priority="110"/>
    <cfRule type="duplicateValues" dxfId="90" priority="109"/>
    <cfRule type="duplicateValues" dxfId="89" priority="108"/>
  </conditionalFormatting>
  <conditionalFormatting sqref="A185:A190">
    <cfRule type="duplicateValues" dxfId="88" priority="107"/>
    <cfRule type="duplicateValues" dxfId="87" priority="106"/>
    <cfRule type="duplicateValues" dxfId="86" priority="105"/>
  </conditionalFormatting>
  <conditionalFormatting sqref="A191">
    <cfRule type="duplicateValues" dxfId="85" priority="104"/>
    <cfRule type="duplicateValues" dxfId="84" priority="103"/>
    <cfRule type="duplicateValues" dxfId="83" priority="102"/>
  </conditionalFormatting>
  <conditionalFormatting sqref="A192">
    <cfRule type="duplicateValues" dxfId="82" priority="101"/>
    <cfRule type="duplicateValues" dxfId="81" priority="100"/>
    <cfRule type="duplicateValues" dxfId="80" priority="99"/>
  </conditionalFormatting>
  <conditionalFormatting sqref="A193">
    <cfRule type="duplicateValues" dxfId="79" priority="97"/>
    <cfRule type="duplicateValues" dxfId="78" priority="96"/>
    <cfRule type="duplicateValues" dxfId="77" priority="98"/>
  </conditionalFormatting>
  <conditionalFormatting sqref="A194">
    <cfRule type="duplicateValues" dxfId="76" priority="95"/>
    <cfRule type="duplicateValues" dxfId="75" priority="94"/>
    <cfRule type="duplicateValues" dxfId="74" priority="93"/>
  </conditionalFormatting>
  <conditionalFormatting sqref="A195">
    <cfRule type="duplicateValues" dxfId="73" priority="92"/>
    <cfRule type="duplicateValues" dxfId="72" priority="91"/>
    <cfRule type="duplicateValues" dxfId="71" priority="90"/>
  </conditionalFormatting>
  <conditionalFormatting sqref="A196">
    <cfRule type="duplicateValues" dxfId="70" priority="83"/>
    <cfRule type="duplicateValues" dxfId="69" priority="82"/>
    <cfRule type="duplicateValues" dxfId="68" priority="81"/>
  </conditionalFormatting>
  <conditionalFormatting sqref="A197">
    <cfRule type="duplicateValues" dxfId="67" priority="80"/>
    <cfRule type="duplicateValues" dxfId="66" priority="79"/>
    <cfRule type="duplicateValues" dxfId="65" priority="78"/>
  </conditionalFormatting>
  <conditionalFormatting sqref="A198">
    <cfRule type="duplicateValues" dxfId="64" priority="74"/>
    <cfRule type="duplicateValues" dxfId="63" priority="73"/>
    <cfRule type="duplicateValues" dxfId="62" priority="72"/>
  </conditionalFormatting>
  <conditionalFormatting sqref="A199">
    <cfRule type="duplicateValues" dxfId="61" priority="609"/>
    <cfRule type="duplicateValues" dxfId="60" priority="606"/>
    <cfRule type="duplicateValues" dxfId="59" priority="608"/>
  </conditionalFormatting>
  <conditionalFormatting sqref="A200">
    <cfRule type="duplicateValues" dxfId="58" priority="64"/>
    <cfRule type="duplicateValues" dxfId="57" priority="63"/>
    <cfRule type="duplicateValues" dxfId="56" priority="65"/>
  </conditionalFormatting>
  <conditionalFormatting sqref="A201">
    <cfRule type="duplicateValues" dxfId="55" priority="62"/>
    <cfRule type="duplicateValues" dxfId="54" priority="61"/>
    <cfRule type="duplicateValues" dxfId="53" priority="60"/>
  </conditionalFormatting>
  <conditionalFormatting sqref="A202">
    <cfRule type="duplicateValues" dxfId="52" priority="59"/>
    <cfRule type="duplicateValues" dxfId="51" priority="58"/>
    <cfRule type="duplicateValues" dxfId="50" priority="57"/>
  </conditionalFormatting>
  <conditionalFormatting sqref="A203">
    <cfRule type="duplicateValues" dxfId="49" priority="53"/>
    <cfRule type="duplicateValues" dxfId="48" priority="52"/>
    <cfRule type="duplicateValues" dxfId="47" priority="51"/>
  </conditionalFormatting>
  <conditionalFormatting sqref="A204">
    <cfRule type="duplicateValues" dxfId="46" priority="50"/>
    <cfRule type="duplicateValues" dxfId="45" priority="49"/>
    <cfRule type="duplicateValues" dxfId="44" priority="48"/>
  </conditionalFormatting>
  <conditionalFormatting sqref="A206">
    <cfRule type="duplicateValues" dxfId="43" priority="38"/>
    <cfRule type="duplicateValues" dxfId="42" priority="37"/>
    <cfRule type="duplicateValues" dxfId="41" priority="36"/>
  </conditionalFormatting>
  <conditionalFormatting sqref="A207">
    <cfRule type="duplicateValues" dxfId="40" priority="35"/>
    <cfRule type="duplicateValues" dxfId="39" priority="34"/>
    <cfRule type="duplicateValues" dxfId="38" priority="33"/>
  </conditionalFormatting>
  <conditionalFormatting sqref="A208">
    <cfRule type="duplicateValues" dxfId="37" priority="32"/>
    <cfRule type="duplicateValues" dxfId="36" priority="30"/>
    <cfRule type="duplicateValues" dxfId="35" priority="31"/>
  </conditionalFormatting>
  <conditionalFormatting sqref="A209">
    <cfRule type="duplicateValues" dxfId="34" priority="29"/>
    <cfRule type="duplicateValues" dxfId="33" priority="28"/>
    <cfRule type="duplicateValues" dxfId="32" priority="27"/>
  </conditionalFormatting>
  <conditionalFormatting sqref="A210">
    <cfRule type="duplicateValues" dxfId="31" priority="26"/>
    <cfRule type="duplicateValues" dxfId="30" priority="25"/>
    <cfRule type="duplicateValues" dxfId="29" priority="24"/>
  </conditionalFormatting>
  <conditionalFormatting sqref="A211">
    <cfRule type="duplicateValues" dxfId="28" priority="23"/>
    <cfRule type="duplicateValues" dxfId="27" priority="22"/>
    <cfRule type="duplicateValues" dxfId="26" priority="21"/>
  </conditionalFormatting>
  <conditionalFormatting sqref="A212">
    <cfRule type="duplicateValues" dxfId="25" priority="20"/>
    <cfRule type="duplicateValues" dxfId="24" priority="19"/>
    <cfRule type="duplicateValues" dxfId="23" priority="18"/>
  </conditionalFormatting>
  <conditionalFormatting sqref="A213:A219 A222">
    <cfRule type="duplicateValues" dxfId="22" priority="8"/>
    <cfRule type="duplicateValues" dxfId="21" priority="7"/>
    <cfRule type="duplicateValues" dxfId="20" priority="6"/>
  </conditionalFormatting>
  <conditionalFormatting sqref="T131">
    <cfRule type="duplicateValues" dxfId="19" priority="196"/>
  </conditionalFormatting>
  <conditionalFormatting sqref="T219">
    <cfRule type="duplicateValues" dxfId="18" priority="5"/>
  </conditionalFormatting>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F59C0-D5FF-4770-8D99-FC9CD0DCFB1C}">
  <dimension ref="A1:N622"/>
  <sheetViews>
    <sheetView zoomScale="125" zoomScaleNormal="100" workbookViewId="0">
      <selection activeCell="D443" sqref="D443"/>
    </sheetView>
  </sheetViews>
  <sheetFormatPr baseColWidth="10" defaultColWidth="8.83203125" defaultRowHeight="15" x14ac:dyDescent="0.2"/>
  <cols>
    <col min="1" max="1" width="13.33203125" style="2" bestFit="1" customWidth="1"/>
    <col min="2" max="2" width="30.33203125" style="2" customWidth="1"/>
    <col min="3" max="3" width="24.33203125" style="2" customWidth="1"/>
    <col min="4" max="5" width="33.6640625" style="2" customWidth="1"/>
    <col min="6" max="6" width="52.5" style="9" bestFit="1" customWidth="1"/>
    <col min="7" max="7" width="11.6640625" customWidth="1"/>
    <col min="8" max="8" width="10.33203125" customWidth="1"/>
    <col min="9" max="9" width="9.5" bestFit="1" customWidth="1"/>
  </cols>
  <sheetData>
    <row r="1" spans="1:14" ht="16" x14ac:dyDescent="0.2">
      <c r="A1" s="27" t="s">
        <v>0</v>
      </c>
      <c r="B1" s="28" t="s">
        <v>1</v>
      </c>
      <c r="C1" s="28" t="s">
        <v>2</v>
      </c>
      <c r="D1" s="29" t="s">
        <v>3</v>
      </c>
      <c r="E1" s="28" t="s">
        <v>4</v>
      </c>
      <c r="F1" s="30" t="s">
        <v>5</v>
      </c>
    </row>
    <row r="2" spans="1:14" s="3" customFormat="1" x14ac:dyDescent="0.2">
      <c r="A2" s="24" t="s">
        <v>6</v>
      </c>
      <c r="B2" s="162" t="s">
        <v>7</v>
      </c>
      <c r="C2" s="162" t="s">
        <v>8</v>
      </c>
      <c r="D2" s="162" t="s">
        <v>9</v>
      </c>
      <c r="E2" s="162" t="s">
        <v>10</v>
      </c>
      <c r="F2" s="31" t="s">
        <v>11</v>
      </c>
    </row>
    <row r="3" spans="1:14" x14ac:dyDescent="0.2">
      <c r="A3" s="25" t="s">
        <v>12</v>
      </c>
      <c r="B3" s="162" t="s">
        <v>7</v>
      </c>
      <c r="C3" s="162"/>
      <c r="D3" s="162" t="s">
        <v>13</v>
      </c>
      <c r="E3" s="162" t="s">
        <v>10</v>
      </c>
      <c r="F3" s="31" t="s">
        <v>2545</v>
      </c>
      <c r="G3" s="3"/>
    </row>
    <row r="4" spans="1:14" x14ac:dyDescent="0.2">
      <c r="A4" s="25"/>
      <c r="B4" s="162" t="s">
        <v>7</v>
      </c>
      <c r="C4" s="162"/>
      <c r="D4" s="162"/>
      <c r="E4" s="162"/>
      <c r="F4" s="31" t="s">
        <v>870</v>
      </c>
      <c r="G4" s="3"/>
    </row>
    <row r="5" spans="1:14" x14ac:dyDescent="0.2">
      <c r="A5" s="25" t="s">
        <v>14</v>
      </c>
      <c r="B5" s="162" t="s">
        <v>7</v>
      </c>
      <c r="C5" s="162"/>
      <c r="D5" s="162" t="s">
        <v>15</v>
      </c>
      <c r="E5" s="162"/>
      <c r="F5" s="31" t="s">
        <v>1101</v>
      </c>
      <c r="G5" s="3"/>
    </row>
    <row r="6" spans="1:14" x14ac:dyDescent="0.2">
      <c r="A6" s="25"/>
      <c r="B6" s="162" t="s">
        <v>7</v>
      </c>
      <c r="C6" s="162"/>
      <c r="D6" s="162"/>
      <c r="E6" s="162" t="s">
        <v>10</v>
      </c>
      <c r="F6" s="31" t="s">
        <v>914</v>
      </c>
      <c r="G6" s="3"/>
      <c r="I6" s="9"/>
      <c r="J6" s="9"/>
      <c r="K6" s="9"/>
      <c r="L6" s="9"/>
      <c r="M6" s="9"/>
      <c r="N6" s="9"/>
    </row>
    <row r="7" spans="1:14" x14ac:dyDescent="0.2">
      <c r="A7" s="25"/>
      <c r="B7" s="162" t="s">
        <v>16</v>
      </c>
      <c r="C7" s="162"/>
      <c r="D7" s="162"/>
      <c r="E7" s="162"/>
      <c r="F7" s="31" t="s">
        <v>911</v>
      </c>
      <c r="G7" s="3"/>
    </row>
    <row r="8" spans="1:14" x14ac:dyDescent="0.2">
      <c r="A8" s="25"/>
      <c r="B8" s="162" t="s">
        <v>7</v>
      </c>
      <c r="C8" s="162"/>
      <c r="D8" s="162"/>
      <c r="E8" s="162"/>
      <c r="F8" s="31" t="s">
        <v>905</v>
      </c>
      <c r="G8" s="3"/>
    </row>
    <row r="9" spans="1:14" x14ac:dyDescent="0.2">
      <c r="A9" s="25"/>
      <c r="B9" s="162" t="s">
        <v>7</v>
      </c>
      <c r="C9" s="162"/>
      <c r="D9" s="162" t="s">
        <v>17</v>
      </c>
      <c r="E9" s="162"/>
      <c r="F9" s="31" t="s">
        <v>922</v>
      </c>
      <c r="G9" s="3"/>
    </row>
    <row r="10" spans="1:14" x14ac:dyDescent="0.2">
      <c r="A10" s="25"/>
      <c r="B10" s="162" t="s">
        <v>7</v>
      </c>
      <c r="C10" s="13" t="s">
        <v>18</v>
      </c>
      <c r="D10" s="162" t="s">
        <v>19</v>
      </c>
      <c r="E10" s="162" t="s">
        <v>10</v>
      </c>
      <c r="F10" s="31" t="s">
        <v>884</v>
      </c>
      <c r="G10" s="3"/>
    </row>
    <row r="11" spans="1:14" x14ac:dyDescent="0.2">
      <c r="A11" s="25"/>
      <c r="B11" s="162" t="s">
        <v>7</v>
      </c>
      <c r="C11" s="13"/>
      <c r="D11" s="162"/>
      <c r="E11" s="162"/>
      <c r="F11" s="31" t="s">
        <v>20</v>
      </c>
      <c r="G11" s="3"/>
    </row>
    <row r="12" spans="1:14" x14ac:dyDescent="0.2">
      <c r="A12" s="25"/>
      <c r="B12" s="162" t="s">
        <v>21</v>
      </c>
      <c r="C12" s="162"/>
      <c r="D12" s="162"/>
      <c r="E12" s="162"/>
      <c r="F12" s="31" t="s">
        <v>896</v>
      </c>
      <c r="G12" s="3"/>
    </row>
    <row r="13" spans="1:14" x14ac:dyDescent="0.2">
      <c r="A13" s="25"/>
      <c r="B13" s="162" t="s">
        <v>22</v>
      </c>
      <c r="C13" s="163"/>
      <c r="D13" s="162" t="s">
        <v>23</v>
      </c>
      <c r="E13" s="162"/>
      <c r="F13" s="31" t="s">
        <v>896</v>
      </c>
      <c r="G13" s="3"/>
    </row>
    <row r="14" spans="1:14" x14ac:dyDescent="0.2">
      <c r="A14" s="25"/>
      <c r="B14" s="13" t="s">
        <v>24</v>
      </c>
      <c r="C14" s="162"/>
      <c r="D14" s="164"/>
      <c r="E14" s="162"/>
      <c r="F14" s="31" t="s">
        <v>896</v>
      </c>
      <c r="G14" s="3"/>
    </row>
    <row r="15" spans="1:14" x14ac:dyDescent="0.2">
      <c r="A15" s="25"/>
      <c r="B15" s="13" t="s">
        <v>25</v>
      </c>
      <c r="C15" s="162"/>
      <c r="D15" s="162"/>
      <c r="E15" s="162"/>
      <c r="F15" s="31" t="s">
        <v>896</v>
      </c>
      <c r="G15" s="3"/>
    </row>
    <row r="16" spans="1:14" x14ac:dyDescent="0.2">
      <c r="A16" s="25"/>
      <c r="B16" s="13" t="s">
        <v>26</v>
      </c>
      <c r="C16" s="162"/>
      <c r="D16" s="162" t="s">
        <v>27</v>
      </c>
      <c r="E16" s="162"/>
      <c r="F16" s="31" t="s">
        <v>896</v>
      </c>
      <c r="G16" s="3"/>
    </row>
    <row r="17" spans="1:7" x14ac:dyDescent="0.2">
      <c r="A17" s="25"/>
      <c r="B17" s="13" t="s">
        <v>28</v>
      </c>
      <c r="C17" s="162"/>
      <c r="D17" s="162" t="s">
        <v>29</v>
      </c>
      <c r="E17" s="162"/>
      <c r="F17" s="31" t="s">
        <v>896</v>
      </c>
      <c r="G17" s="3"/>
    </row>
    <row r="18" spans="1:7" x14ac:dyDescent="0.2">
      <c r="A18" s="26"/>
      <c r="B18" s="165"/>
      <c r="C18" s="165"/>
      <c r="D18" s="165"/>
      <c r="E18" s="165"/>
      <c r="F18" s="32"/>
      <c r="G18" s="3"/>
    </row>
    <row r="19" spans="1:7" s="3" customFormat="1" x14ac:dyDescent="0.2">
      <c r="A19" s="24" t="s">
        <v>30</v>
      </c>
      <c r="B19" s="162" t="s">
        <v>31</v>
      </c>
      <c r="C19" s="162" t="s">
        <v>32</v>
      </c>
      <c r="D19" s="162" t="s">
        <v>33</v>
      </c>
      <c r="E19" s="162" t="s">
        <v>10</v>
      </c>
      <c r="F19" s="31" t="s">
        <v>11</v>
      </c>
    </row>
    <row r="20" spans="1:7" x14ac:dyDescent="0.2">
      <c r="A20" s="25" t="s">
        <v>34</v>
      </c>
      <c r="B20" s="162" t="s">
        <v>31</v>
      </c>
      <c r="C20" s="162"/>
      <c r="D20" s="162" t="s">
        <v>35</v>
      </c>
      <c r="E20" s="162" t="s">
        <v>10</v>
      </c>
      <c r="F20" s="31" t="s">
        <v>2545</v>
      </c>
      <c r="G20" s="3"/>
    </row>
    <row r="21" spans="1:7" x14ac:dyDescent="0.2">
      <c r="A21" s="25"/>
      <c r="B21" s="162" t="s">
        <v>31</v>
      </c>
      <c r="C21" s="162" t="s">
        <v>36</v>
      </c>
      <c r="D21" s="162" t="s">
        <v>37</v>
      </c>
      <c r="E21" s="162"/>
      <c r="F21" s="31" t="s">
        <v>884</v>
      </c>
      <c r="G21" s="3"/>
    </row>
    <row r="22" spans="1:7" x14ac:dyDescent="0.2">
      <c r="A22" s="25"/>
      <c r="B22" s="162" t="s">
        <v>31</v>
      </c>
      <c r="C22" s="162"/>
      <c r="D22" s="162"/>
      <c r="E22" s="162"/>
      <c r="F22" s="31" t="s">
        <v>20</v>
      </c>
      <c r="G22" s="3"/>
    </row>
    <row r="23" spans="1:7" x14ac:dyDescent="0.2">
      <c r="A23" s="25"/>
      <c r="B23" s="162" t="s">
        <v>31</v>
      </c>
      <c r="C23" s="162"/>
      <c r="D23" s="162" t="s">
        <v>38</v>
      </c>
      <c r="E23" s="162"/>
      <c r="F23" s="31" t="s">
        <v>920</v>
      </c>
      <c r="G23" s="3"/>
    </row>
    <row r="24" spans="1:7" x14ac:dyDescent="0.2">
      <c r="A24" s="25"/>
      <c r="B24" s="162" t="s">
        <v>39</v>
      </c>
      <c r="C24" s="162"/>
      <c r="D24" s="162" t="s">
        <v>40</v>
      </c>
      <c r="E24" s="162" t="s">
        <v>41</v>
      </c>
      <c r="F24" s="31" t="s">
        <v>860</v>
      </c>
      <c r="G24" s="3"/>
    </row>
    <row r="25" spans="1:7" x14ac:dyDescent="0.2">
      <c r="A25" s="26"/>
      <c r="B25" s="165"/>
      <c r="C25" s="165"/>
      <c r="D25" s="165"/>
      <c r="E25" s="165"/>
      <c r="F25" s="32"/>
      <c r="G25" s="3"/>
    </row>
    <row r="26" spans="1:7" s="3" customFormat="1" x14ac:dyDescent="0.2">
      <c r="A26" s="24" t="s">
        <v>42</v>
      </c>
      <c r="B26" s="162" t="s">
        <v>43</v>
      </c>
      <c r="C26" s="162" t="s">
        <v>44</v>
      </c>
      <c r="D26" s="162" t="s">
        <v>45</v>
      </c>
      <c r="E26" s="162" t="s">
        <v>10</v>
      </c>
      <c r="F26" s="31" t="s">
        <v>11</v>
      </c>
    </row>
    <row r="27" spans="1:7" x14ac:dyDescent="0.2">
      <c r="A27" s="25"/>
      <c r="B27" s="162" t="s">
        <v>46</v>
      </c>
      <c r="C27" s="13" t="s">
        <v>18</v>
      </c>
      <c r="D27" s="162" t="s">
        <v>47</v>
      </c>
      <c r="E27" s="162"/>
      <c r="F27" s="31" t="s">
        <v>884</v>
      </c>
      <c r="G27" s="3"/>
    </row>
    <row r="28" spans="1:7" x14ac:dyDescent="0.2">
      <c r="A28" s="25" t="s">
        <v>48</v>
      </c>
      <c r="B28" s="162" t="s">
        <v>49</v>
      </c>
      <c r="C28" s="162"/>
      <c r="D28" s="162" t="s">
        <v>50</v>
      </c>
      <c r="E28" s="162" t="s">
        <v>10</v>
      </c>
      <c r="F28" s="31" t="s">
        <v>2545</v>
      </c>
      <c r="G28" s="3"/>
    </row>
    <row r="29" spans="1:7" x14ac:dyDescent="0.2">
      <c r="A29" s="25"/>
      <c r="B29" s="162" t="s">
        <v>51</v>
      </c>
      <c r="C29" s="162"/>
      <c r="D29" s="162"/>
      <c r="E29" s="162"/>
      <c r="F29" s="31" t="s">
        <v>860</v>
      </c>
      <c r="G29" s="3"/>
    </row>
    <row r="30" spans="1:7" x14ac:dyDescent="0.2">
      <c r="A30" s="25"/>
      <c r="B30" s="13" t="s">
        <v>52</v>
      </c>
      <c r="C30" s="162" t="s">
        <v>53</v>
      </c>
      <c r="D30" s="162" t="s">
        <v>54</v>
      </c>
      <c r="E30" s="162"/>
      <c r="F30" s="31" t="s">
        <v>896</v>
      </c>
      <c r="G30" s="3"/>
    </row>
    <row r="31" spans="1:7" x14ac:dyDescent="0.2">
      <c r="A31" s="25"/>
      <c r="B31" s="162" t="s">
        <v>55</v>
      </c>
      <c r="C31" s="162"/>
      <c r="D31" s="162" t="s">
        <v>56</v>
      </c>
      <c r="E31" s="162"/>
      <c r="F31" s="31" t="s">
        <v>877</v>
      </c>
      <c r="G31" s="3"/>
    </row>
    <row r="32" spans="1:7" ht="16" x14ac:dyDescent="0.2">
      <c r="A32" s="25" t="s">
        <v>57</v>
      </c>
      <c r="B32" s="163" t="s">
        <v>58</v>
      </c>
      <c r="C32" s="164"/>
      <c r="D32" s="162" t="s">
        <v>59</v>
      </c>
      <c r="E32" s="163"/>
      <c r="F32" s="31" t="s">
        <v>888</v>
      </c>
      <c r="G32" s="3"/>
    </row>
    <row r="33" spans="1:7" x14ac:dyDescent="0.2">
      <c r="A33" s="26"/>
      <c r="B33" s="165"/>
      <c r="C33" s="165"/>
      <c r="D33" s="165"/>
      <c r="E33" s="165"/>
      <c r="F33" s="32"/>
      <c r="G33" s="3"/>
    </row>
    <row r="34" spans="1:7" s="3" customFormat="1" x14ac:dyDescent="0.2">
      <c r="A34" s="24" t="s">
        <v>60</v>
      </c>
      <c r="B34" s="162" t="s">
        <v>61</v>
      </c>
      <c r="C34" s="162" t="s">
        <v>62</v>
      </c>
      <c r="D34" s="162" t="s">
        <v>63</v>
      </c>
      <c r="E34" s="162" t="s">
        <v>10</v>
      </c>
      <c r="F34" s="31" t="s">
        <v>11</v>
      </c>
    </row>
    <row r="35" spans="1:7" x14ac:dyDescent="0.2">
      <c r="A35" s="25" t="s">
        <v>64</v>
      </c>
      <c r="B35" s="162" t="s">
        <v>65</v>
      </c>
      <c r="C35" s="162"/>
      <c r="D35" s="162" t="s">
        <v>66</v>
      </c>
      <c r="E35" s="162" t="s">
        <v>10</v>
      </c>
      <c r="F35" s="31" t="s">
        <v>2545</v>
      </c>
      <c r="G35" s="3"/>
    </row>
    <row r="36" spans="1:7" x14ac:dyDescent="0.2">
      <c r="A36" s="25"/>
      <c r="B36" s="162" t="s">
        <v>65</v>
      </c>
      <c r="C36" s="162"/>
      <c r="D36" s="162" t="s">
        <v>67</v>
      </c>
      <c r="E36" s="162"/>
      <c r="F36" s="31" t="s">
        <v>920</v>
      </c>
      <c r="G36" s="3"/>
    </row>
    <row r="37" spans="1:7" x14ac:dyDescent="0.2">
      <c r="A37" s="25"/>
      <c r="B37" s="162" t="s">
        <v>68</v>
      </c>
      <c r="C37" s="161"/>
      <c r="D37" s="162" t="s">
        <v>69</v>
      </c>
      <c r="E37" s="162"/>
      <c r="F37" s="31" t="s">
        <v>877</v>
      </c>
      <c r="G37" s="3"/>
    </row>
    <row r="38" spans="1:7" x14ac:dyDescent="0.2">
      <c r="A38" s="25"/>
      <c r="B38" s="162" t="s">
        <v>70</v>
      </c>
      <c r="C38" s="162" t="s">
        <v>71</v>
      </c>
      <c r="D38" s="162" t="s">
        <v>72</v>
      </c>
      <c r="E38" s="162" t="s">
        <v>10</v>
      </c>
      <c r="F38" s="31" t="s">
        <v>884</v>
      </c>
      <c r="G38" s="3"/>
    </row>
    <row r="39" spans="1:7" x14ac:dyDescent="0.2">
      <c r="A39" s="25"/>
      <c r="B39" s="162" t="s">
        <v>73</v>
      </c>
      <c r="C39" s="162"/>
      <c r="D39" s="162" t="s">
        <v>74</v>
      </c>
      <c r="E39" s="162"/>
      <c r="F39" s="31" t="s">
        <v>860</v>
      </c>
      <c r="G39" s="3"/>
    </row>
    <row r="40" spans="1:7" x14ac:dyDescent="0.2">
      <c r="A40" s="26"/>
      <c r="B40" s="165"/>
      <c r="C40" s="165"/>
      <c r="D40" s="165"/>
      <c r="E40" s="165"/>
      <c r="F40" s="32"/>
      <c r="G40" s="3"/>
    </row>
    <row r="41" spans="1:7" s="166" customFormat="1" x14ac:dyDescent="0.2">
      <c r="A41" s="24" t="s">
        <v>75</v>
      </c>
      <c r="B41" s="162" t="s">
        <v>76</v>
      </c>
      <c r="C41" s="137"/>
      <c r="D41" s="162" t="s">
        <v>77</v>
      </c>
      <c r="E41" s="162" t="s">
        <v>10</v>
      </c>
      <c r="F41" s="31" t="s">
        <v>11</v>
      </c>
      <c r="G41" s="3"/>
    </row>
    <row r="42" spans="1:7" x14ac:dyDescent="0.2">
      <c r="A42" s="25" t="s">
        <v>78</v>
      </c>
      <c r="B42" s="162" t="s">
        <v>79</v>
      </c>
      <c r="C42" s="162"/>
      <c r="D42" s="162" t="s">
        <v>80</v>
      </c>
      <c r="E42" s="162" t="s">
        <v>10</v>
      </c>
      <c r="F42" s="31" t="s">
        <v>2545</v>
      </c>
      <c r="G42" s="3"/>
    </row>
    <row r="43" spans="1:7" x14ac:dyDescent="0.2">
      <c r="A43" s="25"/>
      <c r="B43" s="162" t="s">
        <v>81</v>
      </c>
      <c r="C43" s="162"/>
      <c r="D43" s="162"/>
      <c r="E43" s="162"/>
      <c r="F43" s="31" t="s">
        <v>870</v>
      </c>
      <c r="G43" s="3"/>
    </row>
    <row r="44" spans="1:7" x14ac:dyDescent="0.2">
      <c r="A44" s="25"/>
      <c r="B44" s="162" t="s">
        <v>82</v>
      </c>
      <c r="C44" s="162" t="s">
        <v>36</v>
      </c>
      <c r="D44" s="162" t="s">
        <v>83</v>
      </c>
      <c r="E44" s="162"/>
      <c r="F44" s="31" t="s">
        <v>860</v>
      </c>
      <c r="G44" s="3"/>
    </row>
    <row r="45" spans="1:7" x14ac:dyDescent="0.2">
      <c r="A45" s="25"/>
      <c r="B45" s="162" t="s">
        <v>84</v>
      </c>
      <c r="C45" s="162"/>
      <c r="D45" s="162"/>
      <c r="E45" s="162"/>
      <c r="F45" s="31" t="s">
        <v>911</v>
      </c>
      <c r="G45" s="3"/>
    </row>
    <row r="46" spans="1:7" x14ac:dyDescent="0.2">
      <c r="A46" s="25" t="s">
        <v>85</v>
      </c>
      <c r="B46" s="162" t="s">
        <v>86</v>
      </c>
      <c r="C46" s="162"/>
      <c r="D46" s="162" t="s">
        <v>87</v>
      </c>
      <c r="E46" s="162"/>
      <c r="F46" s="31" t="s">
        <v>888</v>
      </c>
      <c r="G46" s="3"/>
    </row>
    <row r="47" spans="1:7" x14ac:dyDescent="0.2">
      <c r="A47" s="25"/>
      <c r="B47" s="162" t="s">
        <v>88</v>
      </c>
      <c r="C47" s="162"/>
      <c r="D47" s="162"/>
      <c r="E47" s="162"/>
      <c r="F47" s="31" t="s">
        <v>896</v>
      </c>
      <c r="G47" s="3"/>
    </row>
    <row r="48" spans="1:7" x14ac:dyDescent="0.2">
      <c r="A48" s="25"/>
      <c r="B48" s="162" t="s">
        <v>88</v>
      </c>
      <c r="C48" s="162"/>
      <c r="D48" s="162" t="s">
        <v>89</v>
      </c>
      <c r="E48" s="162"/>
      <c r="F48" s="31" t="s">
        <v>920</v>
      </c>
      <c r="G48" s="3"/>
    </row>
    <row r="49" spans="1:7" x14ac:dyDescent="0.2">
      <c r="A49" s="25"/>
      <c r="B49" s="162" t="s">
        <v>88</v>
      </c>
      <c r="C49" s="162"/>
      <c r="D49" s="162" t="s">
        <v>90</v>
      </c>
      <c r="E49" s="162"/>
      <c r="F49" s="31" t="s">
        <v>922</v>
      </c>
      <c r="G49" s="3"/>
    </row>
    <row r="50" spans="1:7" x14ac:dyDescent="0.2">
      <c r="A50" s="26"/>
      <c r="B50" s="165"/>
      <c r="C50" s="165"/>
      <c r="D50" s="165"/>
      <c r="E50" s="165"/>
      <c r="F50" s="32"/>
      <c r="G50" s="3"/>
    </row>
    <row r="51" spans="1:7" s="3" customFormat="1" x14ac:dyDescent="0.2">
      <c r="A51" s="24" t="s">
        <v>91</v>
      </c>
      <c r="B51" s="162" t="s">
        <v>92</v>
      </c>
      <c r="C51" s="162" t="s">
        <v>93</v>
      </c>
      <c r="D51" s="162" t="s">
        <v>94</v>
      </c>
      <c r="E51" s="162" t="s">
        <v>95</v>
      </c>
      <c r="F51" s="31" t="s">
        <v>11</v>
      </c>
    </row>
    <row r="52" spans="1:7" x14ac:dyDescent="0.2">
      <c r="A52" s="25"/>
      <c r="B52" s="162" t="s">
        <v>92</v>
      </c>
      <c r="C52" s="162"/>
      <c r="D52" s="162"/>
      <c r="E52" s="162" t="s">
        <v>95</v>
      </c>
      <c r="F52" s="31" t="s">
        <v>914</v>
      </c>
      <c r="G52" s="3"/>
    </row>
    <row r="53" spans="1:7" x14ac:dyDescent="0.2">
      <c r="A53" s="25"/>
      <c r="B53" s="162" t="s">
        <v>92</v>
      </c>
      <c r="C53" s="163"/>
      <c r="D53" s="162"/>
      <c r="E53" s="162" t="s">
        <v>95</v>
      </c>
      <c r="F53" s="31" t="s">
        <v>911</v>
      </c>
      <c r="G53" s="3"/>
    </row>
    <row r="54" spans="1:7" x14ac:dyDescent="0.2">
      <c r="A54" s="25"/>
      <c r="B54" s="162" t="s">
        <v>92</v>
      </c>
      <c r="C54" s="163"/>
      <c r="D54" s="162" t="s">
        <v>96</v>
      </c>
      <c r="E54" s="162" t="s">
        <v>95</v>
      </c>
      <c r="F54" s="31" t="s">
        <v>922</v>
      </c>
      <c r="G54" s="3"/>
    </row>
    <row r="55" spans="1:7" x14ac:dyDescent="0.2">
      <c r="A55" s="25"/>
      <c r="B55" s="162" t="s">
        <v>92</v>
      </c>
      <c r="C55" s="163"/>
      <c r="D55" s="162" t="s">
        <v>97</v>
      </c>
      <c r="E55" s="162"/>
      <c r="F55" s="31" t="s">
        <v>920</v>
      </c>
      <c r="G55" s="3"/>
    </row>
    <row r="56" spans="1:7" x14ac:dyDescent="0.2">
      <c r="A56" s="25"/>
      <c r="B56" s="162" t="s">
        <v>92</v>
      </c>
      <c r="C56" s="162" t="s">
        <v>71</v>
      </c>
      <c r="D56" s="162" t="s">
        <v>98</v>
      </c>
      <c r="E56" s="162" t="s">
        <v>95</v>
      </c>
      <c r="F56" s="31" t="s">
        <v>884</v>
      </c>
      <c r="G56" s="3"/>
    </row>
    <row r="57" spans="1:7" x14ac:dyDescent="0.2">
      <c r="A57" s="25"/>
      <c r="B57" s="162" t="s">
        <v>99</v>
      </c>
      <c r="C57" s="162"/>
      <c r="D57" s="162" t="s">
        <v>100</v>
      </c>
      <c r="E57" s="162"/>
      <c r="F57" s="31" t="s">
        <v>20</v>
      </c>
      <c r="G57" s="3"/>
    </row>
    <row r="58" spans="1:7" x14ac:dyDescent="0.2">
      <c r="A58" s="25"/>
      <c r="B58" s="162" t="s">
        <v>101</v>
      </c>
      <c r="C58" s="162" t="s">
        <v>102</v>
      </c>
      <c r="D58" s="162" t="s">
        <v>103</v>
      </c>
      <c r="E58" s="162" t="s">
        <v>95</v>
      </c>
      <c r="F58" s="31" t="s">
        <v>896</v>
      </c>
      <c r="G58" s="3"/>
    </row>
    <row r="59" spans="1:7" x14ac:dyDescent="0.2">
      <c r="A59" s="22"/>
      <c r="B59" s="162" t="s">
        <v>104</v>
      </c>
      <c r="C59" s="164"/>
      <c r="D59" s="162" t="s">
        <v>105</v>
      </c>
      <c r="E59" s="162"/>
      <c r="F59" s="31" t="s">
        <v>877</v>
      </c>
      <c r="G59" s="3"/>
    </row>
    <row r="60" spans="1:7" x14ac:dyDescent="0.2">
      <c r="A60" s="22" t="s">
        <v>106</v>
      </c>
      <c r="B60" s="162" t="s">
        <v>107</v>
      </c>
      <c r="C60" s="162"/>
      <c r="D60" s="162" t="s">
        <v>108</v>
      </c>
      <c r="E60" s="162"/>
      <c r="F60" s="31" t="s">
        <v>1101</v>
      </c>
      <c r="G60" s="3"/>
    </row>
    <row r="61" spans="1:7" x14ac:dyDescent="0.2">
      <c r="A61" s="25" t="s">
        <v>109</v>
      </c>
      <c r="B61" s="162" t="s">
        <v>110</v>
      </c>
      <c r="C61" s="162"/>
      <c r="D61" s="162" t="s">
        <v>111</v>
      </c>
      <c r="E61" s="162" t="s">
        <v>95</v>
      </c>
      <c r="F61" s="31" t="s">
        <v>2545</v>
      </c>
      <c r="G61" s="3"/>
    </row>
    <row r="62" spans="1:7" x14ac:dyDescent="0.2">
      <c r="A62" s="26"/>
      <c r="B62" s="165"/>
      <c r="C62" s="165"/>
      <c r="D62" s="165"/>
      <c r="E62" s="165"/>
      <c r="F62" s="32"/>
      <c r="G62" s="3"/>
    </row>
    <row r="63" spans="1:7" s="3" customFormat="1" x14ac:dyDescent="0.2">
      <c r="A63" s="24" t="s">
        <v>112</v>
      </c>
      <c r="B63" s="162" t="s">
        <v>113</v>
      </c>
      <c r="C63" s="162" t="s">
        <v>114</v>
      </c>
      <c r="D63" s="162" t="s">
        <v>115</v>
      </c>
      <c r="E63" s="162" t="s">
        <v>95</v>
      </c>
      <c r="F63" s="31" t="s">
        <v>11</v>
      </c>
    </row>
    <row r="64" spans="1:7" x14ac:dyDescent="0.2">
      <c r="A64" s="25"/>
      <c r="B64" s="162" t="s">
        <v>116</v>
      </c>
      <c r="C64" s="162" t="s">
        <v>71</v>
      </c>
      <c r="D64" s="162" t="s">
        <v>117</v>
      </c>
      <c r="E64" s="162"/>
      <c r="F64" s="31" t="s">
        <v>884</v>
      </c>
      <c r="G64" s="3"/>
    </row>
    <row r="65" spans="1:7" x14ac:dyDescent="0.2">
      <c r="A65" s="25"/>
      <c r="B65" s="162" t="s">
        <v>118</v>
      </c>
      <c r="C65" s="162"/>
      <c r="D65" s="162" t="s">
        <v>119</v>
      </c>
      <c r="E65" s="162"/>
      <c r="F65" s="31" t="s">
        <v>922</v>
      </c>
      <c r="G65" s="3"/>
    </row>
    <row r="66" spans="1:7" x14ac:dyDescent="0.2">
      <c r="A66" s="26"/>
      <c r="B66" s="165"/>
      <c r="C66" s="165"/>
      <c r="D66" s="165"/>
      <c r="E66" s="165"/>
      <c r="F66" s="32"/>
      <c r="G66" s="3"/>
    </row>
    <row r="67" spans="1:7" s="3" customFormat="1" x14ac:dyDescent="0.2">
      <c r="A67" s="24" t="s">
        <v>120</v>
      </c>
      <c r="B67" s="162" t="s">
        <v>121</v>
      </c>
      <c r="C67" s="162" t="s">
        <v>122</v>
      </c>
      <c r="D67" s="162" t="s">
        <v>123</v>
      </c>
      <c r="E67" s="162" t="s">
        <v>95</v>
      </c>
      <c r="F67" s="31" t="s">
        <v>11</v>
      </c>
    </row>
    <row r="68" spans="1:7" x14ac:dyDescent="0.2">
      <c r="A68" s="25" t="s">
        <v>124</v>
      </c>
      <c r="B68" s="162" t="s">
        <v>121</v>
      </c>
      <c r="C68" s="162"/>
      <c r="D68" s="162" t="s">
        <v>125</v>
      </c>
      <c r="E68" s="162" t="s">
        <v>95</v>
      </c>
      <c r="F68" s="31" t="s">
        <v>2545</v>
      </c>
      <c r="G68" s="3"/>
    </row>
    <row r="69" spans="1:7" x14ac:dyDescent="0.2">
      <c r="A69" s="25"/>
      <c r="B69" s="13" t="s">
        <v>126</v>
      </c>
      <c r="C69" s="13" t="s">
        <v>18</v>
      </c>
      <c r="D69" s="162" t="s">
        <v>127</v>
      </c>
      <c r="E69" s="162"/>
      <c r="F69" s="31" t="s">
        <v>884</v>
      </c>
      <c r="G69" s="3"/>
    </row>
    <row r="70" spans="1:7" x14ac:dyDescent="0.2">
      <c r="A70" s="25"/>
      <c r="B70" s="162" t="s">
        <v>128</v>
      </c>
      <c r="C70" s="162"/>
      <c r="D70" s="162" t="s">
        <v>129</v>
      </c>
      <c r="E70" s="162" t="s">
        <v>95</v>
      </c>
      <c r="F70" s="31" t="s">
        <v>896</v>
      </c>
      <c r="G70" s="3"/>
    </row>
    <row r="71" spans="1:7" x14ac:dyDescent="0.2">
      <c r="A71" s="25"/>
      <c r="B71" s="162" t="s">
        <v>128</v>
      </c>
      <c r="C71" s="162"/>
      <c r="D71" s="162"/>
      <c r="E71" s="162" t="s">
        <v>95</v>
      </c>
      <c r="F71" s="31" t="s">
        <v>911</v>
      </c>
      <c r="G71" s="3"/>
    </row>
    <row r="72" spans="1:7" x14ac:dyDescent="0.2">
      <c r="A72" s="25"/>
      <c r="B72" s="162" t="s">
        <v>128</v>
      </c>
      <c r="C72" s="162"/>
      <c r="D72" s="162"/>
      <c r="E72" s="162" t="s">
        <v>95</v>
      </c>
      <c r="F72" s="31" t="s">
        <v>914</v>
      </c>
      <c r="G72" s="3"/>
    </row>
    <row r="73" spans="1:7" x14ac:dyDescent="0.2">
      <c r="A73" s="25"/>
      <c r="B73" s="162" t="s">
        <v>128</v>
      </c>
      <c r="C73" s="162"/>
      <c r="D73" s="162"/>
      <c r="E73" s="162" t="s">
        <v>95</v>
      </c>
      <c r="F73" s="31" t="s">
        <v>922</v>
      </c>
      <c r="G73" s="3"/>
    </row>
    <row r="74" spans="1:7" x14ac:dyDescent="0.2">
      <c r="A74" s="25"/>
      <c r="B74" s="162" t="s">
        <v>128</v>
      </c>
      <c r="C74" s="162"/>
      <c r="D74" s="162" t="s">
        <v>130</v>
      </c>
      <c r="E74" s="162" t="s">
        <v>95</v>
      </c>
      <c r="F74" s="31" t="s">
        <v>920</v>
      </c>
      <c r="G74" s="3"/>
    </row>
    <row r="75" spans="1:7" x14ac:dyDescent="0.2">
      <c r="A75" s="26"/>
      <c r="B75" s="165"/>
      <c r="C75" s="165"/>
      <c r="D75" s="165"/>
      <c r="E75" s="165"/>
      <c r="F75" s="32"/>
      <c r="G75" s="3"/>
    </row>
    <row r="76" spans="1:7" s="3" customFormat="1" x14ac:dyDescent="0.2">
      <c r="A76" s="24" t="s">
        <v>131</v>
      </c>
      <c r="B76" s="162" t="s">
        <v>132</v>
      </c>
      <c r="C76" s="162" t="s">
        <v>133</v>
      </c>
      <c r="D76" s="162" t="s">
        <v>134</v>
      </c>
      <c r="E76" s="162" t="s">
        <v>95</v>
      </c>
      <c r="F76" s="31" t="s">
        <v>11</v>
      </c>
    </row>
    <row r="77" spans="1:7" x14ac:dyDescent="0.2">
      <c r="A77" s="25" t="s">
        <v>135</v>
      </c>
      <c r="B77" s="162" t="s">
        <v>136</v>
      </c>
      <c r="C77" s="162"/>
      <c r="D77" s="162" t="s">
        <v>137</v>
      </c>
      <c r="E77" s="162" t="s">
        <v>95</v>
      </c>
      <c r="F77" s="31" t="s">
        <v>2545</v>
      </c>
      <c r="G77" s="3"/>
    </row>
    <row r="78" spans="1:7" x14ac:dyDescent="0.2">
      <c r="A78" s="25"/>
      <c r="B78" s="162" t="s">
        <v>138</v>
      </c>
      <c r="C78" s="162"/>
      <c r="D78" s="162" t="s">
        <v>139</v>
      </c>
      <c r="E78" s="162"/>
      <c r="F78" s="31" t="s">
        <v>20</v>
      </c>
      <c r="G78" s="3"/>
    </row>
    <row r="79" spans="1:7" x14ac:dyDescent="0.2">
      <c r="A79" s="25"/>
      <c r="B79" s="162" t="s">
        <v>140</v>
      </c>
      <c r="C79" s="162"/>
      <c r="D79" s="162"/>
      <c r="E79" s="162" t="s">
        <v>95</v>
      </c>
      <c r="F79" s="31" t="s">
        <v>911</v>
      </c>
      <c r="G79" s="3"/>
    </row>
    <row r="80" spans="1:7" x14ac:dyDescent="0.2">
      <c r="A80" s="25"/>
      <c r="B80" s="162" t="s">
        <v>141</v>
      </c>
      <c r="C80" s="162" t="s">
        <v>142</v>
      </c>
      <c r="D80" s="162" t="s">
        <v>143</v>
      </c>
      <c r="E80" s="162" t="s">
        <v>95</v>
      </c>
      <c r="F80" s="31" t="s">
        <v>884</v>
      </c>
      <c r="G80" s="3"/>
    </row>
    <row r="81" spans="1:7" x14ac:dyDescent="0.2">
      <c r="A81" s="25"/>
      <c r="B81" s="13" t="s">
        <v>144</v>
      </c>
      <c r="C81" s="164"/>
      <c r="D81" s="162" t="s">
        <v>145</v>
      </c>
      <c r="E81" s="162"/>
      <c r="F81" s="31" t="s">
        <v>920</v>
      </c>
      <c r="G81" s="3"/>
    </row>
    <row r="82" spans="1:7" x14ac:dyDescent="0.2">
      <c r="A82" s="26"/>
      <c r="B82" s="165"/>
      <c r="C82" s="165"/>
      <c r="D82" s="165"/>
      <c r="E82" s="165"/>
      <c r="F82" s="32"/>
      <c r="G82" s="3"/>
    </row>
    <row r="83" spans="1:7" s="3" customFormat="1" x14ac:dyDescent="0.2">
      <c r="A83" s="24" t="s">
        <v>146</v>
      </c>
      <c r="B83" s="162" t="s">
        <v>147</v>
      </c>
      <c r="C83" s="162" t="s">
        <v>148</v>
      </c>
      <c r="D83" s="162" t="s">
        <v>149</v>
      </c>
      <c r="E83" s="162" t="s">
        <v>95</v>
      </c>
      <c r="F83" s="31" t="s">
        <v>11</v>
      </c>
    </row>
    <row r="84" spans="1:7" x14ac:dyDescent="0.2">
      <c r="A84" s="25"/>
      <c r="B84" s="162" t="s">
        <v>150</v>
      </c>
      <c r="C84" s="162"/>
      <c r="D84" s="162" t="s">
        <v>151</v>
      </c>
      <c r="E84" s="162"/>
      <c r="F84" s="31" t="s">
        <v>920</v>
      </c>
      <c r="G84" s="3"/>
    </row>
    <row r="85" spans="1:7" x14ac:dyDescent="0.2">
      <c r="A85" s="25"/>
      <c r="B85" s="162" t="s">
        <v>152</v>
      </c>
      <c r="C85" s="162" t="s">
        <v>71</v>
      </c>
      <c r="D85" s="162" t="s">
        <v>153</v>
      </c>
      <c r="E85" s="162" t="s">
        <v>95</v>
      </c>
      <c r="F85" s="31" t="s">
        <v>884</v>
      </c>
      <c r="G85" s="3"/>
    </row>
    <row r="86" spans="1:7" x14ac:dyDescent="0.2">
      <c r="A86" s="25"/>
      <c r="B86" s="162" t="s">
        <v>154</v>
      </c>
      <c r="C86" s="162"/>
      <c r="D86" s="162" t="s">
        <v>155</v>
      </c>
      <c r="E86" s="162"/>
      <c r="F86" s="31" t="s">
        <v>860</v>
      </c>
      <c r="G86" s="3"/>
    </row>
    <row r="87" spans="1:7" x14ac:dyDescent="0.2">
      <c r="A87" s="25"/>
      <c r="B87" s="162" t="s">
        <v>156</v>
      </c>
      <c r="C87" s="162"/>
      <c r="D87" s="162"/>
      <c r="E87" s="162"/>
      <c r="F87" s="31" t="s">
        <v>20</v>
      </c>
      <c r="G87" s="3"/>
    </row>
    <row r="88" spans="1:7" x14ac:dyDescent="0.2">
      <c r="A88" s="25" t="s">
        <v>157</v>
      </c>
      <c r="B88" s="162" t="s">
        <v>158</v>
      </c>
      <c r="C88" s="164"/>
      <c r="D88" s="162" t="s">
        <v>159</v>
      </c>
      <c r="E88" s="162" t="s">
        <v>95</v>
      </c>
      <c r="F88" s="31" t="s">
        <v>2545</v>
      </c>
      <c r="G88" s="3"/>
    </row>
    <row r="89" spans="1:7" x14ac:dyDescent="0.2">
      <c r="A89" s="25"/>
      <c r="B89" s="162" t="s">
        <v>158</v>
      </c>
      <c r="C89" s="162"/>
      <c r="D89" s="162"/>
      <c r="E89" s="162"/>
      <c r="F89" s="31" t="s">
        <v>870</v>
      </c>
      <c r="G89" s="3"/>
    </row>
    <row r="90" spans="1:7" x14ac:dyDescent="0.2">
      <c r="A90" s="25"/>
      <c r="B90" s="162" t="s">
        <v>160</v>
      </c>
      <c r="C90" s="162"/>
      <c r="D90" s="162"/>
      <c r="E90" s="162"/>
      <c r="F90" s="31" t="s">
        <v>905</v>
      </c>
      <c r="G90" s="3"/>
    </row>
    <row r="91" spans="1:7" x14ac:dyDescent="0.2">
      <c r="A91" s="26"/>
      <c r="B91" s="165"/>
      <c r="C91" s="165"/>
      <c r="D91" s="165"/>
      <c r="E91" s="165"/>
      <c r="F91" s="32"/>
      <c r="G91" s="3"/>
    </row>
    <row r="92" spans="1:7" s="3" customFormat="1" x14ac:dyDescent="0.2">
      <c r="A92" s="24" t="s">
        <v>161</v>
      </c>
      <c r="B92" s="162" t="s">
        <v>162</v>
      </c>
      <c r="C92" s="162" t="s">
        <v>163</v>
      </c>
      <c r="D92" s="162" t="s">
        <v>164</v>
      </c>
      <c r="E92" s="162" t="s">
        <v>95</v>
      </c>
      <c r="F92" s="31" t="s">
        <v>11</v>
      </c>
    </row>
    <row r="93" spans="1:7" s="3" customFormat="1" x14ac:dyDescent="0.2">
      <c r="A93" s="24"/>
      <c r="B93" s="162" t="s">
        <v>165</v>
      </c>
      <c r="C93" s="162"/>
      <c r="D93" s="162" t="s">
        <v>166</v>
      </c>
      <c r="E93" s="162"/>
      <c r="F93" s="31" t="s">
        <v>20</v>
      </c>
    </row>
    <row r="94" spans="1:7" x14ac:dyDescent="0.2">
      <c r="A94" s="25" t="s">
        <v>167</v>
      </c>
      <c r="B94" s="162" t="s">
        <v>168</v>
      </c>
      <c r="C94" s="162"/>
      <c r="D94" s="162" t="s">
        <v>169</v>
      </c>
      <c r="E94" s="162" t="s">
        <v>95</v>
      </c>
      <c r="F94" s="31" t="s">
        <v>2545</v>
      </c>
      <c r="G94" s="3"/>
    </row>
    <row r="95" spans="1:7" x14ac:dyDescent="0.2">
      <c r="A95" s="25" t="s">
        <v>170</v>
      </c>
      <c r="B95" s="13" t="s">
        <v>171</v>
      </c>
      <c r="C95" s="164"/>
      <c r="D95" s="162" t="s">
        <v>172</v>
      </c>
      <c r="E95" s="162" t="s">
        <v>95</v>
      </c>
      <c r="F95" s="31" t="s">
        <v>2545</v>
      </c>
      <c r="G95" s="3"/>
    </row>
    <row r="96" spans="1:7" s="9" customFormat="1" x14ac:dyDescent="0.2">
      <c r="A96" s="25"/>
      <c r="B96" s="162" t="s">
        <v>173</v>
      </c>
      <c r="C96" s="162"/>
      <c r="D96" s="162" t="s">
        <v>174</v>
      </c>
      <c r="E96" s="162"/>
      <c r="F96" s="31" t="s">
        <v>911</v>
      </c>
      <c r="G96" s="3"/>
    </row>
    <row r="97" spans="1:7" ht="14.5" customHeight="1" x14ac:dyDescent="0.2">
      <c r="A97" s="25"/>
      <c r="B97" s="162" t="s">
        <v>175</v>
      </c>
      <c r="C97" s="162"/>
      <c r="D97" s="162" t="s">
        <v>176</v>
      </c>
      <c r="E97" s="162"/>
      <c r="F97" s="31" t="s">
        <v>860</v>
      </c>
      <c r="G97" s="3"/>
    </row>
    <row r="98" spans="1:7" x14ac:dyDescent="0.2">
      <c r="A98" s="25"/>
      <c r="B98" s="13" t="s">
        <v>177</v>
      </c>
      <c r="C98" s="162"/>
      <c r="D98" s="162" t="s">
        <v>178</v>
      </c>
      <c r="E98" s="162"/>
      <c r="F98" s="31" t="s">
        <v>860</v>
      </c>
      <c r="G98" s="3"/>
    </row>
    <row r="99" spans="1:7" x14ac:dyDescent="0.2">
      <c r="A99" s="26"/>
      <c r="B99" s="165"/>
      <c r="C99" s="165"/>
      <c r="D99" s="165"/>
      <c r="E99" s="165"/>
      <c r="F99" s="32"/>
      <c r="G99" s="3"/>
    </row>
    <row r="100" spans="1:7" s="3" customFormat="1" x14ac:dyDescent="0.2">
      <c r="A100" s="24" t="s">
        <v>179</v>
      </c>
      <c r="B100" s="162" t="s">
        <v>180</v>
      </c>
      <c r="C100" s="162" t="s">
        <v>181</v>
      </c>
      <c r="D100" s="162" t="s">
        <v>182</v>
      </c>
      <c r="E100" s="162" t="s">
        <v>183</v>
      </c>
      <c r="F100" s="31" t="s">
        <v>860</v>
      </c>
    </row>
    <row r="101" spans="1:7" x14ac:dyDescent="0.2">
      <c r="A101" s="25" t="s">
        <v>184</v>
      </c>
      <c r="B101" s="162" t="s">
        <v>185</v>
      </c>
      <c r="C101" s="162"/>
      <c r="D101" s="162" t="s">
        <v>186</v>
      </c>
      <c r="E101" s="162"/>
      <c r="F101" s="31" t="s">
        <v>888</v>
      </c>
      <c r="G101" s="3"/>
    </row>
    <row r="102" spans="1:7" x14ac:dyDescent="0.2">
      <c r="A102" s="25"/>
      <c r="B102" s="162" t="s">
        <v>187</v>
      </c>
      <c r="C102" s="164"/>
      <c r="D102" s="162" t="s">
        <v>188</v>
      </c>
      <c r="E102" s="162"/>
      <c r="F102" s="31" t="s">
        <v>914</v>
      </c>
      <c r="G102" s="3"/>
    </row>
    <row r="103" spans="1:7" x14ac:dyDescent="0.2">
      <c r="A103" s="25" t="s">
        <v>189</v>
      </c>
      <c r="B103" s="162" t="s">
        <v>190</v>
      </c>
      <c r="C103" s="162"/>
      <c r="D103" s="162" t="s">
        <v>191</v>
      </c>
      <c r="E103" s="162" t="s">
        <v>183</v>
      </c>
      <c r="F103" s="31" t="s">
        <v>2545</v>
      </c>
      <c r="G103" s="3"/>
    </row>
    <row r="104" spans="1:7" x14ac:dyDescent="0.2">
      <c r="A104" s="25"/>
      <c r="B104" s="13" t="s">
        <v>192</v>
      </c>
      <c r="C104" s="162"/>
      <c r="D104" s="162" t="s">
        <v>193</v>
      </c>
      <c r="E104" s="162" t="s">
        <v>183</v>
      </c>
      <c r="F104" s="31" t="s">
        <v>896</v>
      </c>
      <c r="G104" s="3"/>
    </row>
    <row r="105" spans="1:7" x14ac:dyDescent="0.2">
      <c r="A105" s="25"/>
      <c r="B105" s="162" t="s">
        <v>190</v>
      </c>
      <c r="C105" s="162" t="s">
        <v>194</v>
      </c>
      <c r="D105" s="162" t="s">
        <v>195</v>
      </c>
      <c r="E105" s="162" t="s">
        <v>183</v>
      </c>
      <c r="F105" s="31" t="s">
        <v>884</v>
      </c>
      <c r="G105" s="3"/>
    </row>
    <row r="106" spans="1:7" x14ac:dyDescent="0.2">
      <c r="A106" s="25"/>
      <c r="B106" s="13" t="s">
        <v>196</v>
      </c>
      <c r="C106" s="13" t="s">
        <v>197</v>
      </c>
      <c r="D106" s="162"/>
      <c r="E106" s="162"/>
      <c r="F106" s="31" t="s">
        <v>896</v>
      </c>
      <c r="G106" s="3"/>
    </row>
    <row r="107" spans="1:7" s="9" customFormat="1" x14ac:dyDescent="0.2">
      <c r="A107" s="25"/>
      <c r="B107" s="162" t="s">
        <v>198</v>
      </c>
      <c r="C107" s="162"/>
      <c r="D107" s="162" t="s">
        <v>199</v>
      </c>
      <c r="E107" s="162"/>
      <c r="F107" s="31" t="s">
        <v>877</v>
      </c>
      <c r="G107" s="3"/>
    </row>
    <row r="108" spans="1:7" s="9" customFormat="1" x14ac:dyDescent="0.2">
      <c r="A108" s="25"/>
      <c r="B108" s="162" t="s">
        <v>200</v>
      </c>
      <c r="C108" s="162"/>
      <c r="D108" s="162" t="s">
        <v>201</v>
      </c>
      <c r="E108" s="162"/>
      <c r="F108" s="31" t="s">
        <v>860</v>
      </c>
      <c r="G108" s="3"/>
    </row>
    <row r="109" spans="1:7" x14ac:dyDescent="0.2">
      <c r="A109" s="25"/>
      <c r="B109" s="162" t="s">
        <v>202</v>
      </c>
      <c r="C109" s="13"/>
      <c r="D109" s="162" t="s">
        <v>203</v>
      </c>
      <c r="E109" s="162"/>
      <c r="F109" s="31" t="s">
        <v>922</v>
      </c>
      <c r="G109" s="3"/>
    </row>
    <row r="110" spans="1:7" x14ac:dyDescent="0.2">
      <c r="A110" s="25"/>
      <c r="B110" s="13" t="s">
        <v>204</v>
      </c>
      <c r="C110" s="162" t="s">
        <v>194</v>
      </c>
      <c r="D110" s="162" t="s">
        <v>205</v>
      </c>
      <c r="E110" s="162"/>
      <c r="F110" s="31" t="s">
        <v>2546</v>
      </c>
      <c r="G110" s="3"/>
    </row>
    <row r="111" spans="1:7" x14ac:dyDescent="0.2">
      <c r="A111" s="25"/>
      <c r="B111" s="13" t="s">
        <v>204</v>
      </c>
      <c r="C111" s="162"/>
      <c r="D111" s="162"/>
      <c r="E111" s="162"/>
      <c r="F111" s="31" t="s">
        <v>870</v>
      </c>
      <c r="G111" s="3"/>
    </row>
    <row r="112" spans="1:7" x14ac:dyDescent="0.2">
      <c r="A112" s="25"/>
      <c r="B112" s="13" t="s">
        <v>206</v>
      </c>
      <c r="C112" s="162"/>
      <c r="D112" s="162" t="s">
        <v>207</v>
      </c>
      <c r="E112" s="162"/>
      <c r="F112" s="31" t="s">
        <v>860</v>
      </c>
      <c r="G112" s="3"/>
    </row>
    <row r="113" spans="1:7" x14ac:dyDescent="0.2">
      <c r="A113" s="25"/>
      <c r="B113" s="13" t="s">
        <v>208</v>
      </c>
      <c r="C113" s="162"/>
      <c r="D113" s="162"/>
      <c r="E113" s="162" t="s">
        <v>183</v>
      </c>
      <c r="F113" s="31" t="s">
        <v>896</v>
      </c>
      <c r="G113" s="3"/>
    </row>
    <row r="114" spans="1:7" s="9" customFormat="1" x14ac:dyDescent="0.2">
      <c r="A114" s="25" t="s">
        <v>209</v>
      </c>
      <c r="B114" s="162" t="s">
        <v>210</v>
      </c>
      <c r="C114" s="162"/>
      <c r="D114" s="162" t="s">
        <v>211</v>
      </c>
      <c r="E114" s="162" t="s">
        <v>183</v>
      </c>
      <c r="F114" s="31" t="s">
        <v>2545</v>
      </c>
      <c r="G114" s="3"/>
    </row>
    <row r="115" spans="1:7" x14ac:dyDescent="0.2">
      <c r="A115" s="25"/>
      <c r="B115" s="162" t="s">
        <v>212</v>
      </c>
      <c r="C115" s="162"/>
      <c r="D115" s="162" t="s">
        <v>213</v>
      </c>
      <c r="E115" s="162"/>
      <c r="F115" s="31" t="s">
        <v>914</v>
      </c>
      <c r="G115" s="3"/>
    </row>
    <row r="116" spans="1:7" s="9" customFormat="1" x14ac:dyDescent="0.2">
      <c r="A116" s="25" t="s">
        <v>214</v>
      </c>
      <c r="B116" s="162" t="s">
        <v>215</v>
      </c>
      <c r="C116" s="161"/>
      <c r="D116" s="162" t="s">
        <v>216</v>
      </c>
      <c r="E116" s="162"/>
      <c r="F116" s="31" t="s">
        <v>888</v>
      </c>
      <c r="G116" s="3"/>
    </row>
    <row r="117" spans="1:7" s="9" customFormat="1" x14ac:dyDescent="0.2">
      <c r="A117" s="25"/>
      <c r="B117" s="162" t="s">
        <v>217</v>
      </c>
      <c r="C117" s="161"/>
      <c r="D117" s="162" t="s">
        <v>218</v>
      </c>
      <c r="E117" s="162"/>
      <c r="F117" s="31"/>
      <c r="G117" s="3"/>
    </row>
    <row r="118" spans="1:7" x14ac:dyDescent="0.2">
      <c r="A118" s="26"/>
      <c r="B118" s="165"/>
      <c r="C118" s="165"/>
      <c r="D118" s="165"/>
      <c r="E118" s="165"/>
      <c r="F118" s="32"/>
      <c r="G118" s="3"/>
    </row>
    <row r="119" spans="1:7" s="3" customFormat="1" x14ac:dyDescent="0.2">
      <c r="A119" s="24" t="s">
        <v>219</v>
      </c>
      <c r="B119" s="162" t="s">
        <v>220</v>
      </c>
      <c r="C119" s="162" t="s">
        <v>221</v>
      </c>
      <c r="D119" s="162" t="s">
        <v>222</v>
      </c>
      <c r="E119" s="162" t="s">
        <v>183</v>
      </c>
      <c r="F119" s="31" t="s">
        <v>11</v>
      </c>
    </row>
    <row r="120" spans="1:7" x14ac:dyDescent="0.2">
      <c r="A120" s="25" t="s">
        <v>223</v>
      </c>
      <c r="B120" s="162" t="s">
        <v>224</v>
      </c>
      <c r="C120" s="162"/>
      <c r="D120" s="162" t="s">
        <v>225</v>
      </c>
      <c r="E120" s="162" t="s">
        <v>183</v>
      </c>
      <c r="F120" s="31" t="s">
        <v>2545</v>
      </c>
      <c r="G120" s="3"/>
    </row>
    <row r="121" spans="1:7" x14ac:dyDescent="0.2">
      <c r="A121" s="25"/>
      <c r="B121" s="162" t="s">
        <v>224</v>
      </c>
      <c r="C121" s="162"/>
      <c r="D121" s="162"/>
      <c r="E121" s="162"/>
      <c r="F121" s="31" t="s">
        <v>860</v>
      </c>
      <c r="G121" s="3"/>
    </row>
    <row r="122" spans="1:7" x14ac:dyDescent="0.2">
      <c r="A122" s="25"/>
      <c r="B122" s="162" t="s">
        <v>224</v>
      </c>
      <c r="C122" s="162"/>
      <c r="D122" s="162" t="s">
        <v>226</v>
      </c>
      <c r="E122" s="162"/>
      <c r="F122" s="31" t="s">
        <v>920</v>
      </c>
      <c r="G122" s="3"/>
    </row>
    <row r="123" spans="1:7" x14ac:dyDescent="0.2">
      <c r="A123" s="25"/>
      <c r="B123" s="162" t="s">
        <v>227</v>
      </c>
      <c r="C123" s="162" t="s">
        <v>36</v>
      </c>
      <c r="D123" s="162" t="s">
        <v>228</v>
      </c>
      <c r="E123" s="162"/>
      <c r="F123" s="31" t="s">
        <v>884</v>
      </c>
      <c r="G123" s="3"/>
    </row>
    <row r="124" spans="1:7" x14ac:dyDescent="0.2">
      <c r="A124" s="25"/>
      <c r="B124" s="162" t="s">
        <v>229</v>
      </c>
      <c r="C124" s="162"/>
      <c r="D124" s="162"/>
      <c r="E124" s="162"/>
      <c r="F124" s="31" t="s">
        <v>870</v>
      </c>
      <c r="G124" s="3"/>
    </row>
    <row r="125" spans="1:7" x14ac:dyDescent="0.2">
      <c r="A125" s="25"/>
      <c r="B125" s="162" t="s">
        <v>230</v>
      </c>
      <c r="C125" s="162" t="s">
        <v>231</v>
      </c>
      <c r="D125" s="162"/>
      <c r="E125" s="162" t="s">
        <v>232</v>
      </c>
      <c r="F125" s="31" t="s">
        <v>896</v>
      </c>
      <c r="G125" s="3"/>
    </row>
    <row r="126" spans="1:7" x14ac:dyDescent="0.2">
      <c r="A126" s="25" t="s">
        <v>233</v>
      </c>
      <c r="B126" s="162" t="s">
        <v>234</v>
      </c>
      <c r="C126" s="162"/>
      <c r="D126" s="162" t="s">
        <v>235</v>
      </c>
      <c r="E126" s="162"/>
      <c r="F126" s="31" t="s">
        <v>1101</v>
      </c>
      <c r="G126" s="3"/>
    </row>
    <row r="127" spans="1:7" x14ac:dyDescent="0.2">
      <c r="A127" s="26"/>
      <c r="B127" s="165"/>
      <c r="C127" s="165"/>
      <c r="D127" s="165"/>
      <c r="E127" s="165"/>
      <c r="F127" s="32"/>
      <c r="G127" s="3"/>
    </row>
    <row r="128" spans="1:7" s="3" customFormat="1" x14ac:dyDescent="0.2">
      <c r="A128" s="24" t="s">
        <v>236</v>
      </c>
      <c r="B128" s="162" t="s">
        <v>237</v>
      </c>
      <c r="C128" s="162" t="s">
        <v>238</v>
      </c>
      <c r="D128" s="162" t="s">
        <v>239</v>
      </c>
      <c r="E128" s="162" t="s">
        <v>183</v>
      </c>
      <c r="F128" s="31" t="s">
        <v>11</v>
      </c>
    </row>
    <row r="129" spans="1:7" x14ac:dyDescent="0.2">
      <c r="A129" s="25"/>
      <c r="B129" s="162" t="s">
        <v>240</v>
      </c>
      <c r="C129" s="162" t="s">
        <v>241</v>
      </c>
      <c r="D129" s="162" t="s">
        <v>242</v>
      </c>
      <c r="E129" s="162" t="s">
        <v>183</v>
      </c>
      <c r="F129" s="31" t="s">
        <v>884</v>
      </c>
      <c r="G129" s="3"/>
    </row>
    <row r="130" spans="1:7" x14ac:dyDescent="0.2">
      <c r="A130" s="25"/>
      <c r="B130" s="162" t="s">
        <v>240</v>
      </c>
      <c r="C130" s="162"/>
      <c r="D130" s="162" t="s">
        <v>243</v>
      </c>
      <c r="E130" s="162"/>
      <c r="F130" s="31" t="s">
        <v>920</v>
      </c>
      <c r="G130" s="3"/>
    </row>
    <row r="131" spans="1:7" x14ac:dyDescent="0.2">
      <c r="A131" s="33"/>
      <c r="B131" s="162" t="s">
        <v>244</v>
      </c>
      <c r="C131" s="162"/>
      <c r="D131" s="162" t="s">
        <v>245</v>
      </c>
      <c r="E131" s="162" t="s">
        <v>183</v>
      </c>
      <c r="F131" s="31" t="s">
        <v>911</v>
      </c>
      <c r="G131" s="3"/>
    </row>
    <row r="132" spans="1:7" x14ac:dyDescent="0.2">
      <c r="A132" s="33" t="s">
        <v>246</v>
      </c>
      <c r="B132" s="162" t="s">
        <v>247</v>
      </c>
      <c r="C132" s="162" t="s">
        <v>248</v>
      </c>
      <c r="D132" s="162" t="s">
        <v>249</v>
      </c>
      <c r="E132" s="162"/>
      <c r="F132" s="31" t="s">
        <v>888</v>
      </c>
      <c r="G132" s="3"/>
    </row>
    <row r="133" spans="1:7" ht="16" x14ac:dyDescent="0.2">
      <c r="A133" s="33"/>
      <c r="B133" s="163" t="s">
        <v>250</v>
      </c>
      <c r="C133" s="162"/>
      <c r="D133" s="162" t="s">
        <v>251</v>
      </c>
      <c r="E133" s="162"/>
      <c r="F133" s="31" t="s">
        <v>860</v>
      </c>
      <c r="G133" s="3"/>
    </row>
    <row r="134" spans="1:7" x14ac:dyDescent="0.2">
      <c r="A134" s="25"/>
      <c r="B134" s="13" t="s">
        <v>252</v>
      </c>
      <c r="C134" s="161"/>
      <c r="D134" s="162" t="s">
        <v>253</v>
      </c>
      <c r="E134" s="162"/>
      <c r="F134" s="31" t="s">
        <v>920</v>
      </c>
      <c r="G134" s="3"/>
    </row>
    <row r="135" spans="1:7" x14ac:dyDescent="0.2">
      <c r="A135" s="25" t="s">
        <v>254</v>
      </c>
      <c r="B135" s="162" t="s">
        <v>244</v>
      </c>
      <c r="C135" s="161"/>
      <c r="D135" s="162" t="s">
        <v>255</v>
      </c>
      <c r="E135" s="162"/>
      <c r="F135" s="31" t="s">
        <v>1101</v>
      </c>
      <c r="G135" s="3"/>
    </row>
    <row r="136" spans="1:7" x14ac:dyDescent="0.2">
      <c r="A136" s="26"/>
      <c r="B136" s="165"/>
      <c r="C136" s="165"/>
      <c r="D136" s="165"/>
      <c r="E136" s="165"/>
      <c r="F136" s="32"/>
      <c r="G136" s="3"/>
    </row>
    <row r="137" spans="1:7" s="3" customFormat="1" x14ac:dyDescent="0.2">
      <c r="A137" s="24" t="s">
        <v>256</v>
      </c>
      <c r="B137" s="162" t="s">
        <v>257</v>
      </c>
      <c r="C137" s="162" t="s">
        <v>258</v>
      </c>
      <c r="D137" s="162" t="s">
        <v>259</v>
      </c>
      <c r="E137" s="162" t="s">
        <v>183</v>
      </c>
      <c r="F137" s="31" t="s">
        <v>11</v>
      </c>
    </row>
    <row r="138" spans="1:7" x14ac:dyDescent="0.2">
      <c r="A138" s="25"/>
      <c r="B138" s="13" t="s">
        <v>260</v>
      </c>
      <c r="C138" s="162" t="s">
        <v>261</v>
      </c>
      <c r="D138" s="162" t="s">
        <v>262</v>
      </c>
      <c r="E138" s="162" t="s">
        <v>183</v>
      </c>
      <c r="F138" s="31" t="s">
        <v>896</v>
      </c>
      <c r="G138" s="3"/>
    </row>
    <row r="139" spans="1:7" x14ac:dyDescent="0.2">
      <c r="A139" s="25" t="s">
        <v>263</v>
      </c>
      <c r="B139" s="162" t="s">
        <v>264</v>
      </c>
      <c r="C139" s="162"/>
      <c r="D139" s="162" t="s">
        <v>265</v>
      </c>
      <c r="E139" s="162"/>
      <c r="F139" s="31" t="s">
        <v>1101</v>
      </c>
      <c r="G139" s="3"/>
    </row>
    <row r="140" spans="1:7" x14ac:dyDescent="0.2">
      <c r="A140" s="25"/>
      <c r="B140" s="13" t="s">
        <v>266</v>
      </c>
      <c r="C140" s="162" t="s">
        <v>267</v>
      </c>
      <c r="D140" s="162" t="s">
        <v>268</v>
      </c>
      <c r="E140" s="162" t="s">
        <v>183</v>
      </c>
      <c r="F140" s="31" t="s">
        <v>896</v>
      </c>
      <c r="G140" s="3"/>
    </row>
    <row r="141" spans="1:7" x14ac:dyDescent="0.2">
      <c r="A141" s="25" t="s">
        <v>269</v>
      </c>
      <c r="B141" s="13" t="s">
        <v>270</v>
      </c>
      <c r="C141" s="162"/>
      <c r="D141" s="162" t="s">
        <v>271</v>
      </c>
      <c r="E141" s="162"/>
      <c r="F141" s="31" t="s">
        <v>1101</v>
      </c>
      <c r="G141" s="3"/>
    </row>
    <row r="142" spans="1:7" x14ac:dyDescent="0.2">
      <c r="A142" s="25" t="s">
        <v>272</v>
      </c>
      <c r="B142" s="162" t="s">
        <v>258</v>
      </c>
      <c r="C142" s="162"/>
      <c r="D142" s="162" t="s">
        <v>273</v>
      </c>
      <c r="E142" s="162" t="s">
        <v>183</v>
      </c>
      <c r="F142" s="31" t="s">
        <v>2545</v>
      </c>
      <c r="G142" s="3"/>
    </row>
    <row r="143" spans="1:7" x14ac:dyDescent="0.2">
      <c r="A143" s="25"/>
      <c r="B143" s="162" t="s">
        <v>258</v>
      </c>
      <c r="C143" s="162"/>
      <c r="D143" s="162"/>
      <c r="E143" s="162"/>
      <c r="F143" s="31" t="s">
        <v>860</v>
      </c>
      <c r="G143" s="3"/>
    </row>
    <row r="144" spans="1:7" x14ac:dyDescent="0.2">
      <c r="A144" s="25" t="s">
        <v>274</v>
      </c>
      <c r="B144" s="162" t="s">
        <v>275</v>
      </c>
      <c r="C144" s="162"/>
      <c r="D144" s="162" t="s">
        <v>276</v>
      </c>
      <c r="E144" s="162"/>
      <c r="F144" s="31" t="s">
        <v>888</v>
      </c>
      <c r="G144" s="3"/>
    </row>
    <row r="145" spans="1:7" x14ac:dyDescent="0.2">
      <c r="A145" s="33" t="s">
        <v>277</v>
      </c>
      <c r="B145" s="162" t="s">
        <v>278</v>
      </c>
      <c r="C145" s="164"/>
      <c r="D145" s="162" t="s">
        <v>279</v>
      </c>
      <c r="E145" s="162" t="s">
        <v>183</v>
      </c>
      <c r="F145" s="31" t="s">
        <v>2545</v>
      </c>
      <c r="G145" s="3"/>
    </row>
    <row r="146" spans="1:7" x14ac:dyDescent="0.2">
      <c r="A146" s="33"/>
      <c r="B146" s="13" t="s">
        <v>280</v>
      </c>
      <c r="C146" s="162"/>
      <c r="D146" s="162"/>
      <c r="E146" s="162"/>
      <c r="F146" s="31" t="s">
        <v>870</v>
      </c>
      <c r="G146" s="3"/>
    </row>
    <row r="147" spans="1:7" x14ac:dyDescent="0.2">
      <c r="A147" s="33" t="s">
        <v>281</v>
      </c>
      <c r="B147" s="162" t="s">
        <v>282</v>
      </c>
      <c r="C147" s="162" t="s">
        <v>283</v>
      </c>
      <c r="D147" s="162" t="s">
        <v>284</v>
      </c>
      <c r="E147" s="162"/>
      <c r="F147" s="31" t="s">
        <v>888</v>
      </c>
      <c r="G147" s="3"/>
    </row>
    <row r="148" spans="1:7" x14ac:dyDescent="0.2">
      <c r="A148" s="25"/>
      <c r="B148" s="13" t="s">
        <v>280</v>
      </c>
      <c r="C148" s="162" t="s">
        <v>285</v>
      </c>
      <c r="D148" s="162" t="s">
        <v>286</v>
      </c>
      <c r="E148" s="162" t="s">
        <v>183</v>
      </c>
      <c r="F148" s="31" t="s">
        <v>884</v>
      </c>
      <c r="G148" s="3"/>
    </row>
    <row r="149" spans="1:7" x14ac:dyDescent="0.2">
      <c r="A149" s="26"/>
      <c r="B149" s="165"/>
      <c r="C149" s="165"/>
      <c r="D149" s="165"/>
      <c r="E149" s="165"/>
      <c r="F149" s="32"/>
      <c r="G149" s="3"/>
    </row>
    <row r="150" spans="1:7" x14ac:dyDescent="0.2">
      <c r="A150" s="25"/>
      <c r="B150" s="13" t="s">
        <v>287</v>
      </c>
      <c r="C150" s="162" t="s">
        <v>194</v>
      </c>
      <c r="D150" s="162" t="s">
        <v>288</v>
      </c>
      <c r="E150" s="162" t="s">
        <v>183</v>
      </c>
      <c r="F150" s="31" t="s">
        <v>884</v>
      </c>
      <c r="G150" s="3"/>
    </row>
    <row r="151" spans="1:7" x14ac:dyDescent="0.2">
      <c r="A151" s="25"/>
      <c r="B151" s="13" t="s">
        <v>287</v>
      </c>
      <c r="C151" s="162"/>
      <c r="D151" s="162" t="s">
        <v>289</v>
      </c>
      <c r="E151" s="162" t="s">
        <v>183</v>
      </c>
      <c r="F151" s="31" t="s">
        <v>20</v>
      </c>
      <c r="G151" s="3"/>
    </row>
    <row r="152" spans="1:7" x14ac:dyDescent="0.2">
      <c r="A152" s="26"/>
      <c r="B152" s="165"/>
      <c r="C152" s="165"/>
      <c r="D152" s="165"/>
      <c r="E152" s="165"/>
      <c r="F152" s="32"/>
      <c r="G152" s="3"/>
    </row>
    <row r="153" spans="1:7" s="3" customFormat="1" x14ac:dyDescent="0.2">
      <c r="A153" s="24" t="s">
        <v>290</v>
      </c>
      <c r="B153" s="162" t="s">
        <v>291</v>
      </c>
      <c r="C153" s="162" t="s">
        <v>292</v>
      </c>
      <c r="D153" s="162" t="s">
        <v>293</v>
      </c>
      <c r="E153" s="162" t="s">
        <v>232</v>
      </c>
      <c r="F153" s="31" t="s">
        <v>11</v>
      </c>
    </row>
    <row r="154" spans="1:7" x14ac:dyDescent="0.2">
      <c r="A154" s="25" t="s">
        <v>294</v>
      </c>
      <c r="B154" s="162" t="s">
        <v>295</v>
      </c>
      <c r="C154" s="162"/>
      <c r="D154" s="162" t="s">
        <v>296</v>
      </c>
      <c r="E154" s="162" t="s">
        <v>232</v>
      </c>
      <c r="F154" s="31" t="s">
        <v>2545</v>
      </c>
      <c r="G154" s="3"/>
    </row>
    <row r="155" spans="1:7" x14ac:dyDescent="0.2">
      <c r="A155" s="25"/>
      <c r="B155" s="13" t="s">
        <v>297</v>
      </c>
      <c r="C155" s="162"/>
      <c r="D155" s="162"/>
      <c r="E155" s="162"/>
      <c r="F155" s="31" t="s">
        <v>896</v>
      </c>
      <c r="G155" s="3"/>
    </row>
    <row r="156" spans="1:7" x14ac:dyDescent="0.2">
      <c r="A156" s="25"/>
      <c r="B156" s="13" t="s">
        <v>297</v>
      </c>
      <c r="C156" s="162"/>
      <c r="D156" s="162"/>
      <c r="E156" s="162"/>
      <c r="F156" s="31" t="s">
        <v>914</v>
      </c>
      <c r="G156" s="3"/>
    </row>
    <row r="157" spans="1:7" x14ac:dyDescent="0.2">
      <c r="A157" s="25"/>
      <c r="B157" s="13" t="s">
        <v>298</v>
      </c>
      <c r="C157" s="13" t="s">
        <v>18</v>
      </c>
      <c r="D157" s="162" t="s">
        <v>299</v>
      </c>
      <c r="E157" s="162"/>
      <c r="F157" s="31" t="s">
        <v>884</v>
      </c>
      <c r="G157" s="3"/>
    </row>
    <row r="158" spans="1:7" x14ac:dyDescent="0.2">
      <c r="A158" s="25"/>
      <c r="B158" s="13" t="s">
        <v>298</v>
      </c>
      <c r="C158" s="162"/>
      <c r="D158" s="162"/>
      <c r="E158" s="162"/>
      <c r="F158" s="31" t="s">
        <v>911</v>
      </c>
      <c r="G158" s="3"/>
    </row>
    <row r="159" spans="1:7" x14ac:dyDescent="0.2">
      <c r="A159" s="25" t="s">
        <v>300</v>
      </c>
      <c r="B159" s="13" t="s">
        <v>298</v>
      </c>
      <c r="C159" s="13"/>
      <c r="D159" s="162" t="s">
        <v>301</v>
      </c>
      <c r="E159" s="162"/>
      <c r="F159" s="31" t="s">
        <v>1101</v>
      </c>
      <c r="G159" s="3"/>
    </row>
    <row r="160" spans="1:7" x14ac:dyDescent="0.2">
      <c r="A160" s="25"/>
      <c r="B160" s="13" t="s">
        <v>298</v>
      </c>
      <c r="C160" s="13"/>
      <c r="D160" s="162" t="s">
        <v>302</v>
      </c>
      <c r="E160" s="162"/>
      <c r="F160" s="31" t="s">
        <v>922</v>
      </c>
      <c r="G160" s="3"/>
    </row>
    <row r="161" spans="1:7" x14ac:dyDescent="0.2">
      <c r="A161" s="26"/>
      <c r="B161" s="165"/>
      <c r="C161" s="165"/>
      <c r="D161" s="165"/>
      <c r="E161" s="165"/>
      <c r="F161" s="32"/>
      <c r="G161" s="3"/>
    </row>
    <row r="162" spans="1:7" s="3" customFormat="1" x14ac:dyDescent="0.2">
      <c r="A162" s="24" t="s">
        <v>303</v>
      </c>
      <c r="B162" s="162" t="s">
        <v>304</v>
      </c>
      <c r="C162" s="162" t="s">
        <v>305</v>
      </c>
      <c r="D162" s="162" t="s">
        <v>306</v>
      </c>
      <c r="E162" s="162" t="s">
        <v>232</v>
      </c>
      <c r="F162" s="31" t="s">
        <v>11</v>
      </c>
    </row>
    <row r="163" spans="1:7" s="3" customFormat="1" x14ac:dyDescent="0.2">
      <c r="A163" s="24"/>
      <c r="B163" s="162" t="s">
        <v>307</v>
      </c>
      <c r="C163" s="162"/>
      <c r="D163" s="162" t="s">
        <v>308</v>
      </c>
      <c r="E163" s="162"/>
      <c r="F163" s="31" t="s">
        <v>20</v>
      </c>
    </row>
    <row r="164" spans="1:7" x14ac:dyDescent="0.2">
      <c r="A164" s="25" t="s">
        <v>309</v>
      </c>
      <c r="B164" s="162" t="s">
        <v>310</v>
      </c>
      <c r="C164" s="162"/>
      <c r="D164" s="162" t="s">
        <v>311</v>
      </c>
      <c r="E164" s="162" t="s">
        <v>232</v>
      </c>
      <c r="F164" s="31" t="s">
        <v>2545</v>
      </c>
      <c r="G164" s="3"/>
    </row>
    <row r="165" spans="1:7" x14ac:dyDescent="0.2">
      <c r="A165" s="25"/>
      <c r="B165" s="13" t="s">
        <v>312</v>
      </c>
      <c r="C165" s="162" t="s">
        <v>285</v>
      </c>
      <c r="D165" s="162" t="s">
        <v>313</v>
      </c>
      <c r="E165" s="162"/>
      <c r="F165" s="31" t="s">
        <v>884</v>
      </c>
      <c r="G165" s="3"/>
    </row>
    <row r="166" spans="1:7" x14ac:dyDescent="0.2">
      <c r="A166" s="25"/>
      <c r="B166" s="13" t="s">
        <v>312</v>
      </c>
      <c r="C166" s="162"/>
      <c r="D166" s="162" t="s">
        <v>314</v>
      </c>
      <c r="E166" s="162"/>
      <c r="F166" s="31" t="s">
        <v>920</v>
      </c>
      <c r="G166" s="3"/>
    </row>
    <row r="167" spans="1:7" x14ac:dyDescent="0.2">
      <c r="A167" s="26"/>
      <c r="B167" s="165"/>
      <c r="C167" s="165"/>
      <c r="D167" s="165"/>
      <c r="E167" s="165"/>
      <c r="F167" s="32"/>
      <c r="G167" s="3"/>
    </row>
    <row r="168" spans="1:7" s="3" customFormat="1" x14ac:dyDescent="0.2">
      <c r="A168" s="24" t="s">
        <v>315</v>
      </c>
      <c r="B168" s="162" t="s">
        <v>316</v>
      </c>
      <c r="C168" s="162" t="s">
        <v>317</v>
      </c>
      <c r="D168" s="162" t="s">
        <v>318</v>
      </c>
      <c r="E168" s="162" t="s">
        <v>232</v>
      </c>
      <c r="F168" s="31" t="s">
        <v>11</v>
      </c>
    </row>
    <row r="169" spans="1:7" x14ac:dyDescent="0.2">
      <c r="A169" s="25" t="s">
        <v>319</v>
      </c>
      <c r="B169" s="162" t="s">
        <v>320</v>
      </c>
      <c r="C169" s="164"/>
      <c r="D169" s="162" t="s">
        <v>321</v>
      </c>
      <c r="E169" s="162" t="s">
        <v>232</v>
      </c>
      <c r="F169" s="31" t="s">
        <v>2545</v>
      </c>
      <c r="G169" s="3"/>
    </row>
    <row r="170" spans="1:7" x14ac:dyDescent="0.2">
      <c r="A170" s="25"/>
      <c r="B170" s="162" t="s">
        <v>320</v>
      </c>
      <c r="C170" s="162"/>
      <c r="D170" s="162"/>
      <c r="E170" s="162"/>
      <c r="F170" s="31" t="s">
        <v>870</v>
      </c>
      <c r="G170" s="3"/>
    </row>
    <row r="171" spans="1:7" x14ac:dyDescent="0.2">
      <c r="A171" s="25"/>
      <c r="B171" s="162" t="s">
        <v>320</v>
      </c>
      <c r="C171" s="34"/>
      <c r="D171" s="34" t="s">
        <v>322</v>
      </c>
      <c r="E171" s="162" t="s">
        <v>232</v>
      </c>
      <c r="F171" s="31" t="s">
        <v>920</v>
      </c>
      <c r="G171" s="3"/>
    </row>
    <row r="172" spans="1:7" x14ac:dyDescent="0.2">
      <c r="A172" s="25"/>
      <c r="B172" s="162" t="s">
        <v>323</v>
      </c>
      <c r="C172" s="162" t="s">
        <v>241</v>
      </c>
      <c r="D172" s="34" t="s">
        <v>324</v>
      </c>
      <c r="E172" s="162"/>
      <c r="F172" s="31" t="s">
        <v>884</v>
      </c>
      <c r="G172" s="3"/>
    </row>
    <row r="173" spans="1:7" ht="14.5" customHeight="1" x14ac:dyDescent="0.2">
      <c r="A173" s="25" t="s">
        <v>325</v>
      </c>
      <c r="B173" s="162" t="s">
        <v>326</v>
      </c>
      <c r="C173" s="164"/>
      <c r="D173" s="162" t="s">
        <v>327</v>
      </c>
      <c r="E173" s="162" t="s">
        <v>232</v>
      </c>
      <c r="F173" s="31" t="s">
        <v>2545</v>
      </c>
      <c r="G173" s="3"/>
    </row>
    <row r="174" spans="1:7" ht="14.5" customHeight="1" x14ac:dyDescent="0.2">
      <c r="A174" s="25"/>
      <c r="B174" s="162" t="s">
        <v>328</v>
      </c>
      <c r="C174" s="162"/>
      <c r="D174" s="13" t="s">
        <v>329</v>
      </c>
      <c r="E174" s="162"/>
      <c r="F174" s="31" t="s">
        <v>877</v>
      </c>
      <c r="G174" s="3"/>
    </row>
    <row r="175" spans="1:7" x14ac:dyDescent="0.2">
      <c r="A175" s="25" t="s">
        <v>330</v>
      </c>
      <c r="B175" s="162" t="s">
        <v>331</v>
      </c>
      <c r="C175" s="164"/>
      <c r="D175" s="34" t="s">
        <v>332</v>
      </c>
      <c r="E175" s="162"/>
      <c r="F175" s="31" t="s">
        <v>2545</v>
      </c>
      <c r="G175" s="3"/>
    </row>
    <row r="176" spans="1:7" x14ac:dyDescent="0.2">
      <c r="A176" s="25"/>
      <c r="B176" s="13" t="s">
        <v>333</v>
      </c>
      <c r="C176" s="162"/>
      <c r="D176" s="162"/>
      <c r="E176" s="162"/>
      <c r="F176" s="31" t="s">
        <v>896</v>
      </c>
      <c r="G176" s="3"/>
    </row>
    <row r="177" spans="1:7" x14ac:dyDescent="0.2">
      <c r="A177" s="25"/>
      <c r="B177" s="13" t="s">
        <v>334</v>
      </c>
      <c r="C177" s="162"/>
      <c r="D177" s="162" t="s">
        <v>335</v>
      </c>
      <c r="E177" s="163"/>
      <c r="F177" s="31" t="s">
        <v>870</v>
      </c>
      <c r="G177" s="3"/>
    </row>
    <row r="178" spans="1:7" x14ac:dyDescent="0.2">
      <c r="A178" s="25" t="s">
        <v>336</v>
      </c>
      <c r="B178" s="162" t="s">
        <v>337</v>
      </c>
      <c r="C178" s="162"/>
      <c r="D178" s="162" t="s">
        <v>338</v>
      </c>
      <c r="E178" s="162"/>
      <c r="F178" s="31" t="s">
        <v>888</v>
      </c>
      <c r="G178" s="3"/>
    </row>
    <row r="179" spans="1:7" x14ac:dyDescent="0.2">
      <c r="A179" s="25"/>
      <c r="B179" s="13" t="s">
        <v>339</v>
      </c>
      <c r="C179" s="162"/>
      <c r="D179" s="162" t="s">
        <v>340</v>
      </c>
      <c r="E179" s="162"/>
      <c r="F179" s="31" t="s">
        <v>896</v>
      </c>
      <c r="G179" s="3"/>
    </row>
    <row r="180" spans="1:7" x14ac:dyDescent="0.2">
      <c r="A180" s="25"/>
      <c r="B180" s="13" t="s">
        <v>341</v>
      </c>
      <c r="C180" s="162" t="s">
        <v>342</v>
      </c>
      <c r="D180" s="162" t="s">
        <v>340</v>
      </c>
      <c r="E180" s="162"/>
      <c r="F180" s="31" t="s">
        <v>896</v>
      </c>
      <c r="G180" s="3"/>
    </row>
    <row r="181" spans="1:7" x14ac:dyDescent="0.2">
      <c r="A181" s="25"/>
      <c r="B181" s="13" t="s">
        <v>343</v>
      </c>
      <c r="C181" s="167" t="s">
        <v>344</v>
      </c>
      <c r="D181" s="162" t="s">
        <v>345</v>
      </c>
      <c r="E181" s="162"/>
      <c r="F181" s="31" t="s">
        <v>860</v>
      </c>
      <c r="G181" s="3"/>
    </row>
    <row r="182" spans="1:7" x14ac:dyDescent="0.2">
      <c r="A182" s="25"/>
      <c r="B182" s="162" t="s">
        <v>346</v>
      </c>
      <c r="C182" s="162" t="s">
        <v>231</v>
      </c>
      <c r="D182" s="162"/>
      <c r="E182" s="162" t="s">
        <v>232</v>
      </c>
      <c r="F182" s="31" t="s">
        <v>896</v>
      </c>
      <c r="G182" s="3"/>
    </row>
    <row r="183" spans="1:7" x14ac:dyDescent="0.2">
      <c r="A183" s="25"/>
      <c r="B183" s="162" t="s">
        <v>347</v>
      </c>
      <c r="C183" s="162" t="s">
        <v>231</v>
      </c>
      <c r="D183" s="162"/>
      <c r="E183" s="162" t="s">
        <v>232</v>
      </c>
      <c r="F183" s="31" t="s">
        <v>896</v>
      </c>
      <c r="G183" s="3"/>
    </row>
    <row r="184" spans="1:7" x14ac:dyDescent="0.2">
      <c r="A184" s="26"/>
      <c r="B184" s="165"/>
      <c r="C184" s="165"/>
      <c r="D184" s="165"/>
      <c r="E184" s="165"/>
      <c r="F184" s="32"/>
      <c r="G184" s="3"/>
    </row>
    <row r="185" spans="1:7" s="3" customFormat="1" ht="14.5" customHeight="1" x14ac:dyDescent="0.2">
      <c r="A185" s="24" t="s">
        <v>348</v>
      </c>
      <c r="B185" s="162" t="s">
        <v>349</v>
      </c>
      <c r="C185" s="162" t="s">
        <v>350</v>
      </c>
      <c r="D185" s="162" t="s">
        <v>351</v>
      </c>
      <c r="E185" s="162" t="s">
        <v>232</v>
      </c>
      <c r="F185" s="31" t="s">
        <v>11</v>
      </c>
    </row>
    <row r="186" spans="1:7" ht="14.5" customHeight="1" x14ac:dyDescent="0.2">
      <c r="A186" s="25"/>
      <c r="B186" s="162" t="s">
        <v>352</v>
      </c>
      <c r="C186" s="162"/>
      <c r="D186" s="162" t="s">
        <v>353</v>
      </c>
      <c r="E186" s="162"/>
      <c r="F186" s="31" t="s">
        <v>877</v>
      </c>
      <c r="G186" s="3"/>
    </row>
    <row r="187" spans="1:7" ht="14.5" customHeight="1" x14ac:dyDescent="0.2">
      <c r="A187" s="26"/>
      <c r="B187" s="165"/>
      <c r="C187" s="165"/>
      <c r="D187" s="165"/>
      <c r="E187" s="165"/>
      <c r="F187" s="32"/>
      <c r="G187" s="3"/>
    </row>
    <row r="188" spans="1:7" s="3" customFormat="1" x14ac:dyDescent="0.2">
      <c r="A188" s="24" t="s">
        <v>354</v>
      </c>
      <c r="B188" s="162" t="s">
        <v>355</v>
      </c>
      <c r="C188" s="162"/>
      <c r="D188" s="162" t="s">
        <v>356</v>
      </c>
      <c r="E188" s="162" t="s">
        <v>232</v>
      </c>
      <c r="F188" s="31" t="s">
        <v>11</v>
      </c>
    </row>
    <row r="189" spans="1:7" x14ac:dyDescent="0.2">
      <c r="A189" s="25" t="s">
        <v>357</v>
      </c>
      <c r="B189" s="162" t="s">
        <v>358</v>
      </c>
      <c r="C189" s="162"/>
      <c r="D189" s="162" t="s">
        <v>359</v>
      </c>
      <c r="E189" s="162" t="s">
        <v>232</v>
      </c>
      <c r="F189" s="31" t="s">
        <v>2545</v>
      </c>
      <c r="G189" s="3"/>
    </row>
    <row r="190" spans="1:7" x14ac:dyDescent="0.2">
      <c r="A190" s="25"/>
      <c r="B190" s="13" t="s">
        <v>358</v>
      </c>
      <c r="C190" s="13" t="s">
        <v>18</v>
      </c>
      <c r="D190" s="162" t="s">
        <v>360</v>
      </c>
      <c r="E190" s="162"/>
      <c r="F190" s="31" t="s">
        <v>860</v>
      </c>
      <c r="G190" s="3"/>
    </row>
    <row r="191" spans="1:7" x14ac:dyDescent="0.2">
      <c r="A191" s="25"/>
      <c r="B191" s="162" t="s">
        <v>358</v>
      </c>
      <c r="C191" s="162"/>
      <c r="D191" s="162"/>
      <c r="E191" s="162"/>
      <c r="F191" s="31" t="s">
        <v>870</v>
      </c>
      <c r="G191" s="3"/>
    </row>
    <row r="192" spans="1:7" x14ac:dyDescent="0.2">
      <c r="A192" s="25"/>
      <c r="B192" s="13" t="s">
        <v>358</v>
      </c>
      <c r="C192" s="162"/>
      <c r="D192" s="162" t="s">
        <v>361</v>
      </c>
      <c r="E192" s="162"/>
      <c r="F192" s="31" t="s">
        <v>920</v>
      </c>
      <c r="G192" s="3"/>
    </row>
    <row r="193" spans="1:7" x14ac:dyDescent="0.2">
      <c r="A193" s="26"/>
      <c r="B193" s="165"/>
      <c r="C193" s="165"/>
      <c r="D193" s="165"/>
      <c r="E193" s="165"/>
      <c r="F193" s="32"/>
      <c r="G193" s="3"/>
    </row>
    <row r="194" spans="1:7" x14ac:dyDescent="0.2">
      <c r="A194" s="24"/>
      <c r="B194" s="162" t="s">
        <v>362</v>
      </c>
      <c r="C194" s="162"/>
      <c r="D194" s="162" t="s">
        <v>363</v>
      </c>
      <c r="E194" s="162" t="s">
        <v>232</v>
      </c>
      <c r="F194" s="31" t="s">
        <v>896</v>
      </c>
      <c r="G194" s="3"/>
    </row>
    <row r="195" spans="1:7" x14ac:dyDescent="0.2">
      <c r="A195" s="25" t="s">
        <v>364</v>
      </c>
      <c r="B195" s="162" t="s">
        <v>365</v>
      </c>
      <c r="C195" s="162"/>
      <c r="D195" s="162" t="s">
        <v>366</v>
      </c>
      <c r="E195" s="162"/>
      <c r="F195" s="31" t="s">
        <v>888</v>
      </c>
      <c r="G195" s="3"/>
    </row>
    <row r="196" spans="1:7" x14ac:dyDescent="0.2">
      <c r="A196" s="26"/>
      <c r="B196" s="165"/>
      <c r="C196" s="165"/>
      <c r="D196" s="165"/>
      <c r="E196" s="165"/>
      <c r="F196" s="32"/>
      <c r="G196" s="3"/>
    </row>
    <row r="197" spans="1:7" s="3" customFormat="1" ht="14.5" customHeight="1" x14ac:dyDescent="0.2">
      <c r="A197" s="24" t="s">
        <v>367</v>
      </c>
      <c r="B197" s="162" t="s">
        <v>368</v>
      </c>
      <c r="C197" s="162" t="s">
        <v>369</v>
      </c>
      <c r="D197" s="162" t="s">
        <v>370</v>
      </c>
      <c r="E197" s="162" t="s">
        <v>371</v>
      </c>
      <c r="F197" s="31" t="s">
        <v>11</v>
      </c>
    </row>
    <row r="198" spans="1:7" ht="14.5" customHeight="1" x14ac:dyDescent="0.2">
      <c r="A198" s="35"/>
      <c r="B198" s="168"/>
      <c r="C198" s="168"/>
      <c r="D198" s="168"/>
      <c r="E198" s="168"/>
      <c r="F198" s="36"/>
      <c r="G198" s="3"/>
    </row>
    <row r="199" spans="1:7" s="3" customFormat="1" ht="14.5" customHeight="1" x14ac:dyDescent="0.2">
      <c r="A199" s="24" t="s">
        <v>372</v>
      </c>
      <c r="B199" s="162" t="s">
        <v>373</v>
      </c>
      <c r="C199" s="162"/>
      <c r="D199" s="162" t="s">
        <v>374</v>
      </c>
      <c r="E199" s="162" t="s">
        <v>371</v>
      </c>
      <c r="F199" s="31" t="s">
        <v>11</v>
      </c>
    </row>
    <row r="200" spans="1:7" ht="14.5" customHeight="1" x14ac:dyDescent="0.2">
      <c r="A200" s="25"/>
      <c r="B200" s="162" t="s">
        <v>373</v>
      </c>
      <c r="C200" s="162"/>
      <c r="D200" s="162" t="s">
        <v>375</v>
      </c>
      <c r="E200" s="162"/>
      <c r="F200" s="31" t="s">
        <v>920</v>
      </c>
      <c r="G200" s="3"/>
    </row>
    <row r="201" spans="1:7" ht="14.5" customHeight="1" x14ac:dyDescent="0.2">
      <c r="A201" s="35"/>
      <c r="B201" s="168"/>
      <c r="C201" s="168"/>
      <c r="D201" s="168"/>
      <c r="E201" s="168"/>
      <c r="F201" s="36"/>
      <c r="G201" s="3"/>
    </row>
    <row r="202" spans="1:7" s="3" customFormat="1" ht="14.5" customHeight="1" x14ac:dyDescent="0.2">
      <c r="A202" s="24" t="s">
        <v>376</v>
      </c>
      <c r="B202" s="162" t="s">
        <v>377</v>
      </c>
      <c r="C202" s="162" t="s">
        <v>378</v>
      </c>
      <c r="D202" s="162" t="s">
        <v>379</v>
      </c>
      <c r="E202" s="162" t="s">
        <v>371</v>
      </c>
      <c r="F202" s="31" t="s">
        <v>11</v>
      </c>
    </row>
    <row r="203" spans="1:7" ht="14.5" customHeight="1" x14ac:dyDescent="0.2">
      <c r="A203" s="25" t="s">
        <v>380</v>
      </c>
      <c r="B203" s="162" t="s">
        <v>381</v>
      </c>
      <c r="C203" s="162"/>
      <c r="D203" s="162" t="s">
        <v>382</v>
      </c>
      <c r="E203" s="162"/>
      <c r="F203" s="31" t="s">
        <v>888</v>
      </c>
      <c r="G203" s="3"/>
    </row>
    <row r="204" spans="1:7" ht="14.5" customHeight="1" x14ac:dyDescent="0.2">
      <c r="A204" s="25" t="s">
        <v>383</v>
      </c>
      <c r="B204" s="162" t="s">
        <v>384</v>
      </c>
      <c r="C204" s="162"/>
      <c r="D204" s="162" t="s">
        <v>385</v>
      </c>
      <c r="E204" s="162"/>
      <c r="F204" s="31" t="s">
        <v>888</v>
      </c>
      <c r="G204" s="3"/>
    </row>
    <row r="205" spans="1:7" ht="14.5" customHeight="1" x14ac:dyDescent="0.2">
      <c r="A205" s="35"/>
      <c r="B205" s="168"/>
      <c r="C205" s="168"/>
      <c r="D205" s="168"/>
      <c r="E205" s="168"/>
      <c r="F205" s="36"/>
      <c r="G205" s="3"/>
    </row>
    <row r="206" spans="1:7" s="3" customFormat="1" x14ac:dyDescent="0.2">
      <c r="A206" s="24" t="s">
        <v>386</v>
      </c>
      <c r="B206" s="162" t="s">
        <v>387</v>
      </c>
      <c r="C206" s="162" t="s">
        <v>388</v>
      </c>
      <c r="D206" s="162" t="s">
        <v>389</v>
      </c>
      <c r="E206" s="162" t="s">
        <v>371</v>
      </c>
      <c r="F206" s="31" t="s">
        <v>11</v>
      </c>
    </row>
    <row r="207" spans="1:7" x14ac:dyDescent="0.2">
      <c r="A207" s="25"/>
      <c r="B207" s="162" t="s">
        <v>390</v>
      </c>
      <c r="C207" s="162"/>
      <c r="D207" s="162" t="s">
        <v>391</v>
      </c>
      <c r="E207" s="162"/>
      <c r="F207" s="31" t="s">
        <v>877</v>
      </c>
      <c r="G207" s="3"/>
    </row>
    <row r="208" spans="1:7" x14ac:dyDescent="0.2">
      <c r="A208" s="35"/>
      <c r="B208" s="168"/>
      <c r="C208" s="168"/>
      <c r="D208" s="168"/>
      <c r="E208" s="168"/>
      <c r="F208" s="36"/>
      <c r="G208" s="3"/>
    </row>
    <row r="209" spans="1:7" s="3" customFormat="1" x14ac:dyDescent="0.2">
      <c r="A209" s="24" t="s">
        <v>392</v>
      </c>
      <c r="B209" s="162" t="s">
        <v>393</v>
      </c>
      <c r="C209" s="162"/>
      <c r="D209" s="162" t="s">
        <v>394</v>
      </c>
      <c r="E209" s="162" t="s">
        <v>371</v>
      </c>
      <c r="F209" s="31" t="s">
        <v>11</v>
      </c>
    </row>
    <row r="210" spans="1:7" s="3" customFormat="1" x14ac:dyDescent="0.2">
      <c r="A210" s="35"/>
      <c r="B210" s="168"/>
      <c r="C210" s="168"/>
      <c r="D210" s="168"/>
      <c r="E210" s="168"/>
      <c r="F210" s="36"/>
    </row>
    <row r="211" spans="1:7" s="3" customFormat="1" x14ac:dyDescent="0.2">
      <c r="A211" s="24"/>
      <c r="B211" s="162" t="s">
        <v>395</v>
      </c>
      <c r="C211" s="162"/>
      <c r="D211" s="13" t="s">
        <v>396</v>
      </c>
      <c r="E211" s="162" t="s">
        <v>371</v>
      </c>
      <c r="F211" s="31" t="s">
        <v>860</v>
      </c>
    </row>
    <row r="212" spans="1:7" x14ac:dyDescent="0.2">
      <c r="A212" s="26"/>
      <c r="B212" s="165"/>
      <c r="C212" s="165"/>
      <c r="D212" s="165"/>
      <c r="E212" s="165"/>
      <c r="F212" s="32"/>
      <c r="G212" s="3"/>
    </row>
    <row r="213" spans="1:7" s="3" customFormat="1" ht="14.5" customHeight="1" x14ac:dyDescent="0.2">
      <c r="A213" s="24" t="s">
        <v>397</v>
      </c>
      <c r="B213" s="162" t="s">
        <v>398</v>
      </c>
      <c r="C213" s="162" t="s">
        <v>399</v>
      </c>
      <c r="D213" s="162" t="s">
        <v>400</v>
      </c>
      <c r="E213" s="162" t="s">
        <v>401</v>
      </c>
      <c r="F213" s="31" t="s">
        <v>11</v>
      </c>
    </row>
    <row r="214" spans="1:7" ht="14.5" customHeight="1" x14ac:dyDescent="0.2">
      <c r="A214" s="25" t="s">
        <v>402</v>
      </c>
      <c r="B214" s="162" t="s">
        <v>399</v>
      </c>
      <c r="C214" s="163"/>
      <c r="D214" s="162" t="s">
        <v>403</v>
      </c>
      <c r="E214" s="162" t="s">
        <v>401</v>
      </c>
      <c r="F214" s="31" t="s">
        <v>2545</v>
      </c>
      <c r="G214" s="3"/>
    </row>
    <row r="215" spans="1:7" ht="14.5" customHeight="1" x14ac:dyDescent="0.2">
      <c r="A215" s="25"/>
      <c r="B215" s="162" t="s">
        <v>404</v>
      </c>
      <c r="C215" s="163"/>
      <c r="D215" s="162"/>
      <c r="E215" s="162"/>
      <c r="F215" s="31" t="s">
        <v>870</v>
      </c>
      <c r="G215" s="3"/>
    </row>
    <row r="216" spans="1:7" ht="14.5" customHeight="1" x14ac:dyDescent="0.2">
      <c r="A216" s="25"/>
      <c r="B216" s="162" t="s">
        <v>404</v>
      </c>
      <c r="C216" s="163" t="s">
        <v>405</v>
      </c>
      <c r="D216" s="162" t="s">
        <v>406</v>
      </c>
      <c r="E216" s="162" t="s">
        <v>401</v>
      </c>
      <c r="F216" s="31" t="s">
        <v>884</v>
      </c>
      <c r="G216" s="3"/>
    </row>
    <row r="217" spans="1:7" ht="14.5" customHeight="1" x14ac:dyDescent="0.2">
      <c r="A217" s="25"/>
      <c r="B217" s="13" t="s">
        <v>407</v>
      </c>
      <c r="C217" s="162"/>
      <c r="D217" s="162" t="s">
        <v>408</v>
      </c>
      <c r="E217" s="162" t="s">
        <v>401</v>
      </c>
      <c r="F217" s="31" t="s">
        <v>896</v>
      </c>
      <c r="G217" s="3"/>
    </row>
    <row r="218" spans="1:7" ht="14.5" customHeight="1" x14ac:dyDescent="0.2">
      <c r="A218" s="25"/>
      <c r="B218" s="13" t="s">
        <v>407</v>
      </c>
      <c r="C218" s="162"/>
      <c r="D218" s="162"/>
      <c r="E218" s="162"/>
      <c r="F218" s="31" t="s">
        <v>911</v>
      </c>
      <c r="G218" s="3"/>
    </row>
    <row r="219" spans="1:7" ht="14.5" customHeight="1" x14ac:dyDescent="0.2">
      <c r="A219" s="25"/>
      <c r="B219" s="162" t="s">
        <v>409</v>
      </c>
      <c r="C219" s="162"/>
      <c r="D219" s="169" t="s">
        <v>410</v>
      </c>
      <c r="E219" s="162"/>
      <c r="F219" s="31" t="s">
        <v>920</v>
      </c>
      <c r="G219" s="3"/>
    </row>
    <row r="220" spans="1:7" ht="14.5" customHeight="1" x14ac:dyDescent="0.2">
      <c r="A220" s="25"/>
      <c r="B220" s="162" t="s">
        <v>411</v>
      </c>
      <c r="C220" s="163"/>
      <c r="D220" s="162" t="s">
        <v>412</v>
      </c>
      <c r="E220" s="162"/>
      <c r="F220" s="31" t="s">
        <v>860</v>
      </c>
      <c r="G220" s="3"/>
    </row>
    <row r="221" spans="1:7" ht="14.5" customHeight="1" x14ac:dyDescent="0.2">
      <c r="A221" s="25" t="s">
        <v>413</v>
      </c>
      <c r="B221" s="162" t="s">
        <v>414</v>
      </c>
      <c r="C221" s="163"/>
      <c r="D221" s="162" t="s">
        <v>415</v>
      </c>
      <c r="E221" s="162"/>
      <c r="F221" s="31" t="s">
        <v>1101</v>
      </c>
      <c r="G221" s="3"/>
    </row>
    <row r="222" spans="1:7" ht="14.5" customHeight="1" x14ac:dyDescent="0.2">
      <c r="A222" s="25"/>
      <c r="B222" s="162" t="s">
        <v>416</v>
      </c>
      <c r="C222" s="170"/>
      <c r="D222" s="162" t="s">
        <v>417</v>
      </c>
      <c r="E222" s="162"/>
      <c r="F222" s="31" t="s">
        <v>860</v>
      </c>
      <c r="G222" s="3"/>
    </row>
    <row r="223" spans="1:7" ht="14.5" customHeight="1" x14ac:dyDescent="0.2">
      <c r="A223" s="26"/>
      <c r="B223" s="165"/>
      <c r="C223" s="165"/>
      <c r="D223" s="165"/>
      <c r="E223" s="165"/>
      <c r="F223" s="32"/>
      <c r="G223" s="3"/>
    </row>
    <row r="224" spans="1:7" s="3" customFormat="1" x14ac:dyDescent="0.2">
      <c r="A224" s="24" t="s">
        <v>418</v>
      </c>
      <c r="B224" s="162" t="s">
        <v>419</v>
      </c>
      <c r="C224" s="162" t="s">
        <v>420</v>
      </c>
      <c r="D224" s="162" t="s">
        <v>421</v>
      </c>
      <c r="E224" s="162" t="s">
        <v>401</v>
      </c>
      <c r="F224" s="31" t="s">
        <v>11</v>
      </c>
    </row>
    <row r="225" spans="1:7" x14ac:dyDescent="0.2">
      <c r="A225" s="25" t="s">
        <v>422</v>
      </c>
      <c r="B225" s="162" t="s">
        <v>423</v>
      </c>
      <c r="C225" s="164"/>
      <c r="D225" s="162" t="s">
        <v>424</v>
      </c>
      <c r="E225" s="162" t="s">
        <v>401</v>
      </c>
      <c r="F225" s="31" t="s">
        <v>2545</v>
      </c>
      <c r="G225" s="3"/>
    </row>
    <row r="226" spans="1:7" x14ac:dyDescent="0.2">
      <c r="A226" s="25"/>
      <c r="B226" s="162" t="s">
        <v>425</v>
      </c>
      <c r="C226" s="162"/>
      <c r="D226" s="162"/>
      <c r="E226" s="162"/>
      <c r="F226" s="31" t="s">
        <v>870</v>
      </c>
      <c r="G226" s="3"/>
    </row>
    <row r="227" spans="1:7" x14ac:dyDescent="0.2">
      <c r="A227" s="25"/>
      <c r="B227" s="162" t="s">
        <v>426</v>
      </c>
      <c r="C227" s="162"/>
      <c r="D227" s="162"/>
      <c r="E227" s="162"/>
      <c r="F227" s="31" t="s">
        <v>870</v>
      </c>
      <c r="G227" s="3"/>
    </row>
    <row r="228" spans="1:7" x14ac:dyDescent="0.2">
      <c r="A228" s="25"/>
      <c r="B228" s="162" t="s">
        <v>427</v>
      </c>
      <c r="C228" s="162"/>
      <c r="D228" s="162" t="s">
        <v>428</v>
      </c>
      <c r="E228" s="162"/>
      <c r="F228" s="31" t="s">
        <v>860</v>
      </c>
      <c r="G228" s="3"/>
    </row>
    <row r="229" spans="1:7" x14ac:dyDescent="0.2">
      <c r="A229" s="25"/>
      <c r="B229" s="162" t="s">
        <v>429</v>
      </c>
      <c r="C229" s="164"/>
      <c r="D229" s="162" t="s">
        <v>430</v>
      </c>
      <c r="E229" s="162"/>
      <c r="F229" s="31"/>
      <c r="G229" s="3"/>
    </row>
    <row r="230" spans="1:7" x14ac:dyDescent="0.2">
      <c r="A230" s="25"/>
      <c r="B230" s="162" t="s">
        <v>431</v>
      </c>
      <c r="C230" s="162"/>
      <c r="D230" s="162" t="s">
        <v>432</v>
      </c>
      <c r="E230" s="162"/>
      <c r="F230" s="31" t="s">
        <v>920</v>
      </c>
      <c r="G230" s="3"/>
    </row>
    <row r="231" spans="1:7" ht="16" x14ac:dyDescent="0.2">
      <c r="A231" s="25"/>
      <c r="B231" s="162" t="s">
        <v>433</v>
      </c>
      <c r="C231" s="163" t="s">
        <v>405</v>
      </c>
      <c r="D231" s="162" t="s">
        <v>434</v>
      </c>
      <c r="E231" s="162"/>
      <c r="F231" s="31" t="s">
        <v>884</v>
      </c>
      <c r="G231" s="3"/>
    </row>
    <row r="232" spans="1:7" x14ac:dyDescent="0.2">
      <c r="A232" s="25"/>
      <c r="B232" s="162" t="s">
        <v>435</v>
      </c>
      <c r="C232" s="162" t="s">
        <v>436</v>
      </c>
      <c r="D232" s="162" t="s">
        <v>437</v>
      </c>
      <c r="E232" s="162" t="s">
        <v>401</v>
      </c>
      <c r="F232" s="31" t="s">
        <v>896</v>
      </c>
      <c r="G232" s="3"/>
    </row>
    <row r="233" spans="1:7" x14ac:dyDescent="0.2">
      <c r="A233" s="25"/>
      <c r="B233" s="162" t="s">
        <v>438</v>
      </c>
      <c r="C233" s="162"/>
      <c r="D233" s="162" t="s">
        <v>439</v>
      </c>
      <c r="E233" s="162"/>
      <c r="F233" s="31" t="s">
        <v>911</v>
      </c>
      <c r="G233" s="3"/>
    </row>
    <row r="234" spans="1:7" x14ac:dyDescent="0.2">
      <c r="A234" s="25"/>
      <c r="B234" s="162" t="s">
        <v>440</v>
      </c>
      <c r="C234" s="162"/>
      <c r="D234" s="162"/>
      <c r="E234" s="162"/>
      <c r="F234" s="31" t="s">
        <v>905</v>
      </c>
      <c r="G234" s="3"/>
    </row>
    <row r="235" spans="1:7" x14ac:dyDescent="0.2">
      <c r="A235" s="25" t="s">
        <v>441</v>
      </c>
      <c r="B235" s="162" t="s">
        <v>442</v>
      </c>
      <c r="C235" s="164"/>
      <c r="D235" s="162" t="s">
        <v>443</v>
      </c>
      <c r="E235" s="162" t="s">
        <v>401</v>
      </c>
      <c r="F235" s="31" t="s">
        <v>2545</v>
      </c>
      <c r="G235" s="3"/>
    </row>
    <row r="236" spans="1:7" x14ac:dyDescent="0.2">
      <c r="A236" s="26"/>
      <c r="B236" s="165"/>
      <c r="C236" s="165"/>
      <c r="D236" s="165"/>
      <c r="E236" s="165"/>
      <c r="F236" s="32"/>
      <c r="G236" s="3"/>
    </row>
    <row r="237" spans="1:7" s="3" customFormat="1" ht="14.5" customHeight="1" x14ac:dyDescent="0.2">
      <c r="A237" s="24" t="s">
        <v>444</v>
      </c>
      <c r="B237" s="162" t="s">
        <v>445</v>
      </c>
      <c r="C237" s="162" t="s">
        <v>446</v>
      </c>
      <c r="D237" s="162" t="s">
        <v>447</v>
      </c>
      <c r="E237" s="162" t="s">
        <v>401</v>
      </c>
      <c r="F237" s="31" t="s">
        <v>860</v>
      </c>
    </row>
    <row r="238" spans="1:7" ht="14.5" customHeight="1" x14ac:dyDescent="0.2">
      <c r="A238" s="25"/>
      <c r="B238" s="162" t="s">
        <v>448</v>
      </c>
      <c r="C238" s="162" t="s">
        <v>449</v>
      </c>
      <c r="D238" s="162" t="s">
        <v>450</v>
      </c>
      <c r="E238" s="162"/>
      <c r="F238" s="31" t="s">
        <v>914</v>
      </c>
      <c r="G238" s="3"/>
    </row>
    <row r="239" spans="1:7" ht="14.5" customHeight="1" x14ac:dyDescent="0.2">
      <c r="A239" s="25"/>
      <c r="B239" s="13" t="s">
        <v>451</v>
      </c>
      <c r="C239" s="162" t="s">
        <v>449</v>
      </c>
      <c r="D239" s="162"/>
      <c r="E239" s="162"/>
      <c r="F239" s="31" t="s">
        <v>896</v>
      </c>
      <c r="G239" s="3"/>
    </row>
    <row r="240" spans="1:7" ht="14.5" customHeight="1" x14ac:dyDescent="0.2">
      <c r="A240" s="25"/>
      <c r="B240" s="13" t="s">
        <v>451</v>
      </c>
      <c r="C240" s="162"/>
      <c r="D240" s="162" t="s">
        <v>452</v>
      </c>
      <c r="E240" s="162"/>
      <c r="F240" s="31" t="s">
        <v>920</v>
      </c>
      <c r="G240" s="3"/>
    </row>
    <row r="241" spans="1:7" ht="14.5" customHeight="1" x14ac:dyDescent="0.2">
      <c r="A241" s="25"/>
      <c r="B241" s="13" t="s">
        <v>451</v>
      </c>
      <c r="C241" s="163" t="s">
        <v>405</v>
      </c>
      <c r="D241" s="162" t="s">
        <v>453</v>
      </c>
      <c r="E241" s="162" t="s">
        <v>401</v>
      </c>
      <c r="F241" s="31" t="s">
        <v>884</v>
      </c>
      <c r="G241" s="3"/>
    </row>
    <row r="242" spans="1:7" ht="14.5" customHeight="1" x14ac:dyDescent="0.2">
      <c r="A242" s="25"/>
      <c r="B242" s="162" t="s">
        <v>454</v>
      </c>
      <c r="C242" s="163"/>
      <c r="D242" s="162"/>
      <c r="E242" s="162"/>
      <c r="F242" s="31" t="s">
        <v>911</v>
      </c>
      <c r="G242" s="3"/>
    </row>
    <row r="243" spans="1:7" ht="14.5" customHeight="1" x14ac:dyDescent="0.2">
      <c r="A243" s="25"/>
      <c r="B243" s="162" t="s">
        <v>455</v>
      </c>
      <c r="C243" s="163"/>
      <c r="D243" s="162" t="s">
        <v>456</v>
      </c>
      <c r="E243" s="162"/>
      <c r="F243" s="31" t="s">
        <v>922</v>
      </c>
      <c r="G243" s="3"/>
    </row>
    <row r="244" spans="1:7" ht="14.5" customHeight="1" x14ac:dyDescent="0.2">
      <c r="A244" s="25" t="s">
        <v>457</v>
      </c>
      <c r="B244" s="162" t="s">
        <v>458</v>
      </c>
      <c r="C244" s="163"/>
      <c r="D244" s="162" t="s">
        <v>459</v>
      </c>
      <c r="E244" s="162"/>
      <c r="F244" s="31" t="s">
        <v>1101</v>
      </c>
      <c r="G244" s="3"/>
    </row>
    <row r="245" spans="1:7" ht="14.5" customHeight="1" x14ac:dyDescent="0.2">
      <c r="A245" s="25"/>
      <c r="B245" s="162" t="s">
        <v>460</v>
      </c>
      <c r="C245" s="163"/>
      <c r="D245" s="162"/>
      <c r="E245" s="162"/>
      <c r="F245" s="31" t="s">
        <v>870</v>
      </c>
      <c r="G245" s="3"/>
    </row>
    <row r="246" spans="1:7" ht="14.5" customHeight="1" x14ac:dyDescent="0.2">
      <c r="A246" s="25" t="s">
        <v>461</v>
      </c>
      <c r="B246" s="162" t="s">
        <v>462</v>
      </c>
      <c r="C246" s="163"/>
      <c r="D246" s="162" t="s">
        <v>463</v>
      </c>
      <c r="E246" s="162"/>
      <c r="F246" s="31" t="s">
        <v>888</v>
      </c>
      <c r="G246" s="3"/>
    </row>
    <row r="247" spans="1:7" ht="14.5" customHeight="1" x14ac:dyDescent="0.2">
      <c r="A247" s="26"/>
      <c r="B247" s="165"/>
      <c r="C247" s="165"/>
      <c r="D247" s="165"/>
      <c r="E247" s="165"/>
      <c r="F247" s="32"/>
      <c r="G247" s="3"/>
    </row>
    <row r="248" spans="1:7" s="3" customFormat="1" ht="14.5" customHeight="1" x14ac:dyDescent="0.2">
      <c r="A248" s="24" t="s">
        <v>464</v>
      </c>
      <c r="B248" s="162" t="s">
        <v>465</v>
      </c>
      <c r="C248" s="162"/>
      <c r="D248" s="162" t="s">
        <v>466</v>
      </c>
      <c r="E248" s="162" t="s">
        <v>401</v>
      </c>
      <c r="F248" s="31" t="s">
        <v>11</v>
      </c>
    </row>
    <row r="249" spans="1:7" ht="14.5" customHeight="1" x14ac:dyDescent="0.2">
      <c r="A249" s="37" t="s">
        <v>467</v>
      </c>
      <c r="B249" s="162" t="s">
        <v>468</v>
      </c>
      <c r="C249" s="163" t="s">
        <v>405</v>
      </c>
      <c r="D249" s="162" t="s">
        <v>469</v>
      </c>
      <c r="E249" s="162" t="s">
        <v>401</v>
      </c>
      <c r="F249" s="31" t="s">
        <v>884</v>
      </c>
      <c r="G249" s="3"/>
    </row>
    <row r="250" spans="1:7" ht="14.5" customHeight="1" x14ac:dyDescent="0.2">
      <c r="A250" s="25"/>
      <c r="B250" s="162" t="s">
        <v>468</v>
      </c>
      <c r="C250" s="163"/>
      <c r="D250" s="162"/>
      <c r="E250" s="162"/>
      <c r="F250" s="31" t="s">
        <v>870</v>
      </c>
      <c r="G250" s="3"/>
    </row>
    <row r="251" spans="1:7" ht="14.5" customHeight="1" x14ac:dyDescent="0.2">
      <c r="A251" s="37" t="s">
        <v>467</v>
      </c>
      <c r="B251" s="162" t="s">
        <v>468</v>
      </c>
      <c r="C251" s="163"/>
      <c r="D251" s="162"/>
      <c r="E251" s="162"/>
      <c r="F251" s="31" t="s">
        <v>2545</v>
      </c>
      <c r="G251" s="3"/>
    </row>
    <row r="252" spans="1:7" ht="14.5" customHeight="1" x14ac:dyDescent="0.2">
      <c r="A252" s="25"/>
      <c r="B252" s="162" t="s">
        <v>468</v>
      </c>
      <c r="C252" s="163"/>
      <c r="D252" s="162" t="s">
        <v>470</v>
      </c>
      <c r="E252" s="162"/>
      <c r="F252" s="31" t="s">
        <v>920</v>
      </c>
      <c r="G252" s="3"/>
    </row>
    <row r="253" spans="1:7" ht="14.5" customHeight="1" x14ac:dyDescent="0.2">
      <c r="A253" s="25" t="s">
        <v>471</v>
      </c>
      <c r="B253" s="162" t="s">
        <v>472</v>
      </c>
      <c r="C253" s="163"/>
      <c r="D253" s="162" t="s">
        <v>473</v>
      </c>
      <c r="E253" s="162"/>
      <c r="F253" s="31" t="s">
        <v>888</v>
      </c>
      <c r="G253" s="3"/>
    </row>
    <row r="254" spans="1:7" ht="14.5" customHeight="1" x14ac:dyDescent="0.2">
      <c r="A254" s="25"/>
      <c r="B254" s="162" t="s">
        <v>474</v>
      </c>
      <c r="C254" s="162"/>
      <c r="D254" s="162" t="s">
        <v>475</v>
      </c>
      <c r="E254" s="162" t="s">
        <v>401</v>
      </c>
      <c r="F254" s="31" t="s">
        <v>896</v>
      </c>
      <c r="G254" s="3"/>
    </row>
    <row r="255" spans="1:7" ht="14.5" customHeight="1" x14ac:dyDescent="0.2">
      <c r="A255" s="25" t="s">
        <v>476</v>
      </c>
      <c r="B255" s="162" t="s">
        <v>477</v>
      </c>
      <c r="C255" s="162"/>
      <c r="D255" s="162" t="s">
        <v>478</v>
      </c>
      <c r="E255" s="162"/>
      <c r="F255" s="31" t="s">
        <v>1101</v>
      </c>
      <c r="G255" s="3"/>
    </row>
    <row r="256" spans="1:7" ht="14.5" customHeight="1" x14ac:dyDescent="0.2">
      <c r="A256" s="26"/>
      <c r="B256" s="165"/>
      <c r="C256" s="165"/>
      <c r="D256" s="165"/>
      <c r="E256" s="165"/>
      <c r="F256" s="32"/>
      <c r="G256" s="3"/>
    </row>
    <row r="257" spans="1:7" s="3" customFormat="1" x14ac:dyDescent="0.2">
      <c r="A257" s="24" t="s">
        <v>479</v>
      </c>
      <c r="B257" s="162" t="s">
        <v>480</v>
      </c>
      <c r="C257" s="162" t="s">
        <v>481</v>
      </c>
      <c r="D257" s="162" t="s">
        <v>482</v>
      </c>
      <c r="E257" s="162" t="s">
        <v>401</v>
      </c>
      <c r="F257" s="31" t="s">
        <v>11</v>
      </c>
    </row>
    <row r="258" spans="1:7" x14ac:dyDescent="0.2">
      <c r="A258" s="25" t="s">
        <v>483</v>
      </c>
      <c r="B258" s="162" t="s">
        <v>484</v>
      </c>
      <c r="C258" s="162"/>
      <c r="D258" s="162" t="s">
        <v>485</v>
      </c>
      <c r="E258" s="162" t="s">
        <v>401</v>
      </c>
      <c r="F258" s="31" t="s">
        <v>2545</v>
      </c>
      <c r="G258" s="3"/>
    </row>
    <row r="259" spans="1:7" x14ac:dyDescent="0.2">
      <c r="A259" s="25"/>
      <c r="B259" s="162" t="s">
        <v>484</v>
      </c>
      <c r="C259" s="162" t="s">
        <v>486</v>
      </c>
      <c r="D259" s="162" t="s">
        <v>487</v>
      </c>
      <c r="E259" s="162"/>
      <c r="F259" s="31" t="s">
        <v>884</v>
      </c>
      <c r="G259" s="3"/>
    </row>
    <row r="260" spans="1:7" x14ac:dyDescent="0.2">
      <c r="A260" s="25"/>
      <c r="B260" s="162" t="s">
        <v>484</v>
      </c>
      <c r="C260" s="162"/>
      <c r="D260" s="162"/>
      <c r="E260" s="162"/>
      <c r="F260" s="31" t="s">
        <v>870</v>
      </c>
      <c r="G260" s="3"/>
    </row>
    <row r="261" spans="1:7" x14ac:dyDescent="0.2">
      <c r="A261" s="25" t="s">
        <v>488</v>
      </c>
      <c r="B261" s="162" t="s">
        <v>489</v>
      </c>
      <c r="C261" s="162" t="s">
        <v>486</v>
      </c>
      <c r="D261" s="162" t="s">
        <v>490</v>
      </c>
      <c r="E261" s="162" t="s">
        <v>401</v>
      </c>
      <c r="F261" s="31" t="s">
        <v>2545</v>
      </c>
      <c r="G261" s="3"/>
    </row>
    <row r="262" spans="1:7" x14ac:dyDescent="0.2">
      <c r="A262" s="25"/>
      <c r="B262" s="162" t="s">
        <v>491</v>
      </c>
      <c r="C262" s="162" t="s">
        <v>486</v>
      </c>
      <c r="D262" s="162" t="s">
        <v>492</v>
      </c>
      <c r="E262" s="162"/>
      <c r="F262" s="31" t="s">
        <v>884</v>
      </c>
      <c r="G262" s="3"/>
    </row>
    <row r="263" spans="1:7" x14ac:dyDescent="0.2">
      <c r="A263" s="25"/>
      <c r="B263" s="162" t="s">
        <v>489</v>
      </c>
      <c r="C263" s="162"/>
      <c r="D263" s="162"/>
      <c r="E263" s="162"/>
      <c r="F263" s="31" t="s">
        <v>870</v>
      </c>
      <c r="G263" s="3"/>
    </row>
    <row r="264" spans="1:7" x14ac:dyDescent="0.2">
      <c r="A264" s="25" t="s">
        <v>493</v>
      </c>
      <c r="B264" s="162" t="s">
        <v>494</v>
      </c>
      <c r="C264" s="162"/>
      <c r="D264" s="162" t="s">
        <v>495</v>
      </c>
      <c r="E264" s="162" t="s">
        <v>401</v>
      </c>
      <c r="F264" s="31" t="s">
        <v>2545</v>
      </c>
      <c r="G264" s="3"/>
    </row>
    <row r="265" spans="1:7" x14ac:dyDescent="0.2">
      <c r="A265" s="25"/>
      <c r="B265" s="162" t="s">
        <v>494</v>
      </c>
      <c r="C265" s="162"/>
      <c r="D265" s="162"/>
      <c r="E265" s="162"/>
      <c r="F265" s="31" t="s">
        <v>870</v>
      </c>
      <c r="G265" s="3"/>
    </row>
    <row r="266" spans="1:7" x14ac:dyDescent="0.2">
      <c r="A266" s="25" t="s">
        <v>496</v>
      </c>
      <c r="B266" s="162" t="s">
        <v>497</v>
      </c>
      <c r="C266" s="162"/>
      <c r="D266" s="162" t="s">
        <v>498</v>
      </c>
      <c r="E266" s="162" t="s">
        <v>401</v>
      </c>
      <c r="F266" s="31" t="s">
        <v>2545</v>
      </c>
      <c r="G266" s="3"/>
    </row>
    <row r="267" spans="1:7" x14ac:dyDescent="0.2">
      <c r="A267" s="25"/>
      <c r="B267" s="162" t="s">
        <v>497</v>
      </c>
      <c r="C267" s="162"/>
      <c r="D267" s="162" t="s">
        <v>499</v>
      </c>
      <c r="E267" s="162"/>
      <c r="F267" s="31" t="s">
        <v>920</v>
      </c>
      <c r="G267" s="3"/>
    </row>
    <row r="268" spans="1:7" x14ac:dyDescent="0.2">
      <c r="A268" s="25" t="s">
        <v>500</v>
      </c>
      <c r="B268" s="162" t="s">
        <v>501</v>
      </c>
      <c r="C268" s="162"/>
      <c r="D268" s="162" t="s">
        <v>502</v>
      </c>
      <c r="E268" s="162" t="s">
        <v>401</v>
      </c>
      <c r="F268" s="31" t="s">
        <v>2545</v>
      </c>
      <c r="G268" s="3"/>
    </row>
    <row r="269" spans="1:7" x14ac:dyDescent="0.2">
      <c r="A269" s="25"/>
      <c r="B269" s="162" t="s">
        <v>503</v>
      </c>
      <c r="C269" s="161"/>
      <c r="D269" s="162" t="s">
        <v>504</v>
      </c>
      <c r="E269" s="162"/>
      <c r="F269" s="31" t="s">
        <v>914</v>
      </c>
      <c r="G269" s="3"/>
    </row>
    <row r="270" spans="1:7" ht="14.5" customHeight="1" x14ac:dyDescent="0.2">
      <c r="A270" s="25"/>
      <c r="B270" s="162" t="s">
        <v>505</v>
      </c>
      <c r="C270" s="161"/>
      <c r="D270" s="162" t="s">
        <v>506</v>
      </c>
      <c r="E270" s="162"/>
      <c r="F270" s="31" t="s">
        <v>860</v>
      </c>
      <c r="G270" s="3"/>
    </row>
    <row r="271" spans="1:7" x14ac:dyDescent="0.2">
      <c r="A271" s="26"/>
      <c r="B271" s="165"/>
      <c r="C271" s="165"/>
      <c r="D271" s="165"/>
      <c r="E271" s="165"/>
      <c r="F271" s="32"/>
    </row>
    <row r="272" spans="1:7" x14ac:dyDescent="0.2">
      <c r="A272" s="25" t="s">
        <v>507</v>
      </c>
      <c r="B272" s="162" t="s">
        <v>508</v>
      </c>
      <c r="C272" s="162"/>
      <c r="D272" s="162" t="s">
        <v>509</v>
      </c>
      <c r="E272" s="162"/>
      <c r="F272" s="31" t="s">
        <v>2545</v>
      </c>
      <c r="G272" s="9"/>
    </row>
    <row r="273" spans="1:7" x14ac:dyDescent="0.2">
      <c r="A273" s="26"/>
      <c r="B273" s="165"/>
      <c r="C273" s="165"/>
      <c r="D273" s="165"/>
      <c r="E273" s="165"/>
      <c r="F273" s="32"/>
      <c r="G273" s="3"/>
    </row>
    <row r="274" spans="1:7" s="3" customFormat="1" x14ac:dyDescent="0.2">
      <c r="A274" s="24" t="s">
        <v>510</v>
      </c>
      <c r="B274" s="162" t="s">
        <v>511</v>
      </c>
      <c r="C274" s="162"/>
      <c r="D274" s="162" t="s">
        <v>512</v>
      </c>
      <c r="E274" s="162" t="s">
        <v>513</v>
      </c>
      <c r="F274" s="31" t="s">
        <v>11</v>
      </c>
    </row>
    <row r="275" spans="1:7" x14ac:dyDescent="0.2">
      <c r="A275" s="25" t="s">
        <v>514</v>
      </c>
      <c r="B275" s="162" t="s">
        <v>515</v>
      </c>
      <c r="C275" s="162"/>
      <c r="D275" s="162" t="s">
        <v>516</v>
      </c>
      <c r="E275" s="162" t="s">
        <v>513</v>
      </c>
      <c r="F275" s="31" t="s">
        <v>2545</v>
      </c>
      <c r="G275" s="3"/>
    </row>
    <row r="276" spans="1:7" x14ac:dyDescent="0.2">
      <c r="A276" s="25"/>
      <c r="B276" s="162" t="s">
        <v>515</v>
      </c>
      <c r="C276" s="162"/>
      <c r="D276" s="162"/>
      <c r="E276" s="162"/>
      <c r="F276" s="31" t="s">
        <v>870</v>
      </c>
      <c r="G276" s="3"/>
    </row>
    <row r="277" spans="1:7" x14ac:dyDescent="0.2">
      <c r="A277" s="25"/>
      <c r="B277" s="162" t="s">
        <v>517</v>
      </c>
      <c r="C277" s="162" t="s">
        <v>518</v>
      </c>
      <c r="D277" s="162" t="s">
        <v>519</v>
      </c>
      <c r="E277" s="162" t="s">
        <v>513</v>
      </c>
      <c r="F277" s="31" t="s">
        <v>884</v>
      </c>
      <c r="G277" s="3"/>
    </row>
    <row r="278" spans="1:7" x14ac:dyDescent="0.2">
      <c r="A278" s="25"/>
      <c r="B278" s="13" t="s">
        <v>517</v>
      </c>
      <c r="C278" s="162"/>
      <c r="D278" s="162" t="s">
        <v>520</v>
      </c>
      <c r="E278" s="162" t="s">
        <v>513</v>
      </c>
      <c r="F278" s="31" t="s">
        <v>920</v>
      </c>
      <c r="G278" s="3"/>
    </row>
    <row r="279" spans="1:7" x14ac:dyDescent="0.2">
      <c r="A279" s="25"/>
      <c r="B279" s="162" t="s">
        <v>521</v>
      </c>
      <c r="C279" s="162"/>
      <c r="D279" s="162"/>
      <c r="E279" s="162" t="s">
        <v>513</v>
      </c>
      <c r="F279" s="31" t="s">
        <v>896</v>
      </c>
      <c r="G279" s="3"/>
    </row>
    <row r="280" spans="1:7" x14ac:dyDescent="0.2">
      <c r="A280" s="25"/>
      <c r="B280" s="162" t="s">
        <v>521</v>
      </c>
      <c r="C280" s="162"/>
      <c r="D280" s="162" t="s">
        <v>522</v>
      </c>
      <c r="E280" s="162" t="s">
        <v>513</v>
      </c>
      <c r="F280" s="31" t="s">
        <v>914</v>
      </c>
      <c r="G280" s="3"/>
    </row>
    <row r="281" spans="1:7" x14ac:dyDescent="0.2">
      <c r="A281" s="25"/>
      <c r="B281" s="162" t="s">
        <v>523</v>
      </c>
      <c r="C281" s="162"/>
      <c r="D281" s="162"/>
      <c r="E281" s="162" t="s">
        <v>513</v>
      </c>
      <c r="F281" s="31" t="s">
        <v>896</v>
      </c>
      <c r="G281" s="3"/>
    </row>
    <row r="282" spans="1:7" x14ac:dyDescent="0.2">
      <c r="A282" s="25"/>
      <c r="B282" s="162" t="s">
        <v>523</v>
      </c>
      <c r="C282" s="162"/>
      <c r="D282" s="162" t="s">
        <v>522</v>
      </c>
      <c r="E282" s="162" t="s">
        <v>513</v>
      </c>
      <c r="F282" s="31" t="s">
        <v>860</v>
      </c>
      <c r="G282" s="3"/>
    </row>
    <row r="283" spans="1:7" ht="14.5" customHeight="1" x14ac:dyDescent="0.2">
      <c r="A283" s="25"/>
      <c r="B283" s="162" t="s">
        <v>524</v>
      </c>
      <c r="C283" s="161"/>
      <c r="D283" s="162" t="s">
        <v>525</v>
      </c>
      <c r="E283" s="162" t="s">
        <v>513</v>
      </c>
      <c r="F283" s="31" t="s">
        <v>877</v>
      </c>
      <c r="G283" s="3"/>
    </row>
    <row r="284" spans="1:7" ht="14.5" customHeight="1" x14ac:dyDescent="0.2">
      <c r="A284" s="25" t="s">
        <v>526</v>
      </c>
      <c r="B284" s="162" t="s">
        <v>527</v>
      </c>
      <c r="C284" s="161"/>
      <c r="D284" s="162" t="s">
        <v>528</v>
      </c>
      <c r="E284" s="162" t="s">
        <v>513</v>
      </c>
      <c r="F284" s="31" t="s">
        <v>888</v>
      </c>
      <c r="G284" s="3"/>
    </row>
    <row r="285" spans="1:7" ht="14.5" customHeight="1" x14ac:dyDescent="0.2">
      <c r="A285" s="25"/>
      <c r="B285" s="162" t="s">
        <v>529</v>
      </c>
      <c r="C285" s="162"/>
      <c r="D285" s="162" t="s">
        <v>530</v>
      </c>
      <c r="E285" s="162" t="s">
        <v>513</v>
      </c>
      <c r="F285" s="31" t="s">
        <v>922</v>
      </c>
      <c r="G285" s="3"/>
    </row>
    <row r="286" spans="1:7" ht="14.5" customHeight="1" x14ac:dyDescent="0.2">
      <c r="A286" s="25" t="s">
        <v>531</v>
      </c>
      <c r="B286" s="162" t="s">
        <v>532</v>
      </c>
      <c r="C286" s="162"/>
      <c r="D286" s="162" t="s">
        <v>533</v>
      </c>
      <c r="E286" s="162" t="s">
        <v>513</v>
      </c>
      <c r="F286" s="31" t="s">
        <v>888</v>
      </c>
      <c r="G286" s="3"/>
    </row>
    <row r="287" spans="1:7" ht="14.5" customHeight="1" x14ac:dyDescent="0.2">
      <c r="A287" s="25" t="s">
        <v>534</v>
      </c>
      <c r="B287" s="162" t="s">
        <v>535</v>
      </c>
      <c r="C287" s="162"/>
      <c r="D287" s="162" t="s">
        <v>536</v>
      </c>
      <c r="E287" s="162" t="s">
        <v>513</v>
      </c>
      <c r="F287" s="31" t="s">
        <v>1101</v>
      </c>
      <c r="G287" s="3"/>
    </row>
    <row r="288" spans="1:7" ht="14.5" customHeight="1" x14ac:dyDescent="0.2">
      <c r="A288" s="26"/>
      <c r="B288" s="165"/>
      <c r="C288" s="165"/>
      <c r="D288" s="165"/>
      <c r="E288" s="165"/>
      <c r="F288" s="32"/>
      <c r="G288" s="3"/>
    </row>
    <row r="289" spans="1:7" s="3" customFormat="1" ht="14.5" customHeight="1" x14ac:dyDescent="0.2">
      <c r="A289" s="24" t="s">
        <v>537</v>
      </c>
      <c r="B289" s="162" t="s">
        <v>538</v>
      </c>
      <c r="C289" s="162" t="s">
        <v>539</v>
      </c>
      <c r="D289" s="162" t="s">
        <v>540</v>
      </c>
      <c r="E289" s="162" t="s">
        <v>513</v>
      </c>
      <c r="F289" s="31" t="s">
        <v>11</v>
      </c>
    </row>
    <row r="290" spans="1:7" ht="14.5" customHeight="1" x14ac:dyDescent="0.2">
      <c r="A290" s="25"/>
      <c r="B290" s="162" t="s">
        <v>541</v>
      </c>
      <c r="C290" s="162" t="s">
        <v>518</v>
      </c>
      <c r="D290" s="169" t="s">
        <v>542</v>
      </c>
      <c r="E290" s="162" t="s">
        <v>513</v>
      </c>
      <c r="F290" s="31" t="s">
        <v>884</v>
      </c>
      <c r="G290" s="3"/>
    </row>
    <row r="291" spans="1:7" ht="14.5" customHeight="1" x14ac:dyDescent="0.2">
      <c r="A291" s="25" t="s">
        <v>543</v>
      </c>
      <c r="B291" s="162" t="s">
        <v>544</v>
      </c>
      <c r="C291" s="162"/>
      <c r="D291" s="162" t="s">
        <v>545</v>
      </c>
      <c r="E291" s="162" t="s">
        <v>513</v>
      </c>
      <c r="F291" s="31" t="s">
        <v>2545</v>
      </c>
      <c r="G291" s="3"/>
    </row>
    <row r="292" spans="1:7" ht="14.5" customHeight="1" x14ac:dyDescent="0.2">
      <c r="A292" s="25"/>
      <c r="B292" s="162" t="s">
        <v>546</v>
      </c>
      <c r="C292" s="162"/>
      <c r="D292" s="162" t="s">
        <v>547</v>
      </c>
      <c r="E292" s="162" t="s">
        <v>513</v>
      </c>
      <c r="F292" s="31" t="s">
        <v>860</v>
      </c>
      <c r="G292" s="3"/>
    </row>
    <row r="293" spans="1:7" ht="14.5" customHeight="1" x14ac:dyDescent="0.2">
      <c r="A293" s="26"/>
      <c r="B293" s="165"/>
      <c r="C293" s="165"/>
      <c r="D293" s="165"/>
      <c r="E293" s="165"/>
      <c r="F293" s="32"/>
      <c r="G293" s="3"/>
    </row>
    <row r="294" spans="1:7" s="3" customFormat="1" ht="14.5" customHeight="1" x14ac:dyDescent="0.2">
      <c r="A294" s="24" t="s">
        <v>548</v>
      </c>
      <c r="B294" s="162" t="s">
        <v>549</v>
      </c>
      <c r="C294" s="162" t="s">
        <v>550</v>
      </c>
      <c r="D294" s="162" t="s">
        <v>551</v>
      </c>
      <c r="E294" s="162" t="s">
        <v>513</v>
      </c>
      <c r="F294" s="31" t="s">
        <v>11</v>
      </c>
    </row>
    <row r="295" spans="1:7" ht="14.5" customHeight="1" x14ac:dyDescent="0.2">
      <c r="A295" s="25" t="s">
        <v>552</v>
      </c>
      <c r="B295" s="162" t="s">
        <v>553</v>
      </c>
      <c r="C295" s="161"/>
      <c r="D295" s="162" t="s">
        <v>554</v>
      </c>
      <c r="E295" s="162" t="s">
        <v>513</v>
      </c>
      <c r="F295" s="31" t="s">
        <v>2545</v>
      </c>
      <c r="G295" s="3"/>
    </row>
    <row r="296" spans="1:7" x14ac:dyDescent="0.2">
      <c r="A296" s="25" t="s">
        <v>555</v>
      </c>
      <c r="B296" s="162" t="s">
        <v>556</v>
      </c>
      <c r="C296" s="164"/>
      <c r="D296" s="162" t="s">
        <v>557</v>
      </c>
      <c r="E296" s="162" t="s">
        <v>513</v>
      </c>
      <c r="F296" s="31" t="s">
        <v>888</v>
      </c>
      <c r="G296" s="3"/>
    </row>
    <row r="297" spans="1:7" ht="14.5" customHeight="1" x14ac:dyDescent="0.2">
      <c r="A297" s="25"/>
      <c r="B297" s="162" t="s">
        <v>558</v>
      </c>
      <c r="C297" s="162"/>
      <c r="D297" s="162"/>
      <c r="E297" s="162" t="s">
        <v>513</v>
      </c>
      <c r="F297" s="31" t="s">
        <v>911</v>
      </c>
      <c r="G297" s="3"/>
    </row>
    <row r="298" spans="1:7" ht="14.5" customHeight="1" x14ac:dyDescent="0.2">
      <c r="A298" s="25"/>
      <c r="B298" s="13" t="s">
        <v>559</v>
      </c>
      <c r="C298" s="164"/>
      <c r="D298" s="162"/>
      <c r="E298" s="162" t="s">
        <v>513</v>
      </c>
      <c r="F298" s="31" t="s">
        <v>896</v>
      </c>
      <c r="G298" s="3"/>
    </row>
    <row r="299" spans="1:7" x14ac:dyDescent="0.2">
      <c r="A299" s="25"/>
      <c r="B299" s="13" t="s">
        <v>560</v>
      </c>
      <c r="C299" s="162"/>
      <c r="D299" s="162"/>
      <c r="E299" s="162" t="s">
        <v>513</v>
      </c>
      <c r="F299" s="31" t="s">
        <v>896</v>
      </c>
      <c r="G299" s="3"/>
    </row>
    <row r="300" spans="1:7" ht="14.5" customHeight="1" x14ac:dyDescent="0.2">
      <c r="A300" s="25" t="s">
        <v>561</v>
      </c>
      <c r="B300" s="162" t="s">
        <v>562</v>
      </c>
      <c r="C300" s="162"/>
      <c r="D300" s="162" t="s">
        <v>563</v>
      </c>
      <c r="E300" s="162" t="s">
        <v>513</v>
      </c>
      <c r="F300" s="31" t="s">
        <v>888</v>
      </c>
      <c r="G300" s="3"/>
    </row>
    <row r="301" spans="1:7" ht="14.5" customHeight="1" x14ac:dyDescent="0.2">
      <c r="A301" s="25" t="s">
        <v>564</v>
      </c>
      <c r="B301" s="162" t="s">
        <v>565</v>
      </c>
      <c r="C301" s="162"/>
      <c r="D301" s="162" t="s">
        <v>566</v>
      </c>
      <c r="E301" s="162" t="s">
        <v>513</v>
      </c>
      <c r="F301" s="31" t="s">
        <v>888</v>
      </c>
      <c r="G301" s="3"/>
    </row>
    <row r="302" spans="1:7" ht="14.5" customHeight="1" x14ac:dyDescent="0.2">
      <c r="A302" s="26"/>
      <c r="B302" s="165"/>
      <c r="C302" s="165"/>
      <c r="D302" s="165"/>
      <c r="E302" s="165"/>
      <c r="F302" s="32" t="s">
        <v>860</v>
      </c>
      <c r="G302" s="3"/>
    </row>
    <row r="303" spans="1:7" s="3" customFormat="1" ht="14.5" customHeight="1" x14ac:dyDescent="0.2">
      <c r="A303" s="24" t="s">
        <v>567</v>
      </c>
      <c r="B303" s="162" t="s">
        <v>568</v>
      </c>
      <c r="C303" s="162" t="s">
        <v>569</v>
      </c>
      <c r="D303" s="162" t="s">
        <v>570</v>
      </c>
      <c r="E303" s="162" t="s">
        <v>571</v>
      </c>
      <c r="F303" s="31" t="s">
        <v>11</v>
      </c>
    </row>
    <row r="304" spans="1:7" ht="14.5" customHeight="1" x14ac:dyDescent="0.2">
      <c r="A304" s="25" t="s">
        <v>572</v>
      </c>
      <c r="B304" s="162" t="s">
        <v>568</v>
      </c>
      <c r="C304" s="162"/>
      <c r="D304" s="162" t="s">
        <v>573</v>
      </c>
      <c r="E304" s="162" t="s">
        <v>571</v>
      </c>
      <c r="F304" s="31" t="s">
        <v>2545</v>
      </c>
      <c r="G304" s="3"/>
    </row>
    <row r="305" spans="1:7" ht="14.5" customHeight="1" x14ac:dyDescent="0.2">
      <c r="A305" s="25"/>
      <c r="B305" s="162" t="s">
        <v>574</v>
      </c>
      <c r="C305" s="162" t="s">
        <v>486</v>
      </c>
      <c r="D305" s="162" t="s">
        <v>575</v>
      </c>
      <c r="E305" s="162"/>
      <c r="F305" s="31" t="s">
        <v>884</v>
      </c>
      <c r="G305" s="3"/>
    </row>
    <row r="306" spans="1:7" s="3" customFormat="1" ht="14.5" customHeight="1" x14ac:dyDescent="0.2">
      <c r="A306" s="24"/>
      <c r="B306" s="162" t="s">
        <v>576</v>
      </c>
      <c r="C306" s="162"/>
      <c r="D306" s="162" t="s">
        <v>577</v>
      </c>
      <c r="E306" s="162"/>
      <c r="F306" s="31" t="s">
        <v>20</v>
      </c>
    </row>
    <row r="307" spans="1:7" ht="14.5" customHeight="1" x14ac:dyDescent="0.2">
      <c r="A307" s="25"/>
      <c r="B307" s="162" t="s">
        <v>578</v>
      </c>
      <c r="C307" s="162"/>
      <c r="D307" s="162" t="s">
        <v>579</v>
      </c>
      <c r="E307" s="162"/>
      <c r="F307" s="31" t="s">
        <v>908</v>
      </c>
      <c r="G307" s="3"/>
    </row>
    <row r="308" spans="1:7" ht="14.5" customHeight="1" x14ac:dyDescent="0.2">
      <c r="A308" s="38"/>
      <c r="B308" s="162" t="s">
        <v>580</v>
      </c>
      <c r="C308" s="162" t="s">
        <v>581</v>
      </c>
      <c r="D308" s="162" t="s">
        <v>582</v>
      </c>
      <c r="E308" s="162"/>
      <c r="F308" s="31" t="s">
        <v>860</v>
      </c>
      <c r="G308" s="3"/>
    </row>
    <row r="309" spans="1:7" ht="14.5" customHeight="1" x14ac:dyDescent="0.2">
      <c r="A309" s="26"/>
      <c r="B309" s="165"/>
      <c r="C309" s="165"/>
      <c r="D309" s="165"/>
      <c r="E309" s="165"/>
      <c r="F309" s="32"/>
      <c r="G309" s="3"/>
    </row>
    <row r="310" spans="1:7" s="3" customFormat="1" x14ac:dyDescent="0.2">
      <c r="A310" s="24" t="s">
        <v>583</v>
      </c>
      <c r="B310" s="162" t="s">
        <v>584</v>
      </c>
      <c r="C310" s="162" t="s">
        <v>585</v>
      </c>
      <c r="D310" s="162" t="s">
        <v>586</v>
      </c>
      <c r="E310" s="162" t="s">
        <v>571</v>
      </c>
      <c r="F310" s="31" t="s">
        <v>11</v>
      </c>
    </row>
    <row r="311" spans="1:7" s="3" customFormat="1" x14ac:dyDescent="0.2">
      <c r="A311" s="24"/>
      <c r="B311" s="162" t="s">
        <v>587</v>
      </c>
      <c r="C311" s="162"/>
      <c r="D311" s="162" t="s">
        <v>588</v>
      </c>
      <c r="E311" s="162"/>
      <c r="F311" s="31" t="s">
        <v>20</v>
      </c>
    </row>
    <row r="312" spans="1:7" x14ac:dyDescent="0.2">
      <c r="A312" s="25" t="s">
        <v>589</v>
      </c>
      <c r="B312" s="162" t="s">
        <v>590</v>
      </c>
      <c r="C312" s="162"/>
      <c r="D312" s="162" t="s">
        <v>591</v>
      </c>
      <c r="E312" s="162" t="s">
        <v>571</v>
      </c>
      <c r="F312" s="31" t="s">
        <v>2545</v>
      </c>
      <c r="G312" s="3"/>
    </row>
    <row r="313" spans="1:7" x14ac:dyDescent="0.2">
      <c r="A313" s="25"/>
      <c r="B313" s="162" t="s">
        <v>590</v>
      </c>
      <c r="C313" s="162"/>
      <c r="D313" s="162"/>
      <c r="E313" s="162"/>
      <c r="F313" s="31" t="s">
        <v>870</v>
      </c>
      <c r="G313" s="3"/>
    </row>
    <row r="314" spans="1:7" x14ac:dyDescent="0.2">
      <c r="A314" s="26"/>
      <c r="B314" s="165"/>
      <c r="C314" s="165"/>
      <c r="D314" s="165"/>
      <c r="E314" s="165"/>
      <c r="F314" s="32"/>
      <c r="G314" s="3"/>
    </row>
    <row r="315" spans="1:7" s="3" customFormat="1" x14ac:dyDescent="0.2">
      <c r="A315" s="24" t="s">
        <v>592</v>
      </c>
      <c r="B315" s="162" t="s">
        <v>593</v>
      </c>
      <c r="C315" s="162" t="s">
        <v>594</v>
      </c>
      <c r="D315" s="162" t="s">
        <v>595</v>
      </c>
      <c r="E315" s="162" t="s">
        <v>571</v>
      </c>
      <c r="F315" s="31" t="s">
        <v>11</v>
      </c>
    </row>
    <row r="316" spans="1:7" x14ac:dyDescent="0.2">
      <c r="A316" s="26"/>
      <c r="B316" s="165"/>
      <c r="C316" s="165"/>
      <c r="D316" s="165"/>
      <c r="E316" s="165"/>
      <c r="F316" s="32"/>
      <c r="G316" s="3"/>
    </row>
    <row r="317" spans="1:7" s="3" customFormat="1" x14ac:dyDescent="0.2">
      <c r="A317" s="24" t="s">
        <v>596</v>
      </c>
      <c r="B317" s="162" t="s">
        <v>597</v>
      </c>
      <c r="C317" s="162"/>
      <c r="D317" s="162" t="s">
        <v>598</v>
      </c>
      <c r="E317" s="162" t="s">
        <v>571</v>
      </c>
      <c r="F317" s="31" t="s">
        <v>11</v>
      </c>
    </row>
    <row r="318" spans="1:7" x14ac:dyDescent="0.2">
      <c r="A318" s="25" t="s">
        <v>599</v>
      </c>
      <c r="B318" s="162" t="s">
        <v>600</v>
      </c>
      <c r="C318" s="162"/>
      <c r="D318" s="162" t="s">
        <v>601</v>
      </c>
      <c r="E318" s="162" t="s">
        <v>571</v>
      </c>
      <c r="F318" s="31" t="s">
        <v>2545</v>
      </c>
      <c r="G318" s="3"/>
    </row>
    <row r="319" spans="1:7" x14ac:dyDescent="0.2">
      <c r="A319" s="25"/>
      <c r="B319" s="162" t="s">
        <v>600</v>
      </c>
      <c r="C319" s="162"/>
      <c r="D319" s="162"/>
      <c r="E319" s="162"/>
      <c r="F319" s="31" t="s">
        <v>870</v>
      </c>
      <c r="G319" s="3"/>
    </row>
    <row r="320" spans="1:7" x14ac:dyDescent="0.2">
      <c r="A320" s="26"/>
      <c r="B320" s="165"/>
      <c r="C320" s="165"/>
      <c r="D320" s="165"/>
      <c r="E320" s="165"/>
      <c r="F320" s="32"/>
      <c r="G320" s="3"/>
    </row>
    <row r="321" spans="1:7" s="3" customFormat="1" ht="14.5" customHeight="1" x14ac:dyDescent="0.2">
      <c r="A321" s="24" t="s">
        <v>602</v>
      </c>
      <c r="B321" s="162" t="s">
        <v>603</v>
      </c>
      <c r="C321" s="162"/>
      <c r="D321" s="162" t="s">
        <v>604</v>
      </c>
      <c r="E321" s="162" t="s">
        <v>571</v>
      </c>
      <c r="F321" s="31" t="s">
        <v>11</v>
      </c>
    </row>
    <row r="322" spans="1:7" ht="14.5" customHeight="1" x14ac:dyDescent="0.2">
      <c r="A322" s="25" t="s">
        <v>605</v>
      </c>
      <c r="B322" s="162" t="s">
        <v>603</v>
      </c>
      <c r="C322" s="162"/>
      <c r="D322" s="162" t="s">
        <v>606</v>
      </c>
      <c r="E322" s="162" t="s">
        <v>571</v>
      </c>
      <c r="F322" s="31" t="s">
        <v>2545</v>
      </c>
      <c r="G322" s="3"/>
    </row>
    <row r="323" spans="1:7" ht="14.5" customHeight="1" x14ac:dyDescent="0.2">
      <c r="A323" s="25"/>
      <c r="B323" s="162" t="s">
        <v>603</v>
      </c>
      <c r="C323" s="162"/>
      <c r="D323" s="162"/>
      <c r="E323" s="162"/>
      <c r="F323" s="31" t="s">
        <v>870</v>
      </c>
      <c r="G323" s="3"/>
    </row>
    <row r="324" spans="1:7" ht="14.5" customHeight="1" x14ac:dyDescent="0.2">
      <c r="A324" s="25" t="s">
        <v>607</v>
      </c>
      <c r="B324" s="162" t="s">
        <v>608</v>
      </c>
      <c r="C324" s="162"/>
      <c r="D324" s="162" t="s">
        <v>609</v>
      </c>
      <c r="E324" s="162"/>
      <c r="F324" s="31" t="s">
        <v>888</v>
      </c>
      <c r="G324" s="3"/>
    </row>
    <row r="325" spans="1:7" ht="14.5" customHeight="1" x14ac:dyDescent="0.2">
      <c r="A325" s="25"/>
      <c r="B325" s="162" t="s">
        <v>610</v>
      </c>
      <c r="C325" s="162"/>
      <c r="D325" s="162" t="s">
        <v>611</v>
      </c>
      <c r="E325" s="162" t="s">
        <v>401</v>
      </c>
      <c r="F325" s="31" t="s">
        <v>896</v>
      </c>
      <c r="G325" s="3"/>
    </row>
    <row r="326" spans="1:7" ht="14.5" customHeight="1" x14ac:dyDescent="0.2">
      <c r="A326" s="25" t="s">
        <v>612</v>
      </c>
      <c r="B326" s="162" t="s">
        <v>613</v>
      </c>
      <c r="C326" s="162"/>
      <c r="D326" s="162" t="s">
        <v>614</v>
      </c>
      <c r="E326" s="162"/>
      <c r="F326" s="31" t="s">
        <v>1101</v>
      </c>
      <c r="G326" s="3"/>
    </row>
    <row r="327" spans="1:7" ht="14.5" customHeight="1" x14ac:dyDescent="0.2">
      <c r="A327" s="26"/>
      <c r="B327" s="165"/>
      <c r="C327" s="165"/>
      <c r="D327" s="165"/>
      <c r="E327" s="165"/>
      <c r="F327" s="32"/>
      <c r="G327" s="3"/>
    </row>
    <row r="328" spans="1:7" s="3" customFormat="1" x14ac:dyDescent="0.2">
      <c r="A328" s="24" t="s">
        <v>615</v>
      </c>
      <c r="B328" s="162" t="s">
        <v>616</v>
      </c>
      <c r="C328" s="162" t="s">
        <v>617</v>
      </c>
      <c r="D328" s="162" t="s">
        <v>618</v>
      </c>
      <c r="E328" s="162" t="s">
        <v>571</v>
      </c>
      <c r="F328" s="31" t="s">
        <v>11</v>
      </c>
    </row>
    <row r="329" spans="1:7" x14ac:dyDescent="0.2">
      <c r="A329" s="25"/>
      <c r="B329" s="162" t="s">
        <v>619</v>
      </c>
      <c r="C329" s="13" t="s">
        <v>18</v>
      </c>
      <c r="D329" s="162" t="s">
        <v>620</v>
      </c>
      <c r="E329" s="162"/>
      <c r="F329" s="31" t="s">
        <v>884</v>
      </c>
      <c r="G329" s="3"/>
    </row>
    <row r="330" spans="1:7" x14ac:dyDescent="0.2">
      <c r="A330" s="25"/>
      <c r="B330" s="13" t="s">
        <v>621</v>
      </c>
      <c r="C330" s="162"/>
      <c r="D330" s="162"/>
      <c r="E330" s="162" t="s">
        <v>571</v>
      </c>
      <c r="F330" s="31" t="s">
        <v>896</v>
      </c>
      <c r="G330" s="3"/>
    </row>
    <row r="331" spans="1:7" x14ac:dyDescent="0.2">
      <c r="A331" s="25"/>
      <c r="B331" s="13" t="s">
        <v>622</v>
      </c>
      <c r="C331" s="162" t="s">
        <v>623</v>
      </c>
      <c r="D331" s="162" t="s">
        <v>624</v>
      </c>
      <c r="E331" s="162" t="s">
        <v>625</v>
      </c>
      <c r="F331" s="31" t="s">
        <v>896</v>
      </c>
      <c r="G331" s="3"/>
    </row>
    <row r="332" spans="1:7" x14ac:dyDescent="0.2">
      <c r="A332" s="25" t="s">
        <v>626</v>
      </c>
      <c r="B332" s="13" t="s">
        <v>627</v>
      </c>
      <c r="C332" s="162"/>
      <c r="D332" s="13" t="s">
        <v>628</v>
      </c>
      <c r="E332" s="162"/>
      <c r="F332" s="31" t="s">
        <v>888</v>
      </c>
      <c r="G332" s="3"/>
    </row>
    <row r="333" spans="1:7" x14ac:dyDescent="0.2">
      <c r="A333" s="25" t="s">
        <v>629</v>
      </c>
      <c r="B333" s="162" t="s">
        <v>630</v>
      </c>
      <c r="C333" s="162"/>
      <c r="D333" s="162" t="s">
        <v>631</v>
      </c>
      <c r="E333" s="162" t="s">
        <v>571</v>
      </c>
      <c r="F333" s="31" t="s">
        <v>2545</v>
      </c>
      <c r="G333" s="3"/>
    </row>
    <row r="334" spans="1:7" x14ac:dyDescent="0.2">
      <c r="A334" s="25"/>
      <c r="B334" s="162" t="s">
        <v>630</v>
      </c>
      <c r="C334" s="162"/>
      <c r="D334" s="162"/>
      <c r="E334" s="162"/>
      <c r="F334" s="31" t="s">
        <v>870</v>
      </c>
      <c r="G334" s="3"/>
    </row>
    <row r="335" spans="1:7" x14ac:dyDescent="0.2">
      <c r="A335" s="25" t="s">
        <v>632</v>
      </c>
      <c r="B335" s="162" t="s">
        <v>633</v>
      </c>
      <c r="C335" s="162"/>
      <c r="D335" s="162" t="s">
        <v>634</v>
      </c>
      <c r="E335" s="162" t="s">
        <v>571</v>
      </c>
      <c r="F335" s="31" t="s">
        <v>2545</v>
      </c>
      <c r="G335" s="3"/>
    </row>
    <row r="336" spans="1:7" x14ac:dyDescent="0.2">
      <c r="A336" s="25" t="s">
        <v>635</v>
      </c>
      <c r="B336" s="162" t="s">
        <v>636</v>
      </c>
      <c r="C336" s="162" t="s">
        <v>637</v>
      </c>
      <c r="D336" s="162" t="s">
        <v>638</v>
      </c>
      <c r="E336" s="162"/>
      <c r="F336" s="31" t="s">
        <v>1101</v>
      </c>
      <c r="G336" s="3"/>
    </row>
    <row r="337" spans="1:7" x14ac:dyDescent="0.2">
      <c r="A337" s="26"/>
      <c r="B337" s="165"/>
      <c r="C337" s="165"/>
      <c r="D337" s="165"/>
      <c r="E337" s="165"/>
      <c r="F337" s="32"/>
      <c r="G337" s="3"/>
    </row>
    <row r="338" spans="1:7" s="3" customFormat="1" ht="14.5" customHeight="1" x14ac:dyDescent="0.2">
      <c r="A338" s="24" t="s">
        <v>639</v>
      </c>
      <c r="B338" s="162" t="s">
        <v>640</v>
      </c>
      <c r="C338" s="162"/>
      <c r="D338" s="162" t="s">
        <v>641</v>
      </c>
      <c r="E338" s="162" t="s">
        <v>571</v>
      </c>
      <c r="F338" s="31" t="s">
        <v>11</v>
      </c>
    </row>
    <row r="339" spans="1:7" ht="14.5" customHeight="1" x14ac:dyDescent="0.2">
      <c r="A339" s="25" t="s">
        <v>642</v>
      </c>
      <c r="B339" s="162" t="s">
        <v>640</v>
      </c>
      <c r="C339" s="162"/>
      <c r="D339" s="162" t="s">
        <v>643</v>
      </c>
      <c r="E339" s="162" t="s">
        <v>571</v>
      </c>
      <c r="F339" s="31" t="s">
        <v>2545</v>
      </c>
      <c r="G339" s="3"/>
    </row>
    <row r="340" spans="1:7" ht="14.5" customHeight="1" x14ac:dyDescent="0.2">
      <c r="A340" s="25"/>
      <c r="B340" s="162" t="s">
        <v>640</v>
      </c>
      <c r="C340" s="162"/>
      <c r="D340" s="162"/>
      <c r="E340" s="162"/>
      <c r="F340" s="31" t="s">
        <v>870</v>
      </c>
      <c r="G340" s="3"/>
    </row>
    <row r="341" spans="1:7" ht="14.5" customHeight="1" x14ac:dyDescent="0.2">
      <c r="A341" s="26"/>
      <c r="B341" s="165"/>
      <c r="C341" s="165"/>
      <c r="D341" s="165"/>
      <c r="E341" s="165"/>
      <c r="F341" s="32"/>
      <c r="G341" s="3"/>
    </row>
    <row r="342" spans="1:7" s="3" customFormat="1" x14ac:dyDescent="0.2">
      <c r="A342" s="24" t="s">
        <v>644</v>
      </c>
      <c r="B342" s="162" t="s">
        <v>645</v>
      </c>
      <c r="C342" s="162" t="s">
        <v>646</v>
      </c>
      <c r="D342" s="162" t="s">
        <v>647</v>
      </c>
      <c r="E342" s="162" t="s">
        <v>571</v>
      </c>
      <c r="F342" s="31" t="s">
        <v>11</v>
      </c>
    </row>
    <row r="343" spans="1:7" x14ac:dyDescent="0.2">
      <c r="A343" s="25" t="s">
        <v>648</v>
      </c>
      <c r="B343" s="162" t="s">
        <v>649</v>
      </c>
      <c r="C343" s="162"/>
      <c r="D343" s="162" t="s">
        <v>650</v>
      </c>
      <c r="E343" s="162" t="s">
        <v>571</v>
      </c>
      <c r="F343" s="31" t="s">
        <v>888</v>
      </c>
      <c r="G343" s="3"/>
    </row>
    <row r="344" spans="1:7" x14ac:dyDescent="0.2">
      <c r="A344" s="25" t="s">
        <v>651</v>
      </c>
      <c r="B344" s="162" t="s">
        <v>652</v>
      </c>
      <c r="C344" s="162"/>
      <c r="D344" s="162" t="s">
        <v>653</v>
      </c>
      <c r="E344" s="162" t="s">
        <v>571</v>
      </c>
      <c r="F344" s="31" t="s">
        <v>2545</v>
      </c>
      <c r="G344" s="3"/>
    </row>
    <row r="345" spans="1:7" x14ac:dyDescent="0.2">
      <c r="A345" s="25"/>
      <c r="B345" s="162" t="s">
        <v>654</v>
      </c>
      <c r="C345" s="162" t="s">
        <v>655</v>
      </c>
      <c r="D345" s="162" t="s">
        <v>656</v>
      </c>
      <c r="E345" s="162" t="s">
        <v>571</v>
      </c>
      <c r="F345" s="31" t="s">
        <v>860</v>
      </c>
      <c r="G345" s="3"/>
    </row>
    <row r="346" spans="1:7" x14ac:dyDescent="0.2">
      <c r="A346" s="25"/>
      <c r="B346" s="13" t="s">
        <v>657</v>
      </c>
      <c r="C346" s="162" t="s">
        <v>658</v>
      </c>
      <c r="D346" s="162" t="s">
        <v>659</v>
      </c>
      <c r="E346" s="162" t="s">
        <v>571</v>
      </c>
      <c r="F346" s="31" t="s">
        <v>896</v>
      </c>
      <c r="G346" s="3"/>
    </row>
    <row r="347" spans="1:7" x14ac:dyDescent="0.2">
      <c r="A347" s="25"/>
      <c r="B347" s="13" t="s">
        <v>660</v>
      </c>
      <c r="C347" s="162" t="s">
        <v>658</v>
      </c>
      <c r="D347" s="162" t="s">
        <v>659</v>
      </c>
      <c r="E347" s="162" t="s">
        <v>571</v>
      </c>
      <c r="F347" s="31" t="s">
        <v>896</v>
      </c>
      <c r="G347" s="3"/>
    </row>
    <row r="348" spans="1:7" x14ac:dyDescent="0.2">
      <c r="A348" s="25"/>
      <c r="B348" s="13" t="s">
        <v>661</v>
      </c>
      <c r="C348" s="162" t="s">
        <v>658</v>
      </c>
      <c r="D348" s="162" t="s">
        <v>659</v>
      </c>
      <c r="E348" s="162" t="s">
        <v>571</v>
      </c>
      <c r="F348" s="31" t="s">
        <v>896</v>
      </c>
      <c r="G348" s="3"/>
    </row>
    <row r="349" spans="1:7" x14ac:dyDescent="0.2">
      <c r="A349" s="25"/>
      <c r="B349" s="13" t="s">
        <v>662</v>
      </c>
      <c r="C349" s="162" t="s">
        <v>658</v>
      </c>
      <c r="D349" s="162" t="s">
        <v>659</v>
      </c>
      <c r="E349" s="162" t="s">
        <v>571</v>
      </c>
      <c r="F349" s="31" t="s">
        <v>896</v>
      </c>
      <c r="G349" s="3"/>
    </row>
    <row r="350" spans="1:7" x14ac:dyDescent="0.2">
      <c r="A350" s="26"/>
      <c r="B350" s="165"/>
      <c r="C350" s="165"/>
      <c r="D350" s="165"/>
      <c r="E350" s="165"/>
      <c r="F350" s="32"/>
      <c r="G350" s="3"/>
    </row>
    <row r="351" spans="1:7" s="3" customFormat="1" ht="14.5" customHeight="1" x14ac:dyDescent="0.2">
      <c r="A351" s="24" t="s">
        <v>663</v>
      </c>
      <c r="B351" s="162" t="s">
        <v>664</v>
      </c>
      <c r="C351" s="162" t="s">
        <v>665</v>
      </c>
      <c r="D351" s="162" t="s">
        <v>666</v>
      </c>
      <c r="E351" s="162" t="s">
        <v>571</v>
      </c>
      <c r="F351" s="31" t="s">
        <v>11</v>
      </c>
    </row>
    <row r="352" spans="1:7" ht="14.5" customHeight="1" x14ac:dyDescent="0.2">
      <c r="A352" s="25" t="s">
        <v>667</v>
      </c>
      <c r="B352" s="162" t="s">
        <v>668</v>
      </c>
      <c r="C352" s="162"/>
      <c r="D352" s="162" t="s">
        <v>669</v>
      </c>
      <c r="E352" s="162"/>
      <c r="F352" s="31" t="s">
        <v>2545</v>
      </c>
      <c r="G352" s="3"/>
    </row>
    <row r="353" spans="1:7" ht="14.5" customHeight="1" x14ac:dyDescent="0.2">
      <c r="A353" s="25" t="s">
        <v>670</v>
      </c>
      <c r="B353" s="162" t="s">
        <v>671</v>
      </c>
      <c r="C353" s="162"/>
      <c r="D353" s="162" t="s">
        <v>672</v>
      </c>
      <c r="E353" s="162"/>
      <c r="F353" s="31" t="s">
        <v>888</v>
      </c>
      <c r="G353" s="3"/>
    </row>
    <row r="354" spans="1:7" ht="14.5" customHeight="1" x14ac:dyDescent="0.2">
      <c r="A354" s="25" t="s">
        <v>673</v>
      </c>
      <c r="B354" s="162" t="s">
        <v>674</v>
      </c>
      <c r="C354" s="162"/>
      <c r="D354" s="162" t="s">
        <v>675</v>
      </c>
      <c r="E354" s="162"/>
      <c r="F354" s="31" t="s">
        <v>888</v>
      </c>
      <c r="G354" s="3"/>
    </row>
    <row r="355" spans="1:7" ht="14.5" customHeight="1" x14ac:dyDescent="0.2">
      <c r="A355" s="25"/>
      <c r="B355" s="162" t="s">
        <v>676</v>
      </c>
      <c r="C355" s="13" t="s">
        <v>18</v>
      </c>
      <c r="D355" s="162" t="s">
        <v>677</v>
      </c>
      <c r="E355" s="162" t="s">
        <v>571</v>
      </c>
      <c r="F355" s="31" t="s">
        <v>2546</v>
      </c>
      <c r="G355" s="3"/>
    </row>
    <row r="356" spans="1:7" ht="14.5" customHeight="1" x14ac:dyDescent="0.2">
      <c r="A356" s="25"/>
      <c r="B356" s="162" t="s">
        <v>678</v>
      </c>
      <c r="C356" s="13"/>
      <c r="D356" s="162"/>
      <c r="E356" s="162"/>
      <c r="F356" s="31" t="s">
        <v>870</v>
      </c>
      <c r="G356" s="3"/>
    </row>
    <row r="357" spans="1:7" ht="14.5" customHeight="1" x14ac:dyDescent="0.2">
      <c r="A357" s="25"/>
      <c r="B357" s="162" t="s">
        <v>679</v>
      </c>
      <c r="C357" s="13"/>
      <c r="D357" s="162" t="s">
        <v>680</v>
      </c>
      <c r="E357" s="162"/>
      <c r="F357" s="31" t="s">
        <v>877</v>
      </c>
      <c r="G357" s="3"/>
    </row>
    <row r="358" spans="1:7" ht="14.5" customHeight="1" x14ac:dyDescent="0.2">
      <c r="A358" s="26"/>
      <c r="B358" s="165"/>
      <c r="C358" s="165"/>
      <c r="D358" s="165"/>
      <c r="E358" s="165"/>
      <c r="F358" s="32"/>
      <c r="G358" s="3"/>
    </row>
    <row r="359" spans="1:7" s="3" customFormat="1" x14ac:dyDescent="0.2">
      <c r="A359" s="24" t="s">
        <v>681</v>
      </c>
      <c r="B359" s="162" t="s">
        <v>682</v>
      </c>
      <c r="C359" s="162" t="s">
        <v>683</v>
      </c>
      <c r="D359" s="162" t="s">
        <v>684</v>
      </c>
      <c r="E359" s="162" t="s">
        <v>571</v>
      </c>
      <c r="F359" s="31" t="s">
        <v>11</v>
      </c>
    </row>
    <row r="360" spans="1:7" s="3" customFormat="1" x14ac:dyDescent="0.2">
      <c r="A360" s="24"/>
      <c r="B360" s="162" t="s">
        <v>685</v>
      </c>
      <c r="C360" s="162" t="s">
        <v>686</v>
      </c>
      <c r="D360" s="162"/>
      <c r="E360" s="162"/>
      <c r="F360" s="31" t="s">
        <v>870</v>
      </c>
    </row>
    <row r="361" spans="1:7" s="3" customFormat="1" x14ac:dyDescent="0.2">
      <c r="A361" s="24"/>
      <c r="B361" s="162" t="s">
        <v>687</v>
      </c>
      <c r="C361" s="162" t="s">
        <v>686</v>
      </c>
      <c r="D361" s="162"/>
      <c r="E361" s="162"/>
      <c r="F361" s="31" t="s">
        <v>870</v>
      </c>
    </row>
    <row r="362" spans="1:7" s="3" customFormat="1" x14ac:dyDescent="0.2">
      <c r="A362" s="24"/>
      <c r="B362" s="162" t="s">
        <v>652</v>
      </c>
      <c r="C362" s="164"/>
      <c r="D362" s="162"/>
      <c r="E362" s="162"/>
      <c r="F362" s="31" t="s">
        <v>870</v>
      </c>
    </row>
    <row r="363" spans="1:7" x14ac:dyDescent="0.2">
      <c r="A363" s="25" t="s">
        <v>688</v>
      </c>
      <c r="B363" s="162" t="s">
        <v>687</v>
      </c>
      <c r="C363" s="162"/>
      <c r="D363" s="162" t="s">
        <v>689</v>
      </c>
      <c r="E363" s="162" t="s">
        <v>571</v>
      </c>
      <c r="F363" s="31" t="s">
        <v>2545</v>
      </c>
      <c r="G363" s="3"/>
    </row>
    <row r="364" spans="1:7" x14ac:dyDescent="0.2">
      <c r="A364" s="25"/>
      <c r="B364" s="162" t="s">
        <v>690</v>
      </c>
      <c r="C364" s="162"/>
      <c r="D364" s="162" t="s">
        <v>691</v>
      </c>
      <c r="E364" s="162"/>
      <c r="F364" s="31" t="s">
        <v>877</v>
      </c>
      <c r="G364" s="3"/>
    </row>
    <row r="365" spans="1:7" x14ac:dyDescent="0.2">
      <c r="A365" s="25"/>
      <c r="B365" s="162" t="s">
        <v>692</v>
      </c>
      <c r="C365" s="162" t="s">
        <v>693</v>
      </c>
      <c r="D365" s="162" t="s">
        <v>694</v>
      </c>
      <c r="E365" s="162" t="s">
        <v>183</v>
      </c>
      <c r="F365" s="31" t="s">
        <v>896</v>
      </c>
      <c r="G365" s="3"/>
    </row>
    <row r="366" spans="1:7" x14ac:dyDescent="0.2">
      <c r="A366" s="25"/>
      <c r="B366" s="13" t="s">
        <v>695</v>
      </c>
      <c r="C366" s="162" t="s">
        <v>693</v>
      </c>
      <c r="D366" s="162" t="s">
        <v>694</v>
      </c>
      <c r="E366" s="162"/>
      <c r="F366" s="31" t="s">
        <v>896</v>
      </c>
      <c r="G366" s="3"/>
    </row>
    <row r="367" spans="1:7" x14ac:dyDescent="0.2">
      <c r="A367" s="25" t="s">
        <v>696</v>
      </c>
      <c r="B367" s="162" t="s">
        <v>697</v>
      </c>
      <c r="C367" s="162"/>
      <c r="D367" s="162" t="s">
        <v>698</v>
      </c>
      <c r="E367" s="162"/>
      <c r="F367" s="31" t="s">
        <v>2545</v>
      </c>
      <c r="G367" s="3"/>
    </row>
    <row r="368" spans="1:7" x14ac:dyDescent="0.2">
      <c r="A368" s="25"/>
      <c r="B368" s="13" t="s">
        <v>699</v>
      </c>
      <c r="C368" s="162" t="s">
        <v>693</v>
      </c>
      <c r="D368" s="162" t="s">
        <v>694</v>
      </c>
      <c r="E368" s="162"/>
      <c r="F368" s="31" t="s">
        <v>896</v>
      </c>
      <c r="G368" s="3"/>
    </row>
    <row r="369" spans="1:7" x14ac:dyDescent="0.2">
      <c r="A369" s="26"/>
      <c r="B369" s="165"/>
      <c r="C369" s="165"/>
      <c r="D369" s="165"/>
      <c r="E369" s="165"/>
      <c r="F369" s="32"/>
      <c r="G369" s="3"/>
    </row>
    <row r="370" spans="1:7" s="3" customFormat="1" ht="14.5" customHeight="1" x14ac:dyDescent="0.2">
      <c r="A370" s="24" t="s">
        <v>700</v>
      </c>
      <c r="B370" s="162" t="s">
        <v>701</v>
      </c>
      <c r="C370" s="162" t="s">
        <v>702</v>
      </c>
      <c r="D370" s="162" t="s">
        <v>703</v>
      </c>
      <c r="E370" s="162" t="s">
        <v>571</v>
      </c>
      <c r="F370" s="31" t="s">
        <v>11</v>
      </c>
    </row>
    <row r="371" spans="1:7" ht="14.5" customHeight="1" x14ac:dyDescent="0.2">
      <c r="A371" s="26"/>
      <c r="B371" s="165"/>
      <c r="C371" s="165"/>
      <c r="D371" s="165"/>
      <c r="E371" s="165"/>
      <c r="F371" s="32"/>
      <c r="G371" s="3"/>
    </row>
    <row r="372" spans="1:7" s="3" customFormat="1" ht="14.5" customHeight="1" x14ac:dyDescent="0.2">
      <c r="A372" s="24" t="s">
        <v>704</v>
      </c>
      <c r="B372" s="162" t="s">
        <v>705</v>
      </c>
      <c r="C372" s="162"/>
      <c r="D372" s="162" t="s">
        <v>706</v>
      </c>
      <c r="E372" s="162" t="s">
        <v>571</v>
      </c>
      <c r="F372" s="31" t="s">
        <v>11</v>
      </c>
    </row>
    <row r="373" spans="1:7" ht="14.5" customHeight="1" x14ac:dyDescent="0.2">
      <c r="A373" s="35"/>
      <c r="B373" s="168"/>
      <c r="C373" s="168"/>
      <c r="D373" s="168"/>
      <c r="E373" s="168"/>
      <c r="F373" s="36"/>
      <c r="G373" s="3"/>
    </row>
    <row r="374" spans="1:7" ht="14.5" customHeight="1" x14ac:dyDescent="0.2">
      <c r="A374" s="25"/>
      <c r="B374" s="162" t="s">
        <v>707</v>
      </c>
      <c r="C374" s="162"/>
      <c r="D374" s="162" t="s">
        <v>708</v>
      </c>
      <c r="E374" s="162" t="s">
        <v>571</v>
      </c>
      <c r="F374" s="31" t="s">
        <v>877</v>
      </c>
      <c r="G374" s="3"/>
    </row>
    <row r="375" spans="1:7" ht="14.5" customHeight="1" x14ac:dyDescent="0.2">
      <c r="A375" s="35"/>
      <c r="B375" s="168"/>
      <c r="C375" s="168"/>
      <c r="D375" s="168"/>
      <c r="E375" s="168"/>
      <c r="F375" s="36"/>
      <c r="G375" s="3"/>
    </row>
    <row r="376" spans="1:7" ht="14.5" customHeight="1" x14ac:dyDescent="0.2">
      <c r="A376" s="39"/>
      <c r="B376" s="162" t="s">
        <v>709</v>
      </c>
      <c r="C376" s="162" t="s">
        <v>710</v>
      </c>
      <c r="D376" s="162" t="s">
        <v>711</v>
      </c>
      <c r="E376" s="162" t="s">
        <v>712</v>
      </c>
      <c r="F376" s="31" t="s">
        <v>2545</v>
      </c>
      <c r="G376" s="3"/>
    </row>
    <row r="377" spans="1:7" ht="14.5" customHeight="1" x14ac:dyDescent="0.2">
      <c r="A377" s="39"/>
      <c r="B377" s="162" t="s">
        <v>709</v>
      </c>
      <c r="C377" s="162"/>
      <c r="D377" s="162"/>
      <c r="E377" s="162" t="s">
        <v>712</v>
      </c>
      <c r="F377" s="31" t="s">
        <v>896</v>
      </c>
      <c r="G377" s="3"/>
    </row>
    <row r="378" spans="1:7" ht="14.5" customHeight="1" x14ac:dyDescent="0.2">
      <c r="A378" s="39"/>
      <c r="B378" s="13" t="s">
        <v>713</v>
      </c>
      <c r="C378" s="162"/>
      <c r="D378" s="13" t="s">
        <v>714</v>
      </c>
      <c r="E378" s="162" t="s">
        <v>712</v>
      </c>
      <c r="F378" s="31" t="s">
        <v>877</v>
      </c>
      <c r="G378" s="3"/>
    </row>
    <row r="379" spans="1:7" ht="14.5" customHeight="1" x14ac:dyDescent="0.2">
      <c r="A379" s="39"/>
      <c r="B379" s="162" t="s">
        <v>715</v>
      </c>
      <c r="C379" s="162" t="s">
        <v>716</v>
      </c>
      <c r="D379" s="162" t="s">
        <v>717</v>
      </c>
      <c r="E379" s="162" t="s">
        <v>712</v>
      </c>
      <c r="F379" s="31" t="s">
        <v>2545</v>
      </c>
      <c r="G379" s="3"/>
    </row>
    <row r="380" spans="1:7" ht="14.5" customHeight="1" x14ac:dyDescent="0.2">
      <c r="A380" s="35"/>
      <c r="B380" s="168"/>
      <c r="C380" s="168"/>
      <c r="D380" s="168"/>
      <c r="E380" s="168"/>
      <c r="F380" s="36"/>
      <c r="G380" s="3"/>
    </row>
    <row r="381" spans="1:7" ht="14.5" customHeight="1" x14ac:dyDescent="0.2">
      <c r="A381" s="24"/>
      <c r="B381" s="162" t="s">
        <v>718</v>
      </c>
      <c r="C381" s="163"/>
      <c r="D381" s="162" t="s">
        <v>719</v>
      </c>
      <c r="E381" s="162"/>
      <c r="F381" s="31" t="s">
        <v>877</v>
      </c>
      <c r="G381" s="3"/>
    </row>
    <row r="382" spans="1:7" ht="14.5" customHeight="1" x14ac:dyDescent="0.2">
      <c r="A382" s="26"/>
      <c r="B382" s="165"/>
      <c r="C382" s="165"/>
      <c r="D382" s="165"/>
      <c r="E382" s="165"/>
      <c r="F382" s="32"/>
      <c r="G382" s="3"/>
    </row>
    <row r="383" spans="1:7" s="3" customFormat="1" ht="14.5" customHeight="1" x14ac:dyDescent="0.2">
      <c r="A383" s="24" t="s">
        <v>720</v>
      </c>
      <c r="B383" s="162" t="s">
        <v>721</v>
      </c>
      <c r="C383" s="161"/>
      <c r="D383" s="162" t="s">
        <v>722</v>
      </c>
      <c r="E383" s="162" t="s">
        <v>712</v>
      </c>
      <c r="F383" s="31" t="s">
        <v>11</v>
      </c>
    </row>
    <row r="384" spans="1:7" ht="14.5" customHeight="1" x14ac:dyDescent="0.2">
      <c r="A384" s="25" t="s">
        <v>723</v>
      </c>
      <c r="B384" s="162" t="s">
        <v>724</v>
      </c>
      <c r="C384" s="162"/>
      <c r="D384" s="162" t="s">
        <v>725</v>
      </c>
      <c r="E384" s="162"/>
      <c r="F384" s="31" t="s">
        <v>888</v>
      </c>
      <c r="G384" s="3"/>
    </row>
    <row r="385" spans="1:7" ht="14.5" customHeight="1" x14ac:dyDescent="0.2">
      <c r="A385" s="25"/>
      <c r="B385" s="162" t="s">
        <v>726</v>
      </c>
      <c r="C385" s="162" t="s">
        <v>727</v>
      </c>
      <c r="D385" s="162" t="s">
        <v>728</v>
      </c>
      <c r="E385" s="162"/>
      <c r="F385" s="31" t="s">
        <v>2547</v>
      </c>
      <c r="G385" s="3"/>
    </row>
    <row r="386" spans="1:7" ht="14.5" customHeight="1" x14ac:dyDescent="0.2">
      <c r="A386" s="25"/>
      <c r="B386" s="162" t="s">
        <v>721</v>
      </c>
      <c r="C386" s="162"/>
      <c r="D386" s="162"/>
      <c r="E386" s="162" t="s">
        <v>712</v>
      </c>
      <c r="F386" s="31" t="s">
        <v>914</v>
      </c>
      <c r="G386" s="3"/>
    </row>
    <row r="387" spans="1:7" ht="14.5" customHeight="1" x14ac:dyDescent="0.2">
      <c r="A387" s="25"/>
      <c r="B387" s="162" t="s">
        <v>729</v>
      </c>
      <c r="C387" s="162" t="s">
        <v>285</v>
      </c>
      <c r="D387" s="162" t="s">
        <v>730</v>
      </c>
      <c r="E387" s="162" t="s">
        <v>712</v>
      </c>
      <c r="F387" s="31" t="s">
        <v>884</v>
      </c>
      <c r="G387" s="3"/>
    </row>
    <row r="388" spans="1:7" ht="14.5" customHeight="1" x14ac:dyDescent="0.2">
      <c r="A388" s="25"/>
      <c r="B388" s="162" t="s">
        <v>731</v>
      </c>
      <c r="C388" s="162"/>
      <c r="D388" s="162" t="s">
        <v>732</v>
      </c>
      <c r="E388" s="162"/>
      <c r="F388" s="31" t="s">
        <v>860</v>
      </c>
      <c r="G388" s="3"/>
    </row>
    <row r="389" spans="1:7" ht="14.5" customHeight="1" x14ac:dyDescent="0.2">
      <c r="A389" s="26"/>
      <c r="B389" s="165"/>
      <c r="C389" s="165"/>
      <c r="D389" s="165"/>
      <c r="E389" s="165"/>
      <c r="F389" s="32"/>
      <c r="G389" s="3"/>
    </row>
    <row r="390" spans="1:7" s="3" customFormat="1" ht="14.5" customHeight="1" x14ac:dyDescent="0.2">
      <c r="A390" s="24" t="s">
        <v>733</v>
      </c>
      <c r="B390" s="162" t="s">
        <v>734</v>
      </c>
      <c r="C390" s="162"/>
      <c r="D390" s="162" t="s">
        <v>735</v>
      </c>
      <c r="E390" s="162" t="s">
        <v>712</v>
      </c>
      <c r="F390" s="31" t="s">
        <v>11</v>
      </c>
    </row>
    <row r="391" spans="1:7" ht="14.5" customHeight="1" x14ac:dyDescent="0.2">
      <c r="A391" s="25" t="s">
        <v>736</v>
      </c>
      <c r="B391" s="162" t="s">
        <v>734</v>
      </c>
      <c r="C391" s="162"/>
      <c r="D391" s="162" t="s">
        <v>737</v>
      </c>
      <c r="E391" s="162" t="s">
        <v>712</v>
      </c>
      <c r="F391" s="31" t="s">
        <v>2545</v>
      </c>
      <c r="G391" s="3"/>
    </row>
    <row r="392" spans="1:7" ht="14.5" customHeight="1" x14ac:dyDescent="0.2">
      <c r="A392" s="25"/>
      <c r="B392" s="162" t="s">
        <v>734</v>
      </c>
      <c r="C392" s="162"/>
      <c r="D392" s="162"/>
      <c r="E392" s="162"/>
      <c r="F392" s="31" t="s">
        <v>870</v>
      </c>
      <c r="G392" s="3"/>
    </row>
    <row r="393" spans="1:7" ht="14.5" customHeight="1" x14ac:dyDescent="0.2">
      <c r="A393" s="25"/>
      <c r="B393" s="13" t="s">
        <v>738</v>
      </c>
      <c r="C393" s="162"/>
      <c r="D393" s="162" t="s">
        <v>739</v>
      </c>
      <c r="E393" s="162"/>
      <c r="F393" s="31" t="s">
        <v>877</v>
      </c>
      <c r="G393" s="3"/>
    </row>
    <row r="394" spans="1:7" ht="14.5" customHeight="1" x14ac:dyDescent="0.2">
      <c r="A394" s="25" t="s">
        <v>740</v>
      </c>
      <c r="B394" s="162" t="s">
        <v>741</v>
      </c>
      <c r="C394" s="162"/>
      <c r="D394" s="162" t="s">
        <v>742</v>
      </c>
      <c r="E394" s="162"/>
      <c r="F394" s="31" t="s">
        <v>888</v>
      </c>
      <c r="G394" s="3"/>
    </row>
    <row r="395" spans="1:7" ht="14.5" customHeight="1" x14ac:dyDescent="0.2">
      <c r="A395" s="25"/>
      <c r="B395" s="13" t="s">
        <v>743</v>
      </c>
      <c r="C395" s="162" t="s">
        <v>744</v>
      </c>
      <c r="D395" s="162" t="s">
        <v>745</v>
      </c>
      <c r="E395" s="162" t="s">
        <v>712</v>
      </c>
      <c r="F395" s="31" t="s">
        <v>896</v>
      </c>
      <c r="G395" s="3"/>
    </row>
    <row r="396" spans="1:7" ht="14.5" customHeight="1" x14ac:dyDescent="0.2">
      <c r="A396" s="26"/>
      <c r="B396" s="165"/>
      <c r="C396" s="165"/>
      <c r="D396" s="165"/>
      <c r="E396" s="165"/>
      <c r="F396" s="32"/>
      <c r="G396" s="3"/>
    </row>
    <row r="397" spans="1:7" s="3" customFormat="1" x14ac:dyDescent="0.2">
      <c r="A397" s="24" t="s">
        <v>746</v>
      </c>
      <c r="B397" s="162" t="s">
        <v>747</v>
      </c>
      <c r="C397" s="162"/>
      <c r="D397" s="162" t="s">
        <v>748</v>
      </c>
      <c r="E397" s="162" t="s">
        <v>712</v>
      </c>
      <c r="F397" s="31" t="s">
        <v>860</v>
      </c>
    </row>
    <row r="398" spans="1:7" x14ac:dyDescent="0.2">
      <c r="A398" s="25" t="s">
        <v>749</v>
      </c>
      <c r="B398" s="162" t="s">
        <v>750</v>
      </c>
      <c r="C398" s="162"/>
      <c r="D398" s="162" t="s">
        <v>751</v>
      </c>
      <c r="E398" s="162" t="s">
        <v>712</v>
      </c>
      <c r="F398" s="31" t="s">
        <v>2545</v>
      </c>
      <c r="G398" s="3"/>
    </row>
    <row r="399" spans="1:7" x14ac:dyDescent="0.2">
      <c r="A399" s="25"/>
      <c r="B399" s="162" t="s">
        <v>752</v>
      </c>
      <c r="C399" s="162"/>
      <c r="D399" s="162"/>
      <c r="E399" s="162"/>
      <c r="F399" s="31" t="s">
        <v>870</v>
      </c>
      <c r="G399" s="3"/>
    </row>
    <row r="400" spans="1:7" x14ac:dyDescent="0.2">
      <c r="A400" s="25"/>
      <c r="B400" s="162" t="s">
        <v>752</v>
      </c>
      <c r="C400" s="162"/>
      <c r="D400" s="162" t="s">
        <v>753</v>
      </c>
      <c r="E400" s="162"/>
      <c r="F400" s="31" t="s">
        <v>920</v>
      </c>
      <c r="G400" s="3"/>
    </row>
    <row r="401" spans="1:7" x14ac:dyDescent="0.2">
      <c r="A401" s="26"/>
      <c r="B401" s="165"/>
      <c r="C401" s="165"/>
      <c r="D401" s="165"/>
      <c r="E401" s="165"/>
      <c r="F401" s="32"/>
      <c r="G401" s="3"/>
    </row>
    <row r="402" spans="1:7" s="3" customFormat="1" ht="14.5" customHeight="1" x14ac:dyDescent="0.2">
      <c r="A402" s="24" t="s">
        <v>754</v>
      </c>
      <c r="B402" s="162" t="s">
        <v>755</v>
      </c>
      <c r="C402" s="162" t="s">
        <v>756</v>
      </c>
      <c r="D402" s="162" t="s">
        <v>757</v>
      </c>
      <c r="E402" s="162" t="s">
        <v>712</v>
      </c>
      <c r="F402" s="31" t="s">
        <v>758</v>
      </c>
    </row>
    <row r="403" spans="1:7" ht="14.5" customHeight="1" x14ac:dyDescent="0.2">
      <c r="A403" s="25" t="s">
        <v>759</v>
      </c>
      <c r="B403" s="162" t="s">
        <v>755</v>
      </c>
      <c r="C403" s="162"/>
      <c r="D403" s="162" t="s">
        <v>760</v>
      </c>
      <c r="E403" s="162" t="s">
        <v>712</v>
      </c>
      <c r="F403" s="31" t="s">
        <v>2545</v>
      </c>
      <c r="G403" s="3"/>
    </row>
    <row r="404" spans="1:7" ht="14.5" customHeight="1" x14ac:dyDescent="0.2">
      <c r="A404" s="25"/>
      <c r="B404" s="162" t="s">
        <v>761</v>
      </c>
      <c r="C404" s="162"/>
      <c r="D404" s="162" t="s">
        <v>762</v>
      </c>
      <c r="E404" s="162"/>
      <c r="F404" s="31" t="s">
        <v>877</v>
      </c>
      <c r="G404" s="3"/>
    </row>
    <row r="405" spans="1:7" ht="14.5" customHeight="1" x14ac:dyDescent="0.2">
      <c r="A405" s="25" t="s">
        <v>763</v>
      </c>
      <c r="B405" s="162" t="s">
        <v>764</v>
      </c>
      <c r="C405" s="162"/>
      <c r="D405" s="162" t="s">
        <v>765</v>
      </c>
      <c r="E405" s="162" t="s">
        <v>712</v>
      </c>
      <c r="F405" s="31" t="s">
        <v>2545</v>
      </c>
      <c r="G405" s="3"/>
    </row>
    <row r="406" spans="1:7" ht="14.5" customHeight="1" x14ac:dyDescent="0.2">
      <c r="A406" s="25"/>
      <c r="B406" s="162" t="s">
        <v>766</v>
      </c>
      <c r="C406" s="162"/>
      <c r="D406" s="162" t="s">
        <v>767</v>
      </c>
      <c r="E406" s="162" t="s">
        <v>712</v>
      </c>
      <c r="F406" s="31" t="s">
        <v>860</v>
      </c>
      <c r="G406" s="3"/>
    </row>
    <row r="407" spans="1:7" ht="14.5" customHeight="1" x14ac:dyDescent="0.2">
      <c r="A407" s="26"/>
      <c r="B407" s="165"/>
      <c r="C407" s="165"/>
      <c r="D407" s="165"/>
      <c r="E407" s="165"/>
      <c r="F407" s="32"/>
      <c r="G407" s="3"/>
    </row>
    <row r="408" spans="1:7" s="3" customFormat="1" x14ac:dyDescent="0.2">
      <c r="A408" s="24" t="s">
        <v>768</v>
      </c>
      <c r="B408" s="162" t="s">
        <v>769</v>
      </c>
      <c r="C408" s="162" t="s">
        <v>770</v>
      </c>
      <c r="D408" s="162" t="s">
        <v>771</v>
      </c>
      <c r="E408" s="162" t="s">
        <v>712</v>
      </c>
      <c r="F408" s="31" t="s">
        <v>11</v>
      </c>
    </row>
    <row r="409" spans="1:7" x14ac:dyDescent="0.2">
      <c r="A409" s="25" t="s">
        <v>772</v>
      </c>
      <c r="B409" s="162" t="s">
        <v>770</v>
      </c>
      <c r="C409" s="162"/>
      <c r="D409" s="162" t="s">
        <v>773</v>
      </c>
      <c r="E409" s="162" t="s">
        <v>712</v>
      </c>
      <c r="F409" s="31" t="s">
        <v>2545</v>
      </c>
      <c r="G409" s="3"/>
    </row>
    <row r="410" spans="1:7" x14ac:dyDescent="0.2">
      <c r="A410" s="25"/>
      <c r="B410" s="162" t="s">
        <v>770</v>
      </c>
      <c r="C410" s="162"/>
      <c r="D410" s="162"/>
      <c r="E410" s="162"/>
      <c r="F410" s="31" t="s">
        <v>870</v>
      </c>
      <c r="G410" s="3"/>
    </row>
    <row r="411" spans="1:7" x14ac:dyDescent="0.2">
      <c r="A411" s="25"/>
      <c r="B411" s="162" t="s">
        <v>774</v>
      </c>
      <c r="C411" s="162" t="s">
        <v>775</v>
      </c>
      <c r="D411" s="162" t="s">
        <v>776</v>
      </c>
      <c r="E411" s="162" t="s">
        <v>712</v>
      </c>
      <c r="F411" s="31" t="s">
        <v>860</v>
      </c>
      <c r="G411" s="3"/>
    </row>
    <row r="412" spans="1:7" x14ac:dyDescent="0.2">
      <c r="A412" s="26"/>
      <c r="B412" s="165"/>
      <c r="C412" s="165"/>
      <c r="D412" s="165"/>
      <c r="E412" s="165"/>
      <c r="F412" s="32"/>
      <c r="G412" s="3"/>
    </row>
    <row r="413" spans="1:7" s="3" customFormat="1" x14ac:dyDescent="0.2">
      <c r="A413" s="24" t="s">
        <v>777</v>
      </c>
      <c r="B413" s="162" t="s">
        <v>778</v>
      </c>
      <c r="C413" s="162"/>
      <c r="D413" s="162" t="s">
        <v>779</v>
      </c>
      <c r="E413" s="162" t="s">
        <v>712</v>
      </c>
      <c r="F413" s="31" t="s">
        <v>11</v>
      </c>
    </row>
    <row r="414" spans="1:7" x14ac:dyDescent="0.2">
      <c r="A414" s="26"/>
      <c r="B414" s="165"/>
      <c r="C414" s="165"/>
      <c r="D414" s="165"/>
      <c r="E414" s="165"/>
      <c r="F414" s="32"/>
      <c r="G414" s="3"/>
    </row>
    <row r="415" spans="1:7" s="3" customFormat="1" x14ac:dyDescent="0.2">
      <c r="A415" s="24" t="s">
        <v>780</v>
      </c>
      <c r="B415" s="162" t="s">
        <v>781</v>
      </c>
      <c r="C415" s="162" t="s">
        <v>782</v>
      </c>
      <c r="D415" s="162" t="s">
        <v>783</v>
      </c>
      <c r="E415" s="162" t="s">
        <v>625</v>
      </c>
      <c r="F415" s="31" t="s">
        <v>860</v>
      </c>
    </row>
    <row r="416" spans="1:7" s="3" customFormat="1" x14ac:dyDescent="0.2">
      <c r="A416" s="24"/>
      <c r="B416" s="162" t="s">
        <v>784</v>
      </c>
      <c r="C416" s="162"/>
      <c r="D416" s="162" t="s">
        <v>785</v>
      </c>
      <c r="E416" s="162"/>
      <c r="F416" s="31" t="s">
        <v>20</v>
      </c>
    </row>
    <row r="417" spans="1:7" x14ac:dyDescent="0.2">
      <c r="A417" s="25" t="s">
        <v>786</v>
      </c>
      <c r="B417" s="162" t="s">
        <v>787</v>
      </c>
      <c r="C417" s="162"/>
      <c r="D417" s="162" t="s">
        <v>788</v>
      </c>
      <c r="E417" s="162" t="s">
        <v>625</v>
      </c>
      <c r="F417" s="31" t="s">
        <v>2545</v>
      </c>
      <c r="G417" s="3"/>
    </row>
    <row r="418" spans="1:7" x14ac:dyDescent="0.2">
      <c r="A418" s="26"/>
      <c r="B418" s="165"/>
      <c r="C418" s="165"/>
      <c r="D418" s="165"/>
      <c r="E418" s="165"/>
      <c r="F418" s="32"/>
      <c r="G418" s="3"/>
    </row>
    <row r="419" spans="1:7" s="3" customFormat="1" x14ac:dyDescent="0.2">
      <c r="A419" s="24" t="s">
        <v>789</v>
      </c>
      <c r="B419" s="162" t="s">
        <v>790</v>
      </c>
      <c r="C419" s="162" t="s">
        <v>791</v>
      </c>
      <c r="D419" s="162" t="s">
        <v>792</v>
      </c>
      <c r="E419" s="162" t="s">
        <v>625</v>
      </c>
      <c r="F419" s="31" t="s">
        <v>11</v>
      </c>
    </row>
    <row r="420" spans="1:7" x14ac:dyDescent="0.2">
      <c r="A420" s="25" t="s">
        <v>793</v>
      </c>
      <c r="B420" s="162" t="s">
        <v>790</v>
      </c>
      <c r="C420" s="162"/>
      <c r="D420" s="162" t="s">
        <v>794</v>
      </c>
      <c r="E420" s="162" t="s">
        <v>625</v>
      </c>
      <c r="F420" s="31" t="s">
        <v>2545</v>
      </c>
      <c r="G420" s="3"/>
    </row>
    <row r="421" spans="1:7" x14ac:dyDescent="0.2">
      <c r="A421" s="25"/>
      <c r="B421" s="162" t="s">
        <v>790</v>
      </c>
      <c r="C421" s="162"/>
      <c r="D421" s="162"/>
      <c r="E421" s="162"/>
      <c r="F421" s="31" t="s">
        <v>860</v>
      </c>
      <c r="G421" s="3"/>
    </row>
    <row r="422" spans="1:7" x14ac:dyDescent="0.2">
      <c r="A422" s="25"/>
      <c r="B422" s="13" t="s">
        <v>795</v>
      </c>
      <c r="C422" s="162"/>
      <c r="D422" s="162" t="s">
        <v>796</v>
      </c>
      <c r="E422" s="162" t="s">
        <v>625</v>
      </c>
      <c r="F422" s="31" t="s">
        <v>914</v>
      </c>
      <c r="G422" s="3"/>
    </row>
    <row r="423" spans="1:7" x14ac:dyDescent="0.2">
      <c r="A423" s="25"/>
      <c r="B423" s="13" t="s">
        <v>797</v>
      </c>
      <c r="C423" s="162" t="s">
        <v>798</v>
      </c>
      <c r="D423" s="162" t="s">
        <v>799</v>
      </c>
      <c r="E423" s="162" t="s">
        <v>625</v>
      </c>
      <c r="F423" s="31" t="s">
        <v>896</v>
      </c>
      <c r="G423" s="3"/>
    </row>
    <row r="424" spans="1:7" x14ac:dyDescent="0.2">
      <c r="A424" s="25"/>
      <c r="B424" s="13" t="s">
        <v>800</v>
      </c>
      <c r="C424" s="162" t="s">
        <v>798</v>
      </c>
      <c r="D424" s="162" t="s">
        <v>799</v>
      </c>
      <c r="E424" s="162" t="s">
        <v>625</v>
      </c>
      <c r="F424" s="31" t="s">
        <v>896</v>
      </c>
      <c r="G424" s="3"/>
    </row>
    <row r="425" spans="1:7" x14ac:dyDescent="0.2">
      <c r="A425" s="25"/>
      <c r="B425" s="13" t="s">
        <v>801</v>
      </c>
      <c r="C425" s="162" t="s">
        <v>798</v>
      </c>
      <c r="D425" s="162"/>
      <c r="E425" s="162" t="s">
        <v>625</v>
      </c>
      <c r="F425" s="31" t="s">
        <v>896</v>
      </c>
      <c r="G425" s="3"/>
    </row>
    <row r="426" spans="1:7" x14ac:dyDescent="0.2">
      <c r="A426" s="25" t="s">
        <v>802</v>
      </c>
      <c r="B426" s="13" t="s">
        <v>803</v>
      </c>
      <c r="C426" s="162"/>
      <c r="D426" s="162" t="s">
        <v>804</v>
      </c>
      <c r="E426" s="162" t="s">
        <v>805</v>
      </c>
      <c r="F426" s="31" t="s">
        <v>888</v>
      </c>
      <c r="G426" s="3"/>
    </row>
    <row r="427" spans="1:7" x14ac:dyDescent="0.2">
      <c r="A427" s="25" t="s">
        <v>806</v>
      </c>
      <c r="B427" s="13" t="s">
        <v>807</v>
      </c>
      <c r="C427" s="162"/>
      <c r="D427" s="162" t="s">
        <v>804</v>
      </c>
      <c r="E427" s="162" t="s">
        <v>808</v>
      </c>
      <c r="F427" s="31" t="s">
        <v>888</v>
      </c>
      <c r="G427" s="3"/>
    </row>
    <row r="428" spans="1:7" x14ac:dyDescent="0.2">
      <c r="A428" s="25" t="s">
        <v>809</v>
      </c>
      <c r="B428" s="13" t="s">
        <v>810</v>
      </c>
      <c r="C428" s="162"/>
      <c r="D428" s="162" t="s">
        <v>804</v>
      </c>
      <c r="E428" s="162" t="s">
        <v>808</v>
      </c>
      <c r="F428" s="31" t="s">
        <v>888</v>
      </c>
      <c r="G428" s="3"/>
    </row>
    <row r="429" spans="1:7" x14ac:dyDescent="0.2">
      <c r="A429" s="25"/>
      <c r="B429" s="13" t="s">
        <v>811</v>
      </c>
      <c r="C429" s="162"/>
      <c r="D429" s="162" t="s">
        <v>812</v>
      </c>
      <c r="E429" s="162"/>
      <c r="F429" s="31" t="s">
        <v>914</v>
      </c>
      <c r="G429" s="3"/>
    </row>
    <row r="430" spans="1:7" x14ac:dyDescent="0.2">
      <c r="A430" s="26"/>
      <c r="B430" s="165"/>
      <c r="C430" s="165"/>
      <c r="D430" s="165"/>
      <c r="E430" s="165"/>
      <c r="F430" s="32"/>
      <c r="G430" s="3"/>
    </row>
    <row r="431" spans="1:7" s="3" customFormat="1" x14ac:dyDescent="0.2">
      <c r="A431" s="24" t="s">
        <v>813</v>
      </c>
      <c r="B431" s="162" t="s">
        <v>814</v>
      </c>
      <c r="C431" s="162" t="s">
        <v>815</v>
      </c>
      <c r="D431" s="162" t="s">
        <v>816</v>
      </c>
      <c r="E431" s="162" t="s">
        <v>625</v>
      </c>
      <c r="F431" s="31" t="s">
        <v>11</v>
      </c>
    </row>
    <row r="432" spans="1:7" x14ac:dyDescent="0.2">
      <c r="A432" s="25" t="s">
        <v>817</v>
      </c>
      <c r="B432" s="162" t="s">
        <v>815</v>
      </c>
      <c r="C432" s="162"/>
      <c r="D432" s="162" t="s">
        <v>818</v>
      </c>
      <c r="E432" s="162" t="s">
        <v>625</v>
      </c>
      <c r="F432" s="31" t="s">
        <v>2545</v>
      </c>
      <c r="G432" s="3"/>
    </row>
    <row r="433" spans="1:7" x14ac:dyDescent="0.2">
      <c r="A433" s="25"/>
      <c r="B433" s="162" t="s">
        <v>815</v>
      </c>
      <c r="C433" s="162"/>
      <c r="D433" s="162"/>
      <c r="E433" s="162"/>
      <c r="F433" s="31" t="s">
        <v>870</v>
      </c>
      <c r="G433" s="3"/>
    </row>
    <row r="434" spans="1:7" x14ac:dyDescent="0.2">
      <c r="A434" s="25" t="s">
        <v>819</v>
      </c>
      <c r="B434" s="162" t="s">
        <v>820</v>
      </c>
      <c r="C434" s="162"/>
      <c r="D434" s="162" t="s">
        <v>821</v>
      </c>
      <c r="E434" s="162"/>
      <c r="F434" s="31" t="s">
        <v>888</v>
      </c>
      <c r="G434" s="3"/>
    </row>
    <row r="435" spans="1:7" x14ac:dyDescent="0.2">
      <c r="A435" s="25" t="s">
        <v>822</v>
      </c>
      <c r="B435" s="162" t="s">
        <v>823</v>
      </c>
      <c r="C435" s="161"/>
      <c r="D435" s="162" t="s">
        <v>824</v>
      </c>
      <c r="E435" s="162" t="s">
        <v>625</v>
      </c>
      <c r="F435" s="31" t="s">
        <v>2545</v>
      </c>
      <c r="G435" s="3"/>
    </row>
    <row r="436" spans="1:7" x14ac:dyDescent="0.2">
      <c r="A436" s="25" t="s">
        <v>825</v>
      </c>
      <c r="B436" s="162" t="s">
        <v>826</v>
      </c>
      <c r="C436" s="162"/>
      <c r="D436" s="162" t="s">
        <v>827</v>
      </c>
      <c r="E436" s="162"/>
      <c r="F436" s="31" t="s">
        <v>888</v>
      </c>
      <c r="G436" s="3"/>
    </row>
    <row r="437" spans="1:7" x14ac:dyDescent="0.2">
      <c r="A437" s="25"/>
      <c r="B437" s="13" t="s">
        <v>828</v>
      </c>
      <c r="C437" s="162" t="s">
        <v>829</v>
      </c>
      <c r="D437" s="162" t="s">
        <v>830</v>
      </c>
      <c r="E437" s="162" t="s">
        <v>625</v>
      </c>
      <c r="F437" s="31" t="s">
        <v>896</v>
      </c>
      <c r="G437" s="3"/>
    </row>
    <row r="438" spans="1:7" x14ac:dyDescent="0.2">
      <c r="A438" s="26"/>
      <c r="B438" s="165"/>
      <c r="C438" s="165"/>
      <c r="D438" s="165"/>
      <c r="E438" s="165"/>
      <c r="F438" s="32"/>
      <c r="G438" s="3"/>
    </row>
    <row r="439" spans="1:7" x14ac:dyDescent="0.2">
      <c r="A439" s="25"/>
      <c r="B439" s="162" t="s">
        <v>831</v>
      </c>
      <c r="C439" s="162"/>
      <c r="D439" s="162" t="s">
        <v>832</v>
      </c>
      <c r="E439" s="162"/>
      <c r="F439" s="31" t="s">
        <v>860</v>
      </c>
      <c r="G439" s="9"/>
    </row>
    <row r="440" spans="1:7" x14ac:dyDescent="0.2">
      <c r="A440" s="25"/>
      <c r="B440" s="162" t="s">
        <v>833</v>
      </c>
      <c r="C440" s="162"/>
      <c r="D440" s="162"/>
      <c r="E440" s="162"/>
      <c r="F440" s="31" t="s">
        <v>905</v>
      </c>
      <c r="G440" s="9"/>
    </row>
    <row r="441" spans="1:7" x14ac:dyDescent="0.2">
      <c r="A441" s="25"/>
      <c r="B441" s="162" t="s">
        <v>834</v>
      </c>
      <c r="C441" s="162"/>
      <c r="D441" s="162"/>
      <c r="E441" s="162"/>
      <c r="F441" s="31" t="s">
        <v>896</v>
      </c>
      <c r="G441" s="9"/>
    </row>
    <row r="442" spans="1:7" x14ac:dyDescent="0.2">
      <c r="A442" s="171"/>
      <c r="B442" t="s">
        <v>2557</v>
      </c>
      <c r="F442" s="23" t="s">
        <v>2330</v>
      </c>
    </row>
    <row r="443" spans="1:7" x14ac:dyDescent="0.2">
      <c r="A443" s="171"/>
      <c r="B443" t="s">
        <v>2558</v>
      </c>
      <c r="F443" s="23" t="s">
        <v>2330</v>
      </c>
    </row>
    <row r="444" spans="1:7" x14ac:dyDescent="0.2">
      <c r="A444" s="171"/>
      <c r="B444" t="s">
        <v>7</v>
      </c>
      <c r="F444" s="23" t="s">
        <v>2330</v>
      </c>
    </row>
    <row r="445" spans="1:7" x14ac:dyDescent="0.2">
      <c r="A445" s="171"/>
      <c r="B445" t="s">
        <v>2559</v>
      </c>
      <c r="F445" s="23" t="s">
        <v>2330</v>
      </c>
    </row>
    <row r="446" spans="1:7" x14ac:dyDescent="0.2">
      <c r="A446" s="171"/>
      <c r="B446" t="s">
        <v>2560</v>
      </c>
      <c r="F446" s="23" t="s">
        <v>2330</v>
      </c>
    </row>
    <row r="447" spans="1:7" x14ac:dyDescent="0.2">
      <c r="A447" s="171"/>
      <c r="B447" t="s">
        <v>2561</v>
      </c>
      <c r="F447" s="23" t="s">
        <v>2330</v>
      </c>
    </row>
    <row r="448" spans="1:7" x14ac:dyDescent="0.2">
      <c r="A448" s="171"/>
      <c r="B448" t="s">
        <v>2562</v>
      </c>
      <c r="F448" s="23" t="s">
        <v>2330</v>
      </c>
    </row>
    <row r="449" spans="1:6" x14ac:dyDescent="0.2">
      <c r="A449" s="171"/>
      <c r="B449" t="s">
        <v>2453</v>
      </c>
      <c r="F449" s="23" t="s">
        <v>2330</v>
      </c>
    </row>
    <row r="450" spans="1:6" x14ac:dyDescent="0.2">
      <c r="A450" s="171"/>
      <c r="B450" t="s">
        <v>2563</v>
      </c>
      <c r="F450" s="23" t="s">
        <v>2330</v>
      </c>
    </row>
    <row r="451" spans="1:6" x14ac:dyDescent="0.2">
      <c r="A451" s="171"/>
      <c r="B451" t="s">
        <v>2564</v>
      </c>
      <c r="F451" s="23" t="s">
        <v>2330</v>
      </c>
    </row>
    <row r="452" spans="1:6" x14ac:dyDescent="0.2">
      <c r="A452" s="171"/>
      <c r="B452" t="s">
        <v>2565</v>
      </c>
      <c r="F452" s="23" t="s">
        <v>2330</v>
      </c>
    </row>
    <row r="453" spans="1:6" x14ac:dyDescent="0.2">
      <c r="A453" s="171"/>
      <c r="B453" t="s">
        <v>2566</v>
      </c>
      <c r="F453" s="23" t="s">
        <v>2330</v>
      </c>
    </row>
    <row r="454" spans="1:6" x14ac:dyDescent="0.2">
      <c r="A454" s="171"/>
      <c r="B454" t="s">
        <v>2567</v>
      </c>
      <c r="F454" s="23" t="s">
        <v>2330</v>
      </c>
    </row>
    <row r="455" spans="1:6" x14ac:dyDescent="0.2">
      <c r="A455" s="171"/>
      <c r="B455" t="s">
        <v>2568</v>
      </c>
      <c r="F455" s="23" t="s">
        <v>2330</v>
      </c>
    </row>
    <row r="456" spans="1:6" x14ac:dyDescent="0.2">
      <c r="A456" s="171"/>
      <c r="B456" t="s">
        <v>2569</v>
      </c>
      <c r="F456" s="23" t="s">
        <v>2330</v>
      </c>
    </row>
    <row r="457" spans="1:6" x14ac:dyDescent="0.2">
      <c r="A457" s="171"/>
      <c r="B457" t="s">
        <v>2570</v>
      </c>
      <c r="F457" s="23" t="s">
        <v>2330</v>
      </c>
    </row>
    <row r="458" spans="1:6" x14ac:dyDescent="0.2">
      <c r="A458" s="171"/>
      <c r="B458" t="s">
        <v>2503</v>
      </c>
      <c r="F458" s="23" t="s">
        <v>2330</v>
      </c>
    </row>
    <row r="459" spans="1:6" x14ac:dyDescent="0.2">
      <c r="A459" s="171"/>
      <c r="B459" t="s">
        <v>2571</v>
      </c>
      <c r="F459" s="23" t="s">
        <v>2330</v>
      </c>
    </row>
    <row r="460" spans="1:6" x14ac:dyDescent="0.2">
      <c r="A460" s="171"/>
      <c r="B460" t="s">
        <v>2572</v>
      </c>
      <c r="F460" s="23" t="s">
        <v>2330</v>
      </c>
    </row>
    <row r="461" spans="1:6" x14ac:dyDescent="0.2">
      <c r="A461" s="171"/>
      <c r="B461" t="s">
        <v>2573</v>
      </c>
      <c r="F461" s="23" t="s">
        <v>2330</v>
      </c>
    </row>
    <row r="462" spans="1:6" x14ac:dyDescent="0.2">
      <c r="A462" s="171"/>
      <c r="B462" t="s">
        <v>2574</v>
      </c>
      <c r="F462" s="23" t="s">
        <v>2330</v>
      </c>
    </row>
    <row r="463" spans="1:6" x14ac:dyDescent="0.2">
      <c r="A463" s="171"/>
      <c r="B463" t="s">
        <v>2575</v>
      </c>
      <c r="F463" s="23" t="s">
        <v>2330</v>
      </c>
    </row>
    <row r="464" spans="1:6" x14ac:dyDescent="0.2">
      <c r="A464" s="171"/>
      <c r="B464" t="s">
        <v>2576</v>
      </c>
      <c r="F464" s="23" t="s">
        <v>2330</v>
      </c>
    </row>
    <row r="465" spans="1:6" x14ac:dyDescent="0.2">
      <c r="A465" s="171"/>
      <c r="B465" t="s">
        <v>2577</v>
      </c>
      <c r="F465" s="23" t="s">
        <v>2330</v>
      </c>
    </row>
    <row r="466" spans="1:6" x14ac:dyDescent="0.2">
      <c r="A466" s="171"/>
      <c r="B466" t="s">
        <v>2578</v>
      </c>
      <c r="F466" s="23" t="s">
        <v>2330</v>
      </c>
    </row>
    <row r="467" spans="1:6" x14ac:dyDescent="0.2">
      <c r="A467" s="171"/>
      <c r="B467" t="s">
        <v>2579</v>
      </c>
      <c r="F467" s="23" t="s">
        <v>2330</v>
      </c>
    </row>
    <row r="468" spans="1:6" x14ac:dyDescent="0.2">
      <c r="A468" s="171"/>
      <c r="B468" t="s">
        <v>2580</v>
      </c>
      <c r="F468" s="23" t="s">
        <v>2330</v>
      </c>
    </row>
    <row r="469" spans="1:6" x14ac:dyDescent="0.2">
      <c r="A469" s="171"/>
      <c r="B469" t="s">
        <v>2581</v>
      </c>
      <c r="F469" s="23" t="s">
        <v>2330</v>
      </c>
    </row>
    <row r="470" spans="1:6" x14ac:dyDescent="0.2">
      <c r="A470" s="171"/>
      <c r="B470" t="s">
        <v>2568</v>
      </c>
      <c r="F470" s="23" t="s">
        <v>2330</v>
      </c>
    </row>
    <row r="471" spans="1:6" x14ac:dyDescent="0.2">
      <c r="A471" s="171"/>
      <c r="B471" t="s">
        <v>2582</v>
      </c>
      <c r="F471" s="23" t="s">
        <v>2330</v>
      </c>
    </row>
    <row r="472" spans="1:6" x14ac:dyDescent="0.2">
      <c r="A472" s="171"/>
      <c r="B472" t="s">
        <v>2583</v>
      </c>
      <c r="F472" s="23" t="s">
        <v>2330</v>
      </c>
    </row>
    <row r="473" spans="1:6" x14ac:dyDescent="0.2">
      <c r="A473" s="171"/>
      <c r="B473" t="s">
        <v>2584</v>
      </c>
      <c r="F473" s="23" t="s">
        <v>2330</v>
      </c>
    </row>
    <row r="474" spans="1:6" x14ac:dyDescent="0.2">
      <c r="A474" s="171"/>
      <c r="B474" t="s">
        <v>2585</v>
      </c>
      <c r="F474" s="23" t="s">
        <v>2330</v>
      </c>
    </row>
    <row r="475" spans="1:6" x14ac:dyDescent="0.2">
      <c r="A475" s="171"/>
      <c r="B475" t="s">
        <v>2586</v>
      </c>
      <c r="F475" s="23" t="s">
        <v>2330</v>
      </c>
    </row>
    <row r="476" spans="1:6" x14ac:dyDescent="0.2">
      <c r="A476" s="171"/>
      <c r="B476" t="s">
        <v>2587</v>
      </c>
      <c r="F476" s="23" t="s">
        <v>2330</v>
      </c>
    </row>
    <row r="477" spans="1:6" x14ac:dyDescent="0.2">
      <c r="A477" s="171"/>
      <c r="B477" t="s">
        <v>2588</v>
      </c>
      <c r="F477" s="23" t="s">
        <v>2330</v>
      </c>
    </row>
    <row r="478" spans="1:6" x14ac:dyDescent="0.2">
      <c r="A478" s="171"/>
      <c r="B478" t="s">
        <v>2589</v>
      </c>
      <c r="F478" s="23" t="s">
        <v>2330</v>
      </c>
    </row>
    <row r="479" spans="1:6" x14ac:dyDescent="0.2">
      <c r="A479" s="171"/>
      <c r="B479" t="s">
        <v>2590</v>
      </c>
      <c r="F479" s="23" t="s">
        <v>2330</v>
      </c>
    </row>
    <row r="480" spans="1:6" x14ac:dyDescent="0.2">
      <c r="A480" s="171"/>
      <c r="B480" t="s">
        <v>2591</v>
      </c>
      <c r="F480" s="23" t="s">
        <v>2330</v>
      </c>
    </row>
    <row r="481" spans="1:6" x14ac:dyDescent="0.2">
      <c r="A481" s="171"/>
      <c r="B481" t="s">
        <v>2592</v>
      </c>
      <c r="F481" s="23" t="s">
        <v>2330</v>
      </c>
    </row>
    <row r="482" spans="1:6" x14ac:dyDescent="0.2">
      <c r="A482" s="171"/>
      <c r="B482" t="s">
        <v>2457</v>
      </c>
      <c r="F482" s="23" t="s">
        <v>2330</v>
      </c>
    </row>
    <row r="483" spans="1:6" x14ac:dyDescent="0.2">
      <c r="A483" s="171"/>
      <c r="B483" t="s">
        <v>2459</v>
      </c>
      <c r="F483" s="23" t="s">
        <v>2330</v>
      </c>
    </row>
    <row r="484" spans="1:6" x14ac:dyDescent="0.2">
      <c r="A484" s="171"/>
      <c r="B484" t="s">
        <v>2460</v>
      </c>
      <c r="F484" s="23" t="s">
        <v>2330</v>
      </c>
    </row>
    <row r="485" spans="1:6" x14ac:dyDescent="0.2">
      <c r="A485" s="171"/>
      <c r="B485" t="s">
        <v>2458</v>
      </c>
      <c r="F485" s="23" t="s">
        <v>2330</v>
      </c>
    </row>
    <row r="486" spans="1:6" x14ac:dyDescent="0.2">
      <c r="A486" s="171"/>
      <c r="B486" t="s">
        <v>2593</v>
      </c>
      <c r="F486" s="23" t="s">
        <v>2330</v>
      </c>
    </row>
    <row r="487" spans="1:6" x14ac:dyDescent="0.2">
      <c r="A487" s="171"/>
      <c r="B487" t="s">
        <v>2594</v>
      </c>
      <c r="F487" s="23" t="s">
        <v>2330</v>
      </c>
    </row>
    <row r="488" spans="1:6" x14ac:dyDescent="0.2">
      <c r="A488" s="171"/>
      <c r="B488" t="s">
        <v>2595</v>
      </c>
      <c r="F488" s="23" t="s">
        <v>2330</v>
      </c>
    </row>
    <row r="489" spans="1:6" x14ac:dyDescent="0.2">
      <c r="A489" s="171"/>
      <c r="B489" t="s">
        <v>2596</v>
      </c>
      <c r="F489" s="23" t="s">
        <v>2330</v>
      </c>
    </row>
    <row r="490" spans="1:6" x14ac:dyDescent="0.2">
      <c r="A490" s="171"/>
      <c r="B490" t="s">
        <v>2597</v>
      </c>
      <c r="F490" s="23" t="s">
        <v>2330</v>
      </c>
    </row>
    <row r="491" spans="1:6" x14ac:dyDescent="0.2">
      <c r="A491" s="171"/>
      <c r="B491" t="s">
        <v>2598</v>
      </c>
      <c r="F491" s="23" t="s">
        <v>2330</v>
      </c>
    </row>
    <row r="492" spans="1:6" x14ac:dyDescent="0.2">
      <c r="A492" s="171"/>
      <c r="B492" t="s">
        <v>2599</v>
      </c>
      <c r="F492" s="23" t="s">
        <v>2330</v>
      </c>
    </row>
    <row r="493" spans="1:6" x14ac:dyDescent="0.2">
      <c r="A493" s="171"/>
      <c r="B493" t="s">
        <v>2600</v>
      </c>
      <c r="F493" s="23" t="s">
        <v>2330</v>
      </c>
    </row>
    <row r="494" spans="1:6" x14ac:dyDescent="0.2">
      <c r="A494" s="171"/>
      <c r="B494" t="s">
        <v>2601</v>
      </c>
      <c r="F494" s="23" t="s">
        <v>2330</v>
      </c>
    </row>
    <row r="495" spans="1:6" x14ac:dyDescent="0.2">
      <c r="A495" s="171"/>
      <c r="B495" t="s">
        <v>2602</v>
      </c>
      <c r="F495" s="23" t="s">
        <v>2330</v>
      </c>
    </row>
    <row r="496" spans="1:6" x14ac:dyDescent="0.2">
      <c r="A496" s="171"/>
      <c r="B496" t="s">
        <v>734</v>
      </c>
      <c r="F496" s="23" t="s">
        <v>2330</v>
      </c>
    </row>
    <row r="497" spans="1:6" x14ac:dyDescent="0.2">
      <c r="A497" s="171"/>
      <c r="B497" t="s">
        <v>2603</v>
      </c>
      <c r="F497" s="23" t="s">
        <v>2330</v>
      </c>
    </row>
    <row r="498" spans="1:6" x14ac:dyDescent="0.2">
      <c r="A498" s="171"/>
      <c r="B498" t="s">
        <v>2604</v>
      </c>
      <c r="F498" s="23" t="s">
        <v>2330</v>
      </c>
    </row>
    <row r="499" spans="1:6" x14ac:dyDescent="0.2">
      <c r="A499" s="171"/>
      <c r="B499" t="s">
        <v>2605</v>
      </c>
      <c r="F499" s="23" t="s">
        <v>2330</v>
      </c>
    </row>
    <row r="500" spans="1:6" x14ac:dyDescent="0.2">
      <c r="A500" s="171"/>
      <c r="B500" t="s">
        <v>2606</v>
      </c>
      <c r="F500" s="23" t="s">
        <v>2330</v>
      </c>
    </row>
    <row r="501" spans="1:6" x14ac:dyDescent="0.2">
      <c r="A501" s="171"/>
      <c r="B501" t="s">
        <v>2607</v>
      </c>
      <c r="F501" s="23" t="s">
        <v>2330</v>
      </c>
    </row>
    <row r="502" spans="1:6" x14ac:dyDescent="0.2">
      <c r="A502" s="171"/>
      <c r="B502" t="s">
        <v>2608</v>
      </c>
      <c r="F502" s="23" t="s">
        <v>2330</v>
      </c>
    </row>
    <row r="503" spans="1:6" x14ac:dyDescent="0.2">
      <c r="A503" s="171"/>
      <c r="B503" t="s">
        <v>2609</v>
      </c>
      <c r="F503" s="23" t="s">
        <v>2330</v>
      </c>
    </row>
    <row r="504" spans="1:6" x14ac:dyDescent="0.2">
      <c r="A504" s="171"/>
      <c r="B504" t="s">
        <v>2610</v>
      </c>
      <c r="F504" s="23" t="s">
        <v>2330</v>
      </c>
    </row>
    <row r="505" spans="1:6" x14ac:dyDescent="0.2">
      <c r="A505" s="171"/>
      <c r="B505" t="s">
        <v>2611</v>
      </c>
      <c r="F505" s="23" t="s">
        <v>2330</v>
      </c>
    </row>
    <row r="506" spans="1:6" x14ac:dyDescent="0.2">
      <c r="A506" s="171"/>
      <c r="B506" t="s">
        <v>2612</v>
      </c>
      <c r="F506" s="23" t="s">
        <v>2330</v>
      </c>
    </row>
    <row r="507" spans="1:6" x14ac:dyDescent="0.2">
      <c r="A507" s="171"/>
      <c r="B507" t="s">
        <v>2613</v>
      </c>
      <c r="F507" s="23" t="s">
        <v>2330</v>
      </c>
    </row>
    <row r="508" spans="1:6" x14ac:dyDescent="0.2">
      <c r="A508" s="171"/>
      <c r="B508" t="s">
        <v>2614</v>
      </c>
      <c r="F508" s="23" t="s">
        <v>2330</v>
      </c>
    </row>
    <row r="509" spans="1:6" x14ac:dyDescent="0.2">
      <c r="A509" s="171"/>
      <c r="B509" t="s">
        <v>603</v>
      </c>
      <c r="F509" s="23" t="s">
        <v>2330</v>
      </c>
    </row>
    <row r="510" spans="1:6" x14ac:dyDescent="0.2">
      <c r="A510" s="171"/>
      <c r="B510" t="s">
        <v>2615</v>
      </c>
      <c r="F510" s="23" t="s">
        <v>2330</v>
      </c>
    </row>
    <row r="511" spans="1:6" x14ac:dyDescent="0.2">
      <c r="A511" s="171"/>
      <c r="B511" t="s">
        <v>2616</v>
      </c>
      <c r="F511" s="23" t="s">
        <v>2330</v>
      </c>
    </row>
    <row r="512" spans="1:6" x14ac:dyDescent="0.2">
      <c r="A512" s="171"/>
      <c r="B512" t="s">
        <v>590</v>
      </c>
      <c r="F512" s="23" t="s">
        <v>2330</v>
      </c>
    </row>
    <row r="513" spans="1:6" x14ac:dyDescent="0.2">
      <c r="A513" s="171"/>
      <c r="B513" t="s">
        <v>2617</v>
      </c>
      <c r="F513" s="23" t="s">
        <v>2330</v>
      </c>
    </row>
    <row r="514" spans="1:6" x14ac:dyDescent="0.2">
      <c r="A514" s="171"/>
      <c r="B514" t="s">
        <v>2618</v>
      </c>
      <c r="F514" s="23" t="s">
        <v>2330</v>
      </c>
    </row>
    <row r="515" spans="1:6" x14ac:dyDescent="0.2">
      <c r="A515" s="171"/>
      <c r="B515" t="s">
        <v>2619</v>
      </c>
      <c r="F515" s="23" t="s">
        <v>2330</v>
      </c>
    </row>
    <row r="516" spans="1:6" x14ac:dyDescent="0.2">
      <c r="A516" s="171"/>
      <c r="B516" t="s">
        <v>2620</v>
      </c>
      <c r="F516" s="23" t="s">
        <v>2330</v>
      </c>
    </row>
    <row r="517" spans="1:6" x14ac:dyDescent="0.2">
      <c r="A517" s="171"/>
      <c r="B517" t="s">
        <v>2621</v>
      </c>
      <c r="F517" s="23" t="s">
        <v>2330</v>
      </c>
    </row>
    <row r="518" spans="1:6" x14ac:dyDescent="0.2">
      <c r="A518" s="171"/>
      <c r="B518" t="s">
        <v>2622</v>
      </c>
      <c r="F518" s="23" t="s">
        <v>2330</v>
      </c>
    </row>
    <row r="519" spans="1:6" x14ac:dyDescent="0.2">
      <c r="A519" s="171"/>
      <c r="B519" t="s">
        <v>2623</v>
      </c>
      <c r="F519" s="23" t="s">
        <v>2330</v>
      </c>
    </row>
    <row r="520" spans="1:6" x14ac:dyDescent="0.2">
      <c r="A520" s="171"/>
      <c r="B520" t="s">
        <v>2624</v>
      </c>
      <c r="F520" s="23" t="s">
        <v>2330</v>
      </c>
    </row>
    <row r="521" spans="1:6" x14ac:dyDescent="0.2">
      <c r="A521" s="171"/>
      <c r="B521" t="s">
        <v>2625</v>
      </c>
      <c r="F521" s="23" t="s">
        <v>2330</v>
      </c>
    </row>
    <row r="522" spans="1:6" x14ac:dyDescent="0.2">
      <c r="A522" s="171"/>
      <c r="B522" t="s">
        <v>2626</v>
      </c>
      <c r="F522" s="23" t="s">
        <v>2330</v>
      </c>
    </row>
    <row r="523" spans="1:6" x14ac:dyDescent="0.2">
      <c r="A523" s="171"/>
      <c r="B523" t="s">
        <v>2627</v>
      </c>
      <c r="F523" s="23" t="s">
        <v>2330</v>
      </c>
    </row>
    <row r="524" spans="1:6" x14ac:dyDescent="0.2">
      <c r="A524" s="171"/>
      <c r="B524" t="s">
        <v>2628</v>
      </c>
      <c r="F524" s="23" t="s">
        <v>2330</v>
      </c>
    </row>
    <row r="525" spans="1:6" x14ac:dyDescent="0.2">
      <c r="A525" s="171"/>
      <c r="B525" t="s">
        <v>2629</v>
      </c>
      <c r="F525" s="23" t="s">
        <v>2330</v>
      </c>
    </row>
    <row r="526" spans="1:6" x14ac:dyDescent="0.2">
      <c r="A526" s="171"/>
      <c r="B526" t="s">
        <v>2630</v>
      </c>
      <c r="F526" s="23" t="s">
        <v>2330</v>
      </c>
    </row>
    <row r="527" spans="1:6" x14ac:dyDescent="0.2">
      <c r="A527" s="171"/>
      <c r="B527" t="s">
        <v>2631</v>
      </c>
      <c r="F527" s="23" t="s">
        <v>2330</v>
      </c>
    </row>
    <row r="528" spans="1:6" x14ac:dyDescent="0.2">
      <c r="A528" s="171"/>
      <c r="B528" t="s">
        <v>538</v>
      </c>
      <c r="F528" s="23" t="s">
        <v>2330</v>
      </c>
    </row>
    <row r="529" spans="1:6" x14ac:dyDescent="0.2">
      <c r="A529" s="171"/>
      <c r="B529" t="s">
        <v>559</v>
      </c>
      <c r="F529" s="23" t="s">
        <v>2330</v>
      </c>
    </row>
    <row r="530" spans="1:6" x14ac:dyDescent="0.2">
      <c r="A530" s="171"/>
      <c r="B530" t="s">
        <v>538</v>
      </c>
      <c r="F530" s="23" t="s">
        <v>2330</v>
      </c>
    </row>
    <row r="531" spans="1:6" x14ac:dyDescent="0.2">
      <c r="A531" s="171"/>
      <c r="B531" t="s">
        <v>2632</v>
      </c>
      <c r="F531" s="23" t="s">
        <v>2330</v>
      </c>
    </row>
    <row r="532" spans="1:6" x14ac:dyDescent="0.2">
      <c r="A532" s="171"/>
      <c r="B532" t="s">
        <v>2633</v>
      </c>
      <c r="F532" s="23" t="s">
        <v>2330</v>
      </c>
    </row>
    <row r="533" spans="1:6" x14ac:dyDescent="0.2">
      <c r="A533" s="171"/>
      <c r="B533" t="s">
        <v>2634</v>
      </c>
      <c r="F533" s="23" t="s">
        <v>2330</v>
      </c>
    </row>
    <row r="534" spans="1:6" x14ac:dyDescent="0.2">
      <c r="A534" s="171"/>
      <c r="B534" t="s">
        <v>2635</v>
      </c>
      <c r="F534" s="23" t="s">
        <v>2330</v>
      </c>
    </row>
    <row r="535" spans="1:6" x14ac:dyDescent="0.2">
      <c r="A535" s="171"/>
      <c r="B535" t="s">
        <v>2636</v>
      </c>
      <c r="F535" s="23" t="s">
        <v>2330</v>
      </c>
    </row>
    <row r="536" spans="1:6" x14ac:dyDescent="0.2">
      <c r="A536" s="171"/>
      <c r="B536" t="s">
        <v>2637</v>
      </c>
      <c r="F536" s="23" t="s">
        <v>2330</v>
      </c>
    </row>
    <row r="537" spans="1:6" x14ac:dyDescent="0.2">
      <c r="A537" s="171"/>
      <c r="B537" t="s">
        <v>2638</v>
      </c>
      <c r="F537" s="23" t="s">
        <v>2330</v>
      </c>
    </row>
    <row r="538" spans="1:6" x14ac:dyDescent="0.2">
      <c r="A538" s="171"/>
      <c r="B538" t="s">
        <v>2639</v>
      </c>
      <c r="F538" s="23" t="s">
        <v>2330</v>
      </c>
    </row>
    <row r="539" spans="1:6" x14ac:dyDescent="0.2">
      <c r="A539" s="171"/>
      <c r="B539" t="s">
        <v>2640</v>
      </c>
      <c r="F539" s="23" t="s">
        <v>2330</v>
      </c>
    </row>
    <row r="540" spans="1:6" x14ac:dyDescent="0.2">
      <c r="A540" s="171"/>
      <c r="B540" t="s">
        <v>2641</v>
      </c>
      <c r="F540" s="23" t="s">
        <v>2318</v>
      </c>
    </row>
    <row r="541" spans="1:6" x14ac:dyDescent="0.2">
      <c r="A541" s="171"/>
      <c r="B541" t="s">
        <v>2642</v>
      </c>
      <c r="F541" s="23" t="s">
        <v>2318</v>
      </c>
    </row>
    <row r="542" spans="1:6" ht="16" x14ac:dyDescent="0.25">
      <c r="A542" s="171"/>
      <c r="B542" t="s">
        <v>2643</v>
      </c>
      <c r="F542" s="23" t="s">
        <v>2318</v>
      </c>
    </row>
    <row r="543" spans="1:6" x14ac:dyDescent="0.2">
      <c r="A543" s="171"/>
      <c r="B543" t="s">
        <v>2644</v>
      </c>
      <c r="F543" s="23" t="s">
        <v>2318</v>
      </c>
    </row>
    <row r="544" spans="1:6" x14ac:dyDescent="0.2">
      <c r="A544" s="171"/>
      <c r="B544" t="s">
        <v>2492</v>
      </c>
      <c r="F544" s="23" t="s">
        <v>2318</v>
      </c>
    </row>
    <row r="545" spans="1:6" x14ac:dyDescent="0.2">
      <c r="A545" s="171"/>
      <c r="B545" t="s">
        <v>2454</v>
      </c>
      <c r="F545" s="23" t="s">
        <v>2318</v>
      </c>
    </row>
    <row r="546" spans="1:6" x14ac:dyDescent="0.2">
      <c r="A546" s="171"/>
      <c r="B546" t="s">
        <v>81</v>
      </c>
      <c r="F546" s="23" t="s">
        <v>2318</v>
      </c>
    </row>
    <row r="547" spans="1:6" x14ac:dyDescent="0.2">
      <c r="A547" s="171"/>
      <c r="B547" t="s">
        <v>2455</v>
      </c>
      <c r="F547" s="23" t="s">
        <v>2318</v>
      </c>
    </row>
    <row r="548" spans="1:6" ht="16" x14ac:dyDescent="0.25">
      <c r="A548" s="171"/>
      <c r="B548" t="s">
        <v>2645</v>
      </c>
      <c r="F548" s="23" t="s">
        <v>2318</v>
      </c>
    </row>
    <row r="549" spans="1:6" x14ac:dyDescent="0.2">
      <c r="A549" s="171"/>
      <c r="B549" t="s">
        <v>2646</v>
      </c>
      <c r="F549" s="23" t="s">
        <v>2318</v>
      </c>
    </row>
    <row r="550" spans="1:6" x14ac:dyDescent="0.2">
      <c r="A550" s="171"/>
      <c r="B550" t="s">
        <v>2647</v>
      </c>
      <c r="F550" s="23" t="s">
        <v>2318</v>
      </c>
    </row>
    <row r="551" spans="1:6" x14ac:dyDescent="0.2">
      <c r="A551" s="171"/>
      <c r="B551" t="s">
        <v>2648</v>
      </c>
      <c r="F551" s="23" t="s">
        <v>2318</v>
      </c>
    </row>
    <row r="552" spans="1:6" x14ac:dyDescent="0.2">
      <c r="A552" s="171"/>
      <c r="B552" t="s">
        <v>2649</v>
      </c>
      <c r="F552" s="23" t="s">
        <v>2318</v>
      </c>
    </row>
    <row r="553" spans="1:6" ht="16" x14ac:dyDescent="0.25">
      <c r="A553" s="171"/>
      <c r="B553" t="s">
        <v>2650</v>
      </c>
      <c r="F553" s="23" t="s">
        <v>2318</v>
      </c>
    </row>
    <row r="554" spans="1:6" x14ac:dyDescent="0.2">
      <c r="A554" s="171"/>
      <c r="B554" t="s">
        <v>2651</v>
      </c>
      <c r="F554" s="23" t="s">
        <v>2318</v>
      </c>
    </row>
    <row r="555" spans="1:6" x14ac:dyDescent="0.2">
      <c r="A555" s="171"/>
      <c r="B555" t="s">
        <v>2398</v>
      </c>
      <c r="F555" s="23" t="s">
        <v>2318</v>
      </c>
    </row>
    <row r="556" spans="1:6" ht="16" x14ac:dyDescent="0.25">
      <c r="A556" s="171"/>
      <c r="B556" t="s">
        <v>2652</v>
      </c>
      <c r="F556" s="23" t="s">
        <v>2318</v>
      </c>
    </row>
    <row r="557" spans="1:6" x14ac:dyDescent="0.2">
      <c r="A557" s="171"/>
      <c r="B557" t="s">
        <v>2653</v>
      </c>
      <c r="F557" s="23" t="s">
        <v>2318</v>
      </c>
    </row>
    <row r="558" spans="1:6" x14ac:dyDescent="0.2">
      <c r="A558" s="171"/>
      <c r="B558" t="s">
        <v>468</v>
      </c>
      <c r="F558" s="23" t="s">
        <v>2318</v>
      </c>
    </row>
    <row r="559" spans="1:6" x14ac:dyDescent="0.2">
      <c r="A559" s="171"/>
      <c r="B559" t="s">
        <v>2654</v>
      </c>
      <c r="F559" s="23" t="s">
        <v>2318</v>
      </c>
    </row>
    <row r="560" spans="1:6" x14ac:dyDescent="0.2">
      <c r="A560" s="171"/>
      <c r="B560" t="s">
        <v>2655</v>
      </c>
      <c r="F560" s="23" t="s">
        <v>2318</v>
      </c>
    </row>
    <row r="561" spans="1:6" x14ac:dyDescent="0.2">
      <c r="A561" s="171"/>
      <c r="B561" t="s">
        <v>2656</v>
      </c>
      <c r="F561" s="23" t="s">
        <v>2318</v>
      </c>
    </row>
    <row r="562" spans="1:6" x14ac:dyDescent="0.2">
      <c r="A562" s="171"/>
      <c r="B562" t="s">
        <v>521</v>
      </c>
      <c r="F562" s="23" t="s">
        <v>2318</v>
      </c>
    </row>
    <row r="563" spans="1:6" x14ac:dyDescent="0.2">
      <c r="A563" s="171"/>
      <c r="B563" t="s">
        <v>523</v>
      </c>
      <c r="F563" s="23" t="s">
        <v>2318</v>
      </c>
    </row>
    <row r="564" spans="1:6" x14ac:dyDescent="0.2">
      <c r="A564" s="171"/>
      <c r="B564" t="s">
        <v>2657</v>
      </c>
      <c r="F564" s="23" t="s">
        <v>2318</v>
      </c>
    </row>
    <row r="565" spans="1:6" x14ac:dyDescent="0.2">
      <c r="A565" s="171"/>
      <c r="B565" t="s">
        <v>2658</v>
      </c>
      <c r="F565" s="23" t="s">
        <v>2318</v>
      </c>
    </row>
    <row r="566" spans="1:6" x14ac:dyDescent="0.2">
      <c r="A566" s="171"/>
      <c r="B566" t="s">
        <v>2659</v>
      </c>
      <c r="F566" s="23" t="s">
        <v>2318</v>
      </c>
    </row>
    <row r="567" spans="1:6" x14ac:dyDescent="0.2">
      <c r="A567" s="171"/>
      <c r="B567" t="s">
        <v>2660</v>
      </c>
      <c r="F567" s="23" t="s">
        <v>2318</v>
      </c>
    </row>
    <row r="568" spans="1:6" x14ac:dyDescent="0.2">
      <c r="A568" s="171"/>
      <c r="B568" t="s">
        <v>494</v>
      </c>
      <c r="F568" s="23" t="s">
        <v>2318</v>
      </c>
    </row>
    <row r="569" spans="1:6" x14ac:dyDescent="0.2">
      <c r="A569" s="171"/>
      <c r="B569" t="s">
        <v>484</v>
      </c>
      <c r="F569" s="23" t="s">
        <v>2318</v>
      </c>
    </row>
    <row r="570" spans="1:6" x14ac:dyDescent="0.2">
      <c r="A570" s="171"/>
      <c r="B570" t="s">
        <v>2661</v>
      </c>
      <c r="F570" s="23" t="s">
        <v>2318</v>
      </c>
    </row>
    <row r="571" spans="1:6" x14ac:dyDescent="0.2">
      <c r="A571" s="171"/>
      <c r="B571" t="s">
        <v>2662</v>
      </c>
      <c r="F571" s="23" t="s">
        <v>2318</v>
      </c>
    </row>
    <row r="572" spans="1:6" x14ac:dyDescent="0.2">
      <c r="A572" s="171"/>
      <c r="B572" t="s">
        <v>2663</v>
      </c>
      <c r="F572" s="23" t="s">
        <v>2318</v>
      </c>
    </row>
    <row r="573" spans="1:6" x14ac:dyDescent="0.2">
      <c r="A573" s="171"/>
      <c r="B573" t="s">
        <v>2664</v>
      </c>
      <c r="F573" s="23" t="s">
        <v>2318</v>
      </c>
    </row>
    <row r="574" spans="1:6" x14ac:dyDescent="0.2">
      <c r="A574" s="171"/>
      <c r="B574" t="s">
        <v>2665</v>
      </c>
      <c r="F574" s="23" t="s">
        <v>2318</v>
      </c>
    </row>
    <row r="575" spans="1:6" x14ac:dyDescent="0.2">
      <c r="A575" s="171"/>
      <c r="B575" t="s">
        <v>2666</v>
      </c>
      <c r="F575" s="23" t="s">
        <v>2318</v>
      </c>
    </row>
    <row r="576" spans="1:6" x14ac:dyDescent="0.2">
      <c r="A576" s="171"/>
      <c r="B576" t="s">
        <v>2667</v>
      </c>
      <c r="F576" s="23" t="s">
        <v>2318</v>
      </c>
    </row>
    <row r="577" spans="1:6" x14ac:dyDescent="0.2">
      <c r="A577" s="171"/>
      <c r="B577" t="s">
        <v>2668</v>
      </c>
      <c r="F577" s="23" t="s">
        <v>2318</v>
      </c>
    </row>
    <row r="578" spans="1:6" x14ac:dyDescent="0.2">
      <c r="A578" s="171"/>
      <c r="B578" t="s">
        <v>2669</v>
      </c>
      <c r="F578" s="23" t="s">
        <v>2318</v>
      </c>
    </row>
    <row r="579" spans="1:6" x14ac:dyDescent="0.2">
      <c r="A579" s="171"/>
      <c r="B579" t="s">
        <v>2670</v>
      </c>
      <c r="F579" s="23" t="s">
        <v>2318</v>
      </c>
    </row>
    <row r="580" spans="1:6" x14ac:dyDescent="0.2">
      <c r="A580" s="171"/>
      <c r="B580" t="s">
        <v>2671</v>
      </c>
      <c r="F580" s="23" t="s">
        <v>2318</v>
      </c>
    </row>
    <row r="581" spans="1:6" x14ac:dyDescent="0.2">
      <c r="A581" s="171"/>
      <c r="B581" t="s">
        <v>2672</v>
      </c>
      <c r="F581" s="23" t="s">
        <v>2318</v>
      </c>
    </row>
    <row r="582" spans="1:6" x14ac:dyDescent="0.2">
      <c r="A582" s="171"/>
      <c r="B582" t="s">
        <v>2673</v>
      </c>
      <c r="F582" s="23" t="s">
        <v>2318</v>
      </c>
    </row>
    <row r="583" spans="1:6" x14ac:dyDescent="0.2">
      <c r="A583" s="171"/>
      <c r="B583" t="s">
        <v>2674</v>
      </c>
      <c r="F583" s="23" t="s">
        <v>2318</v>
      </c>
    </row>
    <row r="584" spans="1:6" x14ac:dyDescent="0.2">
      <c r="A584" s="171"/>
      <c r="B584" t="s">
        <v>2489</v>
      </c>
      <c r="F584" s="23" t="s">
        <v>2318</v>
      </c>
    </row>
    <row r="585" spans="1:6" x14ac:dyDescent="0.2">
      <c r="A585" s="171"/>
      <c r="B585" t="s">
        <v>2675</v>
      </c>
      <c r="F585" s="23" t="s">
        <v>2318</v>
      </c>
    </row>
    <row r="586" spans="1:6" x14ac:dyDescent="0.2">
      <c r="A586" s="171"/>
      <c r="B586" t="s">
        <v>2676</v>
      </c>
      <c r="F586" s="23" t="s">
        <v>2318</v>
      </c>
    </row>
    <row r="587" spans="1:6" x14ac:dyDescent="0.2">
      <c r="A587" s="171"/>
      <c r="B587" t="s">
        <v>2505</v>
      </c>
      <c r="F587" s="23" t="s">
        <v>2824</v>
      </c>
    </row>
    <row r="588" spans="1:6" x14ac:dyDescent="0.2">
      <c r="A588" s="171"/>
      <c r="B588" t="s">
        <v>2506</v>
      </c>
      <c r="F588" s="23" t="s">
        <v>2824</v>
      </c>
    </row>
    <row r="589" spans="1:6" x14ac:dyDescent="0.2">
      <c r="A589" s="171"/>
      <c r="B589" t="s">
        <v>2507</v>
      </c>
      <c r="F589" s="23" t="s">
        <v>2824</v>
      </c>
    </row>
    <row r="590" spans="1:6" x14ac:dyDescent="0.2">
      <c r="A590" s="171"/>
      <c r="B590" t="s">
        <v>2508</v>
      </c>
      <c r="F590" s="23" t="s">
        <v>2824</v>
      </c>
    </row>
    <row r="591" spans="1:6" x14ac:dyDescent="0.2">
      <c r="A591" s="171"/>
      <c r="B591" t="s">
        <v>2509</v>
      </c>
      <c r="F591" s="23" t="s">
        <v>2824</v>
      </c>
    </row>
    <row r="592" spans="1:6" x14ac:dyDescent="0.2">
      <c r="A592" s="171"/>
      <c r="B592" t="s">
        <v>2510</v>
      </c>
      <c r="F592" s="23" t="s">
        <v>2824</v>
      </c>
    </row>
    <row r="593" spans="1:6" x14ac:dyDescent="0.2">
      <c r="A593" s="171"/>
      <c r="B593" t="s">
        <v>2511</v>
      </c>
      <c r="F593" s="23" t="s">
        <v>2824</v>
      </c>
    </row>
    <row r="594" spans="1:6" x14ac:dyDescent="0.2">
      <c r="A594" s="171"/>
      <c r="B594" t="s">
        <v>2512</v>
      </c>
      <c r="F594" s="23" t="s">
        <v>2824</v>
      </c>
    </row>
    <row r="595" spans="1:6" x14ac:dyDescent="0.2">
      <c r="A595" s="171"/>
      <c r="B595" t="s">
        <v>2513</v>
      </c>
      <c r="F595" s="23" t="s">
        <v>2824</v>
      </c>
    </row>
    <row r="596" spans="1:6" x14ac:dyDescent="0.2">
      <c r="A596" s="171"/>
      <c r="B596" t="s">
        <v>2514</v>
      </c>
      <c r="F596" s="23" t="s">
        <v>2824</v>
      </c>
    </row>
    <row r="597" spans="1:6" x14ac:dyDescent="0.2">
      <c r="A597" s="171"/>
      <c r="B597" t="s">
        <v>2515</v>
      </c>
      <c r="F597" s="23" t="s">
        <v>2824</v>
      </c>
    </row>
    <row r="598" spans="1:6" x14ac:dyDescent="0.2">
      <c r="A598" s="171"/>
      <c r="B598" t="s">
        <v>2516</v>
      </c>
      <c r="F598" s="23" t="s">
        <v>2824</v>
      </c>
    </row>
    <row r="599" spans="1:6" x14ac:dyDescent="0.2">
      <c r="A599" s="171"/>
      <c r="B599" t="s">
        <v>503</v>
      </c>
      <c r="F599" s="23" t="s">
        <v>2824</v>
      </c>
    </row>
    <row r="600" spans="1:6" x14ac:dyDescent="0.2">
      <c r="A600" s="171"/>
      <c r="B600" t="s">
        <v>2517</v>
      </c>
      <c r="F600" s="23" t="s">
        <v>2824</v>
      </c>
    </row>
    <row r="601" spans="1:6" x14ac:dyDescent="0.2">
      <c r="A601" s="171"/>
      <c r="B601" t="s">
        <v>2800</v>
      </c>
      <c r="F601" s="23" t="s">
        <v>2798</v>
      </c>
    </row>
    <row r="602" spans="1:6" x14ac:dyDescent="0.2">
      <c r="A602" s="171"/>
      <c r="B602" t="s">
        <v>2801</v>
      </c>
      <c r="F602" s="23" t="s">
        <v>2798</v>
      </c>
    </row>
    <row r="603" spans="1:6" x14ac:dyDescent="0.2">
      <c r="A603" s="171"/>
      <c r="B603" t="s">
        <v>2802</v>
      </c>
      <c r="F603" s="23" t="s">
        <v>2798</v>
      </c>
    </row>
    <row r="604" spans="1:6" ht="16" x14ac:dyDescent="0.2">
      <c r="A604" s="171"/>
      <c r="B604" s="12" t="s">
        <v>2772</v>
      </c>
      <c r="F604" s="23" t="s">
        <v>1241</v>
      </c>
    </row>
    <row r="605" spans="1:6" ht="16" x14ac:dyDescent="0.2">
      <c r="A605" s="171"/>
      <c r="B605" s="12" t="s">
        <v>2773</v>
      </c>
      <c r="F605" s="23" t="s">
        <v>1241</v>
      </c>
    </row>
    <row r="606" spans="1:6" ht="17" customHeight="1" x14ac:dyDescent="0.2">
      <c r="A606" s="171"/>
      <c r="B606" s="12" t="s">
        <v>2774</v>
      </c>
      <c r="F606" s="23" t="s">
        <v>1241</v>
      </c>
    </row>
    <row r="607" spans="1:6" x14ac:dyDescent="0.2">
      <c r="A607" s="171"/>
      <c r="B607" s="1" t="s">
        <v>2484</v>
      </c>
      <c r="F607" s="23" t="s">
        <v>1241</v>
      </c>
    </row>
    <row r="608" spans="1:6" x14ac:dyDescent="0.2">
      <c r="A608" s="171"/>
      <c r="B608" s="1" t="s">
        <v>2486</v>
      </c>
      <c r="F608" s="23" t="s">
        <v>1241</v>
      </c>
    </row>
    <row r="609" spans="1:6" x14ac:dyDescent="0.2">
      <c r="A609" s="171"/>
      <c r="B609" s="1" t="s">
        <v>2776</v>
      </c>
      <c r="F609" s="23" t="s">
        <v>1241</v>
      </c>
    </row>
    <row r="610" spans="1:6" x14ac:dyDescent="0.2">
      <c r="A610" s="171"/>
      <c r="B610" s="1" t="s">
        <v>2777</v>
      </c>
      <c r="F610" s="23" t="s">
        <v>1241</v>
      </c>
    </row>
    <row r="611" spans="1:6" x14ac:dyDescent="0.2">
      <c r="A611" s="171"/>
      <c r="B611" s="1" t="s">
        <v>2778</v>
      </c>
      <c r="F611" s="23" t="s">
        <v>1241</v>
      </c>
    </row>
    <row r="612" spans="1:6" x14ac:dyDescent="0.2">
      <c r="A612" s="171"/>
      <c r="B612" s="1" t="s">
        <v>2485</v>
      </c>
      <c r="F612" s="23" t="s">
        <v>1241</v>
      </c>
    </row>
    <row r="613" spans="1:6" x14ac:dyDescent="0.2">
      <c r="A613" s="171"/>
      <c r="B613" s="1" t="s">
        <v>2487</v>
      </c>
      <c r="F613" s="23" t="s">
        <v>1241</v>
      </c>
    </row>
    <row r="614" spans="1:6" x14ac:dyDescent="0.2">
      <c r="A614" s="171"/>
      <c r="B614" s="1" t="s">
        <v>2488</v>
      </c>
      <c r="F614" s="23" t="s">
        <v>1241</v>
      </c>
    </row>
    <row r="615" spans="1:6" x14ac:dyDescent="0.2">
      <c r="A615" s="171"/>
      <c r="B615" s="1" t="s">
        <v>2476</v>
      </c>
      <c r="F615" s="23" t="s">
        <v>1314</v>
      </c>
    </row>
    <row r="616" spans="1:6" x14ac:dyDescent="0.2">
      <c r="A616" s="171"/>
      <c r="B616" s="1" t="s">
        <v>2477</v>
      </c>
      <c r="F616" s="23" t="s">
        <v>1314</v>
      </c>
    </row>
    <row r="617" spans="1:6" x14ac:dyDescent="0.2">
      <c r="A617" s="171"/>
      <c r="B617" s="1" t="s">
        <v>2478</v>
      </c>
      <c r="F617" s="23" t="s">
        <v>1314</v>
      </c>
    </row>
    <row r="618" spans="1:6" x14ac:dyDescent="0.2">
      <c r="A618" s="171"/>
      <c r="B618" s="1" t="s">
        <v>2479</v>
      </c>
      <c r="F618" s="23" t="s">
        <v>1314</v>
      </c>
    </row>
    <row r="619" spans="1:6" x14ac:dyDescent="0.2">
      <c r="A619" s="171"/>
      <c r="B619" s="1" t="s">
        <v>2480</v>
      </c>
      <c r="F619" s="23" t="s">
        <v>1314</v>
      </c>
    </row>
    <row r="620" spans="1:6" x14ac:dyDescent="0.2">
      <c r="A620" s="171"/>
      <c r="B620" s="1" t="s">
        <v>2481</v>
      </c>
      <c r="F620" s="23" t="s">
        <v>1314</v>
      </c>
    </row>
    <row r="621" spans="1:6" x14ac:dyDescent="0.2">
      <c r="A621" s="171"/>
      <c r="B621" t="s">
        <v>2482</v>
      </c>
      <c r="F621" s="23" t="s">
        <v>1314</v>
      </c>
    </row>
    <row r="622" spans="1:6" ht="16" thickBot="1" x14ac:dyDescent="0.25">
      <c r="A622" s="172"/>
      <c r="B622" s="15" t="s">
        <v>2483</v>
      </c>
      <c r="C622" s="173"/>
      <c r="D622" s="173"/>
      <c r="E622" s="173"/>
      <c r="F622" s="174" t="s">
        <v>1314</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FA00F-0931-0A4F-9DB1-BCB64B8D7E83}">
  <dimension ref="A1:CD216"/>
  <sheetViews>
    <sheetView topLeftCell="A202" zoomScale="108" workbookViewId="0">
      <selection activeCell="E219" sqref="E219"/>
    </sheetView>
  </sheetViews>
  <sheetFormatPr baseColWidth="10" defaultColWidth="8.83203125" defaultRowHeight="16" x14ac:dyDescent="0.2"/>
  <cols>
    <col min="1" max="1" width="10.33203125" style="315" bestFit="1" customWidth="1"/>
    <col min="2" max="2" width="10.5" style="315" bestFit="1" customWidth="1"/>
    <col min="3" max="3" width="46.1640625" style="316" bestFit="1" customWidth="1"/>
    <col min="4" max="4" width="108.5" style="317" customWidth="1"/>
    <col min="5" max="5" width="66.33203125" style="293" customWidth="1"/>
    <col min="6" max="6" width="26" style="259" customWidth="1"/>
    <col min="7" max="16384" width="8.83203125" style="254"/>
  </cols>
  <sheetData>
    <row r="1" spans="1:82" s="245" customFormat="1" x14ac:dyDescent="0.2">
      <c r="A1" s="239" t="s">
        <v>2996</v>
      </c>
      <c r="B1" s="239" t="s">
        <v>2997</v>
      </c>
      <c r="C1" s="240" t="s">
        <v>1</v>
      </c>
      <c r="D1" s="241" t="s">
        <v>3</v>
      </c>
      <c r="E1" s="242" t="s">
        <v>1349</v>
      </c>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4" t="s">
        <v>1350</v>
      </c>
      <c r="CD1" s="243" t="s">
        <v>1351</v>
      </c>
    </row>
    <row r="2" spans="1:82" s="245" customFormat="1" x14ac:dyDescent="0.2">
      <c r="A2" s="246"/>
      <c r="B2" s="246"/>
      <c r="C2" s="247"/>
      <c r="D2" s="248" t="s">
        <v>1352</v>
      </c>
      <c r="E2" s="249"/>
      <c r="F2" s="243"/>
      <c r="G2" s="243"/>
      <c r="H2" s="243"/>
      <c r="I2" s="243"/>
      <c r="J2" s="243"/>
      <c r="K2" s="243"/>
      <c r="L2" s="243"/>
      <c r="M2" s="243"/>
      <c r="N2" s="243"/>
      <c r="O2" s="243"/>
      <c r="P2" s="243"/>
      <c r="Q2" s="243"/>
      <c r="R2" s="243"/>
      <c r="S2" s="243"/>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3"/>
      <c r="BG2" s="243"/>
      <c r="BH2" s="243"/>
      <c r="BI2" s="243"/>
      <c r="BJ2" s="243"/>
      <c r="BK2" s="243"/>
      <c r="BL2" s="243"/>
      <c r="BM2" s="243"/>
      <c r="BN2" s="243"/>
      <c r="BO2" s="243"/>
      <c r="BP2" s="243"/>
      <c r="BQ2" s="243"/>
      <c r="BR2" s="243"/>
      <c r="BS2" s="243"/>
      <c r="BT2" s="243"/>
      <c r="BU2" s="243"/>
      <c r="BV2" s="243"/>
      <c r="BW2" s="243"/>
      <c r="BX2" s="243"/>
      <c r="BY2" s="243"/>
      <c r="BZ2" s="243"/>
      <c r="CA2" s="243"/>
      <c r="CB2" s="243"/>
      <c r="CC2" s="243"/>
      <c r="CD2" s="243" t="s">
        <v>764</v>
      </c>
    </row>
    <row r="3" spans="1:82" ht="32" x14ac:dyDescent="0.2">
      <c r="A3" s="250" t="s">
        <v>6</v>
      </c>
      <c r="B3" s="250" t="s">
        <v>6</v>
      </c>
      <c r="C3" s="251" t="s">
        <v>31</v>
      </c>
      <c r="D3" s="251" t="s">
        <v>1353</v>
      </c>
      <c r="E3" s="252" t="s">
        <v>2679</v>
      </c>
      <c r="F3" s="253"/>
      <c r="G3" s="244"/>
      <c r="H3" s="244"/>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row>
    <row r="4" spans="1:82" ht="48" x14ac:dyDescent="0.2">
      <c r="A4" s="255" t="s">
        <v>1354</v>
      </c>
      <c r="B4" s="255" t="s">
        <v>1354</v>
      </c>
      <c r="C4" s="256" t="s">
        <v>7</v>
      </c>
      <c r="D4" s="256" t="s">
        <v>1355</v>
      </c>
      <c r="E4" s="257" t="s">
        <v>1356</v>
      </c>
      <c r="F4" s="253"/>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row>
    <row r="5" spans="1:82" ht="32" x14ac:dyDescent="0.2">
      <c r="A5" s="250" t="s">
        <v>2399</v>
      </c>
      <c r="B5" s="250" t="s">
        <v>2399</v>
      </c>
      <c r="C5" s="251" t="s">
        <v>2745</v>
      </c>
      <c r="D5" s="251" t="s">
        <v>2870</v>
      </c>
      <c r="E5" s="252" t="s">
        <v>2779</v>
      </c>
      <c r="F5" s="253"/>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row>
    <row r="6" spans="1:82" ht="32" x14ac:dyDescent="0.2">
      <c r="A6" s="255" t="s">
        <v>2400</v>
      </c>
      <c r="B6" s="255" t="s">
        <v>2400</v>
      </c>
      <c r="C6" s="256" t="s">
        <v>2445</v>
      </c>
      <c r="D6" s="256" t="s">
        <v>2871</v>
      </c>
      <c r="E6" s="257" t="s">
        <v>2780</v>
      </c>
      <c r="F6" s="253"/>
      <c r="G6" s="244"/>
      <c r="H6" s="244"/>
      <c r="I6" s="244"/>
      <c r="J6" s="244"/>
      <c r="K6" s="244"/>
      <c r="L6" s="244"/>
      <c r="M6" s="244"/>
      <c r="N6" s="244"/>
      <c r="O6" s="244"/>
      <c r="P6" s="244"/>
      <c r="Q6" s="244"/>
      <c r="R6" s="244"/>
      <c r="S6" s="244"/>
      <c r="T6" s="244"/>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row>
    <row r="7" spans="1:82" x14ac:dyDescent="0.2">
      <c r="A7" s="250" t="s">
        <v>2401</v>
      </c>
      <c r="B7" s="250" t="s">
        <v>2401</v>
      </c>
      <c r="C7" s="251" t="s">
        <v>2746</v>
      </c>
      <c r="D7" s="251" t="s">
        <v>2872</v>
      </c>
      <c r="E7" s="252" t="s">
        <v>2781</v>
      </c>
      <c r="F7" s="253"/>
      <c r="G7" s="244"/>
      <c r="H7" s="244"/>
      <c r="I7" s="244"/>
      <c r="J7" s="244"/>
      <c r="K7" s="244"/>
      <c r="L7" s="244"/>
      <c r="M7" s="244"/>
      <c r="N7" s="244"/>
      <c r="O7" s="244"/>
      <c r="P7" s="244"/>
      <c r="Q7" s="244"/>
      <c r="R7" s="244"/>
      <c r="S7" s="244"/>
      <c r="T7" s="244"/>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row>
    <row r="8" spans="1:82" ht="32" x14ac:dyDescent="0.2">
      <c r="A8" s="255" t="s">
        <v>2402</v>
      </c>
      <c r="B8" s="255" t="s">
        <v>2402</v>
      </c>
      <c r="C8" s="256" t="s">
        <v>2446</v>
      </c>
      <c r="D8" s="256" t="s">
        <v>2873</v>
      </c>
      <c r="E8" s="257" t="s">
        <v>2782</v>
      </c>
      <c r="F8" s="253"/>
      <c r="G8" s="244"/>
      <c r="H8" s="244"/>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row>
    <row r="9" spans="1:82" ht="64" x14ac:dyDescent="0.2">
      <c r="A9" s="250" t="s">
        <v>30</v>
      </c>
      <c r="B9" s="250" t="s">
        <v>30</v>
      </c>
      <c r="C9" s="251" t="s">
        <v>43</v>
      </c>
      <c r="D9" s="251" t="s">
        <v>1357</v>
      </c>
      <c r="E9" s="252" t="s">
        <v>2680</v>
      </c>
      <c r="F9" s="253"/>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row>
    <row r="10" spans="1:82" ht="32" x14ac:dyDescent="0.2">
      <c r="A10" s="255" t="s">
        <v>1358</v>
      </c>
      <c r="B10" s="255" t="s">
        <v>1358</v>
      </c>
      <c r="C10" s="256" t="s">
        <v>1359</v>
      </c>
      <c r="D10" s="256" t="s">
        <v>1360</v>
      </c>
      <c r="E10" s="257" t="s">
        <v>2747</v>
      </c>
      <c r="F10" s="253"/>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row>
    <row r="11" spans="1:82" x14ac:dyDescent="0.2">
      <c r="A11" s="250" t="s">
        <v>1361</v>
      </c>
      <c r="B11" s="250" t="s">
        <v>1361</v>
      </c>
      <c r="C11" s="251" t="s">
        <v>1362</v>
      </c>
      <c r="D11" s="251" t="s">
        <v>1363</v>
      </c>
      <c r="E11" s="252"/>
      <c r="F11" s="253"/>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row>
    <row r="12" spans="1:82" x14ac:dyDescent="0.2">
      <c r="A12" s="255" t="s">
        <v>42</v>
      </c>
      <c r="B12" s="255" t="s">
        <v>42</v>
      </c>
      <c r="C12" s="256" t="s">
        <v>61</v>
      </c>
      <c r="D12" s="256" t="s">
        <v>1364</v>
      </c>
      <c r="E12" s="257" t="s">
        <v>65</v>
      </c>
      <c r="F12" s="253"/>
      <c r="G12" s="244"/>
      <c r="H12" s="244"/>
      <c r="I12" s="244"/>
      <c r="J12" s="244"/>
      <c r="K12" s="244"/>
      <c r="L12" s="244"/>
      <c r="M12" s="244"/>
      <c r="N12" s="244"/>
      <c r="O12" s="244"/>
      <c r="P12" s="244"/>
      <c r="Q12" s="244"/>
      <c r="R12" s="244"/>
      <c r="S12" s="244"/>
      <c r="T12" s="244"/>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row>
    <row r="13" spans="1:82" ht="32" x14ac:dyDescent="0.2">
      <c r="A13" s="250" t="s">
        <v>60</v>
      </c>
      <c r="B13" s="250" t="s">
        <v>60</v>
      </c>
      <c r="C13" s="251" t="s">
        <v>1365</v>
      </c>
      <c r="D13" s="251" t="s">
        <v>1366</v>
      </c>
      <c r="E13" s="252" t="s">
        <v>2748</v>
      </c>
      <c r="F13" s="253"/>
      <c r="G13" s="244"/>
      <c r="H13" s="244"/>
      <c r="I13" s="244"/>
      <c r="J13" s="244"/>
      <c r="K13" s="244"/>
      <c r="L13" s="244"/>
      <c r="M13" s="244"/>
      <c r="N13" s="244"/>
      <c r="O13" s="244"/>
      <c r="P13" s="244"/>
      <c r="Q13" s="244"/>
      <c r="R13" s="244"/>
      <c r="S13" s="244"/>
      <c r="T13" s="244"/>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row>
    <row r="14" spans="1:82" s="259" customFormat="1" ht="96" x14ac:dyDescent="0.2">
      <c r="A14" s="258" t="s">
        <v>1394</v>
      </c>
      <c r="B14" s="258" t="s">
        <v>75</v>
      </c>
      <c r="C14" s="251" t="s">
        <v>173</v>
      </c>
      <c r="D14" s="251" t="s">
        <v>1395</v>
      </c>
      <c r="E14" s="252" t="s">
        <v>1396</v>
      </c>
      <c r="F14" s="253"/>
      <c r="G14" s="244"/>
      <c r="H14" s="244"/>
      <c r="I14" s="244"/>
      <c r="J14" s="244"/>
      <c r="K14" s="244"/>
      <c r="L14" s="244"/>
      <c r="M14" s="244"/>
      <c r="N14" s="244"/>
      <c r="O14" s="244"/>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row>
    <row r="15" spans="1:82" s="259" customFormat="1" x14ac:dyDescent="0.2">
      <c r="A15" s="255" t="s">
        <v>2496</v>
      </c>
      <c r="B15" s="255" t="s">
        <v>2892</v>
      </c>
      <c r="C15" s="260" t="s">
        <v>2760</v>
      </c>
      <c r="D15" s="261" t="s">
        <v>2425</v>
      </c>
      <c r="E15" s="257"/>
      <c r="F15" s="253"/>
      <c r="G15" s="244"/>
      <c r="H15" s="244"/>
      <c r="I15" s="244"/>
      <c r="J15" s="244"/>
      <c r="K15" s="244"/>
      <c r="L15" s="244"/>
      <c r="M15" s="244"/>
      <c r="N15" s="244"/>
      <c r="O15" s="244"/>
      <c r="P15" s="244"/>
      <c r="Q15" s="244"/>
      <c r="R15" s="244"/>
      <c r="S15" s="244"/>
      <c r="T15" s="244"/>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row>
    <row r="16" spans="1:82" s="259" customFormat="1" x14ac:dyDescent="0.2">
      <c r="A16" s="255" t="s">
        <v>2416</v>
      </c>
      <c r="B16" s="255" t="s">
        <v>2893</v>
      </c>
      <c r="C16" s="256" t="s">
        <v>2753</v>
      </c>
      <c r="D16" s="256" t="s">
        <v>2321</v>
      </c>
      <c r="E16" s="257"/>
      <c r="F16" s="253"/>
      <c r="G16" s="244"/>
      <c r="H16" s="244"/>
      <c r="I16" s="244"/>
      <c r="J16" s="244"/>
      <c r="K16" s="244"/>
      <c r="L16" s="244"/>
      <c r="M16" s="244"/>
      <c r="N16" s="244"/>
      <c r="O16" s="244"/>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row>
    <row r="17" spans="1:82" s="259" customFormat="1" x14ac:dyDescent="0.2">
      <c r="A17" s="255" t="s">
        <v>1510</v>
      </c>
      <c r="B17" s="255" t="s">
        <v>2894</v>
      </c>
      <c r="C17" s="256" t="s">
        <v>715</v>
      </c>
      <c r="D17" s="256" t="s">
        <v>1513</v>
      </c>
      <c r="E17" s="257"/>
      <c r="F17" s="253"/>
      <c r="G17" s="244"/>
      <c r="H17" s="244"/>
      <c r="I17" s="244"/>
      <c r="J17" s="244"/>
      <c r="K17" s="244"/>
      <c r="L17" s="244"/>
      <c r="M17" s="244"/>
      <c r="N17" s="244"/>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row>
    <row r="18" spans="1:82" s="259" customFormat="1" ht="48" x14ac:dyDescent="0.2">
      <c r="A18" s="250" t="s">
        <v>354</v>
      </c>
      <c r="B18" s="250" t="s">
        <v>2895</v>
      </c>
      <c r="C18" s="251" t="s">
        <v>355</v>
      </c>
      <c r="D18" s="251" t="s">
        <v>2864</v>
      </c>
      <c r="E18" s="252" t="s">
        <v>2695</v>
      </c>
      <c r="F18" s="253"/>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row>
    <row r="19" spans="1:82" s="259" customFormat="1" ht="32" x14ac:dyDescent="0.2">
      <c r="A19" s="255" t="s">
        <v>290</v>
      </c>
      <c r="B19" s="255" t="s">
        <v>2896</v>
      </c>
      <c r="C19" s="256" t="s">
        <v>1405</v>
      </c>
      <c r="D19" s="256" t="s">
        <v>1406</v>
      </c>
      <c r="E19" s="257" t="s">
        <v>1407</v>
      </c>
      <c r="F19" s="253"/>
      <c r="G19" s="244"/>
      <c r="H19" s="244"/>
      <c r="I19" s="244"/>
      <c r="J19" s="244"/>
      <c r="K19" s="244"/>
      <c r="L19" s="244"/>
      <c r="M19" s="244"/>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row>
    <row r="20" spans="1:82" s="259" customFormat="1" ht="32" x14ac:dyDescent="0.2">
      <c r="A20" s="255" t="s">
        <v>1411</v>
      </c>
      <c r="B20" s="255" t="s">
        <v>2897</v>
      </c>
      <c r="C20" s="256" t="s">
        <v>291</v>
      </c>
      <c r="D20" s="256" t="s">
        <v>1412</v>
      </c>
      <c r="E20" s="257"/>
      <c r="F20" s="253"/>
      <c r="G20" s="244"/>
      <c r="H20" s="244"/>
      <c r="I20" s="244"/>
      <c r="J20" s="244"/>
      <c r="K20" s="244"/>
      <c r="L20" s="244"/>
      <c r="M20" s="244"/>
      <c r="N20" s="244"/>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row>
    <row r="21" spans="1:82" x14ac:dyDescent="0.2">
      <c r="A21" s="262"/>
      <c r="B21" s="262"/>
      <c r="C21" s="263"/>
      <c r="D21" s="264" t="s">
        <v>1367</v>
      </c>
      <c r="E21" s="265"/>
      <c r="F21" s="253"/>
      <c r="G21" s="244"/>
      <c r="H21" s="244"/>
      <c r="I21" s="244"/>
      <c r="J21" s="244"/>
      <c r="K21" s="244"/>
      <c r="L21" s="244"/>
      <c r="M21" s="244"/>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row>
    <row r="22" spans="1:82" ht="32" x14ac:dyDescent="0.2">
      <c r="A22" s="250" t="s">
        <v>91</v>
      </c>
      <c r="B22" s="250" t="s">
        <v>91</v>
      </c>
      <c r="C22" s="251" t="s">
        <v>107</v>
      </c>
      <c r="D22" s="251" t="s">
        <v>1368</v>
      </c>
      <c r="E22" s="252" t="s">
        <v>104</v>
      </c>
      <c r="F22" s="253"/>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row>
    <row r="23" spans="1:82" ht="32" x14ac:dyDescent="0.2">
      <c r="A23" s="255" t="s">
        <v>1369</v>
      </c>
      <c r="B23" s="255" t="s">
        <v>1369</v>
      </c>
      <c r="C23" s="256" t="s">
        <v>92</v>
      </c>
      <c r="D23" s="256" t="s">
        <v>1370</v>
      </c>
      <c r="E23" s="257" t="s">
        <v>2681</v>
      </c>
      <c r="F23" s="253"/>
      <c r="G23" s="244"/>
      <c r="H23" s="244"/>
      <c r="I23" s="244"/>
      <c r="J23" s="244"/>
      <c r="K23" s="244"/>
      <c r="L23" s="244"/>
      <c r="M23" s="244"/>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row>
    <row r="24" spans="1:82" ht="32" x14ac:dyDescent="0.2">
      <c r="A24" s="250" t="s">
        <v>1371</v>
      </c>
      <c r="B24" s="250" t="s">
        <v>1371</v>
      </c>
      <c r="C24" s="251" t="s">
        <v>114</v>
      </c>
      <c r="D24" s="251" t="s">
        <v>1372</v>
      </c>
      <c r="E24" s="252"/>
      <c r="F24" s="253"/>
      <c r="G24" s="244"/>
      <c r="H24" s="244"/>
      <c r="I24" s="244"/>
      <c r="J24" s="244"/>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row>
    <row r="25" spans="1:82" x14ac:dyDescent="0.2">
      <c r="A25" s="255" t="s">
        <v>1373</v>
      </c>
      <c r="B25" s="255" t="s">
        <v>1373</v>
      </c>
      <c r="C25" s="256" t="s">
        <v>113</v>
      </c>
      <c r="D25" s="256" t="s">
        <v>1374</v>
      </c>
      <c r="E25" s="257" t="s">
        <v>1375</v>
      </c>
      <c r="F25" s="253"/>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row>
    <row r="26" spans="1:82" ht="48" x14ac:dyDescent="0.2">
      <c r="A26" s="250" t="s">
        <v>120</v>
      </c>
      <c r="B26" s="250" t="s">
        <v>120</v>
      </c>
      <c r="C26" s="251" t="s">
        <v>1376</v>
      </c>
      <c r="D26" s="251" t="s">
        <v>1377</v>
      </c>
      <c r="E26" s="252" t="s">
        <v>2682</v>
      </c>
      <c r="F26" s="253"/>
      <c r="G26" s="244"/>
      <c r="H26" s="244"/>
      <c r="I26" s="244"/>
      <c r="J26" s="244"/>
      <c r="K26" s="244"/>
      <c r="L26" s="244"/>
      <c r="M26" s="244"/>
      <c r="N26" s="244"/>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row>
    <row r="27" spans="1:82" ht="64" x14ac:dyDescent="0.2">
      <c r="A27" s="255" t="s">
        <v>1378</v>
      </c>
      <c r="B27" s="255" t="s">
        <v>1378</v>
      </c>
      <c r="C27" s="256" t="s">
        <v>1379</v>
      </c>
      <c r="D27" s="256" t="s">
        <v>1380</v>
      </c>
      <c r="E27" s="257" t="s">
        <v>1381</v>
      </c>
      <c r="F27" s="253"/>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row>
    <row r="28" spans="1:82" ht="32" x14ac:dyDescent="0.2">
      <c r="A28" s="250" t="s">
        <v>2404</v>
      </c>
      <c r="B28" s="250" t="s">
        <v>2404</v>
      </c>
      <c r="C28" s="251" t="s">
        <v>2683</v>
      </c>
      <c r="D28" s="251" t="s">
        <v>2356</v>
      </c>
      <c r="E28" s="252"/>
      <c r="F28" s="253"/>
      <c r="G28" s="244"/>
      <c r="H28" s="244"/>
      <c r="I28" s="244"/>
      <c r="J28" s="244"/>
      <c r="K28" s="244"/>
      <c r="L28" s="244"/>
      <c r="M28" s="244"/>
      <c r="N28" s="244"/>
      <c r="O28" s="244"/>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row>
    <row r="29" spans="1:82" ht="48" x14ac:dyDescent="0.2">
      <c r="A29" s="255" t="s">
        <v>2405</v>
      </c>
      <c r="B29" s="255" t="s">
        <v>2405</v>
      </c>
      <c r="C29" s="256" t="s">
        <v>2684</v>
      </c>
      <c r="D29" s="256" t="s">
        <v>2357</v>
      </c>
      <c r="E29" s="257"/>
      <c r="F29" s="253"/>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row>
    <row r="30" spans="1:82" ht="48" x14ac:dyDescent="0.2">
      <c r="A30" s="250" t="s">
        <v>2406</v>
      </c>
      <c r="B30" s="250" t="s">
        <v>2406</v>
      </c>
      <c r="C30" s="251" t="s">
        <v>2685</v>
      </c>
      <c r="D30" s="251" t="s">
        <v>2358</v>
      </c>
      <c r="E30" s="252"/>
      <c r="F30" s="253"/>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row>
    <row r="31" spans="1:82" s="259" customFormat="1" ht="48" x14ac:dyDescent="0.2">
      <c r="A31" s="255" t="s">
        <v>131</v>
      </c>
      <c r="B31" s="255" t="s">
        <v>131</v>
      </c>
      <c r="C31" s="256" t="s">
        <v>132</v>
      </c>
      <c r="D31" s="256" t="s">
        <v>1382</v>
      </c>
      <c r="E31" s="257" t="s">
        <v>2749</v>
      </c>
      <c r="F31" s="253"/>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row>
    <row r="32" spans="1:82" s="259" customFormat="1" ht="32" x14ac:dyDescent="0.2">
      <c r="A32" s="250" t="s">
        <v>1383</v>
      </c>
      <c r="B32" s="250" t="s">
        <v>1383</v>
      </c>
      <c r="C32" s="251" t="s">
        <v>144</v>
      </c>
      <c r="D32" s="251" t="s">
        <v>1384</v>
      </c>
      <c r="E32" s="252"/>
      <c r="F32" s="253"/>
      <c r="G32" s="244"/>
      <c r="H32" s="244"/>
      <c r="I32" s="244"/>
      <c r="J32" s="244"/>
      <c r="K32" s="244"/>
      <c r="L32" s="244"/>
      <c r="M32" s="244"/>
      <c r="N32" s="244"/>
      <c r="O32" s="244"/>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row>
    <row r="33" spans="1:82" s="259" customFormat="1" ht="48" x14ac:dyDescent="0.2">
      <c r="A33" s="255" t="s">
        <v>146</v>
      </c>
      <c r="B33" s="255" t="s">
        <v>146</v>
      </c>
      <c r="C33" s="256" t="s">
        <v>147</v>
      </c>
      <c r="D33" s="256" t="s">
        <v>1385</v>
      </c>
      <c r="E33" s="257" t="s">
        <v>1386</v>
      </c>
      <c r="F33" s="253"/>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row>
    <row r="34" spans="1:82" s="259" customFormat="1" ht="32" x14ac:dyDescent="0.2">
      <c r="A34" s="250" t="s">
        <v>161</v>
      </c>
      <c r="B34" s="250" t="s">
        <v>161</v>
      </c>
      <c r="C34" s="251" t="s">
        <v>165</v>
      </c>
      <c r="D34" s="251" t="s">
        <v>1387</v>
      </c>
      <c r="E34" s="252" t="s">
        <v>2770</v>
      </c>
      <c r="F34" s="253"/>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row>
    <row r="35" spans="1:82" s="259" customFormat="1" ht="32" x14ac:dyDescent="0.2">
      <c r="A35" s="266" t="s">
        <v>1388</v>
      </c>
      <c r="B35" s="266" t="s">
        <v>1388</v>
      </c>
      <c r="C35" s="256" t="s">
        <v>1389</v>
      </c>
      <c r="D35" s="256" t="s">
        <v>1390</v>
      </c>
      <c r="E35" s="257"/>
      <c r="F35" s="253"/>
      <c r="G35" s="244"/>
      <c r="H35" s="244"/>
      <c r="I35" s="244"/>
      <c r="J35" s="244"/>
      <c r="K35" s="244"/>
      <c r="L35" s="244"/>
      <c r="M35" s="244"/>
      <c r="N35" s="244"/>
      <c r="O35" s="244"/>
      <c r="P35" s="244"/>
      <c r="Q35" s="244"/>
      <c r="R35" s="244"/>
      <c r="S35" s="244"/>
      <c r="T35" s="244"/>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row>
    <row r="36" spans="1:82" s="259" customFormat="1" ht="48" x14ac:dyDescent="0.2">
      <c r="A36" s="258" t="s">
        <v>1391</v>
      </c>
      <c r="B36" s="258" t="s">
        <v>1391</v>
      </c>
      <c r="C36" s="251" t="s">
        <v>177</v>
      </c>
      <c r="D36" s="251" t="s">
        <v>2869</v>
      </c>
      <c r="E36" s="252"/>
      <c r="F36" s="253"/>
      <c r="G36" s="244"/>
      <c r="H36" s="244"/>
      <c r="I36" s="244"/>
      <c r="J36" s="244"/>
      <c r="K36" s="244"/>
      <c r="L36" s="244"/>
      <c r="M36" s="244"/>
      <c r="N36" s="244"/>
      <c r="O36" s="244"/>
      <c r="P36" s="244"/>
      <c r="Q36" s="244"/>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row>
    <row r="37" spans="1:82" s="259" customFormat="1" ht="48" x14ac:dyDescent="0.2">
      <c r="A37" s="266" t="s">
        <v>1392</v>
      </c>
      <c r="B37" s="266" t="s">
        <v>1392</v>
      </c>
      <c r="C37" s="256" t="s">
        <v>171</v>
      </c>
      <c r="D37" s="256" t="s">
        <v>1393</v>
      </c>
      <c r="E37" s="257" t="s">
        <v>2686</v>
      </c>
      <c r="F37" s="253"/>
      <c r="G37" s="244"/>
      <c r="H37" s="244"/>
      <c r="I37" s="244"/>
      <c r="J37" s="244"/>
      <c r="K37" s="244"/>
      <c r="L37" s="244"/>
      <c r="M37" s="244"/>
      <c r="N37" s="244"/>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row>
    <row r="38" spans="1:82" s="259" customFormat="1" ht="32" x14ac:dyDescent="0.2">
      <c r="A38" s="266" t="s">
        <v>112</v>
      </c>
      <c r="B38" s="266" t="s">
        <v>112</v>
      </c>
      <c r="C38" s="256" t="s">
        <v>2447</v>
      </c>
      <c r="D38" s="256" t="s">
        <v>2335</v>
      </c>
      <c r="E38" s="257"/>
      <c r="F38" s="253"/>
      <c r="G38" s="244"/>
      <c r="H38" s="244"/>
      <c r="I38" s="244"/>
      <c r="J38" s="244"/>
      <c r="K38" s="244"/>
      <c r="L38" s="244"/>
      <c r="M38" s="244"/>
      <c r="N38" s="244"/>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row>
    <row r="39" spans="1:82" s="259" customFormat="1" ht="48" x14ac:dyDescent="0.2">
      <c r="A39" s="258" t="s">
        <v>2407</v>
      </c>
      <c r="B39" s="258" t="s">
        <v>2407</v>
      </c>
      <c r="C39" s="251" t="s">
        <v>2448</v>
      </c>
      <c r="D39" s="251" t="s">
        <v>2332</v>
      </c>
      <c r="E39" s="252" t="s">
        <v>2687</v>
      </c>
      <c r="F39" s="253"/>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row>
    <row r="40" spans="1:82" s="259" customFormat="1" x14ac:dyDescent="0.2">
      <c r="A40" s="266" t="s">
        <v>2408</v>
      </c>
      <c r="B40" s="266" t="s">
        <v>2408</v>
      </c>
      <c r="C40" s="256" t="s">
        <v>2449</v>
      </c>
      <c r="D40" s="256" t="s">
        <v>2333</v>
      </c>
      <c r="E40" s="257" t="s">
        <v>2688</v>
      </c>
      <c r="F40" s="253"/>
      <c r="G40" s="244"/>
      <c r="H40" s="244"/>
      <c r="I40" s="244"/>
      <c r="J40" s="244"/>
      <c r="K40" s="244"/>
      <c r="L40" s="244"/>
      <c r="M40" s="244"/>
      <c r="N40" s="244"/>
      <c r="O40" s="244"/>
      <c r="P40" s="244"/>
      <c r="Q40" s="244"/>
      <c r="R40" s="244"/>
      <c r="S40" s="244"/>
      <c r="T40" s="244"/>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row>
    <row r="41" spans="1:82" s="259" customFormat="1" ht="32" x14ac:dyDescent="0.2">
      <c r="A41" s="258" t="s">
        <v>2409</v>
      </c>
      <c r="B41" s="258" t="s">
        <v>2409</v>
      </c>
      <c r="C41" s="251" t="s">
        <v>2450</v>
      </c>
      <c r="D41" s="251" t="s">
        <v>2334</v>
      </c>
      <c r="E41" s="252" t="s">
        <v>2689</v>
      </c>
      <c r="F41" s="253"/>
      <c r="G41" s="244"/>
      <c r="H41" s="244"/>
      <c r="I41" s="244"/>
      <c r="J41" s="244"/>
      <c r="K41" s="244"/>
      <c r="L41" s="244"/>
      <c r="M41" s="244"/>
      <c r="N41" s="244"/>
      <c r="O41" s="244"/>
      <c r="P41" s="244"/>
      <c r="Q41" s="244"/>
      <c r="R41" s="244"/>
      <c r="S41" s="244"/>
      <c r="T41" s="244"/>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row>
    <row r="42" spans="1:82" s="259" customFormat="1" ht="32" x14ac:dyDescent="0.2">
      <c r="A42" s="266" t="s">
        <v>2410</v>
      </c>
      <c r="B42" s="266" t="s">
        <v>2410</v>
      </c>
      <c r="C42" s="256" t="s">
        <v>2451</v>
      </c>
      <c r="D42" s="256" t="s">
        <v>2336</v>
      </c>
      <c r="E42" s="257" t="s">
        <v>2337</v>
      </c>
      <c r="F42" s="253"/>
      <c r="G42" s="244"/>
      <c r="H42" s="244"/>
      <c r="I42" s="244"/>
      <c r="J42" s="244"/>
      <c r="K42" s="244"/>
      <c r="L42" s="244"/>
      <c r="M42" s="244"/>
      <c r="N42" s="244"/>
      <c r="O42" s="244"/>
      <c r="P42" s="244"/>
      <c r="Q42" s="244"/>
      <c r="R42" s="244"/>
      <c r="S42" s="244"/>
      <c r="T42" s="244"/>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row>
    <row r="43" spans="1:82" s="259" customFormat="1" x14ac:dyDescent="0.2">
      <c r="A43" s="262"/>
      <c r="B43" s="262"/>
      <c r="C43" s="263"/>
      <c r="D43" s="264" t="s">
        <v>1397</v>
      </c>
      <c r="E43" s="265"/>
      <c r="F43" s="253"/>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row>
    <row r="44" spans="1:82" s="259" customFormat="1" ht="64" x14ac:dyDescent="0.2">
      <c r="A44" s="255" t="s">
        <v>179</v>
      </c>
      <c r="B44" s="255" t="s">
        <v>179</v>
      </c>
      <c r="C44" s="256" t="s">
        <v>180</v>
      </c>
      <c r="D44" s="256" t="s">
        <v>1398</v>
      </c>
      <c r="E44" s="257" t="s">
        <v>2813</v>
      </c>
      <c r="F44" s="253"/>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row>
    <row r="45" spans="1:82" s="259" customFormat="1" ht="32" x14ac:dyDescent="0.2">
      <c r="A45" s="250" t="s">
        <v>1399</v>
      </c>
      <c r="B45" s="250" t="s">
        <v>1399</v>
      </c>
      <c r="C45" s="251" t="s">
        <v>2750</v>
      </c>
      <c r="D45" s="251" t="s">
        <v>2866</v>
      </c>
      <c r="E45" s="252" t="s">
        <v>190</v>
      </c>
      <c r="F45" s="253"/>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row>
    <row r="46" spans="1:82" s="259" customFormat="1" ht="32" x14ac:dyDescent="0.2">
      <c r="A46" s="255" t="s">
        <v>2411</v>
      </c>
      <c r="B46" s="255" t="s">
        <v>2411</v>
      </c>
      <c r="C46" s="256" t="s">
        <v>2751</v>
      </c>
      <c r="D46" s="256" t="s">
        <v>2867</v>
      </c>
      <c r="E46" s="257" t="s">
        <v>2320</v>
      </c>
      <c r="F46" s="253"/>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row>
    <row r="47" spans="1:82" s="259" customFormat="1" ht="32" x14ac:dyDescent="0.2">
      <c r="A47" s="250" t="s">
        <v>2412</v>
      </c>
      <c r="B47" s="250" t="s">
        <v>2412</v>
      </c>
      <c r="C47" s="251" t="s">
        <v>2452</v>
      </c>
      <c r="D47" s="251" t="s">
        <v>2868</v>
      </c>
      <c r="E47" s="252" t="s">
        <v>2690</v>
      </c>
      <c r="F47" s="253"/>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row>
    <row r="48" spans="1:82" s="259" customFormat="1" ht="32" x14ac:dyDescent="0.2">
      <c r="A48" s="255" t="s">
        <v>219</v>
      </c>
      <c r="B48" s="255" t="s">
        <v>219</v>
      </c>
      <c r="C48" s="256" t="s">
        <v>220</v>
      </c>
      <c r="D48" s="256" t="s">
        <v>1401</v>
      </c>
      <c r="E48" s="267" t="s">
        <v>2815</v>
      </c>
      <c r="F48" s="253"/>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row>
    <row r="49" spans="1:82" s="259" customFormat="1" ht="48" x14ac:dyDescent="0.2">
      <c r="A49" s="250" t="s">
        <v>1402</v>
      </c>
      <c r="B49" s="250" t="s">
        <v>1402</v>
      </c>
      <c r="C49" s="251" t="s">
        <v>237</v>
      </c>
      <c r="D49" s="251" t="s">
        <v>239</v>
      </c>
      <c r="E49" s="252" t="s">
        <v>238</v>
      </c>
      <c r="F49" s="253"/>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row>
    <row r="50" spans="1:82" s="259" customFormat="1" ht="32" x14ac:dyDescent="0.2">
      <c r="A50" s="255" t="s">
        <v>236</v>
      </c>
      <c r="B50" s="255" t="s">
        <v>236</v>
      </c>
      <c r="C50" s="256" t="s">
        <v>257</v>
      </c>
      <c r="D50" s="256" t="s">
        <v>1403</v>
      </c>
      <c r="E50" s="257" t="s">
        <v>1404</v>
      </c>
      <c r="F50" s="253"/>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row>
    <row r="51" spans="1:82" s="259" customFormat="1" ht="80" x14ac:dyDescent="0.2">
      <c r="A51" s="250" t="s">
        <v>2403</v>
      </c>
      <c r="B51" s="250" t="s">
        <v>2403</v>
      </c>
      <c r="C51" s="251" t="s">
        <v>2691</v>
      </c>
      <c r="D51" s="251" t="s">
        <v>2342</v>
      </c>
      <c r="E51" s="252"/>
      <c r="F51" s="253"/>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row>
    <row r="52" spans="1:82" s="259" customFormat="1" ht="48" x14ac:dyDescent="0.2">
      <c r="A52" s="255" t="s">
        <v>2413</v>
      </c>
      <c r="B52" s="255" t="s">
        <v>2413</v>
      </c>
      <c r="C52" s="256" t="s">
        <v>1400</v>
      </c>
      <c r="D52" s="256" t="s">
        <v>207</v>
      </c>
      <c r="E52" s="257" t="s">
        <v>2692</v>
      </c>
      <c r="F52" s="253"/>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row>
    <row r="53" spans="1:82" s="259" customFormat="1" ht="32" x14ac:dyDescent="0.2">
      <c r="A53" s="250" t="s">
        <v>2415</v>
      </c>
      <c r="B53" s="250" t="s">
        <v>2898</v>
      </c>
      <c r="C53" s="251" t="s">
        <v>224</v>
      </c>
      <c r="D53" s="251" t="s">
        <v>2865</v>
      </c>
      <c r="E53" s="252" t="s">
        <v>2814</v>
      </c>
      <c r="F53" s="268"/>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row>
    <row r="54" spans="1:82" s="259" customFormat="1" ht="32" x14ac:dyDescent="0.2">
      <c r="A54" s="255" t="s">
        <v>348</v>
      </c>
      <c r="B54" s="255" t="s">
        <v>2899</v>
      </c>
      <c r="C54" s="256" t="s">
        <v>1422</v>
      </c>
      <c r="D54" s="256" t="s">
        <v>1423</v>
      </c>
      <c r="E54" s="257" t="s">
        <v>2694</v>
      </c>
      <c r="F54" s="253"/>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row>
    <row r="55" spans="1:82" s="259" customFormat="1" x14ac:dyDescent="0.2">
      <c r="A55" s="262"/>
      <c r="B55" s="262"/>
      <c r="C55" s="263"/>
      <c r="D55" s="264" t="s">
        <v>2985</v>
      </c>
      <c r="E55" s="265"/>
      <c r="F55" s="253"/>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row>
    <row r="56" spans="1:82" s="259" customFormat="1" x14ac:dyDescent="0.2">
      <c r="A56" s="255" t="s">
        <v>367</v>
      </c>
      <c r="B56" s="255" t="s">
        <v>290</v>
      </c>
      <c r="C56" s="256" t="s">
        <v>368</v>
      </c>
      <c r="D56" s="256" t="s">
        <v>1429</v>
      </c>
      <c r="E56" s="257" t="s">
        <v>369</v>
      </c>
      <c r="F56" s="253"/>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row>
    <row r="57" spans="1:82" s="259" customFormat="1" x14ac:dyDescent="0.2">
      <c r="A57" s="250" t="s">
        <v>372</v>
      </c>
      <c r="B57" s="250" t="s">
        <v>303</v>
      </c>
      <c r="C57" s="251" t="s">
        <v>373</v>
      </c>
      <c r="D57" s="251" t="s">
        <v>1430</v>
      </c>
      <c r="E57" s="252" t="s">
        <v>2697</v>
      </c>
      <c r="F57" s="253"/>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row>
    <row r="58" spans="1:82" s="259" customFormat="1" ht="48" x14ac:dyDescent="0.2">
      <c r="A58" s="255" t="s">
        <v>376</v>
      </c>
      <c r="B58" s="255" t="s">
        <v>315</v>
      </c>
      <c r="C58" s="256" t="s">
        <v>377</v>
      </c>
      <c r="D58" s="256" t="s">
        <v>1431</v>
      </c>
      <c r="E58" s="257"/>
      <c r="F58" s="253"/>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row>
    <row r="59" spans="1:82" s="259" customFormat="1" x14ac:dyDescent="0.2">
      <c r="A59" s="250" t="s">
        <v>1432</v>
      </c>
      <c r="B59" s="250" t="s">
        <v>1416</v>
      </c>
      <c r="C59" s="251" t="s">
        <v>1433</v>
      </c>
      <c r="D59" s="251" t="s">
        <v>1434</v>
      </c>
      <c r="E59" s="252" t="s">
        <v>2754</v>
      </c>
      <c r="F59" s="253"/>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row>
    <row r="60" spans="1:82" s="259" customFormat="1" x14ac:dyDescent="0.2">
      <c r="A60" s="255" t="s">
        <v>1435</v>
      </c>
      <c r="B60" s="255" t="s">
        <v>1418</v>
      </c>
      <c r="C60" s="256" t="s">
        <v>1436</v>
      </c>
      <c r="D60" s="256" t="s">
        <v>1437</v>
      </c>
      <c r="E60" s="257" t="s">
        <v>2698</v>
      </c>
      <c r="F60" s="253"/>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row>
    <row r="61" spans="1:82" s="259" customFormat="1" x14ac:dyDescent="0.2">
      <c r="A61" s="250" t="s">
        <v>386</v>
      </c>
      <c r="B61" s="250" t="s">
        <v>348</v>
      </c>
      <c r="C61" s="251" t="s">
        <v>387</v>
      </c>
      <c r="D61" s="251" t="s">
        <v>389</v>
      </c>
      <c r="E61" s="252" t="s">
        <v>1438</v>
      </c>
      <c r="F61" s="253"/>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row>
    <row r="62" spans="1:82" s="259" customFormat="1" ht="32" x14ac:dyDescent="0.2">
      <c r="A62" s="255" t="s">
        <v>392</v>
      </c>
      <c r="B62" s="255" t="s">
        <v>354</v>
      </c>
      <c r="C62" s="256" t="s">
        <v>393</v>
      </c>
      <c r="D62" s="256" t="s">
        <v>394</v>
      </c>
      <c r="E62" s="257" t="s">
        <v>2699</v>
      </c>
      <c r="F62" s="253"/>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row>
    <row r="63" spans="1:82" s="259" customFormat="1" ht="80" x14ac:dyDescent="0.2">
      <c r="A63" s="250" t="s">
        <v>1439</v>
      </c>
      <c r="B63" s="250" t="s">
        <v>1424</v>
      </c>
      <c r="C63" s="269" t="s">
        <v>395</v>
      </c>
      <c r="D63" s="251" t="s">
        <v>1440</v>
      </c>
      <c r="E63" s="252"/>
      <c r="F63" s="253"/>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row>
    <row r="64" spans="1:82" s="259" customFormat="1" ht="32" x14ac:dyDescent="0.2">
      <c r="A64" s="255" t="s">
        <v>2467</v>
      </c>
      <c r="B64" s="255" t="s">
        <v>1427</v>
      </c>
      <c r="C64" s="256" t="s">
        <v>2420</v>
      </c>
      <c r="D64" s="256" t="s">
        <v>2856</v>
      </c>
      <c r="E64" s="257"/>
      <c r="F64" s="253"/>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row>
    <row r="65" spans="1:82" ht="50" x14ac:dyDescent="0.2">
      <c r="A65" s="270" t="s">
        <v>2444</v>
      </c>
      <c r="B65" s="270" t="s">
        <v>2414</v>
      </c>
      <c r="C65" s="271" t="s">
        <v>2443</v>
      </c>
      <c r="D65" s="251" t="s">
        <v>2986</v>
      </c>
      <c r="E65" s="272"/>
      <c r="F65" s="253"/>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row>
    <row r="66" spans="1:82" s="259" customFormat="1" x14ac:dyDescent="0.2">
      <c r="A66" s="255" t="s">
        <v>315</v>
      </c>
      <c r="B66" s="255" t="s">
        <v>2415</v>
      </c>
      <c r="C66" s="256" t="s">
        <v>316</v>
      </c>
      <c r="D66" s="256" t="s">
        <v>1415</v>
      </c>
      <c r="E66" s="257" t="s">
        <v>2889</v>
      </c>
      <c r="F66" s="253"/>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row>
    <row r="67" spans="1:82" s="259" customFormat="1" ht="32" x14ac:dyDescent="0.2">
      <c r="A67" s="250" t="s">
        <v>1416</v>
      </c>
      <c r="B67" s="250" t="s">
        <v>2903</v>
      </c>
      <c r="C67" s="251" t="s">
        <v>2887</v>
      </c>
      <c r="D67" s="251" t="s">
        <v>1417</v>
      </c>
      <c r="E67" s="252" t="s">
        <v>2890</v>
      </c>
      <c r="F67" s="253"/>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row>
    <row r="68" spans="1:82" s="259" customFormat="1" ht="17" customHeight="1" x14ac:dyDescent="0.2">
      <c r="A68" s="262"/>
      <c r="B68" s="262"/>
      <c r="C68" s="263"/>
      <c r="D68" s="264" t="s">
        <v>2987</v>
      </c>
      <c r="E68" s="265"/>
      <c r="F68" s="253"/>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row>
    <row r="69" spans="1:82" s="259" customFormat="1" ht="128" x14ac:dyDescent="0.2">
      <c r="A69" s="250" t="s">
        <v>397</v>
      </c>
      <c r="B69" s="250" t="s">
        <v>367</v>
      </c>
      <c r="C69" s="251" t="s">
        <v>1441</v>
      </c>
      <c r="D69" s="251" t="s">
        <v>1442</v>
      </c>
      <c r="E69" s="272"/>
      <c r="F69" s="253"/>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row>
    <row r="70" spans="1:82" s="259" customFormat="1" ht="32" x14ac:dyDescent="0.2">
      <c r="A70" s="255" t="s">
        <v>1443</v>
      </c>
      <c r="B70" s="255" t="s">
        <v>2907</v>
      </c>
      <c r="C70" s="256" t="s">
        <v>398</v>
      </c>
      <c r="D70" s="256" t="s">
        <v>1444</v>
      </c>
      <c r="E70" s="257" t="s">
        <v>2771</v>
      </c>
      <c r="F70" s="253"/>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row>
    <row r="71" spans="1:82" s="259" customFormat="1" ht="48" x14ac:dyDescent="0.2">
      <c r="A71" s="250" t="s">
        <v>418</v>
      </c>
      <c r="B71" s="250" t="s">
        <v>372</v>
      </c>
      <c r="C71" s="273" t="s">
        <v>442</v>
      </c>
      <c r="D71" s="251" t="s">
        <v>1449</v>
      </c>
      <c r="E71" s="252" t="s">
        <v>2888</v>
      </c>
      <c r="F71" s="253"/>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row>
    <row r="72" spans="1:82" s="259" customFormat="1" ht="48" x14ac:dyDescent="0.2">
      <c r="A72" s="255" t="s">
        <v>1447</v>
      </c>
      <c r="B72" s="255" t="s">
        <v>2908</v>
      </c>
      <c r="C72" s="256" t="s">
        <v>1451</v>
      </c>
      <c r="D72" s="256" t="s">
        <v>1452</v>
      </c>
      <c r="E72" s="257" t="s">
        <v>2755</v>
      </c>
      <c r="F72" s="253"/>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row>
    <row r="73" spans="1:82" s="259" customFormat="1" ht="32" x14ac:dyDescent="0.2">
      <c r="A73" s="250" t="s">
        <v>1448</v>
      </c>
      <c r="B73" s="250" t="s">
        <v>2909</v>
      </c>
      <c r="C73" s="251" t="s">
        <v>465</v>
      </c>
      <c r="D73" s="251" t="s">
        <v>1454</v>
      </c>
      <c r="E73" s="252" t="s">
        <v>2756</v>
      </c>
      <c r="F73" s="253"/>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row>
    <row r="74" spans="1:82" s="259" customFormat="1" ht="48" x14ac:dyDescent="0.2">
      <c r="A74" s="255" t="s">
        <v>2494</v>
      </c>
      <c r="B74" s="255" t="s">
        <v>2910</v>
      </c>
      <c r="C74" s="256" t="s">
        <v>2757</v>
      </c>
      <c r="D74" s="256" t="s">
        <v>2862</v>
      </c>
      <c r="E74" s="257"/>
      <c r="F74" s="253"/>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row>
    <row r="75" spans="1:82" s="259" customFormat="1" ht="32" x14ac:dyDescent="0.2">
      <c r="A75" s="250" t="s">
        <v>2495</v>
      </c>
      <c r="B75" s="250" t="s">
        <v>2911</v>
      </c>
      <c r="C75" s="251" t="s">
        <v>2758</v>
      </c>
      <c r="D75" s="251" t="s">
        <v>2863</v>
      </c>
      <c r="E75" s="252" t="s">
        <v>2759</v>
      </c>
      <c r="F75" s="253"/>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row>
    <row r="76" spans="1:82" s="259" customFormat="1" ht="64" x14ac:dyDescent="0.2">
      <c r="A76" s="250" t="s">
        <v>2497</v>
      </c>
      <c r="B76" s="250" t="s">
        <v>2912</v>
      </c>
      <c r="C76" s="251" t="s">
        <v>419</v>
      </c>
      <c r="D76" s="251" t="s">
        <v>1445</v>
      </c>
      <c r="E76" s="252" t="s">
        <v>1446</v>
      </c>
      <c r="F76" s="27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row>
    <row r="77" spans="1:82" s="259" customFormat="1" ht="32" x14ac:dyDescent="0.2">
      <c r="A77" s="255" t="s">
        <v>2498</v>
      </c>
      <c r="B77" s="255" t="s">
        <v>2913</v>
      </c>
      <c r="C77" s="256" t="s">
        <v>425</v>
      </c>
      <c r="D77" s="275" t="s">
        <v>2860</v>
      </c>
      <c r="E77" s="257" t="s">
        <v>2761</v>
      </c>
      <c r="F77" s="268"/>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row>
    <row r="78" spans="1:82" s="259" customFormat="1" x14ac:dyDescent="0.2">
      <c r="A78" s="250" t="s">
        <v>2499</v>
      </c>
      <c r="B78" s="250" t="s">
        <v>2916</v>
      </c>
      <c r="C78" s="251" t="s">
        <v>426</v>
      </c>
      <c r="D78" s="251" t="s">
        <v>2861</v>
      </c>
      <c r="E78" s="272" t="s">
        <v>2700</v>
      </c>
      <c r="F78" s="253"/>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row>
    <row r="79" spans="1:82" s="259" customFormat="1" x14ac:dyDescent="0.2">
      <c r="A79" s="255" t="s">
        <v>2794</v>
      </c>
      <c r="B79" s="255" t="s">
        <v>2974</v>
      </c>
      <c r="C79" s="256" t="s">
        <v>2795</v>
      </c>
      <c r="D79" s="256" t="s">
        <v>2796</v>
      </c>
      <c r="E79" s="276"/>
      <c r="F79" s="253"/>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row>
    <row r="80" spans="1:82" s="259" customFormat="1" ht="32" x14ac:dyDescent="0.2">
      <c r="A80" s="250" t="s">
        <v>444</v>
      </c>
      <c r="B80" s="250" t="s">
        <v>376</v>
      </c>
      <c r="C80" s="251" t="s">
        <v>480</v>
      </c>
      <c r="D80" s="251" t="s">
        <v>1455</v>
      </c>
      <c r="E80" s="252" t="s">
        <v>1456</v>
      </c>
      <c r="F80" s="253"/>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row>
    <row r="81" spans="1:82" s="259" customFormat="1" ht="80" x14ac:dyDescent="0.2">
      <c r="A81" s="266" t="s">
        <v>1450</v>
      </c>
      <c r="B81" s="266" t="s">
        <v>1432</v>
      </c>
      <c r="C81" s="256" t="s">
        <v>1457</v>
      </c>
      <c r="D81" s="256" t="s">
        <v>1458</v>
      </c>
      <c r="E81" s="257" t="s">
        <v>2701</v>
      </c>
      <c r="F81" s="253"/>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row>
    <row r="82" spans="1:82" s="259" customFormat="1" ht="112" x14ac:dyDescent="0.2">
      <c r="A82" s="258" t="s">
        <v>1453</v>
      </c>
      <c r="B82" s="258" t="s">
        <v>1435</v>
      </c>
      <c r="C82" s="251" t="s">
        <v>1459</v>
      </c>
      <c r="D82" s="251" t="s">
        <v>1460</v>
      </c>
      <c r="E82" s="277" t="s">
        <v>2762</v>
      </c>
      <c r="F82" s="253"/>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row>
    <row r="83" spans="1:82" s="259" customFormat="1" ht="64" x14ac:dyDescent="0.2">
      <c r="A83" s="266" t="s">
        <v>2319</v>
      </c>
      <c r="B83" s="266" t="s">
        <v>2914</v>
      </c>
      <c r="C83" s="256" t="s">
        <v>1461</v>
      </c>
      <c r="D83" s="256" t="s">
        <v>1462</v>
      </c>
      <c r="E83" s="257" t="s">
        <v>2702</v>
      </c>
      <c r="F83" s="253"/>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row>
    <row r="84" spans="1:82" s="259" customFormat="1" ht="48" x14ac:dyDescent="0.2">
      <c r="A84" s="258" t="s">
        <v>2424</v>
      </c>
      <c r="B84" s="258" t="s">
        <v>2915</v>
      </c>
      <c r="C84" s="251" t="s">
        <v>1463</v>
      </c>
      <c r="D84" s="251" t="s">
        <v>1464</v>
      </c>
      <c r="E84" s="252"/>
      <c r="F84" s="253"/>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row>
    <row r="85" spans="1:82" s="259" customFormat="1" ht="96" x14ac:dyDescent="0.2">
      <c r="A85" s="266" t="s">
        <v>2426</v>
      </c>
      <c r="B85" s="266" t="s">
        <v>2917</v>
      </c>
      <c r="C85" s="256" t="s">
        <v>484</v>
      </c>
      <c r="D85" s="256" t="s">
        <v>1465</v>
      </c>
      <c r="E85" s="257" t="s">
        <v>2703</v>
      </c>
      <c r="F85" s="253"/>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row>
    <row r="86" spans="1:82" s="259" customFormat="1" ht="48" x14ac:dyDescent="0.2">
      <c r="A86" s="266" t="s">
        <v>464</v>
      </c>
      <c r="B86" s="266" t="s">
        <v>386</v>
      </c>
      <c r="C86" s="260" t="s">
        <v>508</v>
      </c>
      <c r="D86" s="261" t="s">
        <v>1468</v>
      </c>
      <c r="E86" s="257"/>
      <c r="F86" s="253"/>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row>
    <row r="87" spans="1:82" s="259" customFormat="1" ht="48" x14ac:dyDescent="0.2">
      <c r="A87" s="258" t="s">
        <v>479</v>
      </c>
      <c r="B87" s="258" t="s">
        <v>392</v>
      </c>
      <c r="C87" s="273" t="s">
        <v>2763</v>
      </c>
      <c r="D87" s="251" t="s">
        <v>2427</v>
      </c>
      <c r="E87" s="252"/>
      <c r="F87" s="253"/>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row>
    <row r="88" spans="1:82" s="259" customFormat="1" ht="64" x14ac:dyDescent="0.2">
      <c r="A88" s="255" t="s">
        <v>1424</v>
      </c>
      <c r="B88" s="255" t="s">
        <v>1439</v>
      </c>
      <c r="C88" s="256" t="s">
        <v>1425</v>
      </c>
      <c r="D88" s="256" t="s">
        <v>1426</v>
      </c>
      <c r="E88" s="257" t="s">
        <v>365</v>
      </c>
      <c r="F88" s="253"/>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row>
    <row r="89" spans="1:82" s="259" customFormat="1" x14ac:dyDescent="0.2">
      <c r="A89" s="262"/>
      <c r="B89" s="262"/>
      <c r="C89" s="263"/>
      <c r="D89" s="264" t="s">
        <v>1469</v>
      </c>
      <c r="E89" s="265"/>
      <c r="F89" s="253"/>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row>
    <row r="90" spans="1:82" s="259" customFormat="1" ht="32" x14ac:dyDescent="0.2">
      <c r="A90" s="250" t="s">
        <v>510</v>
      </c>
      <c r="B90" s="250" t="s">
        <v>397</v>
      </c>
      <c r="C90" s="251" t="s">
        <v>511</v>
      </c>
      <c r="D90" s="251" t="s">
        <v>1470</v>
      </c>
      <c r="E90" s="252" t="s">
        <v>1471</v>
      </c>
      <c r="F90" s="253"/>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row>
    <row r="91" spans="1:82" s="259" customFormat="1" x14ac:dyDescent="0.2">
      <c r="A91" s="255" t="s">
        <v>2366</v>
      </c>
      <c r="B91" s="255" t="s">
        <v>1443</v>
      </c>
      <c r="C91" s="256" t="s">
        <v>2704</v>
      </c>
      <c r="D91" s="256" t="s">
        <v>2858</v>
      </c>
      <c r="E91" s="257"/>
      <c r="F91" s="253"/>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row>
    <row r="92" spans="1:82" s="259" customFormat="1" x14ac:dyDescent="0.2">
      <c r="A92" s="250" t="s">
        <v>2367</v>
      </c>
      <c r="B92" s="250" t="s">
        <v>2918</v>
      </c>
      <c r="C92" s="251" t="s">
        <v>2705</v>
      </c>
      <c r="D92" s="251" t="s">
        <v>2859</v>
      </c>
      <c r="E92" s="252"/>
      <c r="F92" s="253"/>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row>
    <row r="93" spans="1:82" s="259" customFormat="1" ht="32" x14ac:dyDescent="0.2">
      <c r="A93" s="255" t="s">
        <v>537</v>
      </c>
      <c r="B93" s="255" t="s">
        <v>418</v>
      </c>
      <c r="C93" s="256" t="s">
        <v>2988</v>
      </c>
      <c r="D93" s="256" t="s">
        <v>2989</v>
      </c>
      <c r="E93" s="257"/>
      <c r="F93" s="253"/>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row>
    <row r="94" spans="1:82" s="259" customFormat="1" ht="32" x14ac:dyDescent="0.2">
      <c r="A94" s="250" t="s">
        <v>1472</v>
      </c>
      <c r="B94" s="250" t="s">
        <v>1447</v>
      </c>
      <c r="C94" s="251" t="s">
        <v>2706</v>
      </c>
      <c r="D94" s="251" t="s">
        <v>1473</v>
      </c>
      <c r="E94" s="252" t="s">
        <v>2360</v>
      </c>
      <c r="F94" s="253"/>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row>
    <row r="95" spans="1:82" s="259" customFormat="1" ht="64" x14ac:dyDescent="0.2">
      <c r="A95" s="255" t="s">
        <v>1474</v>
      </c>
      <c r="B95" s="255" t="s">
        <v>1448</v>
      </c>
      <c r="C95" s="275" t="s">
        <v>2769</v>
      </c>
      <c r="D95" s="256" t="s">
        <v>1475</v>
      </c>
      <c r="E95" s="257" t="s">
        <v>541</v>
      </c>
      <c r="F95" s="253"/>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row>
    <row r="96" spans="1:82" s="259" customFormat="1" x14ac:dyDescent="0.2">
      <c r="A96" s="250" t="s">
        <v>2359</v>
      </c>
      <c r="B96" s="250" t="s">
        <v>2494</v>
      </c>
      <c r="C96" s="278" t="s">
        <v>2707</v>
      </c>
      <c r="D96" s="251" t="s">
        <v>1480</v>
      </c>
      <c r="E96" s="252"/>
      <c r="F96" s="253"/>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row>
    <row r="97" spans="1:82" s="259" customFormat="1" ht="32" x14ac:dyDescent="0.2">
      <c r="A97" s="255" t="s">
        <v>548</v>
      </c>
      <c r="B97" s="255" t="s">
        <v>444</v>
      </c>
      <c r="C97" s="256" t="s">
        <v>1476</v>
      </c>
      <c r="D97" s="256" t="s">
        <v>1477</v>
      </c>
      <c r="E97" s="257" t="s">
        <v>2678</v>
      </c>
      <c r="F97" s="253"/>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row>
    <row r="98" spans="1:82" s="259" customFormat="1" ht="48" x14ac:dyDescent="0.2">
      <c r="A98" s="250" t="s">
        <v>1478</v>
      </c>
      <c r="B98" s="250" t="s">
        <v>1450</v>
      </c>
      <c r="C98" s="251" t="s">
        <v>2456</v>
      </c>
      <c r="D98" s="251" t="s">
        <v>2322</v>
      </c>
      <c r="E98" s="252"/>
      <c r="F98" s="253"/>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row>
    <row r="99" spans="1:82" s="259" customFormat="1" ht="32" x14ac:dyDescent="0.2">
      <c r="A99" s="255" t="s">
        <v>2364</v>
      </c>
      <c r="B99" s="255" t="s">
        <v>1453</v>
      </c>
      <c r="C99" s="256" t="s">
        <v>2708</v>
      </c>
      <c r="D99" s="256" t="s">
        <v>2363</v>
      </c>
      <c r="E99" s="257" t="s">
        <v>556</v>
      </c>
      <c r="F99" s="253"/>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row>
    <row r="100" spans="1:82" s="259" customFormat="1" ht="32" x14ac:dyDescent="0.2">
      <c r="A100" s="250" t="s">
        <v>2365</v>
      </c>
      <c r="B100" s="250" t="s">
        <v>2319</v>
      </c>
      <c r="C100" s="251" t="s">
        <v>2709</v>
      </c>
      <c r="D100" s="251" t="s">
        <v>2362</v>
      </c>
      <c r="E100" s="252" t="s">
        <v>2361</v>
      </c>
      <c r="F100" s="253"/>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row>
    <row r="101" spans="1:82" s="259" customFormat="1" ht="48" x14ac:dyDescent="0.2">
      <c r="A101" s="255" t="s">
        <v>1418</v>
      </c>
      <c r="B101" s="255" t="s">
        <v>464</v>
      </c>
      <c r="C101" s="256" t="s">
        <v>331</v>
      </c>
      <c r="D101" s="256" t="s">
        <v>1419</v>
      </c>
      <c r="E101" s="257" t="s">
        <v>2752</v>
      </c>
      <c r="F101" s="253"/>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row>
    <row r="102" spans="1:82" s="259" customFormat="1" x14ac:dyDescent="0.2">
      <c r="A102" s="262"/>
      <c r="B102" s="262"/>
      <c r="C102" s="263"/>
      <c r="D102" s="263" t="s">
        <v>1481</v>
      </c>
      <c r="E102" s="265"/>
      <c r="F102" s="253"/>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row>
    <row r="103" spans="1:82" s="259" customFormat="1" ht="64" x14ac:dyDescent="0.2">
      <c r="A103" s="250" t="s">
        <v>567</v>
      </c>
      <c r="B103" s="250" t="s">
        <v>510</v>
      </c>
      <c r="C103" s="251" t="s">
        <v>568</v>
      </c>
      <c r="D103" s="251" t="s">
        <v>1482</v>
      </c>
      <c r="E103" s="252" t="s">
        <v>2743</v>
      </c>
      <c r="F103" s="253"/>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row>
    <row r="104" spans="1:82" s="259" customFormat="1" x14ac:dyDescent="0.2">
      <c r="A104" s="255" t="s">
        <v>583</v>
      </c>
      <c r="B104" s="255" t="s">
        <v>537</v>
      </c>
      <c r="C104" s="256" t="s">
        <v>584</v>
      </c>
      <c r="D104" s="256" t="s">
        <v>1483</v>
      </c>
      <c r="E104" s="257" t="s">
        <v>2710</v>
      </c>
      <c r="F104" s="253"/>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row>
    <row r="105" spans="1:82" s="259" customFormat="1" x14ac:dyDescent="0.2">
      <c r="A105" s="250" t="s">
        <v>592</v>
      </c>
      <c r="B105" s="250" t="s">
        <v>548</v>
      </c>
      <c r="C105" s="251" t="s">
        <v>593</v>
      </c>
      <c r="D105" s="251" t="s">
        <v>1484</v>
      </c>
      <c r="E105" s="252"/>
      <c r="F105" s="253"/>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c r="BL105" s="244"/>
      <c r="BM105" s="244"/>
      <c r="BN105" s="244"/>
      <c r="BO105" s="244"/>
      <c r="BP105" s="244"/>
      <c r="BQ105" s="244"/>
      <c r="BR105" s="244"/>
      <c r="BS105" s="244"/>
      <c r="BT105" s="244"/>
      <c r="BU105" s="244"/>
      <c r="BV105" s="244"/>
      <c r="BW105" s="244"/>
      <c r="BX105" s="244"/>
      <c r="BY105" s="244"/>
      <c r="BZ105" s="244"/>
      <c r="CA105" s="244"/>
      <c r="CB105" s="244"/>
      <c r="CC105" s="244"/>
      <c r="CD105" s="244"/>
    </row>
    <row r="106" spans="1:82" s="259" customFormat="1" x14ac:dyDescent="0.2">
      <c r="A106" s="255" t="s">
        <v>596</v>
      </c>
      <c r="B106" s="255" t="s">
        <v>2919</v>
      </c>
      <c r="C106" s="256" t="s">
        <v>597</v>
      </c>
      <c r="D106" s="256" t="s">
        <v>1485</v>
      </c>
      <c r="E106" s="257" t="s">
        <v>2711</v>
      </c>
      <c r="F106" s="253"/>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c r="BL106" s="244"/>
      <c r="BM106" s="244"/>
      <c r="BN106" s="244"/>
      <c r="BO106" s="244"/>
      <c r="BP106" s="244"/>
      <c r="BQ106" s="244"/>
      <c r="BR106" s="244"/>
      <c r="BS106" s="244"/>
      <c r="BT106" s="244"/>
      <c r="BU106" s="244"/>
      <c r="BV106" s="244"/>
      <c r="BW106" s="244"/>
      <c r="BX106" s="244"/>
      <c r="BY106" s="244"/>
      <c r="BZ106" s="244"/>
      <c r="CA106" s="244"/>
      <c r="CB106" s="244"/>
      <c r="CC106" s="244"/>
      <c r="CD106" s="244"/>
    </row>
    <row r="107" spans="1:82" s="259" customFormat="1" x14ac:dyDescent="0.2">
      <c r="A107" s="250" t="s">
        <v>602</v>
      </c>
      <c r="B107" s="250" t="s">
        <v>2920</v>
      </c>
      <c r="C107" s="251" t="s">
        <v>616</v>
      </c>
      <c r="D107" s="251" t="s">
        <v>1488</v>
      </c>
      <c r="E107" s="252" t="s">
        <v>2784</v>
      </c>
      <c r="F107" s="253"/>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c r="BL107" s="244"/>
      <c r="BM107" s="244"/>
      <c r="BN107" s="244"/>
      <c r="BO107" s="244"/>
      <c r="BP107" s="244"/>
      <c r="BQ107" s="244"/>
      <c r="BR107" s="244"/>
      <c r="BS107" s="244"/>
      <c r="BT107" s="244"/>
      <c r="BU107" s="244"/>
      <c r="BV107" s="244"/>
      <c r="BW107" s="244"/>
      <c r="BX107" s="244"/>
      <c r="BY107" s="244"/>
      <c r="BZ107" s="244"/>
      <c r="CA107" s="244"/>
      <c r="CB107" s="244"/>
      <c r="CC107" s="244"/>
      <c r="CD107" s="244"/>
    </row>
    <row r="108" spans="1:82" s="259" customFormat="1" ht="64" x14ac:dyDescent="0.2">
      <c r="A108" s="266" t="s">
        <v>2461</v>
      </c>
      <c r="B108" s="266" t="s">
        <v>2970</v>
      </c>
      <c r="C108" s="256" t="s">
        <v>630</v>
      </c>
      <c r="D108" s="256" t="s">
        <v>1489</v>
      </c>
      <c r="E108" s="257" t="s">
        <v>2764</v>
      </c>
      <c r="F108" s="253"/>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c r="BL108" s="244"/>
      <c r="BM108" s="244"/>
      <c r="BN108" s="244"/>
      <c r="BO108" s="244"/>
      <c r="BP108" s="244"/>
      <c r="BQ108" s="244"/>
      <c r="BR108" s="244"/>
      <c r="BS108" s="244"/>
      <c r="BT108" s="244"/>
      <c r="BU108" s="244"/>
      <c r="BV108" s="244"/>
      <c r="BW108" s="244"/>
      <c r="BX108" s="244"/>
      <c r="BY108" s="244"/>
      <c r="BZ108" s="244"/>
      <c r="CA108" s="244"/>
      <c r="CB108" s="244"/>
      <c r="CC108" s="244"/>
      <c r="CD108" s="244"/>
    </row>
    <row r="109" spans="1:82" s="259" customFormat="1" ht="32" x14ac:dyDescent="0.2">
      <c r="A109" s="258" t="s">
        <v>2462</v>
      </c>
      <c r="B109" s="258" t="s">
        <v>2971</v>
      </c>
      <c r="C109" s="251" t="s">
        <v>623</v>
      </c>
      <c r="D109" s="251" t="s">
        <v>1490</v>
      </c>
      <c r="E109" s="252" t="s">
        <v>2712</v>
      </c>
      <c r="F109" s="253"/>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c r="BL109" s="244"/>
      <c r="BM109" s="244"/>
      <c r="BN109" s="244"/>
      <c r="BO109" s="244"/>
      <c r="BP109" s="244"/>
      <c r="BQ109" s="244"/>
      <c r="BR109" s="244"/>
      <c r="BS109" s="244"/>
      <c r="BT109" s="244"/>
      <c r="BU109" s="244"/>
      <c r="BV109" s="244"/>
      <c r="BW109" s="244"/>
      <c r="BX109" s="244"/>
      <c r="BY109" s="244"/>
      <c r="BZ109" s="244"/>
      <c r="CA109" s="244"/>
      <c r="CB109" s="244"/>
      <c r="CC109" s="244"/>
      <c r="CD109" s="244"/>
    </row>
    <row r="110" spans="1:82" s="259" customFormat="1" ht="48" x14ac:dyDescent="0.2">
      <c r="A110" s="266" t="s">
        <v>2463</v>
      </c>
      <c r="B110" s="266" t="s">
        <v>2972</v>
      </c>
      <c r="C110" s="256" t="s">
        <v>1491</v>
      </c>
      <c r="D110" s="256" t="s">
        <v>1492</v>
      </c>
      <c r="E110" s="257"/>
      <c r="F110" s="253"/>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c r="BL110" s="244"/>
      <c r="BM110" s="244"/>
      <c r="BN110" s="244"/>
      <c r="BO110" s="244"/>
      <c r="BP110" s="244"/>
      <c r="BQ110" s="244"/>
      <c r="BR110" s="244"/>
      <c r="BS110" s="244"/>
      <c r="BT110" s="244"/>
      <c r="BU110" s="244"/>
      <c r="BV110" s="244"/>
      <c r="BW110" s="244"/>
      <c r="BX110" s="244"/>
      <c r="BY110" s="244"/>
      <c r="BZ110" s="244"/>
      <c r="CA110" s="244"/>
      <c r="CB110" s="244"/>
      <c r="CC110" s="244"/>
      <c r="CD110" s="244"/>
    </row>
    <row r="111" spans="1:82" s="259" customFormat="1" ht="48" x14ac:dyDescent="0.2">
      <c r="A111" s="250" t="s">
        <v>615</v>
      </c>
      <c r="B111" s="250" t="s">
        <v>2921</v>
      </c>
      <c r="C111" s="251" t="s">
        <v>640</v>
      </c>
      <c r="D111" s="251" t="s">
        <v>1493</v>
      </c>
      <c r="E111" s="252" t="s">
        <v>2713</v>
      </c>
      <c r="F111" s="253"/>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c r="BL111" s="244"/>
      <c r="BM111" s="244"/>
      <c r="BN111" s="244"/>
      <c r="BO111" s="244"/>
      <c r="BP111" s="244"/>
      <c r="BQ111" s="244"/>
      <c r="BR111" s="244"/>
      <c r="BS111" s="244"/>
      <c r="BT111" s="244"/>
      <c r="BU111" s="244"/>
      <c r="BV111" s="244"/>
      <c r="BW111" s="244"/>
      <c r="BX111" s="244"/>
      <c r="BY111" s="244"/>
      <c r="BZ111" s="244"/>
      <c r="CA111" s="244"/>
      <c r="CB111" s="244"/>
      <c r="CC111" s="244"/>
      <c r="CD111" s="244"/>
    </row>
    <row r="112" spans="1:82" s="259" customFormat="1" ht="32" x14ac:dyDescent="0.2">
      <c r="A112" s="255" t="s">
        <v>639</v>
      </c>
      <c r="B112" s="255" t="s">
        <v>2922</v>
      </c>
      <c r="C112" s="256" t="s">
        <v>645</v>
      </c>
      <c r="D112" s="256" t="s">
        <v>1494</v>
      </c>
      <c r="E112" s="257" t="s">
        <v>1495</v>
      </c>
      <c r="F112" s="253"/>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c r="BL112" s="244"/>
      <c r="BM112" s="244"/>
      <c r="BN112" s="244"/>
      <c r="BO112" s="244"/>
      <c r="BP112" s="244"/>
      <c r="BQ112" s="244"/>
      <c r="BR112" s="244"/>
      <c r="BS112" s="244"/>
      <c r="BT112" s="244"/>
      <c r="BU112" s="244"/>
      <c r="BV112" s="244"/>
      <c r="BW112" s="244"/>
      <c r="BX112" s="244"/>
      <c r="BY112" s="244"/>
      <c r="BZ112" s="244"/>
      <c r="CA112" s="244"/>
      <c r="CB112" s="244"/>
      <c r="CC112" s="244"/>
      <c r="CD112" s="244"/>
    </row>
    <row r="113" spans="1:82" s="259" customFormat="1" ht="32" x14ac:dyDescent="0.2">
      <c r="A113" s="250" t="s">
        <v>2464</v>
      </c>
      <c r="B113" s="250" t="s">
        <v>2923</v>
      </c>
      <c r="C113" s="251" t="s">
        <v>2714</v>
      </c>
      <c r="D113" s="251" t="s">
        <v>2352</v>
      </c>
      <c r="E113" s="252"/>
      <c r="F113" s="253"/>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c r="BL113" s="244"/>
      <c r="BM113" s="244"/>
      <c r="BN113" s="244"/>
      <c r="BO113" s="244"/>
      <c r="BP113" s="244"/>
      <c r="BQ113" s="244"/>
      <c r="BR113" s="244"/>
      <c r="BS113" s="244"/>
      <c r="BT113" s="244"/>
      <c r="BU113" s="244"/>
      <c r="BV113" s="244"/>
      <c r="BW113" s="244"/>
      <c r="BX113" s="244"/>
      <c r="BY113" s="244"/>
      <c r="BZ113" s="244"/>
      <c r="CA113" s="244"/>
      <c r="CB113" s="244"/>
      <c r="CC113" s="244"/>
      <c r="CD113" s="244"/>
    </row>
    <row r="114" spans="1:82" s="259" customFormat="1" ht="32" x14ac:dyDescent="0.2">
      <c r="A114" s="255" t="s">
        <v>2465</v>
      </c>
      <c r="B114" s="255" t="s">
        <v>2924</v>
      </c>
      <c r="C114" s="256" t="s">
        <v>2715</v>
      </c>
      <c r="D114" s="256" t="s">
        <v>2353</v>
      </c>
      <c r="E114" s="257"/>
      <c r="F114" s="253"/>
      <c r="G114" s="244"/>
      <c r="H114" s="244"/>
      <c r="I114" s="244"/>
      <c r="J114" s="244"/>
      <c r="K114" s="244"/>
      <c r="L114" s="244"/>
      <c r="M114" s="244"/>
      <c r="N114" s="244"/>
      <c r="O114" s="244"/>
      <c r="P114" s="244"/>
      <c r="Q114" s="244"/>
      <c r="R114" s="244"/>
      <c r="S114" s="244"/>
      <c r="T114" s="244"/>
      <c r="U114" s="244"/>
      <c r="V114" s="244"/>
      <c r="W114" s="244"/>
      <c r="X114" s="244"/>
      <c r="Y114" s="244"/>
      <c r="Z114" s="244"/>
      <c r="AA114" s="244"/>
      <c r="AB114" s="244"/>
      <c r="AC114" s="244"/>
      <c r="AD114" s="244"/>
      <c r="AE114" s="244"/>
      <c r="AF114" s="244"/>
      <c r="AG114" s="244"/>
      <c r="AH114" s="244"/>
      <c r="AI114" s="244"/>
      <c r="AJ114" s="244"/>
      <c r="AK114" s="244"/>
      <c r="AL114" s="244"/>
      <c r="AM114" s="244"/>
      <c r="AN114" s="244"/>
      <c r="AO114" s="244"/>
      <c r="AP114" s="244"/>
      <c r="AQ114" s="244"/>
      <c r="AR114" s="244"/>
      <c r="AS114" s="244"/>
      <c r="AT114" s="244"/>
      <c r="AU114" s="244"/>
      <c r="AV114" s="244"/>
      <c r="AW114" s="244"/>
      <c r="AX114" s="244"/>
      <c r="AY114" s="244"/>
      <c r="AZ114" s="244"/>
      <c r="BA114" s="244"/>
      <c r="BB114" s="244"/>
      <c r="BC114" s="244"/>
      <c r="BD114" s="244"/>
      <c r="BE114" s="244"/>
      <c r="BF114" s="244"/>
      <c r="BG114" s="244"/>
      <c r="BH114" s="244"/>
      <c r="BI114" s="244"/>
      <c r="BJ114" s="244"/>
      <c r="BK114" s="244"/>
      <c r="BL114" s="244"/>
      <c r="BM114" s="244"/>
      <c r="BN114" s="244"/>
      <c r="BO114" s="244"/>
      <c r="BP114" s="244"/>
      <c r="BQ114" s="244"/>
      <c r="BR114" s="244"/>
      <c r="BS114" s="244"/>
      <c r="BT114" s="244"/>
      <c r="BU114" s="244"/>
      <c r="BV114" s="244"/>
      <c r="BW114" s="244"/>
      <c r="BX114" s="244"/>
      <c r="BY114" s="244"/>
      <c r="BZ114" s="244"/>
      <c r="CA114" s="244"/>
      <c r="CB114" s="244"/>
      <c r="CC114" s="244"/>
      <c r="CD114" s="244"/>
    </row>
    <row r="115" spans="1:82" s="259" customFormat="1" ht="32" x14ac:dyDescent="0.2">
      <c r="A115" s="250" t="s">
        <v>2466</v>
      </c>
      <c r="B115" s="250" t="s">
        <v>2925</v>
      </c>
      <c r="C115" s="251" t="s">
        <v>2716</v>
      </c>
      <c r="D115" s="251" t="s">
        <v>2354</v>
      </c>
      <c r="E115" s="252"/>
      <c r="F115" s="253"/>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row>
    <row r="116" spans="1:82" s="259" customFormat="1" x14ac:dyDescent="0.2">
      <c r="A116" s="255" t="s">
        <v>644</v>
      </c>
      <c r="B116" s="255" t="s">
        <v>2926</v>
      </c>
      <c r="C116" s="256" t="s">
        <v>664</v>
      </c>
      <c r="D116" s="256" t="s">
        <v>666</v>
      </c>
      <c r="E116" s="257" t="s">
        <v>1496</v>
      </c>
      <c r="F116" s="253"/>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row>
    <row r="117" spans="1:82" s="259" customFormat="1" ht="48" x14ac:dyDescent="0.2">
      <c r="A117" s="250" t="s">
        <v>2417</v>
      </c>
      <c r="B117" s="250" t="s">
        <v>2927</v>
      </c>
      <c r="C117" s="251" t="s">
        <v>1498</v>
      </c>
      <c r="D117" s="251" t="s">
        <v>1499</v>
      </c>
      <c r="E117" s="252" t="s">
        <v>2717</v>
      </c>
      <c r="F117" s="253"/>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row>
    <row r="118" spans="1:82" s="259" customFormat="1" ht="32" x14ac:dyDescent="0.2">
      <c r="A118" s="250" t="s">
        <v>2418</v>
      </c>
      <c r="B118" s="250" t="s">
        <v>2928</v>
      </c>
      <c r="C118" s="251" t="s">
        <v>1503</v>
      </c>
      <c r="D118" s="251" t="s">
        <v>1504</v>
      </c>
      <c r="E118" s="252" t="s">
        <v>1505</v>
      </c>
      <c r="F118" s="253"/>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row>
    <row r="119" spans="1:82" s="259" customFormat="1" x14ac:dyDescent="0.2">
      <c r="A119" s="255" t="s">
        <v>663</v>
      </c>
      <c r="B119" s="255" t="s">
        <v>2929</v>
      </c>
      <c r="C119" s="256" t="s">
        <v>682</v>
      </c>
      <c r="D119" s="256" t="s">
        <v>1506</v>
      </c>
      <c r="E119" s="257" t="s">
        <v>2744</v>
      </c>
      <c r="F119" s="253"/>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row>
    <row r="120" spans="1:82" s="259" customFormat="1" ht="32" x14ac:dyDescent="0.2">
      <c r="A120" s="250" t="s">
        <v>1497</v>
      </c>
      <c r="B120" s="250" t="s">
        <v>2930</v>
      </c>
      <c r="C120" s="251" t="s">
        <v>687</v>
      </c>
      <c r="D120" s="251" t="s">
        <v>2857</v>
      </c>
      <c r="E120" s="252" t="s">
        <v>2718</v>
      </c>
      <c r="F120" s="253"/>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row>
    <row r="121" spans="1:82" s="259" customFormat="1" ht="48" x14ac:dyDescent="0.2">
      <c r="A121" s="255" t="s">
        <v>1500</v>
      </c>
      <c r="B121" s="255" t="s">
        <v>2931</v>
      </c>
      <c r="C121" s="256" t="s">
        <v>2719</v>
      </c>
      <c r="D121" s="256" t="s">
        <v>2348</v>
      </c>
      <c r="E121" s="257" t="s">
        <v>685</v>
      </c>
      <c r="F121" s="253"/>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row>
    <row r="122" spans="1:82" s="259" customFormat="1" ht="32" x14ac:dyDescent="0.2">
      <c r="A122" s="250" t="s">
        <v>1502</v>
      </c>
      <c r="B122" s="250" t="s">
        <v>2932</v>
      </c>
      <c r="C122" s="251" t="s">
        <v>2766</v>
      </c>
      <c r="D122" s="251" t="s">
        <v>2855</v>
      </c>
      <c r="E122" s="252"/>
      <c r="F122" s="253"/>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row>
    <row r="123" spans="1:82" s="259" customFormat="1" ht="48" x14ac:dyDescent="0.2">
      <c r="A123" s="250" t="s">
        <v>2468</v>
      </c>
      <c r="B123" s="250" t="s">
        <v>2933</v>
      </c>
      <c r="C123" s="251" t="s">
        <v>2720</v>
      </c>
      <c r="D123" s="251" t="s">
        <v>2344</v>
      </c>
      <c r="E123" s="252"/>
      <c r="F123" s="253"/>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row>
    <row r="124" spans="1:82" s="259" customFormat="1" ht="64" x14ac:dyDescent="0.2">
      <c r="A124" s="255" t="s">
        <v>2469</v>
      </c>
      <c r="B124" s="255" t="s">
        <v>2934</v>
      </c>
      <c r="C124" s="256" t="s">
        <v>2721</v>
      </c>
      <c r="D124" s="256" t="s">
        <v>2347</v>
      </c>
      <c r="E124" s="257" t="s">
        <v>2346</v>
      </c>
      <c r="F124" s="253"/>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row>
    <row r="125" spans="1:82" s="259" customFormat="1" ht="48" x14ac:dyDescent="0.2">
      <c r="A125" s="250" t="s">
        <v>2470</v>
      </c>
      <c r="B125" s="250" t="s">
        <v>2935</v>
      </c>
      <c r="C125" s="251" t="s">
        <v>2722</v>
      </c>
      <c r="D125" s="251" t="s">
        <v>2340</v>
      </c>
      <c r="E125" s="252" t="s">
        <v>2341</v>
      </c>
      <c r="F125" s="253"/>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row>
    <row r="126" spans="1:82" s="259" customFormat="1" x14ac:dyDescent="0.2">
      <c r="A126" s="255" t="s">
        <v>2471</v>
      </c>
      <c r="B126" s="255" t="s">
        <v>2936</v>
      </c>
      <c r="C126" s="260" t="s">
        <v>2767</v>
      </c>
      <c r="D126" s="256" t="s">
        <v>2854</v>
      </c>
      <c r="E126" s="257" t="s">
        <v>2723</v>
      </c>
      <c r="F126" s="253"/>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row>
    <row r="127" spans="1:82" s="259" customFormat="1" ht="32" x14ac:dyDescent="0.2">
      <c r="A127" s="250" t="s">
        <v>2472</v>
      </c>
      <c r="B127" s="250" t="s">
        <v>2937</v>
      </c>
      <c r="C127" s="251" t="s">
        <v>2724</v>
      </c>
      <c r="D127" s="251" t="s">
        <v>2343</v>
      </c>
      <c r="E127" s="252"/>
      <c r="F127" s="253"/>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row>
    <row r="128" spans="1:82" s="259" customFormat="1" ht="32" x14ac:dyDescent="0.2">
      <c r="A128" s="255" t="s">
        <v>2473</v>
      </c>
      <c r="B128" s="255" t="s">
        <v>2938</v>
      </c>
      <c r="C128" s="256" t="s">
        <v>2725</v>
      </c>
      <c r="D128" s="256" t="s">
        <v>2345</v>
      </c>
      <c r="E128" s="257"/>
      <c r="F128" s="253"/>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row>
    <row r="129" spans="1:82" s="259" customFormat="1" ht="80" x14ac:dyDescent="0.2">
      <c r="A129" s="250" t="s">
        <v>2474</v>
      </c>
      <c r="B129" s="250" t="s">
        <v>2939</v>
      </c>
      <c r="C129" s="251" t="s">
        <v>2726</v>
      </c>
      <c r="D129" s="251" t="s">
        <v>2349</v>
      </c>
      <c r="E129" s="252"/>
      <c r="F129" s="253"/>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row>
    <row r="130" spans="1:82" s="259" customFormat="1" ht="48" x14ac:dyDescent="0.2">
      <c r="A130" s="255" t="s">
        <v>2475</v>
      </c>
      <c r="B130" s="255" t="s">
        <v>2940</v>
      </c>
      <c r="C130" s="256" t="s">
        <v>2727</v>
      </c>
      <c r="D130" s="256" t="s">
        <v>2351</v>
      </c>
      <c r="E130" s="257"/>
      <c r="F130" s="253"/>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row>
    <row r="131" spans="1:82" s="259" customFormat="1" ht="48" x14ac:dyDescent="0.2">
      <c r="A131" s="250" t="s">
        <v>681</v>
      </c>
      <c r="B131" s="250" t="s">
        <v>2941</v>
      </c>
      <c r="C131" s="251" t="s">
        <v>701</v>
      </c>
      <c r="D131" s="251" t="s">
        <v>1507</v>
      </c>
      <c r="E131" s="252" t="s">
        <v>1508</v>
      </c>
      <c r="F131" s="253"/>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row>
    <row r="132" spans="1:82" s="259" customFormat="1" ht="32" x14ac:dyDescent="0.2">
      <c r="A132" s="255" t="s">
        <v>700</v>
      </c>
      <c r="B132" s="255" t="s">
        <v>2942</v>
      </c>
      <c r="C132" s="256" t="s">
        <v>705</v>
      </c>
      <c r="D132" s="256" t="s">
        <v>1509</v>
      </c>
      <c r="E132" s="257"/>
      <c r="F132" s="253"/>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row>
    <row r="133" spans="1:82" s="259" customFormat="1" x14ac:dyDescent="0.2">
      <c r="A133" s="250" t="s">
        <v>704</v>
      </c>
      <c r="B133" s="250" t="s">
        <v>2943</v>
      </c>
      <c r="C133" s="251" t="s">
        <v>2728</v>
      </c>
      <c r="D133" s="251" t="s">
        <v>1511</v>
      </c>
      <c r="E133" s="252"/>
      <c r="F133" s="253"/>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row>
    <row r="134" spans="1:82" s="259" customFormat="1" x14ac:dyDescent="0.2">
      <c r="A134" s="250" t="s">
        <v>303</v>
      </c>
      <c r="B134" s="250" t="s">
        <v>2901</v>
      </c>
      <c r="C134" s="251" t="s">
        <v>304</v>
      </c>
      <c r="D134" s="251" t="s">
        <v>1413</v>
      </c>
      <c r="E134" s="252" t="s">
        <v>1414</v>
      </c>
      <c r="F134" s="253"/>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row>
    <row r="135" spans="1:82" s="259" customFormat="1" ht="32" x14ac:dyDescent="0.2">
      <c r="A135" s="250" t="s">
        <v>1408</v>
      </c>
      <c r="B135" s="250" t="s">
        <v>2900</v>
      </c>
      <c r="C135" s="251" t="s">
        <v>1409</v>
      </c>
      <c r="D135" s="251" t="s">
        <v>1410</v>
      </c>
      <c r="E135" s="252" t="s">
        <v>2693</v>
      </c>
      <c r="F135" s="253"/>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row>
    <row r="136" spans="1:82" s="259" customFormat="1" ht="64" x14ac:dyDescent="0.2">
      <c r="A136" s="255" t="s">
        <v>1514</v>
      </c>
      <c r="B136" s="255" t="s">
        <v>2944</v>
      </c>
      <c r="C136" s="256" t="s">
        <v>2729</v>
      </c>
      <c r="D136" s="256" t="s">
        <v>2339</v>
      </c>
      <c r="E136" s="257"/>
      <c r="F136" s="253"/>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row>
    <row r="137" spans="1:82" s="259" customFormat="1" ht="32" x14ac:dyDescent="0.2">
      <c r="A137" s="250" t="s">
        <v>2421</v>
      </c>
      <c r="B137" s="250" t="s">
        <v>2945</v>
      </c>
      <c r="C137" s="251" t="s">
        <v>2730</v>
      </c>
      <c r="D137" s="251" t="s">
        <v>2428</v>
      </c>
      <c r="E137" s="279"/>
      <c r="F137" s="251"/>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row>
    <row r="138" spans="1:82" s="259" customFormat="1" ht="48" x14ac:dyDescent="0.2">
      <c r="A138" s="255" t="s">
        <v>2422</v>
      </c>
      <c r="B138" s="255" t="s">
        <v>2946</v>
      </c>
      <c r="C138" s="256" t="s">
        <v>2731</v>
      </c>
      <c r="D138" s="256" t="s">
        <v>2350</v>
      </c>
      <c r="E138" s="257"/>
      <c r="F138" s="253"/>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row>
    <row r="139" spans="1:82" s="259" customFormat="1" ht="144" x14ac:dyDescent="0.2">
      <c r="A139" s="258" t="s">
        <v>2493</v>
      </c>
      <c r="B139" s="258" t="s">
        <v>2973</v>
      </c>
      <c r="C139" s="251" t="s">
        <v>1466</v>
      </c>
      <c r="D139" s="251" t="s">
        <v>1467</v>
      </c>
      <c r="E139" s="252"/>
      <c r="F139" s="253"/>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row>
    <row r="140" spans="1:82" s="259" customFormat="1" x14ac:dyDescent="0.2">
      <c r="A140" s="255" t="s">
        <v>1527</v>
      </c>
      <c r="B140" s="255" t="s">
        <v>2969</v>
      </c>
      <c r="C140" s="256" t="s">
        <v>1528</v>
      </c>
      <c r="D140" s="256" t="s">
        <v>719</v>
      </c>
      <c r="E140" s="276"/>
      <c r="F140" s="253"/>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row>
    <row r="141" spans="1:82" s="259" customFormat="1" ht="64" x14ac:dyDescent="0.2">
      <c r="A141" s="250" t="s">
        <v>1427</v>
      </c>
      <c r="B141" s="250" t="s">
        <v>2905</v>
      </c>
      <c r="C141" s="251" t="s">
        <v>39</v>
      </c>
      <c r="D141" s="251" t="s">
        <v>1428</v>
      </c>
      <c r="E141" s="252"/>
      <c r="F141" s="253"/>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row>
    <row r="142" spans="1:82" ht="32" x14ac:dyDescent="0.2">
      <c r="A142" s="255" t="s">
        <v>2414</v>
      </c>
      <c r="B142" s="255" t="s">
        <v>2906</v>
      </c>
      <c r="C142" s="256" t="s">
        <v>2696</v>
      </c>
      <c r="D142" s="256" t="s">
        <v>2331</v>
      </c>
      <c r="E142" s="257"/>
      <c r="F142" s="253"/>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row>
    <row r="143" spans="1:82" s="259" customFormat="1" ht="48" x14ac:dyDescent="0.2">
      <c r="A143" s="250" t="s">
        <v>1420</v>
      </c>
      <c r="B143" s="250" t="s">
        <v>2904</v>
      </c>
      <c r="C143" s="251" t="s">
        <v>334</v>
      </c>
      <c r="D143" s="251" t="s">
        <v>1421</v>
      </c>
      <c r="E143" s="252" t="s">
        <v>343</v>
      </c>
      <c r="F143" s="253"/>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row>
    <row r="144" spans="1:82" s="259" customFormat="1" x14ac:dyDescent="0.2">
      <c r="A144" s="262"/>
      <c r="B144" s="262"/>
      <c r="C144" s="263"/>
      <c r="D144" s="264" t="s">
        <v>1515</v>
      </c>
      <c r="E144" s="265"/>
      <c r="F144" s="253"/>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row>
    <row r="145" spans="1:82" s="259" customFormat="1" ht="32" x14ac:dyDescent="0.2">
      <c r="A145" s="255" t="s">
        <v>720</v>
      </c>
      <c r="B145" s="255" t="s">
        <v>567</v>
      </c>
      <c r="C145" s="256" t="s">
        <v>721</v>
      </c>
      <c r="D145" s="256" t="s">
        <v>1516</v>
      </c>
      <c r="E145" s="257" t="s">
        <v>1517</v>
      </c>
      <c r="F145" s="253"/>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row>
    <row r="146" spans="1:82" s="259" customFormat="1" ht="32" x14ac:dyDescent="0.2">
      <c r="A146" s="250" t="s">
        <v>733</v>
      </c>
      <c r="B146" s="250" t="s">
        <v>583</v>
      </c>
      <c r="C146" s="251" t="s">
        <v>2732</v>
      </c>
      <c r="D146" s="251" t="s">
        <v>1518</v>
      </c>
      <c r="E146" s="252" t="s">
        <v>1519</v>
      </c>
      <c r="F146" s="253"/>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row>
    <row r="147" spans="1:82" s="259" customFormat="1" ht="32" x14ac:dyDescent="0.2">
      <c r="A147" s="255" t="s">
        <v>746</v>
      </c>
      <c r="B147" s="255" t="s">
        <v>592</v>
      </c>
      <c r="C147" s="256" t="s">
        <v>747</v>
      </c>
      <c r="D147" s="256" t="s">
        <v>1520</v>
      </c>
      <c r="E147" s="257" t="s">
        <v>2733</v>
      </c>
      <c r="F147" s="253"/>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row>
    <row r="148" spans="1:82" s="259" customFormat="1" ht="64" x14ac:dyDescent="0.2">
      <c r="A148" s="250" t="s">
        <v>754</v>
      </c>
      <c r="B148" s="250" t="s">
        <v>596</v>
      </c>
      <c r="C148" s="251" t="s">
        <v>755</v>
      </c>
      <c r="D148" s="251" t="s">
        <v>1521</v>
      </c>
      <c r="E148" s="252" t="s">
        <v>2734</v>
      </c>
      <c r="F148" s="253"/>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row>
    <row r="149" spans="1:82" s="259" customFormat="1" ht="64" x14ac:dyDescent="0.2">
      <c r="A149" s="255" t="s">
        <v>1522</v>
      </c>
      <c r="B149" s="255" t="s">
        <v>2947</v>
      </c>
      <c r="C149" s="256" t="s">
        <v>764</v>
      </c>
      <c r="D149" s="256" t="s">
        <v>1523</v>
      </c>
      <c r="E149" s="257" t="s">
        <v>2735</v>
      </c>
      <c r="F149" s="253"/>
      <c r="G149" s="244"/>
      <c r="H149" s="244"/>
      <c r="I149" s="244"/>
      <c r="J149" s="244"/>
      <c r="K149" s="244"/>
      <c r="L149" s="244"/>
      <c r="M149" s="244"/>
      <c r="N149" s="244"/>
      <c r="O149" s="244"/>
      <c r="P149" s="244"/>
      <c r="Q149" s="244"/>
      <c r="R149" s="244"/>
      <c r="S149" s="244"/>
      <c r="T149" s="244"/>
      <c r="U149" s="244"/>
      <c r="V149" s="244"/>
      <c r="W149" s="244"/>
      <c r="X149" s="244"/>
      <c r="Y149" s="244"/>
      <c r="Z149" s="244"/>
      <c r="AA149" s="244"/>
      <c r="AB149" s="244"/>
      <c r="AC149" s="244"/>
      <c r="AD149" s="244"/>
      <c r="AE149" s="244"/>
      <c r="AF149" s="244"/>
      <c r="AG149" s="244"/>
      <c r="AH149" s="244"/>
      <c r="AI149" s="244"/>
      <c r="AJ149" s="244"/>
      <c r="AK149" s="244"/>
      <c r="AL149" s="244"/>
      <c r="AM149" s="244"/>
      <c r="AN149" s="244"/>
      <c r="AO149" s="244"/>
      <c r="AP149" s="244"/>
      <c r="AQ149" s="244"/>
      <c r="AR149" s="244"/>
      <c r="AS149" s="244"/>
      <c r="AT149" s="244"/>
      <c r="AU149" s="244"/>
      <c r="AV149" s="244"/>
      <c r="AW149" s="244"/>
      <c r="AX149" s="244"/>
      <c r="AY149" s="244"/>
      <c r="AZ149" s="244"/>
      <c r="BA149" s="244"/>
      <c r="BB149" s="244"/>
      <c r="BC149" s="244"/>
      <c r="BD149" s="244"/>
      <c r="BE149" s="244"/>
      <c r="BF149" s="244"/>
      <c r="BG149" s="244"/>
      <c r="BH149" s="244"/>
      <c r="BI149" s="244"/>
      <c r="BJ149" s="244"/>
      <c r="BK149" s="244"/>
      <c r="BL149" s="244"/>
      <c r="BM149" s="244"/>
      <c r="BN149" s="244"/>
      <c r="BO149" s="244"/>
      <c r="BP149" s="244"/>
      <c r="BQ149" s="244"/>
      <c r="BR149" s="244"/>
      <c r="BS149" s="244"/>
      <c r="BT149" s="244"/>
      <c r="BU149" s="244"/>
      <c r="BV149" s="244"/>
      <c r="BW149" s="244"/>
      <c r="BX149" s="244"/>
      <c r="BY149" s="244"/>
      <c r="BZ149" s="244"/>
      <c r="CA149" s="244"/>
      <c r="CB149" s="244"/>
      <c r="CC149" s="244"/>
      <c r="CD149" s="244"/>
    </row>
    <row r="150" spans="1:82" s="259" customFormat="1" ht="32" x14ac:dyDescent="0.2">
      <c r="A150" s="250" t="s">
        <v>2423</v>
      </c>
      <c r="B150" s="250" t="s">
        <v>2948</v>
      </c>
      <c r="C150" s="251" t="s">
        <v>2736</v>
      </c>
      <c r="D150" s="251" t="s">
        <v>2338</v>
      </c>
      <c r="E150" s="252"/>
      <c r="F150" s="253"/>
      <c r="G150" s="244"/>
      <c r="H150" s="244"/>
      <c r="I150" s="244"/>
      <c r="J150" s="244"/>
      <c r="K150" s="244"/>
      <c r="L150" s="244"/>
      <c r="M150" s="244"/>
      <c r="N150" s="244"/>
      <c r="O150" s="244"/>
      <c r="P150" s="244"/>
      <c r="Q150" s="244"/>
      <c r="R150" s="244"/>
      <c r="S150" s="244"/>
      <c r="T150" s="244"/>
      <c r="U150" s="244"/>
      <c r="V150" s="244"/>
      <c r="W150" s="244"/>
      <c r="X150" s="244"/>
      <c r="Y150" s="244"/>
      <c r="Z150" s="244"/>
      <c r="AA150" s="244"/>
      <c r="AB150" s="244"/>
      <c r="AC150" s="244"/>
      <c r="AD150" s="244"/>
      <c r="AE150" s="244"/>
      <c r="AF150" s="244"/>
      <c r="AG150" s="244"/>
      <c r="AH150" s="244"/>
      <c r="AI150" s="244"/>
      <c r="AJ150" s="244"/>
      <c r="AK150" s="244"/>
      <c r="AL150" s="244"/>
      <c r="AM150" s="244"/>
      <c r="AN150" s="244"/>
      <c r="AO150" s="244"/>
      <c r="AP150" s="244"/>
      <c r="AQ150" s="244"/>
      <c r="AR150" s="244"/>
      <c r="AS150" s="244"/>
      <c r="AT150" s="244"/>
      <c r="AU150" s="244"/>
      <c r="AV150" s="244"/>
      <c r="AW150" s="244"/>
      <c r="AX150" s="244"/>
      <c r="AY150" s="244"/>
      <c r="AZ150" s="244"/>
      <c r="BA150" s="244"/>
      <c r="BB150" s="244"/>
      <c r="BC150" s="244"/>
      <c r="BD150" s="244"/>
      <c r="BE150" s="244"/>
      <c r="BF150" s="244"/>
      <c r="BG150" s="244"/>
      <c r="BH150" s="244"/>
      <c r="BI150" s="244"/>
      <c r="BJ150" s="244"/>
      <c r="BK150" s="244"/>
      <c r="BL150" s="244"/>
      <c r="BM150" s="244"/>
      <c r="BN150" s="244"/>
      <c r="BO150" s="244"/>
      <c r="BP150" s="244"/>
      <c r="BQ150" s="244"/>
      <c r="BR150" s="244"/>
      <c r="BS150" s="244"/>
      <c r="BT150" s="244"/>
      <c r="BU150" s="244"/>
      <c r="BV150" s="244"/>
      <c r="BW150" s="244"/>
      <c r="BX150" s="244"/>
      <c r="BY150" s="244"/>
      <c r="BZ150" s="244"/>
      <c r="CA150" s="244"/>
      <c r="CB150" s="244"/>
      <c r="CC150" s="244"/>
      <c r="CD150" s="244"/>
    </row>
    <row r="151" spans="1:82" s="259" customFormat="1" ht="80" x14ac:dyDescent="0.2">
      <c r="A151" s="255" t="s">
        <v>768</v>
      </c>
      <c r="B151" s="255" t="s">
        <v>602</v>
      </c>
      <c r="C151" s="256" t="s">
        <v>769</v>
      </c>
      <c r="D151" s="256" t="s">
        <v>1524</v>
      </c>
      <c r="E151" s="257" t="s">
        <v>1525</v>
      </c>
      <c r="F151" s="253"/>
      <c r="G151" s="244"/>
      <c r="H151" s="244"/>
      <c r="I151" s="244"/>
      <c r="J151" s="244"/>
      <c r="K151" s="244"/>
      <c r="L151" s="244"/>
      <c r="M151" s="244"/>
      <c r="N151" s="244"/>
      <c r="O151" s="244"/>
      <c r="P151" s="244"/>
      <c r="Q151" s="244"/>
      <c r="R151" s="244"/>
      <c r="S151" s="244"/>
      <c r="T151" s="244"/>
      <c r="U151" s="244"/>
      <c r="V151" s="244"/>
      <c r="W151" s="244"/>
      <c r="X151" s="244"/>
      <c r="Y151" s="244"/>
      <c r="Z151" s="244"/>
      <c r="AA151" s="244"/>
      <c r="AB151" s="244"/>
      <c r="AC151" s="244"/>
      <c r="AD151" s="244"/>
      <c r="AE151" s="244"/>
      <c r="AF151" s="244"/>
      <c r="AG151" s="244"/>
      <c r="AH151" s="244"/>
      <c r="AI151" s="244"/>
      <c r="AJ151" s="244"/>
      <c r="AK151" s="244"/>
      <c r="AL151" s="244"/>
      <c r="AM151" s="244"/>
      <c r="AN151" s="244"/>
      <c r="AO151" s="244"/>
      <c r="AP151" s="244"/>
      <c r="AQ151" s="244"/>
      <c r="AR151" s="244"/>
      <c r="AS151" s="244"/>
      <c r="AT151" s="244"/>
      <c r="AU151" s="244"/>
      <c r="AV151" s="244"/>
      <c r="AW151" s="244"/>
      <c r="AX151" s="244"/>
      <c r="AY151" s="244"/>
      <c r="AZ151" s="244"/>
      <c r="BA151" s="244"/>
      <c r="BB151" s="244"/>
      <c r="BC151" s="244"/>
      <c r="BD151" s="244"/>
      <c r="BE151" s="244"/>
      <c r="BF151" s="244"/>
      <c r="BG151" s="244"/>
      <c r="BH151" s="244"/>
      <c r="BI151" s="244"/>
      <c r="BJ151" s="244"/>
      <c r="BK151" s="244"/>
      <c r="BL151" s="244"/>
      <c r="BM151" s="244"/>
      <c r="BN151" s="244"/>
      <c r="BO151" s="244"/>
      <c r="BP151" s="244"/>
      <c r="BQ151" s="244"/>
      <c r="BR151" s="244"/>
      <c r="BS151" s="244"/>
      <c r="BT151" s="244"/>
      <c r="BU151" s="244"/>
      <c r="BV151" s="244"/>
      <c r="BW151" s="244"/>
      <c r="BX151" s="244"/>
      <c r="BY151" s="244"/>
      <c r="BZ151" s="244"/>
      <c r="CA151" s="244"/>
      <c r="CB151" s="244"/>
      <c r="CC151" s="244"/>
      <c r="CD151" s="244"/>
    </row>
    <row r="152" spans="1:82" s="259" customFormat="1" ht="48" x14ac:dyDescent="0.2">
      <c r="A152" s="258" t="s">
        <v>2500</v>
      </c>
      <c r="B152" s="258" t="s">
        <v>2461</v>
      </c>
      <c r="C152" s="251" t="s">
        <v>2737</v>
      </c>
      <c r="D152" s="251" t="s">
        <v>2852</v>
      </c>
      <c r="E152" s="252"/>
      <c r="F152" s="253"/>
      <c r="G152" s="244"/>
      <c r="H152" s="244"/>
      <c r="I152" s="244"/>
      <c r="J152" s="244"/>
      <c r="K152" s="244"/>
      <c r="L152" s="244"/>
      <c r="M152" s="244"/>
      <c r="N152" s="244"/>
      <c r="O152" s="244"/>
      <c r="P152" s="244"/>
      <c r="Q152" s="244"/>
      <c r="R152" s="244"/>
      <c r="S152" s="244"/>
      <c r="T152" s="244"/>
      <c r="U152" s="244"/>
      <c r="V152" s="244"/>
      <c r="W152" s="244"/>
      <c r="X152" s="244"/>
      <c r="Y152" s="244"/>
      <c r="Z152" s="244"/>
      <c r="AA152" s="244"/>
      <c r="AB152" s="244"/>
      <c r="AC152" s="244"/>
      <c r="AD152" s="244"/>
      <c r="AE152" s="244"/>
      <c r="AF152" s="244"/>
      <c r="AG152" s="244"/>
      <c r="AH152" s="244"/>
      <c r="AI152" s="244"/>
      <c r="AJ152" s="244"/>
      <c r="AK152" s="244"/>
      <c r="AL152" s="244"/>
      <c r="AM152" s="244"/>
      <c r="AN152" s="244"/>
      <c r="AO152" s="244"/>
      <c r="AP152" s="244"/>
      <c r="AQ152" s="244"/>
      <c r="AR152" s="244"/>
      <c r="AS152" s="244"/>
      <c r="AT152" s="244"/>
      <c r="AU152" s="244"/>
      <c r="AV152" s="244"/>
      <c r="AW152" s="244"/>
      <c r="AX152" s="244"/>
      <c r="AY152" s="244"/>
      <c r="AZ152" s="244"/>
      <c r="BA152" s="244"/>
      <c r="BB152" s="244"/>
      <c r="BC152" s="244"/>
      <c r="BD152" s="244"/>
      <c r="BE152" s="244"/>
      <c r="BF152" s="244"/>
      <c r="BG152" s="244"/>
      <c r="BH152" s="244"/>
      <c r="BI152" s="244"/>
      <c r="BJ152" s="244"/>
      <c r="BK152" s="244"/>
      <c r="BL152" s="244"/>
      <c r="BM152" s="244"/>
      <c r="BN152" s="244"/>
      <c r="BO152" s="244"/>
      <c r="BP152" s="244"/>
      <c r="BQ152" s="244"/>
      <c r="BR152" s="244"/>
      <c r="BS152" s="244"/>
      <c r="BT152" s="244"/>
      <c r="BU152" s="244"/>
      <c r="BV152" s="244"/>
      <c r="BW152" s="244"/>
      <c r="BX152" s="244"/>
      <c r="BY152" s="244"/>
      <c r="BZ152" s="244"/>
      <c r="CA152" s="244"/>
      <c r="CB152" s="244"/>
      <c r="CC152" s="244"/>
      <c r="CD152" s="244"/>
    </row>
    <row r="153" spans="1:82" s="259" customFormat="1" x14ac:dyDescent="0.2">
      <c r="A153" s="266" t="s">
        <v>2501</v>
      </c>
      <c r="B153" s="266" t="s">
        <v>2462</v>
      </c>
      <c r="C153" s="256" t="s">
        <v>2502</v>
      </c>
      <c r="D153" s="256" t="s">
        <v>2853</v>
      </c>
      <c r="E153" s="257"/>
      <c r="F153" s="253"/>
      <c r="G153" s="244"/>
      <c r="H153" s="244"/>
      <c r="I153" s="244"/>
      <c r="J153" s="244"/>
      <c r="K153" s="244"/>
      <c r="L153" s="244"/>
      <c r="M153" s="244"/>
      <c r="N153" s="244"/>
      <c r="O153" s="244"/>
      <c r="P153" s="244"/>
      <c r="Q153" s="244"/>
      <c r="R153" s="244"/>
      <c r="S153" s="244"/>
      <c r="T153" s="244"/>
      <c r="U153" s="244"/>
      <c r="V153" s="244"/>
      <c r="W153" s="244"/>
      <c r="X153" s="244"/>
      <c r="Y153" s="244"/>
      <c r="Z153" s="244"/>
      <c r="AA153" s="244"/>
      <c r="AB153" s="244"/>
      <c r="AC153" s="244"/>
      <c r="AD153" s="244"/>
      <c r="AE153" s="244"/>
      <c r="AF153" s="244"/>
      <c r="AG153" s="244"/>
      <c r="AH153" s="244"/>
      <c r="AI153" s="244"/>
      <c r="AJ153" s="244"/>
      <c r="AK153" s="244"/>
      <c r="AL153" s="244"/>
      <c r="AM153" s="244"/>
      <c r="AN153" s="244"/>
      <c r="AO153" s="244"/>
      <c r="AP153" s="244"/>
      <c r="AQ153" s="244"/>
      <c r="AR153" s="244"/>
      <c r="AS153" s="244"/>
      <c r="AT153" s="244"/>
      <c r="AU153" s="244"/>
      <c r="AV153" s="244"/>
      <c r="AW153" s="244"/>
      <c r="AX153" s="244"/>
      <c r="AY153" s="244"/>
      <c r="AZ153" s="244"/>
      <c r="BA153" s="244"/>
      <c r="BB153" s="244"/>
      <c r="BC153" s="244"/>
      <c r="BD153" s="244"/>
      <c r="BE153" s="244"/>
      <c r="BF153" s="244"/>
      <c r="BG153" s="244"/>
      <c r="BH153" s="244"/>
      <c r="BI153" s="244"/>
      <c r="BJ153" s="244"/>
      <c r="BK153" s="244"/>
      <c r="BL153" s="244"/>
      <c r="BM153" s="244"/>
      <c r="BN153" s="244"/>
      <c r="BO153" s="244"/>
      <c r="BP153" s="244"/>
      <c r="BQ153" s="244"/>
      <c r="BR153" s="244"/>
      <c r="BS153" s="244"/>
      <c r="BT153" s="244"/>
      <c r="BU153" s="244"/>
      <c r="BV153" s="244"/>
      <c r="BW153" s="244"/>
      <c r="BX153" s="244"/>
      <c r="BY153" s="244"/>
      <c r="BZ153" s="244"/>
      <c r="CA153" s="244"/>
      <c r="CB153" s="244"/>
      <c r="CC153" s="244"/>
      <c r="CD153" s="244"/>
    </row>
    <row r="154" spans="1:82" s="259" customFormat="1" x14ac:dyDescent="0.2">
      <c r="A154" s="250" t="s">
        <v>777</v>
      </c>
      <c r="B154" s="250" t="s">
        <v>615</v>
      </c>
      <c r="C154" s="251" t="s">
        <v>778</v>
      </c>
      <c r="D154" s="251" t="s">
        <v>1526</v>
      </c>
      <c r="E154" s="252"/>
      <c r="F154" s="253"/>
      <c r="G154" s="244"/>
      <c r="H154" s="244"/>
      <c r="I154" s="244"/>
      <c r="J154" s="244"/>
      <c r="K154" s="244"/>
      <c r="L154" s="244"/>
      <c r="M154" s="244"/>
      <c r="N154" s="244"/>
      <c r="O154" s="244"/>
      <c r="P154" s="244"/>
      <c r="Q154" s="244"/>
      <c r="R154" s="244"/>
      <c r="S154" s="244"/>
      <c r="T154" s="244"/>
      <c r="U154" s="244"/>
      <c r="V154" s="244"/>
      <c r="W154" s="244"/>
      <c r="X154" s="244"/>
      <c r="Y154" s="244"/>
      <c r="Z154" s="244"/>
      <c r="AA154" s="244"/>
      <c r="AB154" s="244"/>
      <c r="AC154" s="244"/>
      <c r="AD154" s="244"/>
      <c r="AE154" s="244"/>
      <c r="AF154" s="244"/>
      <c r="AG154" s="244"/>
      <c r="AH154" s="244"/>
      <c r="AI154" s="244"/>
      <c r="AJ154" s="244"/>
      <c r="AK154" s="244"/>
      <c r="AL154" s="244"/>
      <c r="AM154" s="244"/>
      <c r="AN154" s="244"/>
      <c r="AO154" s="244"/>
      <c r="AP154" s="244"/>
      <c r="AQ154" s="244"/>
      <c r="AR154" s="244"/>
      <c r="AS154" s="244"/>
      <c r="AT154" s="244"/>
      <c r="AU154" s="244"/>
      <c r="AV154" s="244"/>
      <c r="AW154" s="244"/>
      <c r="AX154" s="244"/>
      <c r="AY154" s="244"/>
      <c r="AZ154" s="244"/>
      <c r="BA154" s="244"/>
      <c r="BB154" s="244"/>
      <c r="BC154" s="244"/>
      <c r="BD154" s="244"/>
      <c r="BE154" s="244"/>
      <c r="BF154" s="244"/>
      <c r="BG154" s="244"/>
      <c r="BH154" s="244"/>
      <c r="BI154" s="244"/>
      <c r="BJ154" s="244"/>
      <c r="BK154" s="244"/>
      <c r="BL154" s="244"/>
      <c r="BM154" s="244"/>
      <c r="BN154" s="244"/>
      <c r="BO154" s="244"/>
      <c r="BP154" s="244"/>
      <c r="BQ154" s="244"/>
      <c r="BR154" s="244"/>
      <c r="BS154" s="244"/>
      <c r="BT154" s="244"/>
      <c r="BU154" s="244"/>
      <c r="BV154" s="244"/>
      <c r="BW154" s="244"/>
      <c r="BX154" s="244"/>
      <c r="BY154" s="244"/>
      <c r="BZ154" s="244"/>
      <c r="CA154" s="244"/>
      <c r="CB154" s="244"/>
      <c r="CC154" s="244"/>
      <c r="CD154" s="244"/>
    </row>
    <row r="155" spans="1:82" s="259" customFormat="1" ht="48" x14ac:dyDescent="0.2">
      <c r="A155" s="250" t="s">
        <v>1532</v>
      </c>
      <c r="B155" s="250" t="s">
        <v>639</v>
      </c>
      <c r="C155" s="251" t="s">
        <v>68</v>
      </c>
      <c r="D155" s="251" t="s">
        <v>1533</v>
      </c>
      <c r="E155" s="252"/>
      <c r="F155" s="253"/>
      <c r="G155" s="244"/>
      <c r="H155" s="244"/>
      <c r="I155" s="244"/>
      <c r="J155" s="244"/>
      <c r="K155" s="244"/>
      <c r="L155" s="244"/>
      <c r="M155" s="244"/>
      <c r="N155" s="244"/>
      <c r="O155" s="244"/>
      <c r="P155" s="244"/>
      <c r="Q155" s="244"/>
      <c r="R155" s="244"/>
      <c r="S155" s="244"/>
      <c r="T155" s="244"/>
      <c r="U155" s="244"/>
      <c r="V155" s="244"/>
      <c r="W155" s="244"/>
      <c r="X155" s="244"/>
      <c r="Y155" s="244"/>
      <c r="Z155" s="244"/>
      <c r="AA155" s="244"/>
      <c r="AB155" s="244"/>
      <c r="AC155" s="244"/>
      <c r="AD155" s="244"/>
      <c r="AE155" s="244"/>
      <c r="AF155" s="244"/>
      <c r="AG155" s="244"/>
      <c r="AH155" s="244"/>
      <c r="AI155" s="244"/>
      <c r="AJ155" s="244"/>
      <c r="AK155" s="244"/>
      <c r="AL155" s="244"/>
      <c r="AM155" s="244"/>
      <c r="AN155" s="244"/>
      <c r="AO155" s="244"/>
      <c r="AP155" s="244"/>
      <c r="AQ155" s="244"/>
      <c r="AR155" s="244"/>
      <c r="AS155" s="244"/>
      <c r="AT155" s="244"/>
      <c r="AU155" s="244"/>
      <c r="AV155" s="244"/>
      <c r="AW155" s="244"/>
      <c r="AX155" s="244"/>
      <c r="AY155" s="244"/>
      <c r="AZ155" s="244"/>
      <c r="BA155" s="244"/>
      <c r="BB155" s="244"/>
      <c r="BC155" s="244"/>
      <c r="BD155" s="244"/>
      <c r="BE155" s="244"/>
      <c r="BF155" s="244"/>
      <c r="BG155" s="244"/>
      <c r="BH155" s="244"/>
      <c r="BI155" s="244"/>
      <c r="BJ155" s="244"/>
      <c r="BK155" s="244"/>
      <c r="BL155" s="244"/>
      <c r="BM155" s="244"/>
      <c r="BN155" s="244"/>
      <c r="BO155" s="244"/>
      <c r="BP155" s="244"/>
      <c r="BQ155" s="244"/>
      <c r="BR155" s="244"/>
      <c r="BS155" s="244"/>
      <c r="BT155" s="244"/>
      <c r="BU155" s="244"/>
      <c r="BV155" s="244"/>
      <c r="BW155" s="244"/>
      <c r="BX155" s="244"/>
      <c r="BY155" s="244"/>
      <c r="BZ155" s="244"/>
      <c r="CA155" s="244"/>
      <c r="CB155" s="244"/>
      <c r="CC155" s="244"/>
      <c r="CD155" s="244"/>
    </row>
    <row r="156" spans="1:82" s="259" customFormat="1" x14ac:dyDescent="0.2">
      <c r="A156" s="280"/>
      <c r="B156" s="280"/>
      <c r="C156" s="263"/>
      <c r="D156" s="264" t="s">
        <v>1529</v>
      </c>
      <c r="E156" s="265"/>
      <c r="F156" s="253"/>
      <c r="G156" s="244"/>
      <c r="H156" s="244"/>
      <c r="I156" s="244"/>
      <c r="J156" s="244"/>
      <c r="K156" s="244"/>
      <c r="L156" s="244"/>
      <c r="M156" s="244"/>
      <c r="N156" s="244"/>
      <c r="O156" s="244"/>
      <c r="P156" s="244"/>
      <c r="Q156" s="244"/>
      <c r="R156" s="244"/>
      <c r="S156" s="244"/>
      <c r="T156" s="244"/>
      <c r="U156" s="244"/>
      <c r="V156" s="244"/>
      <c r="W156" s="244"/>
      <c r="X156" s="244"/>
      <c r="Y156" s="244"/>
      <c r="Z156" s="244"/>
      <c r="AA156" s="244"/>
      <c r="AB156" s="244"/>
      <c r="AC156" s="244"/>
      <c r="AD156" s="244"/>
      <c r="AE156" s="244"/>
      <c r="AF156" s="244"/>
      <c r="AG156" s="244"/>
      <c r="AH156" s="244"/>
      <c r="AI156" s="244"/>
      <c r="AJ156" s="244"/>
      <c r="AK156" s="244"/>
      <c r="AL156" s="244"/>
      <c r="AM156" s="244"/>
      <c r="AN156" s="244"/>
      <c r="AO156" s="244"/>
      <c r="AP156" s="244"/>
      <c r="AQ156" s="244"/>
      <c r="AR156" s="244"/>
      <c r="AS156" s="244"/>
      <c r="AT156" s="244"/>
      <c r="AU156" s="244"/>
      <c r="AV156" s="244"/>
      <c r="AW156" s="244"/>
      <c r="AX156" s="244"/>
      <c r="AY156" s="244"/>
      <c r="AZ156" s="244"/>
      <c r="BA156" s="244"/>
      <c r="BB156" s="244"/>
      <c r="BC156" s="244"/>
      <c r="BD156" s="244"/>
      <c r="BE156" s="244"/>
      <c r="BF156" s="244"/>
      <c r="BG156" s="244"/>
      <c r="BH156" s="244"/>
      <c r="BI156" s="244"/>
      <c r="BJ156" s="244"/>
      <c r="BK156" s="244"/>
      <c r="BL156" s="244"/>
      <c r="BM156" s="244"/>
      <c r="BN156" s="244"/>
      <c r="BO156" s="244"/>
      <c r="BP156" s="244"/>
      <c r="BQ156" s="244"/>
      <c r="BR156" s="244"/>
      <c r="BS156" s="244"/>
      <c r="BT156" s="244"/>
      <c r="BU156" s="244"/>
      <c r="BV156" s="244"/>
      <c r="BW156" s="244"/>
      <c r="BX156" s="244"/>
      <c r="BY156" s="244"/>
      <c r="BZ156" s="244"/>
      <c r="CA156" s="244"/>
      <c r="CB156" s="244"/>
      <c r="CC156" s="244"/>
      <c r="CD156" s="244"/>
    </row>
    <row r="157" spans="1:82" s="259" customFormat="1" ht="64" x14ac:dyDescent="0.2">
      <c r="A157" s="255" t="s">
        <v>780</v>
      </c>
      <c r="B157" s="255" t="s">
        <v>720</v>
      </c>
      <c r="C157" s="256" t="s">
        <v>781</v>
      </c>
      <c r="D157" s="256" t="s">
        <v>1530</v>
      </c>
      <c r="E157" s="257" t="s">
        <v>2738</v>
      </c>
      <c r="F157" s="253"/>
      <c r="G157" s="244"/>
      <c r="H157" s="244"/>
      <c r="I157" s="244"/>
      <c r="J157" s="244"/>
      <c r="K157" s="244"/>
      <c r="L157" s="244"/>
      <c r="M157" s="244"/>
      <c r="N157" s="244"/>
      <c r="O157" s="244"/>
      <c r="P157" s="244"/>
      <c r="Q157" s="244"/>
      <c r="R157" s="244"/>
      <c r="S157" s="244"/>
      <c r="T157" s="244"/>
      <c r="U157" s="244"/>
      <c r="V157" s="244"/>
      <c r="W157" s="244"/>
      <c r="X157" s="244"/>
      <c r="Y157" s="244"/>
      <c r="Z157" s="244"/>
      <c r="AA157" s="244"/>
      <c r="AB157" s="244"/>
      <c r="AC157" s="244"/>
      <c r="AD157" s="244"/>
      <c r="AE157" s="244"/>
      <c r="AF157" s="244"/>
      <c r="AG157" s="244"/>
      <c r="AH157" s="244"/>
      <c r="AI157" s="244"/>
      <c r="AJ157" s="244"/>
      <c r="AK157" s="244"/>
      <c r="AL157" s="244"/>
      <c r="AM157" s="244"/>
      <c r="AN157" s="244"/>
      <c r="AO157" s="244"/>
      <c r="AP157" s="244"/>
      <c r="AQ157" s="244"/>
      <c r="AR157" s="244"/>
      <c r="AS157" s="244"/>
      <c r="AT157" s="244"/>
      <c r="AU157" s="244"/>
      <c r="AV157" s="244"/>
      <c r="AW157" s="244"/>
      <c r="AX157" s="244"/>
      <c r="AY157" s="244"/>
      <c r="AZ157" s="244"/>
      <c r="BA157" s="244"/>
      <c r="BB157" s="244"/>
      <c r="BC157" s="244"/>
      <c r="BD157" s="244"/>
      <c r="BE157" s="244"/>
      <c r="BF157" s="244"/>
      <c r="BG157" s="244"/>
      <c r="BH157" s="244"/>
      <c r="BI157" s="244"/>
      <c r="BJ157" s="244"/>
      <c r="BK157" s="244"/>
      <c r="BL157" s="244"/>
      <c r="BM157" s="244"/>
      <c r="BN157" s="244"/>
      <c r="BO157" s="244"/>
      <c r="BP157" s="244"/>
      <c r="BQ157" s="244"/>
      <c r="BR157" s="244"/>
      <c r="BS157" s="244"/>
      <c r="BT157" s="244"/>
      <c r="BU157" s="244"/>
      <c r="BV157" s="244"/>
      <c r="BW157" s="244"/>
      <c r="BX157" s="244"/>
      <c r="BY157" s="244"/>
      <c r="BZ157" s="244"/>
      <c r="CA157" s="244"/>
      <c r="CB157" s="244"/>
      <c r="CC157" s="244"/>
      <c r="CD157" s="244"/>
    </row>
    <row r="158" spans="1:82" s="259" customFormat="1" ht="48" x14ac:dyDescent="0.2">
      <c r="A158" s="250" t="s">
        <v>789</v>
      </c>
      <c r="B158" s="250" t="s">
        <v>733</v>
      </c>
      <c r="C158" s="251" t="s">
        <v>2739</v>
      </c>
      <c r="D158" s="251" t="s">
        <v>1531</v>
      </c>
      <c r="E158" s="252" t="s">
        <v>2677</v>
      </c>
      <c r="F158" s="253"/>
      <c r="G158" s="244"/>
      <c r="H158" s="244"/>
      <c r="I158" s="244"/>
      <c r="J158" s="244"/>
      <c r="K158" s="244"/>
      <c r="L158" s="244"/>
      <c r="M158" s="244"/>
      <c r="N158" s="244"/>
      <c r="O158" s="244"/>
      <c r="P158" s="244"/>
      <c r="Q158" s="244"/>
      <c r="R158" s="244"/>
      <c r="S158" s="244"/>
      <c r="T158" s="244"/>
      <c r="U158" s="244"/>
      <c r="V158" s="244"/>
      <c r="W158" s="244"/>
      <c r="X158" s="244"/>
      <c r="Y158" s="244"/>
      <c r="Z158" s="244"/>
      <c r="AA158" s="244"/>
      <c r="AB158" s="244"/>
      <c r="AC158" s="244"/>
      <c r="AD158" s="244"/>
      <c r="AE158" s="244"/>
      <c r="AF158" s="244"/>
      <c r="AG158" s="244"/>
      <c r="AH158" s="244"/>
      <c r="AI158" s="244"/>
      <c r="AJ158" s="244"/>
      <c r="AK158" s="244"/>
      <c r="AL158" s="244"/>
      <c r="AM158" s="244"/>
      <c r="AN158" s="244"/>
      <c r="AO158" s="244"/>
      <c r="AP158" s="244"/>
      <c r="AQ158" s="244"/>
      <c r="AR158" s="244"/>
      <c r="AS158" s="244"/>
      <c r="AT158" s="244"/>
      <c r="AU158" s="244"/>
      <c r="AV158" s="244"/>
      <c r="AW158" s="244"/>
      <c r="AX158" s="244"/>
      <c r="AY158" s="244"/>
      <c r="AZ158" s="244"/>
      <c r="BA158" s="244"/>
      <c r="BB158" s="244"/>
      <c r="BC158" s="244"/>
      <c r="BD158" s="244"/>
      <c r="BE158" s="244"/>
      <c r="BF158" s="244"/>
      <c r="BG158" s="244"/>
      <c r="BH158" s="244"/>
      <c r="BI158" s="244"/>
      <c r="BJ158" s="244"/>
      <c r="BK158" s="244"/>
      <c r="BL158" s="244"/>
      <c r="BM158" s="244"/>
      <c r="BN158" s="244"/>
      <c r="BO158" s="244"/>
      <c r="BP158" s="244"/>
      <c r="BQ158" s="244"/>
      <c r="BR158" s="244"/>
      <c r="BS158" s="244"/>
      <c r="BT158" s="244"/>
      <c r="BU158" s="244"/>
      <c r="BV158" s="244"/>
      <c r="BW158" s="244"/>
      <c r="BX158" s="244"/>
      <c r="BY158" s="244"/>
      <c r="BZ158" s="244"/>
      <c r="CA158" s="244"/>
      <c r="CB158" s="244"/>
      <c r="CC158" s="244"/>
      <c r="CD158" s="244"/>
    </row>
    <row r="159" spans="1:82" s="259" customFormat="1" ht="33" x14ac:dyDescent="0.2">
      <c r="A159" s="255" t="s">
        <v>813</v>
      </c>
      <c r="B159" s="255" t="s">
        <v>746</v>
      </c>
      <c r="C159" s="256" t="s">
        <v>814</v>
      </c>
      <c r="D159" s="256" t="s">
        <v>2990</v>
      </c>
      <c r="E159" s="257" t="s">
        <v>2740</v>
      </c>
      <c r="F159" s="253"/>
      <c r="G159" s="244"/>
      <c r="H159" s="244"/>
      <c r="I159" s="244"/>
      <c r="J159" s="244"/>
      <c r="K159" s="244"/>
      <c r="L159" s="244"/>
      <c r="M159" s="244"/>
      <c r="N159" s="244"/>
      <c r="O159" s="244"/>
      <c r="P159" s="244"/>
      <c r="Q159" s="244"/>
      <c r="R159" s="244"/>
      <c r="S159" s="244"/>
      <c r="T159" s="244"/>
      <c r="U159" s="244"/>
      <c r="V159" s="244"/>
      <c r="W159" s="244"/>
      <c r="X159" s="244"/>
      <c r="Y159" s="244"/>
      <c r="Z159" s="244"/>
      <c r="AA159" s="244"/>
      <c r="AB159" s="244"/>
      <c r="AC159" s="244"/>
      <c r="AD159" s="244"/>
      <c r="AE159" s="244"/>
      <c r="AF159" s="244"/>
      <c r="AG159" s="244"/>
      <c r="AH159" s="244"/>
      <c r="AI159" s="244"/>
      <c r="AJ159" s="244"/>
      <c r="AK159" s="244"/>
      <c r="AL159" s="244"/>
      <c r="AM159" s="244"/>
      <c r="AN159" s="244"/>
      <c r="AO159" s="244"/>
      <c r="AP159" s="244"/>
      <c r="AQ159" s="244"/>
      <c r="AR159" s="244"/>
      <c r="AS159" s="244"/>
      <c r="AT159" s="244"/>
      <c r="AU159" s="244"/>
      <c r="AV159" s="244"/>
      <c r="AW159" s="244"/>
      <c r="AX159" s="244"/>
      <c r="AY159" s="244"/>
      <c r="AZ159" s="244"/>
      <c r="BA159" s="244"/>
      <c r="BB159" s="244"/>
      <c r="BC159" s="244"/>
      <c r="BD159" s="244"/>
      <c r="BE159" s="244"/>
      <c r="BF159" s="244"/>
      <c r="BG159" s="244"/>
      <c r="BH159" s="244"/>
      <c r="BI159" s="244"/>
      <c r="BJ159" s="244"/>
      <c r="BK159" s="244"/>
      <c r="BL159" s="244"/>
      <c r="BM159" s="244"/>
      <c r="BN159" s="244"/>
      <c r="BO159" s="244"/>
      <c r="BP159" s="244"/>
      <c r="BQ159" s="244"/>
      <c r="BR159" s="244"/>
      <c r="BS159" s="244"/>
      <c r="BT159" s="244"/>
      <c r="BU159" s="244"/>
      <c r="BV159" s="244"/>
      <c r="BW159" s="244"/>
      <c r="BX159" s="244"/>
      <c r="BY159" s="244"/>
      <c r="BZ159" s="244"/>
      <c r="CA159" s="244"/>
      <c r="CB159" s="244"/>
      <c r="CC159" s="244"/>
      <c r="CD159" s="244"/>
    </row>
    <row r="160" spans="1:82" s="259" customFormat="1" ht="32" x14ac:dyDescent="0.2">
      <c r="A160" s="250" t="s">
        <v>1512</v>
      </c>
      <c r="B160" s="250" t="s">
        <v>754</v>
      </c>
      <c r="C160" s="256" t="s">
        <v>823</v>
      </c>
      <c r="D160" s="251" t="s">
        <v>824</v>
      </c>
      <c r="E160" s="252"/>
      <c r="F160" s="253"/>
      <c r="G160" s="244"/>
      <c r="H160" s="244"/>
      <c r="I160" s="244"/>
      <c r="J160" s="244"/>
      <c r="K160" s="244"/>
      <c r="L160" s="244"/>
      <c r="M160" s="244"/>
      <c r="N160" s="244"/>
      <c r="O160" s="244"/>
      <c r="P160" s="244"/>
      <c r="Q160" s="244"/>
      <c r="R160" s="244"/>
      <c r="S160" s="244"/>
      <c r="T160" s="244"/>
      <c r="U160" s="244"/>
      <c r="V160" s="244"/>
      <c r="W160" s="244"/>
      <c r="X160" s="244"/>
      <c r="Y160" s="244"/>
      <c r="Z160" s="244"/>
      <c r="AA160" s="244"/>
      <c r="AB160" s="244"/>
      <c r="AC160" s="244"/>
      <c r="AD160" s="244"/>
      <c r="AE160" s="244"/>
      <c r="AF160" s="244"/>
      <c r="AG160" s="244"/>
      <c r="AH160" s="244"/>
      <c r="AI160" s="244"/>
      <c r="AJ160" s="244"/>
      <c r="AK160" s="244"/>
      <c r="AL160" s="244"/>
      <c r="AM160" s="244"/>
      <c r="AN160" s="244"/>
      <c r="AO160" s="244"/>
      <c r="AP160" s="244"/>
      <c r="AQ160" s="244"/>
      <c r="AR160" s="244"/>
      <c r="AS160" s="244"/>
      <c r="AT160" s="244"/>
      <c r="AU160" s="244"/>
      <c r="AV160" s="244"/>
      <c r="AW160" s="244"/>
      <c r="AX160" s="244"/>
      <c r="AY160" s="244"/>
      <c r="AZ160" s="244"/>
      <c r="BA160" s="244"/>
      <c r="BB160" s="244"/>
      <c r="BC160" s="244"/>
      <c r="BD160" s="244"/>
      <c r="BE160" s="244"/>
      <c r="BF160" s="244"/>
      <c r="BG160" s="244"/>
      <c r="BH160" s="244"/>
      <c r="BI160" s="244"/>
      <c r="BJ160" s="244"/>
      <c r="BK160" s="244"/>
      <c r="BL160" s="244"/>
      <c r="BM160" s="244"/>
      <c r="BN160" s="244"/>
      <c r="BO160" s="244"/>
      <c r="BP160" s="244"/>
      <c r="BQ160" s="244"/>
      <c r="BR160" s="244"/>
      <c r="BS160" s="244"/>
      <c r="BT160" s="244"/>
      <c r="BU160" s="244"/>
      <c r="BV160" s="244"/>
      <c r="BW160" s="244"/>
      <c r="BX160" s="244"/>
      <c r="BY160" s="244"/>
      <c r="BZ160" s="244"/>
      <c r="CA160" s="244"/>
      <c r="CB160" s="244"/>
      <c r="CC160" s="244"/>
      <c r="CD160" s="244"/>
    </row>
    <row r="161" spans="1:82" x14ac:dyDescent="0.2">
      <c r="A161" s="281"/>
      <c r="B161" s="281"/>
      <c r="C161" s="282"/>
      <c r="D161" s="283" t="s">
        <v>2324</v>
      </c>
      <c r="E161" s="284"/>
      <c r="F161" s="253"/>
      <c r="G161" s="244"/>
      <c r="H161" s="244"/>
      <c r="I161" s="244"/>
      <c r="J161" s="244"/>
      <c r="K161" s="244"/>
      <c r="L161" s="244"/>
      <c r="M161" s="244"/>
      <c r="N161" s="244"/>
      <c r="O161" s="244"/>
      <c r="P161" s="244"/>
      <c r="Q161" s="244"/>
      <c r="R161" s="244"/>
      <c r="S161" s="244"/>
      <c r="T161" s="244"/>
      <c r="U161" s="244"/>
      <c r="V161" s="244"/>
      <c r="W161" s="244"/>
      <c r="X161" s="244"/>
      <c r="Y161" s="244"/>
      <c r="Z161" s="244"/>
      <c r="AA161" s="244"/>
      <c r="AB161" s="244"/>
      <c r="AC161" s="244"/>
      <c r="AD161" s="244"/>
      <c r="AE161" s="244"/>
      <c r="AF161" s="244"/>
      <c r="AG161" s="244"/>
      <c r="AH161" s="244"/>
      <c r="AI161" s="244"/>
      <c r="AJ161" s="244"/>
      <c r="AK161" s="244"/>
      <c r="AL161" s="244"/>
      <c r="AM161" s="244"/>
      <c r="AN161" s="244"/>
      <c r="AO161" s="244"/>
      <c r="AP161" s="244"/>
      <c r="AQ161" s="244"/>
      <c r="AR161" s="244"/>
      <c r="AS161" s="244"/>
      <c r="AT161" s="244"/>
      <c r="AU161" s="244"/>
      <c r="AV161" s="244"/>
      <c r="AW161" s="244"/>
      <c r="AX161" s="244"/>
      <c r="AY161" s="244"/>
      <c r="AZ161" s="244"/>
      <c r="BA161" s="244"/>
      <c r="BB161" s="244"/>
      <c r="BC161" s="244"/>
      <c r="BD161" s="244"/>
      <c r="BE161" s="244"/>
      <c r="BF161" s="244"/>
      <c r="BG161" s="244"/>
      <c r="BH161" s="244"/>
      <c r="BI161" s="244"/>
      <c r="BJ161" s="244"/>
      <c r="BK161" s="244"/>
      <c r="BL161" s="244"/>
      <c r="BM161" s="244"/>
      <c r="BN161" s="244"/>
      <c r="BO161" s="244"/>
      <c r="BP161" s="244"/>
      <c r="BQ161" s="244"/>
      <c r="BR161" s="244"/>
      <c r="BS161" s="244"/>
      <c r="BT161" s="244"/>
      <c r="BU161" s="244"/>
      <c r="BV161" s="244"/>
      <c r="BW161" s="244"/>
      <c r="BX161" s="244"/>
      <c r="BY161" s="244"/>
      <c r="BZ161" s="244"/>
      <c r="CA161" s="244"/>
      <c r="CB161" s="244"/>
      <c r="CC161" s="244"/>
      <c r="CD161" s="244"/>
    </row>
    <row r="162" spans="1:82" ht="80" x14ac:dyDescent="0.2">
      <c r="A162" s="270" t="s">
        <v>2429</v>
      </c>
      <c r="B162" s="270" t="s">
        <v>780</v>
      </c>
      <c r="C162" s="271" t="s">
        <v>2476</v>
      </c>
      <c r="D162" s="251" t="s">
        <v>2991</v>
      </c>
      <c r="E162" s="272"/>
      <c r="F162" s="253"/>
      <c r="G162" s="244"/>
      <c r="H162" s="244"/>
      <c r="I162" s="244"/>
      <c r="J162" s="244"/>
      <c r="K162" s="244"/>
      <c r="L162" s="244"/>
      <c r="M162" s="244"/>
      <c r="N162" s="244"/>
      <c r="O162" s="244"/>
      <c r="P162" s="244"/>
      <c r="Q162" s="244"/>
      <c r="R162" s="244"/>
      <c r="S162" s="244"/>
      <c r="T162" s="244"/>
      <c r="U162" s="244"/>
      <c r="V162" s="244"/>
      <c r="W162" s="244"/>
      <c r="X162" s="244"/>
      <c r="Y162" s="244"/>
      <c r="Z162" s="244"/>
      <c r="AA162" s="244"/>
      <c r="AB162" s="244"/>
      <c r="AC162" s="244"/>
      <c r="AD162" s="244"/>
      <c r="AE162" s="244"/>
      <c r="AF162" s="244"/>
      <c r="AG162" s="244"/>
      <c r="AH162" s="244"/>
      <c r="AI162" s="244"/>
      <c r="AJ162" s="244"/>
      <c r="AK162" s="244"/>
      <c r="AL162" s="244"/>
      <c r="AM162" s="244"/>
      <c r="AN162" s="244"/>
      <c r="AO162" s="244"/>
      <c r="AP162" s="244"/>
      <c r="AQ162" s="244"/>
      <c r="AR162" s="244"/>
      <c r="AS162" s="244"/>
      <c r="AT162" s="244"/>
      <c r="AU162" s="244"/>
      <c r="AV162" s="244"/>
      <c r="AW162" s="244"/>
      <c r="AX162" s="244"/>
      <c r="AY162" s="244"/>
      <c r="AZ162" s="244"/>
      <c r="BA162" s="244"/>
      <c r="BB162" s="244"/>
      <c r="BC162" s="244"/>
      <c r="BD162" s="244"/>
      <c r="BE162" s="244"/>
      <c r="BF162" s="244"/>
      <c r="BG162" s="244"/>
      <c r="BH162" s="244"/>
      <c r="BI162" s="244"/>
      <c r="BJ162" s="244"/>
      <c r="BK162" s="244"/>
      <c r="BL162" s="244"/>
      <c r="BM162" s="244"/>
      <c r="BN162" s="244"/>
      <c r="BO162" s="244"/>
      <c r="BP162" s="244"/>
      <c r="BQ162" s="244"/>
      <c r="BR162" s="244"/>
      <c r="BS162" s="244"/>
      <c r="BT162" s="244"/>
      <c r="BU162" s="244"/>
      <c r="BV162" s="244"/>
      <c r="BW162" s="244"/>
      <c r="BX162" s="244"/>
      <c r="BY162" s="244"/>
      <c r="BZ162" s="244"/>
      <c r="CA162" s="244"/>
      <c r="CB162" s="244"/>
      <c r="CC162" s="244"/>
      <c r="CD162" s="244"/>
    </row>
    <row r="163" spans="1:82" ht="80" x14ac:dyDescent="0.2">
      <c r="A163" s="285" t="s">
        <v>2430</v>
      </c>
      <c r="B163" s="285" t="s">
        <v>789</v>
      </c>
      <c r="C163" s="286" t="s">
        <v>2477</v>
      </c>
      <c r="D163" s="256" t="s">
        <v>2323</v>
      </c>
      <c r="E163" s="276"/>
      <c r="F163" s="253"/>
      <c r="G163" s="244"/>
      <c r="H163" s="244"/>
      <c r="I163" s="244"/>
      <c r="J163" s="244"/>
      <c r="K163" s="244"/>
      <c r="L163" s="244"/>
      <c r="M163" s="244"/>
      <c r="N163" s="244"/>
      <c r="O163" s="244"/>
      <c r="P163" s="244"/>
      <c r="Q163" s="244"/>
      <c r="R163" s="244"/>
      <c r="S163" s="244"/>
      <c r="T163" s="244"/>
      <c r="U163" s="244"/>
      <c r="V163" s="244"/>
      <c r="W163" s="244"/>
      <c r="X163" s="244"/>
      <c r="Y163" s="244"/>
      <c r="Z163" s="244"/>
      <c r="AA163" s="244"/>
      <c r="AB163" s="244"/>
      <c r="AC163" s="244"/>
      <c r="AD163" s="244"/>
      <c r="AE163" s="244"/>
      <c r="AF163" s="244"/>
      <c r="AG163" s="244"/>
      <c r="AH163" s="244"/>
      <c r="AI163" s="244"/>
      <c r="AJ163" s="244"/>
      <c r="AK163" s="244"/>
      <c r="AL163" s="244"/>
      <c r="AM163" s="244"/>
      <c r="AN163" s="244"/>
      <c r="AO163" s="244"/>
      <c r="AP163" s="244"/>
      <c r="AQ163" s="244"/>
      <c r="AR163" s="244"/>
      <c r="AS163" s="244"/>
      <c r="AT163" s="244"/>
      <c r="AU163" s="244"/>
      <c r="AV163" s="244"/>
      <c r="AW163" s="244"/>
      <c r="AX163" s="244"/>
      <c r="AY163" s="244"/>
      <c r="AZ163" s="244"/>
      <c r="BA163" s="244"/>
      <c r="BB163" s="244"/>
      <c r="BC163" s="244"/>
      <c r="BD163" s="244"/>
      <c r="BE163" s="244"/>
      <c r="BF163" s="244"/>
      <c r="BG163" s="244"/>
      <c r="BH163" s="244"/>
      <c r="BI163" s="244"/>
      <c r="BJ163" s="244"/>
      <c r="BK163" s="244"/>
      <c r="BL163" s="244"/>
      <c r="BM163" s="244"/>
      <c r="BN163" s="244"/>
      <c r="BO163" s="244"/>
      <c r="BP163" s="244"/>
      <c r="BQ163" s="244"/>
      <c r="BR163" s="244"/>
      <c r="BS163" s="244"/>
      <c r="BT163" s="244"/>
      <c r="BU163" s="244"/>
      <c r="BV163" s="244"/>
      <c r="BW163" s="244"/>
      <c r="BX163" s="244"/>
      <c r="BY163" s="244"/>
      <c r="BZ163" s="244"/>
      <c r="CA163" s="244"/>
      <c r="CB163" s="244"/>
      <c r="CC163" s="244"/>
      <c r="CD163" s="244"/>
    </row>
    <row r="164" spans="1:82" ht="80" x14ac:dyDescent="0.2">
      <c r="A164" s="270" t="s">
        <v>2431</v>
      </c>
      <c r="B164" s="270" t="s">
        <v>813</v>
      </c>
      <c r="C164" s="271" t="s">
        <v>2478</v>
      </c>
      <c r="D164" s="251" t="s">
        <v>2325</v>
      </c>
      <c r="E164" s="272"/>
      <c r="F164" s="253"/>
      <c r="G164" s="244"/>
      <c r="H164" s="244"/>
      <c r="I164" s="244"/>
      <c r="J164" s="244"/>
      <c r="K164" s="244"/>
      <c r="L164" s="244"/>
      <c r="M164" s="244"/>
      <c r="N164" s="244"/>
      <c r="O164" s="244"/>
      <c r="P164" s="244"/>
      <c r="Q164" s="244"/>
      <c r="R164" s="244"/>
      <c r="S164" s="244"/>
      <c r="T164" s="244"/>
      <c r="U164" s="244"/>
      <c r="V164" s="244"/>
      <c r="W164" s="244"/>
      <c r="X164" s="244"/>
      <c r="Y164" s="244"/>
      <c r="Z164" s="244"/>
      <c r="AA164" s="244"/>
      <c r="AB164" s="244"/>
      <c r="AC164" s="244"/>
      <c r="AD164" s="244"/>
      <c r="AE164" s="244"/>
      <c r="AF164" s="244"/>
      <c r="AG164" s="244"/>
      <c r="AH164" s="244"/>
      <c r="AI164" s="244"/>
      <c r="AJ164" s="244"/>
      <c r="AK164" s="244"/>
      <c r="AL164" s="244"/>
      <c r="AM164" s="244"/>
      <c r="AN164" s="244"/>
      <c r="AO164" s="244"/>
      <c r="AP164" s="244"/>
      <c r="AQ164" s="244"/>
      <c r="AR164" s="244"/>
      <c r="AS164" s="244"/>
      <c r="AT164" s="244"/>
      <c r="AU164" s="244"/>
      <c r="AV164" s="244"/>
      <c r="AW164" s="244"/>
      <c r="AX164" s="244"/>
      <c r="AY164" s="244"/>
      <c r="AZ164" s="244"/>
      <c r="BA164" s="244"/>
      <c r="BB164" s="244"/>
      <c r="BC164" s="244"/>
      <c r="BD164" s="244"/>
      <c r="BE164" s="244"/>
      <c r="BF164" s="244"/>
      <c r="BG164" s="244"/>
      <c r="BH164" s="244"/>
      <c r="BI164" s="244"/>
      <c r="BJ164" s="244"/>
      <c r="BK164" s="244"/>
      <c r="BL164" s="244"/>
      <c r="BM164" s="244"/>
      <c r="BN164" s="244"/>
      <c r="BO164" s="244"/>
      <c r="BP164" s="244"/>
      <c r="BQ164" s="244"/>
      <c r="BR164" s="244"/>
      <c r="BS164" s="244"/>
      <c r="BT164" s="244"/>
      <c r="BU164" s="244"/>
      <c r="BV164" s="244"/>
      <c r="BW164" s="244"/>
      <c r="BX164" s="244"/>
      <c r="BY164" s="244"/>
      <c r="BZ164" s="244"/>
      <c r="CA164" s="244"/>
      <c r="CB164" s="244"/>
      <c r="CC164" s="244"/>
      <c r="CD164" s="244"/>
    </row>
    <row r="165" spans="1:82" ht="80" x14ac:dyDescent="0.2">
      <c r="A165" s="285" t="s">
        <v>2432</v>
      </c>
      <c r="B165" s="285" t="s">
        <v>1532</v>
      </c>
      <c r="C165" s="286" t="s">
        <v>2479</v>
      </c>
      <c r="D165" s="256" t="s">
        <v>2326</v>
      </c>
      <c r="E165" s="276"/>
      <c r="F165" s="253"/>
      <c r="G165" s="244"/>
      <c r="H165" s="244"/>
      <c r="I165" s="244"/>
      <c r="J165" s="244"/>
      <c r="K165" s="244"/>
      <c r="L165" s="244"/>
      <c r="M165" s="244"/>
      <c r="N165" s="244"/>
      <c r="O165" s="244"/>
      <c r="P165" s="244"/>
      <c r="Q165" s="244"/>
      <c r="R165" s="244"/>
      <c r="S165" s="244"/>
      <c r="T165" s="244"/>
      <c r="U165" s="244"/>
      <c r="V165" s="244"/>
      <c r="W165" s="244"/>
      <c r="X165" s="244"/>
      <c r="Y165" s="244"/>
      <c r="Z165" s="244"/>
      <c r="AA165" s="244"/>
      <c r="AB165" s="244"/>
      <c r="AC165" s="244"/>
      <c r="AD165" s="244"/>
      <c r="AE165" s="244"/>
      <c r="AF165" s="244"/>
      <c r="AG165" s="244"/>
      <c r="AH165" s="244"/>
      <c r="AI165" s="244"/>
      <c r="AJ165" s="244"/>
      <c r="AK165" s="244"/>
      <c r="AL165" s="244"/>
      <c r="AM165" s="244"/>
      <c r="AN165" s="244"/>
      <c r="AO165" s="244"/>
      <c r="AP165" s="244"/>
      <c r="AQ165" s="244"/>
      <c r="AR165" s="244"/>
      <c r="AS165" s="244"/>
      <c r="AT165" s="244"/>
      <c r="AU165" s="244"/>
      <c r="AV165" s="244"/>
      <c r="AW165" s="244"/>
      <c r="AX165" s="244"/>
      <c r="AY165" s="244"/>
      <c r="AZ165" s="244"/>
      <c r="BA165" s="244"/>
      <c r="BB165" s="244"/>
      <c r="BC165" s="244"/>
      <c r="BD165" s="244"/>
      <c r="BE165" s="244"/>
      <c r="BF165" s="244"/>
      <c r="BG165" s="244"/>
      <c r="BH165" s="244"/>
      <c r="BI165" s="244"/>
      <c r="BJ165" s="244"/>
      <c r="BK165" s="244"/>
      <c r="BL165" s="244"/>
      <c r="BM165" s="244"/>
      <c r="BN165" s="244"/>
      <c r="BO165" s="244"/>
      <c r="BP165" s="244"/>
      <c r="BQ165" s="244"/>
      <c r="BR165" s="244"/>
      <c r="BS165" s="244"/>
      <c r="BT165" s="244"/>
      <c r="BU165" s="244"/>
      <c r="BV165" s="244"/>
      <c r="BW165" s="244"/>
      <c r="BX165" s="244"/>
      <c r="BY165" s="244"/>
      <c r="BZ165" s="244"/>
      <c r="CA165" s="244"/>
      <c r="CB165" s="244"/>
      <c r="CC165" s="244"/>
      <c r="CD165" s="244"/>
    </row>
    <row r="166" spans="1:82" ht="48" x14ac:dyDescent="0.2">
      <c r="A166" s="270" t="s">
        <v>2433</v>
      </c>
      <c r="B166" s="270" t="s">
        <v>2949</v>
      </c>
      <c r="C166" s="271" t="s">
        <v>2480</v>
      </c>
      <c r="D166" s="251" t="s">
        <v>2327</v>
      </c>
      <c r="E166" s="272"/>
      <c r="F166" s="253"/>
      <c r="G166" s="244"/>
      <c r="H166" s="244"/>
      <c r="I166" s="244"/>
      <c r="J166" s="244"/>
      <c r="K166" s="244"/>
      <c r="L166" s="244"/>
      <c r="M166" s="244"/>
      <c r="N166" s="244"/>
      <c r="O166" s="244"/>
      <c r="P166" s="244"/>
      <c r="Q166" s="244"/>
      <c r="R166" s="244"/>
      <c r="S166" s="244"/>
      <c r="T166" s="244"/>
      <c r="U166" s="244"/>
      <c r="V166" s="244"/>
      <c r="W166" s="244"/>
      <c r="X166" s="244"/>
      <c r="Y166" s="244"/>
      <c r="Z166" s="244"/>
      <c r="AA166" s="244"/>
      <c r="AB166" s="244"/>
      <c r="AC166" s="244"/>
      <c r="AD166" s="244"/>
      <c r="AE166" s="244"/>
      <c r="AF166" s="244"/>
      <c r="AG166" s="244"/>
      <c r="AH166" s="244"/>
      <c r="AI166" s="244"/>
      <c r="AJ166" s="244"/>
      <c r="AK166" s="244"/>
      <c r="AL166" s="244"/>
      <c r="AM166" s="244"/>
      <c r="AN166" s="244"/>
      <c r="AO166" s="244"/>
      <c r="AP166" s="244"/>
      <c r="AQ166" s="244"/>
      <c r="AR166" s="244"/>
      <c r="AS166" s="244"/>
      <c r="AT166" s="244"/>
      <c r="AU166" s="244"/>
      <c r="AV166" s="244"/>
      <c r="AW166" s="244"/>
      <c r="AX166" s="244"/>
      <c r="AY166" s="244"/>
      <c r="AZ166" s="244"/>
      <c r="BA166" s="244"/>
      <c r="BB166" s="244"/>
      <c r="BC166" s="244"/>
      <c r="BD166" s="244"/>
      <c r="BE166" s="244"/>
      <c r="BF166" s="244"/>
      <c r="BG166" s="244"/>
      <c r="BH166" s="244"/>
      <c r="BI166" s="244"/>
      <c r="BJ166" s="244"/>
      <c r="BK166" s="244"/>
      <c r="BL166" s="244"/>
      <c r="BM166" s="244"/>
      <c r="BN166" s="244"/>
      <c r="BO166" s="244"/>
      <c r="BP166" s="244"/>
      <c r="BQ166" s="244"/>
      <c r="BR166" s="244"/>
      <c r="BS166" s="244"/>
      <c r="BT166" s="244"/>
      <c r="BU166" s="244"/>
      <c r="BV166" s="244"/>
      <c r="BW166" s="244"/>
      <c r="BX166" s="244"/>
      <c r="BY166" s="244"/>
      <c r="BZ166" s="244"/>
      <c r="CA166" s="244"/>
      <c r="CB166" s="244"/>
      <c r="CC166" s="244"/>
      <c r="CD166" s="244"/>
    </row>
    <row r="167" spans="1:82" ht="80" x14ac:dyDescent="0.2">
      <c r="A167" s="285" t="s">
        <v>2434</v>
      </c>
      <c r="B167" s="285" t="s">
        <v>2950</v>
      </c>
      <c r="C167" s="286" t="s">
        <v>2481</v>
      </c>
      <c r="D167" s="256" t="s">
        <v>2992</v>
      </c>
      <c r="E167" s="276"/>
      <c r="F167" s="253"/>
      <c r="G167" s="244"/>
      <c r="H167" s="244"/>
      <c r="I167" s="244"/>
      <c r="J167" s="244"/>
      <c r="K167" s="244"/>
      <c r="L167" s="244"/>
      <c r="M167" s="244"/>
      <c r="N167" s="244"/>
      <c r="O167" s="244"/>
      <c r="P167" s="244"/>
      <c r="Q167" s="244"/>
      <c r="R167" s="244"/>
      <c r="S167" s="244"/>
      <c r="T167" s="244"/>
      <c r="U167" s="244"/>
      <c r="V167" s="244"/>
      <c r="W167" s="244"/>
      <c r="X167" s="244"/>
      <c r="Y167" s="244"/>
      <c r="Z167" s="244"/>
      <c r="AA167" s="244"/>
      <c r="AB167" s="244"/>
      <c r="AC167" s="244"/>
      <c r="AD167" s="244"/>
      <c r="AE167" s="244"/>
      <c r="AF167" s="244"/>
      <c r="AG167" s="244"/>
      <c r="AH167" s="244"/>
      <c r="AI167" s="244"/>
      <c r="AJ167" s="244"/>
      <c r="AK167" s="244"/>
      <c r="AL167" s="244"/>
      <c r="AM167" s="244"/>
      <c r="AN167" s="244"/>
      <c r="AO167" s="244"/>
      <c r="AP167" s="244"/>
      <c r="AQ167" s="244"/>
      <c r="AR167" s="244"/>
      <c r="AS167" s="244"/>
      <c r="AT167" s="244"/>
      <c r="AU167" s="244"/>
      <c r="AV167" s="244"/>
      <c r="AW167" s="244"/>
      <c r="AX167" s="244"/>
      <c r="AY167" s="244"/>
      <c r="AZ167" s="244"/>
      <c r="BA167" s="244"/>
      <c r="BB167" s="244"/>
      <c r="BC167" s="244"/>
      <c r="BD167" s="244"/>
      <c r="BE167" s="244"/>
      <c r="BF167" s="244"/>
      <c r="BG167" s="244"/>
      <c r="BH167" s="244"/>
      <c r="BI167" s="244"/>
      <c r="BJ167" s="244"/>
      <c r="BK167" s="244"/>
      <c r="BL167" s="244"/>
      <c r="BM167" s="244"/>
      <c r="BN167" s="244"/>
      <c r="BO167" s="244"/>
      <c r="BP167" s="244"/>
      <c r="BQ167" s="244"/>
      <c r="BR167" s="244"/>
      <c r="BS167" s="244"/>
      <c r="BT167" s="244"/>
      <c r="BU167" s="244"/>
      <c r="BV167" s="244"/>
      <c r="BW167" s="244"/>
      <c r="BX167" s="244"/>
      <c r="BY167" s="244"/>
      <c r="BZ167" s="244"/>
      <c r="CA167" s="244"/>
      <c r="CB167" s="244"/>
      <c r="CC167" s="244"/>
      <c r="CD167" s="244"/>
    </row>
    <row r="168" spans="1:82" ht="64" x14ac:dyDescent="0.2">
      <c r="A168" s="270" t="s">
        <v>2435</v>
      </c>
      <c r="B168" s="270" t="s">
        <v>2951</v>
      </c>
      <c r="C168" s="244" t="s">
        <v>2482</v>
      </c>
      <c r="D168" s="251" t="s">
        <v>2328</v>
      </c>
      <c r="E168" s="272"/>
      <c r="F168" s="253"/>
      <c r="G168" s="244"/>
      <c r="H168" s="244"/>
      <c r="I168" s="244"/>
      <c r="J168" s="244"/>
      <c r="K168" s="244"/>
      <c r="L168" s="244"/>
      <c r="M168" s="244"/>
      <c r="N168" s="244"/>
      <c r="O168" s="244"/>
      <c r="P168" s="244"/>
      <c r="Q168" s="244"/>
      <c r="R168" s="244"/>
      <c r="S168" s="244"/>
      <c r="T168" s="244"/>
      <c r="U168" s="244"/>
      <c r="V168" s="244"/>
      <c r="W168" s="244"/>
      <c r="X168" s="244"/>
      <c r="Y168" s="244"/>
      <c r="Z168" s="244"/>
      <c r="AA168" s="244"/>
      <c r="AB168" s="244"/>
      <c r="AC168" s="244"/>
      <c r="AD168" s="244"/>
      <c r="AE168" s="244"/>
      <c r="AF168" s="244"/>
      <c r="AG168" s="244"/>
      <c r="AH168" s="244"/>
      <c r="AI168" s="244"/>
      <c r="AJ168" s="244"/>
      <c r="AK168" s="244"/>
      <c r="AL168" s="244"/>
      <c r="AM168" s="244"/>
      <c r="AN168" s="244"/>
      <c r="AO168" s="244"/>
      <c r="AP168" s="244"/>
      <c r="AQ168" s="244"/>
      <c r="AR168" s="244"/>
      <c r="AS168" s="244"/>
      <c r="AT168" s="244"/>
      <c r="AU168" s="244"/>
      <c r="AV168" s="244"/>
      <c r="AW168" s="244"/>
      <c r="AX168" s="244"/>
      <c r="AY168" s="244"/>
      <c r="AZ168" s="244"/>
      <c r="BA168" s="244"/>
      <c r="BB168" s="244"/>
      <c r="BC168" s="244"/>
      <c r="BD168" s="244"/>
      <c r="BE168" s="244"/>
      <c r="BF168" s="244"/>
      <c r="BG168" s="244"/>
      <c r="BH168" s="244"/>
      <c r="BI168" s="244"/>
      <c r="BJ168" s="244"/>
      <c r="BK168" s="244"/>
      <c r="BL168" s="244"/>
      <c r="BM168" s="244"/>
      <c r="BN168" s="244"/>
      <c r="BO168" s="244"/>
      <c r="BP168" s="244"/>
      <c r="BQ168" s="244"/>
      <c r="BR168" s="244"/>
      <c r="BS168" s="244"/>
      <c r="BT168" s="244"/>
      <c r="BU168" s="244"/>
      <c r="BV168" s="244"/>
      <c r="BW168" s="244"/>
      <c r="BX168" s="244"/>
      <c r="BY168" s="244"/>
      <c r="BZ168" s="244"/>
      <c r="CA168" s="244"/>
      <c r="CB168" s="244"/>
      <c r="CC168" s="244"/>
      <c r="CD168" s="244"/>
    </row>
    <row r="169" spans="1:82" ht="80" x14ac:dyDescent="0.2">
      <c r="A169" s="285" t="s">
        <v>2436</v>
      </c>
      <c r="B169" s="285" t="s">
        <v>2952</v>
      </c>
      <c r="C169" s="287" t="s">
        <v>2483</v>
      </c>
      <c r="D169" s="256" t="s">
        <v>2329</v>
      </c>
      <c r="E169" s="276"/>
      <c r="F169" s="253"/>
      <c r="G169" s="244"/>
      <c r="H169" s="244"/>
      <c r="I169" s="244"/>
      <c r="J169" s="244"/>
      <c r="K169" s="244"/>
      <c r="L169" s="244"/>
      <c r="M169" s="244"/>
      <c r="N169" s="244"/>
      <c r="O169" s="244"/>
      <c r="P169" s="244"/>
      <c r="Q169" s="244"/>
      <c r="R169" s="244"/>
      <c r="S169" s="244"/>
      <c r="T169" s="244"/>
      <c r="U169" s="244"/>
      <c r="V169" s="244"/>
      <c r="W169" s="244"/>
      <c r="X169" s="244"/>
      <c r="Y169" s="244"/>
      <c r="Z169" s="244"/>
      <c r="AA169" s="244"/>
      <c r="AB169" s="244"/>
      <c r="AC169" s="244"/>
      <c r="AD169" s="244"/>
      <c r="AE169" s="244"/>
      <c r="AF169" s="244"/>
      <c r="AG169" s="244"/>
      <c r="AH169" s="244"/>
      <c r="AI169" s="244"/>
      <c r="AJ169" s="244"/>
      <c r="AK169" s="244"/>
      <c r="AL169" s="244"/>
      <c r="AM169" s="244"/>
      <c r="AN169" s="244"/>
      <c r="AO169" s="244"/>
      <c r="AP169" s="244"/>
      <c r="AQ169" s="244"/>
      <c r="AR169" s="244"/>
      <c r="AS169" s="244"/>
      <c r="AT169" s="244"/>
      <c r="AU169" s="244"/>
      <c r="AV169" s="244"/>
      <c r="AW169" s="244"/>
      <c r="AX169" s="244"/>
      <c r="AY169" s="244"/>
      <c r="AZ169" s="244"/>
      <c r="BA169" s="244"/>
      <c r="BB169" s="244"/>
      <c r="BC169" s="244"/>
      <c r="BD169" s="244"/>
      <c r="BE169" s="244"/>
      <c r="BF169" s="244"/>
      <c r="BG169" s="244"/>
      <c r="BH169" s="244"/>
      <c r="BI169" s="244"/>
      <c r="BJ169" s="244"/>
      <c r="BK169" s="244"/>
      <c r="BL169" s="244"/>
      <c r="BM169" s="244"/>
      <c r="BN169" s="244"/>
      <c r="BO169" s="244"/>
      <c r="BP169" s="244"/>
      <c r="BQ169" s="244"/>
      <c r="BR169" s="244"/>
      <c r="BS169" s="244"/>
      <c r="BT169" s="244"/>
      <c r="BU169" s="244"/>
      <c r="BV169" s="244"/>
      <c r="BW169" s="244"/>
      <c r="BX169" s="244"/>
      <c r="BY169" s="244"/>
      <c r="BZ169" s="244"/>
      <c r="CA169" s="244"/>
      <c r="CB169" s="244"/>
      <c r="CC169" s="244"/>
      <c r="CD169" s="244"/>
    </row>
    <row r="170" spans="1:82" x14ac:dyDescent="0.2">
      <c r="A170" s="281"/>
      <c r="B170" s="281"/>
      <c r="C170" s="282"/>
      <c r="D170" s="283" t="s">
        <v>2373</v>
      </c>
      <c r="E170" s="284"/>
      <c r="F170" s="253"/>
      <c r="G170" s="244"/>
      <c r="H170" s="244"/>
      <c r="I170" s="244"/>
      <c r="J170" s="244"/>
      <c r="K170" s="244"/>
      <c r="L170" s="244"/>
      <c r="M170" s="244"/>
      <c r="N170" s="244"/>
      <c r="O170" s="244"/>
      <c r="P170" s="244"/>
      <c r="Q170" s="244"/>
      <c r="R170" s="244"/>
      <c r="S170" s="244"/>
      <c r="T170" s="244"/>
      <c r="U170" s="244"/>
      <c r="V170" s="244"/>
      <c r="W170" s="244"/>
      <c r="X170" s="244"/>
      <c r="Y170" s="244"/>
      <c r="Z170" s="244"/>
      <c r="AA170" s="244"/>
      <c r="AB170" s="244"/>
      <c r="AC170" s="244"/>
      <c r="AD170" s="244"/>
      <c r="AE170" s="244"/>
      <c r="AF170" s="244"/>
      <c r="AG170" s="244"/>
      <c r="AH170" s="244"/>
      <c r="AI170" s="244"/>
      <c r="AJ170" s="244"/>
      <c r="AK170" s="244"/>
      <c r="AL170" s="244"/>
      <c r="AM170" s="244"/>
      <c r="AN170" s="244"/>
      <c r="AO170" s="244"/>
      <c r="AP170" s="244"/>
      <c r="AQ170" s="244"/>
      <c r="AR170" s="244"/>
      <c r="AS170" s="244"/>
      <c r="AT170" s="244"/>
      <c r="AU170" s="244"/>
      <c r="AV170" s="244"/>
      <c r="AW170" s="244"/>
      <c r="AX170" s="244"/>
      <c r="AY170" s="244"/>
      <c r="AZ170" s="244"/>
      <c r="BA170" s="244"/>
      <c r="BB170" s="244"/>
      <c r="BC170" s="244"/>
      <c r="BD170" s="244"/>
      <c r="BE170" s="244"/>
      <c r="BF170" s="244"/>
      <c r="BG170" s="244"/>
      <c r="BH170" s="244"/>
      <c r="BI170" s="244"/>
      <c r="BJ170" s="244"/>
      <c r="BK170" s="244"/>
      <c r="BL170" s="244"/>
      <c r="BM170" s="244"/>
      <c r="BN170" s="244"/>
      <c r="BO170" s="244"/>
      <c r="BP170" s="244"/>
      <c r="BQ170" s="244"/>
      <c r="BR170" s="244"/>
      <c r="BS170" s="244"/>
      <c r="BT170" s="244"/>
      <c r="BU170" s="244"/>
      <c r="BV170" s="244"/>
      <c r="BW170" s="244"/>
      <c r="BX170" s="244"/>
      <c r="BY170" s="244"/>
      <c r="BZ170" s="244"/>
      <c r="CA170" s="244"/>
      <c r="CB170" s="244"/>
      <c r="CC170" s="244"/>
      <c r="CD170" s="244"/>
    </row>
    <row r="171" spans="1:82" ht="32" x14ac:dyDescent="0.2">
      <c r="A171" s="255" t="s">
        <v>2375</v>
      </c>
      <c r="B171" s="255" t="s">
        <v>2429</v>
      </c>
      <c r="C171" s="256" t="s">
        <v>2772</v>
      </c>
      <c r="D171" s="288" t="s">
        <v>2993</v>
      </c>
      <c r="E171" s="257" t="s">
        <v>2775</v>
      </c>
      <c r="F171" s="253"/>
      <c r="G171" s="244"/>
      <c r="H171" s="244"/>
      <c r="I171" s="244"/>
      <c r="J171" s="244"/>
      <c r="K171" s="244"/>
      <c r="L171" s="244"/>
      <c r="M171" s="244"/>
      <c r="N171" s="244"/>
      <c r="O171" s="244"/>
      <c r="P171" s="244"/>
      <c r="Q171" s="244"/>
      <c r="R171" s="244"/>
      <c r="S171" s="244"/>
      <c r="T171" s="244"/>
      <c r="U171" s="244"/>
      <c r="V171" s="244"/>
      <c r="W171" s="244"/>
      <c r="X171" s="244"/>
      <c r="Y171" s="244"/>
      <c r="Z171" s="244"/>
      <c r="AA171" s="244"/>
      <c r="AB171" s="244"/>
      <c r="AC171" s="244"/>
      <c r="AD171" s="244"/>
      <c r="AE171" s="244"/>
      <c r="AF171" s="244"/>
      <c r="AG171" s="244"/>
      <c r="AH171" s="244"/>
      <c r="AI171" s="244"/>
      <c r="AJ171" s="244"/>
      <c r="AK171" s="244"/>
      <c r="AL171" s="244"/>
      <c r="AM171" s="244"/>
      <c r="AN171" s="244"/>
      <c r="AO171" s="244"/>
      <c r="AP171" s="244"/>
      <c r="AQ171" s="244"/>
      <c r="AR171" s="244"/>
      <c r="AS171" s="244"/>
      <c r="AT171" s="244"/>
      <c r="AU171" s="244"/>
      <c r="AV171" s="244"/>
      <c r="AW171" s="244"/>
      <c r="AX171" s="244"/>
      <c r="AY171" s="244"/>
      <c r="AZ171" s="244"/>
      <c r="BA171" s="244"/>
      <c r="BB171" s="244"/>
      <c r="BC171" s="244"/>
      <c r="BD171" s="244"/>
      <c r="BE171" s="244"/>
      <c r="BF171" s="244"/>
      <c r="BG171" s="244"/>
      <c r="BH171" s="244"/>
      <c r="BI171" s="244"/>
      <c r="BJ171" s="244"/>
      <c r="BK171" s="244"/>
      <c r="BL171" s="244"/>
      <c r="BM171" s="244"/>
      <c r="BN171" s="244"/>
      <c r="BO171" s="244"/>
      <c r="BP171" s="244"/>
      <c r="BQ171" s="244"/>
      <c r="BR171" s="244"/>
      <c r="BS171" s="244"/>
      <c r="BT171" s="244"/>
      <c r="BU171" s="244"/>
      <c r="BV171" s="244"/>
      <c r="BW171" s="244"/>
      <c r="BX171" s="244"/>
      <c r="BY171" s="244"/>
      <c r="BZ171" s="244"/>
      <c r="CA171" s="244"/>
      <c r="CB171" s="244"/>
      <c r="CC171" s="244"/>
      <c r="CD171" s="244"/>
    </row>
    <row r="172" spans="1:82" ht="48" x14ac:dyDescent="0.2">
      <c r="A172" s="258" t="s">
        <v>2376</v>
      </c>
      <c r="B172" s="258" t="s">
        <v>2953</v>
      </c>
      <c r="C172" s="251" t="s">
        <v>2773</v>
      </c>
      <c r="D172" s="289" t="s">
        <v>2317</v>
      </c>
      <c r="E172" s="252"/>
      <c r="F172" s="253"/>
      <c r="G172" s="244"/>
      <c r="H172" s="244"/>
      <c r="I172" s="244"/>
      <c r="J172" s="244"/>
      <c r="K172" s="244"/>
      <c r="L172" s="244"/>
      <c r="M172" s="244"/>
      <c r="N172" s="244"/>
      <c r="O172" s="244"/>
      <c r="P172" s="244"/>
      <c r="Q172" s="244"/>
      <c r="R172" s="244"/>
      <c r="S172" s="244"/>
      <c r="T172" s="244"/>
      <c r="U172" s="244"/>
      <c r="V172" s="244"/>
      <c r="W172" s="244"/>
      <c r="X172" s="244"/>
      <c r="Y172" s="244"/>
      <c r="Z172" s="244"/>
      <c r="AA172" s="244"/>
      <c r="AB172" s="244"/>
      <c r="AC172" s="244"/>
      <c r="AD172" s="244"/>
      <c r="AE172" s="244"/>
      <c r="AF172" s="244"/>
      <c r="AG172" s="244"/>
      <c r="AH172" s="244"/>
      <c r="AI172" s="244"/>
      <c r="AJ172" s="244"/>
      <c r="AK172" s="244"/>
      <c r="AL172" s="244"/>
      <c r="AM172" s="244"/>
      <c r="AN172" s="244"/>
      <c r="AO172" s="244"/>
      <c r="AP172" s="244"/>
      <c r="AQ172" s="244"/>
      <c r="AR172" s="244"/>
      <c r="AS172" s="244"/>
      <c r="AT172" s="244"/>
      <c r="AU172" s="244"/>
      <c r="AV172" s="244"/>
      <c r="AW172" s="244"/>
      <c r="AX172" s="244"/>
      <c r="AY172" s="244"/>
      <c r="AZ172" s="244"/>
      <c r="BA172" s="244"/>
      <c r="BB172" s="244"/>
      <c r="BC172" s="244"/>
      <c r="BD172" s="244"/>
      <c r="BE172" s="244"/>
      <c r="BF172" s="244"/>
      <c r="BG172" s="244"/>
      <c r="BH172" s="244"/>
      <c r="BI172" s="244"/>
      <c r="BJ172" s="244"/>
      <c r="BK172" s="244"/>
      <c r="BL172" s="244"/>
      <c r="BM172" s="244"/>
      <c r="BN172" s="244"/>
      <c r="BO172" s="244"/>
      <c r="BP172" s="244"/>
      <c r="BQ172" s="244"/>
      <c r="BR172" s="244"/>
      <c r="BS172" s="244"/>
      <c r="BT172" s="244"/>
      <c r="BU172" s="244"/>
      <c r="BV172" s="244"/>
      <c r="BW172" s="244"/>
      <c r="BX172" s="244"/>
      <c r="BY172" s="244"/>
      <c r="BZ172" s="244"/>
      <c r="CA172" s="244"/>
      <c r="CB172" s="244"/>
      <c r="CC172" s="244"/>
      <c r="CD172" s="244"/>
    </row>
    <row r="173" spans="1:82" ht="64" x14ac:dyDescent="0.2">
      <c r="A173" s="266" t="s">
        <v>2377</v>
      </c>
      <c r="B173" s="266" t="s">
        <v>2954</v>
      </c>
      <c r="C173" s="256" t="s">
        <v>2774</v>
      </c>
      <c r="D173" s="290" t="s">
        <v>2994</v>
      </c>
      <c r="E173" s="257"/>
      <c r="F173" s="253"/>
      <c r="G173" s="244"/>
      <c r="H173" s="244"/>
      <c r="I173" s="244"/>
      <c r="J173" s="244"/>
      <c r="K173" s="244"/>
      <c r="L173" s="244"/>
      <c r="M173" s="244"/>
      <c r="N173" s="244"/>
      <c r="O173" s="244"/>
      <c r="P173" s="244"/>
      <c r="Q173" s="244"/>
      <c r="R173" s="244"/>
      <c r="S173" s="244"/>
      <c r="T173" s="244"/>
      <c r="U173" s="244"/>
      <c r="V173" s="244"/>
      <c r="W173" s="244"/>
      <c r="X173" s="244"/>
      <c r="Y173" s="244"/>
      <c r="Z173" s="244"/>
      <c r="AA173" s="244"/>
      <c r="AB173" s="244"/>
      <c r="AC173" s="244"/>
      <c r="AD173" s="244"/>
      <c r="AE173" s="244"/>
      <c r="AF173" s="244"/>
      <c r="AG173" s="244"/>
      <c r="AH173" s="244"/>
      <c r="AI173" s="244"/>
      <c r="AJ173" s="244"/>
      <c r="AK173" s="244"/>
      <c r="AL173" s="244"/>
      <c r="AM173" s="244"/>
      <c r="AN173" s="244"/>
      <c r="AO173" s="244"/>
      <c r="AP173" s="244"/>
      <c r="AQ173" s="244"/>
      <c r="AR173" s="244"/>
      <c r="AS173" s="244"/>
      <c r="AT173" s="244"/>
      <c r="AU173" s="244"/>
      <c r="AV173" s="244"/>
      <c r="AW173" s="244"/>
      <c r="AX173" s="244"/>
      <c r="AY173" s="244"/>
      <c r="AZ173" s="244"/>
      <c r="BA173" s="244"/>
      <c r="BB173" s="244"/>
      <c r="BC173" s="244"/>
      <c r="BD173" s="244"/>
      <c r="BE173" s="244"/>
      <c r="BF173" s="244"/>
      <c r="BG173" s="244"/>
      <c r="BH173" s="244"/>
      <c r="BI173" s="244"/>
      <c r="BJ173" s="244"/>
      <c r="BK173" s="244"/>
      <c r="BL173" s="244"/>
      <c r="BM173" s="244"/>
      <c r="BN173" s="244"/>
      <c r="BO173" s="244"/>
      <c r="BP173" s="244"/>
      <c r="BQ173" s="244"/>
      <c r="BR173" s="244"/>
      <c r="BS173" s="244"/>
      <c r="BT173" s="244"/>
      <c r="BU173" s="244"/>
      <c r="BV173" s="244"/>
      <c r="BW173" s="244"/>
      <c r="BX173" s="244"/>
      <c r="BY173" s="244"/>
      <c r="BZ173" s="244"/>
      <c r="CA173" s="244"/>
      <c r="CB173" s="244"/>
      <c r="CC173" s="244"/>
      <c r="CD173" s="244"/>
    </row>
    <row r="174" spans="1:82" ht="48" x14ac:dyDescent="0.2">
      <c r="A174" s="270" t="s">
        <v>2378</v>
      </c>
      <c r="B174" s="270" t="s">
        <v>2430</v>
      </c>
      <c r="C174" s="271" t="s">
        <v>2484</v>
      </c>
      <c r="D174" s="251" t="s">
        <v>2389</v>
      </c>
      <c r="E174" s="272"/>
      <c r="F174" s="253"/>
      <c r="G174" s="244"/>
      <c r="H174" s="244"/>
      <c r="I174" s="244"/>
      <c r="J174" s="244"/>
      <c r="K174" s="244"/>
      <c r="L174" s="244"/>
      <c r="M174" s="244"/>
      <c r="N174" s="244"/>
      <c r="O174" s="244"/>
      <c r="P174" s="244"/>
      <c r="Q174" s="244"/>
      <c r="R174" s="244"/>
      <c r="S174" s="244"/>
      <c r="T174" s="244"/>
      <c r="U174" s="244"/>
      <c r="V174" s="244"/>
      <c r="W174" s="244"/>
      <c r="X174" s="244"/>
      <c r="Y174" s="244"/>
      <c r="Z174" s="244"/>
      <c r="AA174" s="244"/>
      <c r="AB174" s="244"/>
      <c r="AC174" s="244"/>
      <c r="AD174" s="244"/>
      <c r="AE174" s="244"/>
      <c r="AF174" s="244"/>
      <c r="AG174" s="244"/>
      <c r="AH174" s="244"/>
      <c r="AI174" s="244"/>
      <c r="AJ174" s="244"/>
      <c r="AK174" s="244"/>
      <c r="AL174" s="244"/>
      <c r="AM174" s="244"/>
      <c r="AN174" s="244"/>
      <c r="AO174" s="244"/>
      <c r="AP174" s="244"/>
      <c r="AQ174" s="244"/>
      <c r="AR174" s="244"/>
      <c r="AS174" s="244"/>
      <c r="AT174" s="244"/>
      <c r="AU174" s="244"/>
      <c r="AV174" s="244"/>
      <c r="AW174" s="244"/>
      <c r="AX174" s="244"/>
      <c r="AY174" s="244"/>
      <c r="AZ174" s="244"/>
      <c r="BA174" s="244"/>
      <c r="BB174" s="244"/>
      <c r="BC174" s="244"/>
      <c r="BD174" s="244"/>
      <c r="BE174" s="244"/>
      <c r="BF174" s="244"/>
      <c r="BG174" s="244"/>
      <c r="BH174" s="244"/>
      <c r="BI174" s="244"/>
      <c r="BJ174" s="244"/>
      <c r="BK174" s="244"/>
      <c r="BL174" s="244"/>
      <c r="BM174" s="244"/>
      <c r="BN174" s="244"/>
      <c r="BO174" s="244"/>
      <c r="BP174" s="244"/>
      <c r="BQ174" s="244"/>
      <c r="BR174" s="244"/>
      <c r="BS174" s="244"/>
      <c r="BT174" s="244"/>
      <c r="BU174" s="244"/>
      <c r="BV174" s="244"/>
      <c r="BW174" s="244"/>
      <c r="BX174" s="244"/>
      <c r="BY174" s="244"/>
      <c r="BZ174" s="244"/>
      <c r="CA174" s="244"/>
      <c r="CB174" s="244"/>
      <c r="CC174" s="244"/>
      <c r="CD174" s="244"/>
    </row>
    <row r="175" spans="1:82" ht="80" x14ac:dyDescent="0.2">
      <c r="A175" s="285" t="s">
        <v>2379</v>
      </c>
      <c r="B175" s="285" t="s">
        <v>2431</v>
      </c>
      <c r="C175" s="286" t="s">
        <v>2486</v>
      </c>
      <c r="D175" s="256" t="s">
        <v>2388</v>
      </c>
      <c r="E175" s="276"/>
      <c r="F175" s="253"/>
      <c r="G175" s="244"/>
      <c r="H175" s="244"/>
      <c r="I175" s="244"/>
      <c r="J175" s="244"/>
      <c r="K175" s="244"/>
      <c r="L175" s="244"/>
      <c r="M175" s="244"/>
      <c r="N175" s="244"/>
      <c r="O175" s="244"/>
      <c r="P175" s="244"/>
      <c r="Q175" s="244"/>
      <c r="R175" s="244"/>
      <c r="S175" s="244"/>
      <c r="T175" s="244"/>
      <c r="U175" s="244"/>
      <c r="V175" s="244"/>
      <c r="W175" s="244"/>
      <c r="X175" s="244"/>
      <c r="Y175" s="244"/>
      <c r="Z175" s="244"/>
      <c r="AA175" s="244"/>
      <c r="AB175" s="244"/>
      <c r="AC175" s="244"/>
      <c r="AD175" s="244"/>
      <c r="AE175" s="244"/>
      <c r="AF175" s="244"/>
      <c r="AG175" s="244"/>
      <c r="AH175" s="244"/>
      <c r="AI175" s="244"/>
      <c r="AJ175" s="244"/>
      <c r="AK175" s="244"/>
      <c r="AL175" s="244"/>
      <c r="AM175" s="244"/>
      <c r="AN175" s="244"/>
      <c r="AO175" s="244"/>
      <c r="AP175" s="244"/>
      <c r="AQ175" s="244"/>
      <c r="AR175" s="244"/>
      <c r="AS175" s="244"/>
      <c r="AT175" s="244"/>
      <c r="AU175" s="244"/>
      <c r="AV175" s="244"/>
      <c r="AW175" s="244"/>
      <c r="AX175" s="244"/>
      <c r="AY175" s="244"/>
      <c r="AZ175" s="244"/>
      <c r="BA175" s="244"/>
      <c r="BB175" s="244"/>
      <c r="BC175" s="244"/>
      <c r="BD175" s="244"/>
      <c r="BE175" s="244"/>
      <c r="BF175" s="244"/>
      <c r="BG175" s="244"/>
      <c r="BH175" s="244"/>
      <c r="BI175" s="244"/>
      <c r="BJ175" s="244"/>
      <c r="BK175" s="244"/>
      <c r="BL175" s="244"/>
      <c r="BM175" s="244"/>
      <c r="BN175" s="244"/>
      <c r="BO175" s="244"/>
      <c r="BP175" s="244"/>
      <c r="BQ175" s="244"/>
      <c r="BR175" s="244"/>
      <c r="BS175" s="244"/>
      <c r="BT175" s="244"/>
      <c r="BU175" s="244"/>
      <c r="BV175" s="244"/>
      <c r="BW175" s="244"/>
      <c r="BX175" s="244"/>
      <c r="BY175" s="244"/>
      <c r="BZ175" s="244"/>
      <c r="CA175" s="244"/>
      <c r="CB175" s="244"/>
      <c r="CC175" s="244"/>
      <c r="CD175" s="244"/>
    </row>
    <row r="176" spans="1:82" ht="48" x14ac:dyDescent="0.2">
      <c r="A176" s="270" t="s">
        <v>2380</v>
      </c>
      <c r="B176" s="270" t="s">
        <v>2432</v>
      </c>
      <c r="C176" s="271" t="s">
        <v>2776</v>
      </c>
      <c r="D176" s="251" t="s">
        <v>2387</v>
      </c>
      <c r="E176" s="272"/>
      <c r="F176" s="253"/>
      <c r="G176" s="244"/>
      <c r="H176" s="244"/>
      <c r="I176" s="244"/>
      <c r="J176" s="244"/>
      <c r="K176" s="244"/>
      <c r="L176" s="244"/>
      <c r="M176" s="244"/>
      <c r="N176" s="244"/>
      <c r="O176" s="244"/>
      <c r="P176" s="244"/>
      <c r="Q176" s="244"/>
      <c r="R176" s="244"/>
      <c r="S176" s="244"/>
      <c r="T176" s="244"/>
      <c r="U176" s="244"/>
      <c r="V176" s="244"/>
      <c r="W176" s="244"/>
      <c r="X176" s="244"/>
      <c r="Y176" s="244"/>
      <c r="Z176" s="244"/>
      <c r="AA176" s="244"/>
      <c r="AB176" s="244"/>
      <c r="AC176" s="244"/>
      <c r="AD176" s="244"/>
      <c r="AE176" s="244"/>
      <c r="AF176" s="244"/>
      <c r="AG176" s="244"/>
      <c r="AH176" s="244"/>
      <c r="AI176" s="244"/>
      <c r="AJ176" s="244"/>
      <c r="AK176" s="244"/>
      <c r="AL176" s="244"/>
      <c r="AM176" s="244"/>
      <c r="AN176" s="244"/>
      <c r="AO176" s="244"/>
      <c r="AP176" s="244"/>
      <c r="AQ176" s="244"/>
      <c r="AR176" s="244"/>
      <c r="AS176" s="244"/>
      <c r="AT176" s="244"/>
      <c r="AU176" s="244"/>
      <c r="AV176" s="244"/>
      <c r="AW176" s="244"/>
      <c r="AX176" s="244"/>
      <c r="AY176" s="244"/>
      <c r="AZ176" s="244"/>
      <c r="BA176" s="244"/>
      <c r="BB176" s="244"/>
      <c r="BC176" s="244"/>
      <c r="BD176" s="244"/>
      <c r="BE176" s="244"/>
      <c r="BF176" s="244"/>
      <c r="BG176" s="244"/>
      <c r="BH176" s="244"/>
      <c r="BI176" s="244"/>
      <c r="BJ176" s="244"/>
      <c r="BK176" s="244"/>
      <c r="BL176" s="244"/>
      <c r="BM176" s="244"/>
      <c r="BN176" s="244"/>
      <c r="BO176" s="244"/>
      <c r="BP176" s="244"/>
      <c r="BQ176" s="244"/>
      <c r="BR176" s="244"/>
      <c r="BS176" s="244"/>
      <c r="BT176" s="244"/>
      <c r="BU176" s="244"/>
      <c r="BV176" s="244"/>
      <c r="BW176" s="244"/>
      <c r="BX176" s="244"/>
      <c r="BY176" s="244"/>
      <c r="BZ176" s="244"/>
      <c r="CA176" s="244"/>
      <c r="CB176" s="244"/>
      <c r="CC176" s="244"/>
      <c r="CD176" s="244"/>
    </row>
    <row r="177" spans="1:82" ht="64" x14ac:dyDescent="0.2">
      <c r="A177" s="285" t="s">
        <v>2374</v>
      </c>
      <c r="B177" s="285" t="s">
        <v>2433</v>
      </c>
      <c r="C177" s="286" t="s">
        <v>2777</v>
      </c>
      <c r="D177" s="256" t="s">
        <v>2385</v>
      </c>
      <c r="E177" s="276"/>
      <c r="F177" s="253"/>
      <c r="G177" s="244"/>
      <c r="H177" s="244"/>
      <c r="I177" s="244"/>
      <c r="J177" s="244"/>
      <c r="K177" s="244"/>
      <c r="L177" s="244"/>
      <c r="M177" s="244"/>
      <c r="N177" s="244"/>
      <c r="O177" s="244"/>
      <c r="P177" s="244"/>
      <c r="Q177" s="244"/>
      <c r="R177" s="244"/>
      <c r="S177" s="244"/>
      <c r="T177" s="244"/>
      <c r="U177" s="244"/>
      <c r="V177" s="244"/>
      <c r="W177" s="244"/>
      <c r="X177" s="244"/>
      <c r="Y177" s="244"/>
      <c r="Z177" s="244"/>
      <c r="AA177" s="244"/>
      <c r="AB177" s="244"/>
      <c r="AC177" s="244"/>
      <c r="AD177" s="244"/>
      <c r="AE177" s="244"/>
      <c r="AF177" s="244"/>
      <c r="AG177" s="244"/>
      <c r="AH177" s="244"/>
      <c r="AI177" s="244"/>
      <c r="AJ177" s="244"/>
      <c r="AK177" s="244"/>
      <c r="AL177" s="244"/>
      <c r="AM177" s="244"/>
      <c r="AN177" s="244"/>
      <c r="AO177" s="244"/>
      <c r="AP177" s="244"/>
      <c r="AQ177" s="244"/>
      <c r="AR177" s="244"/>
      <c r="AS177" s="244"/>
      <c r="AT177" s="244"/>
      <c r="AU177" s="244"/>
      <c r="AV177" s="244"/>
      <c r="AW177" s="244"/>
      <c r="AX177" s="244"/>
      <c r="AY177" s="244"/>
      <c r="AZ177" s="244"/>
      <c r="BA177" s="244"/>
      <c r="BB177" s="244"/>
      <c r="BC177" s="244"/>
      <c r="BD177" s="244"/>
      <c r="BE177" s="244"/>
      <c r="BF177" s="244"/>
      <c r="BG177" s="244"/>
      <c r="BH177" s="244"/>
      <c r="BI177" s="244"/>
      <c r="BJ177" s="244"/>
      <c r="BK177" s="244"/>
      <c r="BL177" s="244"/>
      <c r="BM177" s="244"/>
      <c r="BN177" s="244"/>
      <c r="BO177" s="244"/>
      <c r="BP177" s="244"/>
      <c r="BQ177" s="244"/>
      <c r="BR177" s="244"/>
      <c r="BS177" s="244"/>
      <c r="BT177" s="244"/>
      <c r="BU177" s="244"/>
      <c r="BV177" s="244"/>
      <c r="BW177" s="244"/>
      <c r="BX177" s="244"/>
      <c r="BY177" s="244"/>
      <c r="BZ177" s="244"/>
      <c r="CA177" s="244"/>
      <c r="CB177" s="244"/>
      <c r="CC177" s="244"/>
      <c r="CD177" s="244"/>
    </row>
    <row r="178" spans="1:82" ht="48" x14ac:dyDescent="0.2">
      <c r="A178" s="270" t="s">
        <v>2381</v>
      </c>
      <c r="B178" s="270" t="s">
        <v>2434</v>
      </c>
      <c r="C178" s="271" t="s">
        <v>2778</v>
      </c>
      <c r="D178" s="251" t="s">
        <v>2386</v>
      </c>
      <c r="E178" s="272"/>
      <c r="F178" s="253"/>
      <c r="G178" s="244"/>
      <c r="H178" s="244"/>
      <c r="I178" s="244"/>
      <c r="J178" s="244"/>
      <c r="K178" s="244"/>
      <c r="L178" s="244"/>
      <c r="M178" s="244"/>
      <c r="N178" s="244"/>
      <c r="O178" s="244"/>
      <c r="P178" s="244"/>
      <c r="Q178" s="244"/>
      <c r="R178" s="244"/>
      <c r="S178" s="244"/>
      <c r="T178" s="244"/>
      <c r="U178" s="244"/>
      <c r="V178" s="244"/>
      <c r="W178" s="244"/>
      <c r="X178" s="244"/>
      <c r="Y178" s="244"/>
      <c r="Z178" s="244"/>
      <c r="AA178" s="244"/>
      <c r="AB178" s="244"/>
      <c r="AC178" s="244"/>
      <c r="AD178" s="244"/>
      <c r="AE178" s="244"/>
      <c r="AF178" s="244"/>
      <c r="AG178" s="244"/>
      <c r="AH178" s="244"/>
      <c r="AI178" s="244"/>
      <c r="AJ178" s="244"/>
      <c r="AK178" s="244"/>
      <c r="AL178" s="244"/>
      <c r="AM178" s="244"/>
      <c r="AN178" s="244"/>
      <c r="AO178" s="244"/>
      <c r="AP178" s="244"/>
      <c r="AQ178" s="244"/>
      <c r="AR178" s="244"/>
      <c r="AS178" s="244"/>
      <c r="AT178" s="244"/>
      <c r="AU178" s="244"/>
      <c r="AV178" s="244"/>
      <c r="AW178" s="244"/>
      <c r="AX178" s="244"/>
      <c r="AY178" s="244"/>
      <c r="AZ178" s="244"/>
      <c r="BA178" s="244"/>
      <c r="BB178" s="244"/>
      <c r="BC178" s="244"/>
      <c r="BD178" s="244"/>
      <c r="BE178" s="244"/>
      <c r="BF178" s="244"/>
      <c r="BG178" s="244"/>
      <c r="BH178" s="244"/>
      <c r="BI178" s="244"/>
      <c r="BJ178" s="244"/>
      <c r="BK178" s="244"/>
      <c r="BL178" s="244"/>
      <c r="BM178" s="244"/>
      <c r="BN178" s="244"/>
      <c r="BO178" s="244"/>
      <c r="BP178" s="244"/>
      <c r="BQ178" s="244"/>
      <c r="BR178" s="244"/>
      <c r="BS178" s="244"/>
      <c r="BT178" s="244"/>
      <c r="BU178" s="244"/>
      <c r="BV178" s="244"/>
      <c r="BW178" s="244"/>
      <c r="BX178" s="244"/>
      <c r="BY178" s="244"/>
      <c r="BZ178" s="244"/>
      <c r="CA178" s="244"/>
      <c r="CB178" s="244"/>
      <c r="CC178" s="244"/>
      <c r="CD178" s="244"/>
    </row>
    <row r="179" spans="1:82" ht="32" x14ac:dyDescent="0.2">
      <c r="A179" s="285" t="s">
        <v>2382</v>
      </c>
      <c r="B179" s="285" t="s">
        <v>2435</v>
      </c>
      <c r="C179" s="286" t="s">
        <v>2485</v>
      </c>
      <c r="D179" s="256" t="s">
        <v>2849</v>
      </c>
      <c r="E179" s="276"/>
      <c r="F179" s="253"/>
      <c r="G179" s="244"/>
      <c r="H179" s="244"/>
      <c r="I179" s="244"/>
      <c r="J179" s="244"/>
      <c r="K179" s="244"/>
      <c r="L179" s="244"/>
      <c r="M179" s="244"/>
      <c r="N179" s="244"/>
      <c r="O179" s="244"/>
      <c r="P179" s="244"/>
      <c r="Q179" s="244"/>
      <c r="R179" s="244"/>
      <c r="S179" s="244"/>
      <c r="T179" s="244"/>
      <c r="U179" s="244"/>
      <c r="V179" s="244"/>
      <c r="W179" s="244"/>
      <c r="X179" s="244"/>
      <c r="Y179" s="244"/>
      <c r="Z179" s="244"/>
      <c r="AA179" s="244"/>
      <c r="AB179" s="244"/>
      <c r="AC179" s="244"/>
      <c r="AD179" s="244"/>
      <c r="AE179" s="244"/>
      <c r="AF179" s="244"/>
      <c r="AG179" s="244"/>
      <c r="AH179" s="244"/>
      <c r="AI179" s="244"/>
      <c r="AJ179" s="244"/>
      <c r="AK179" s="244"/>
      <c r="AL179" s="244"/>
      <c r="AM179" s="244"/>
      <c r="AN179" s="244"/>
      <c r="AO179" s="244"/>
      <c r="AP179" s="244"/>
      <c r="AQ179" s="244"/>
      <c r="AR179" s="244"/>
      <c r="AS179" s="244"/>
      <c r="AT179" s="244"/>
      <c r="AU179" s="244"/>
      <c r="AV179" s="244"/>
      <c r="AW179" s="244"/>
      <c r="AX179" s="244"/>
      <c r="AY179" s="244"/>
      <c r="AZ179" s="244"/>
      <c r="BA179" s="244"/>
      <c r="BB179" s="244"/>
      <c r="BC179" s="244"/>
      <c r="BD179" s="244"/>
      <c r="BE179" s="244"/>
      <c r="BF179" s="244"/>
      <c r="BG179" s="244"/>
      <c r="BH179" s="244"/>
      <c r="BI179" s="244"/>
      <c r="BJ179" s="244"/>
      <c r="BK179" s="244"/>
      <c r="BL179" s="244"/>
      <c r="BM179" s="244"/>
      <c r="BN179" s="244"/>
      <c r="BO179" s="244"/>
      <c r="BP179" s="244"/>
      <c r="BQ179" s="244"/>
      <c r="BR179" s="244"/>
      <c r="BS179" s="244"/>
      <c r="BT179" s="244"/>
      <c r="BU179" s="244"/>
      <c r="BV179" s="244"/>
      <c r="BW179" s="244"/>
      <c r="BX179" s="244"/>
      <c r="BY179" s="244"/>
      <c r="BZ179" s="244"/>
      <c r="CA179" s="244"/>
      <c r="CB179" s="244"/>
      <c r="CC179" s="244"/>
      <c r="CD179" s="244"/>
    </row>
    <row r="180" spans="1:82" ht="32" x14ac:dyDescent="0.2">
      <c r="A180" s="270" t="s">
        <v>2383</v>
      </c>
      <c r="B180" s="270" t="s">
        <v>2436</v>
      </c>
      <c r="C180" s="271" t="s">
        <v>2487</v>
      </c>
      <c r="D180" s="251" t="s">
        <v>2850</v>
      </c>
      <c r="E180" s="272"/>
      <c r="F180" s="253"/>
      <c r="G180" s="244"/>
      <c r="H180" s="244"/>
      <c r="I180" s="244"/>
      <c r="J180" s="244"/>
      <c r="K180" s="244"/>
      <c r="L180" s="244"/>
      <c r="M180" s="244"/>
      <c r="N180" s="244"/>
      <c r="O180" s="244"/>
      <c r="P180" s="244"/>
      <c r="Q180" s="244"/>
      <c r="R180" s="244"/>
      <c r="S180" s="244"/>
      <c r="T180" s="244"/>
      <c r="U180" s="244"/>
      <c r="V180" s="244"/>
      <c r="W180" s="244"/>
      <c r="X180" s="244"/>
      <c r="Y180" s="244"/>
      <c r="Z180" s="244"/>
      <c r="AA180" s="244"/>
      <c r="AB180" s="244"/>
      <c r="AC180" s="244"/>
      <c r="AD180" s="244"/>
      <c r="AE180" s="244"/>
      <c r="AF180" s="244"/>
      <c r="AG180" s="244"/>
      <c r="AH180" s="244"/>
      <c r="AI180" s="244"/>
      <c r="AJ180" s="244"/>
      <c r="AK180" s="244"/>
      <c r="AL180" s="244"/>
      <c r="AM180" s="244"/>
      <c r="AN180" s="244"/>
      <c r="AO180" s="244"/>
      <c r="AP180" s="244"/>
      <c r="AQ180" s="244"/>
      <c r="AR180" s="244"/>
      <c r="AS180" s="244"/>
      <c r="AT180" s="244"/>
      <c r="AU180" s="244"/>
      <c r="AV180" s="244"/>
      <c r="AW180" s="244"/>
      <c r="AX180" s="244"/>
      <c r="AY180" s="244"/>
      <c r="AZ180" s="244"/>
      <c r="BA180" s="244"/>
      <c r="BB180" s="244"/>
      <c r="BC180" s="244"/>
      <c r="BD180" s="244"/>
      <c r="BE180" s="244"/>
      <c r="BF180" s="244"/>
      <c r="BG180" s="244"/>
      <c r="BH180" s="244"/>
      <c r="BI180" s="244"/>
      <c r="BJ180" s="244"/>
      <c r="BK180" s="244"/>
      <c r="BL180" s="244"/>
      <c r="BM180" s="244"/>
      <c r="BN180" s="244"/>
      <c r="BO180" s="244"/>
      <c r="BP180" s="244"/>
      <c r="BQ180" s="244"/>
      <c r="BR180" s="244"/>
      <c r="BS180" s="244"/>
      <c r="BT180" s="244"/>
      <c r="BU180" s="244"/>
      <c r="BV180" s="244"/>
      <c r="BW180" s="244"/>
      <c r="BX180" s="244"/>
      <c r="BY180" s="244"/>
      <c r="BZ180" s="244"/>
      <c r="CA180" s="244"/>
      <c r="CB180" s="244"/>
      <c r="CC180" s="244"/>
      <c r="CD180" s="244"/>
    </row>
    <row r="181" spans="1:82" ht="32" x14ac:dyDescent="0.2">
      <c r="A181" s="285" t="s">
        <v>2384</v>
      </c>
      <c r="B181" s="285" t="s">
        <v>2955</v>
      </c>
      <c r="C181" s="286" t="s">
        <v>2488</v>
      </c>
      <c r="D181" s="256" t="s">
        <v>2851</v>
      </c>
      <c r="E181" s="276"/>
      <c r="F181" s="253"/>
      <c r="G181" s="244"/>
      <c r="H181" s="244"/>
      <c r="I181" s="244"/>
      <c r="J181" s="244"/>
      <c r="K181" s="244"/>
      <c r="L181" s="244"/>
      <c r="M181" s="244"/>
      <c r="N181" s="244"/>
      <c r="O181" s="244"/>
      <c r="P181" s="244"/>
      <c r="Q181" s="244"/>
      <c r="R181" s="244"/>
      <c r="S181" s="244"/>
      <c r="T181" s="244"/>
      <c r="U181" s="244"/>
      <c r="V181" s="244"/>
      <c r="W181" s="244"/>
      <c r="X181" s="244"/>
      <c r="Y181" s="244"/>
      <c r="Z181" s="244"/>
      <c r="AA181" s="244"/>
      <c r="AB181" s="244"/>
      <c r="AC181" s="244"/>
      <c r="AD181" s="244"/>
      <c r="AE181" s="244"/>
      <c r="AF181" s="244"/>
      <c r="AG181" s="244"/>
      <c r="AH181" s="244"/>
      <c r="AI181" s="244"/>
      <c r="AJ181" s="244"/>
      <c r="AK181" s="244"/>
      <c r="AL181" s="244"/>
      <c r="AM181" s="244"/>
      <c r="AN181" s="244"/>
      <c r="AO181" s="244"/>
      <c r="AP181" s="244"/>
      <c r="AQ181" s="244"/>
      <c r="AR181" s="244"/>
      <c r="AS181" s="244"/>
      <c r="AT181" s="244"/>
      <c r="AU181" s="244"/>
      <c r="AV181" s="244"/>
      <c r="AW181" s="244"/>
      <c r="AX181" s="244"/>
      <c r="AY181" s="244"/>
      <c r="AZ181" s="244"/>
      <c r="BA181" s="244"/>
      <c r="BB181" s="244"/>
      <c r="BC181" s="244"/>
      <c r="BD181" s="244"/>
      <c r="BE181" s="244"/>
      <c r="BF181" s="244"/>
      <c r="BG181" s="244"/>
      <c r="BH181" s="244"/>
      <c r="BI181" s="244"/>
      <c r="BJ181" s="244"/>
      <c r="BK181" s="244"/>
      <c r="BL181" s="244"/>
      <c r="BM181" s="244"/>
      <c r="BN181" s="244"/>
      <c r="BO181" s="244"/>
      <c r="BP181" s="244"/>
      <c r="BQ181" s="244"/>
      <c r="BR181" s="244"/>
      <c r="BS181" s="244"/>
      <c r="BT181" s="244"/>
      <c r="BU181" s="244"/>
      <c r="BV181" s="244"/>
      <c r="BW181" s="244"/>
      <c r="BX181" s="244"/>
      <c r="BY181" s="244"/>
      <c r="BZ181" s="244"/>
      <c r="CA181" s="244"/>
      <c r="CB181" s="244"/>
      <c r="CC181" s="244"/>
      <c r="CD181" s="244"/>
    </row>
    <row r="182" spans="1:82" x14ac:dyDescent="0.2">
      <c r="A182" s="281"/>
      <c r="B182" s="281"/>
      <c r="C182" s="282"/>
      <c r="D182" s="283" t="s">
        <v>2437</v>
      </c>
      <c r="E182" s="284"/>
      <c r="F182" s="253"/>
      <c r="G182" s="244"/>
      <c r="H182" s="244"/>
      <c r="I182" s="244"/>
      <c r="J182" s="244"/>
      <c r="K182" s="244"/>
      <c r="L182" s="244"/>
      <c r="M182" s="244"/>
      <c r="N182" s="244"/>
      <c r="O182" s="244"/>
      <c r="P182" s="244"/>
      <c r="Q182" s="244"/>
      <c r="R182" s="244"/>
      <c r="S182" s="244"/>
      <c r="T182" s="244"/>
      <c r="U182" s="244"/>
      <c r="V182" s="244"/>
      <c r="W182" s="244"/>
      <c r="X182" s="244"/>
      <c r="Y182" s="244"/>
      <c r="Z182" s="244"/>
      <c r="AA182" s="244"/>
      <c r="AB182" s="244"/>
      <c r="AC182" s="244"/>
      <c r="AD182" s="244"/>
      <c r="AE182" s="244"/>
      <c r="AF182" s="244"/>
      <c r="AG182" s="244"/>
      <c r="AH182" s="244"/>
      <c r="AI182" s="244"/>
      <c r="AJ182" s="244"/>
      <c r="AK182" s="244"/>
      <c r="AL182" s="244"/>
      <c r="AM182" s="244"/>
      <c r="AN182" s="244"/>
      <c r="AO182" s="244"/>
      <c r="AP182" s="244"/>
      <c r="AQ182" s="244"/>
      <c r="AR182" s="244"/>
      <c r="AS182" s="244"/>
      <c r="AT182" s="244"/>
      <c r="AU182" s="244"/>
      <c r="AV182" s="244"/>
      <c r="AW182" s="244"/>
      <c r="AX182" s="244"/>
      <c r="AY182" s="244"/>
      <c r="AZ182" s="244"/>
      <c r="BA182" s="244"/>
      <c r="BB182" s="244"/>
      <c r="BC182" s="244"/>
      <c r="BD182" s="244"/>
      <c r="BE182" s="244"/>
      <c r="BF182" s="244"/>
      <c r="BG182" s="244"/>
      <c r="BH182" s="244"/>
      <c r="BI182" s="244"/>
      <c r="BJ182" s="244"/>
      <c r="BK182" s="244"/>
      <c r="BL182" s="244"/>
      <c r="BM182" s="244"/>
      <c r="BN182" s="244"/>
      <c r="BO182" s="244"/>
      <c r="BP182" s="244"/>
      <c r="BQ182" s="244"/>
      <c r="BR182" s="244"/>
      <c r="BS182" s="244"/>
      <c r="BT182" s="244"/>
      <c r="BU182" s="244"/>
      <c r="BV182" s="244"/>
      <c r="BW182" s="244"/>
      <c r="BX182" s="244"/>
      <c r="BY182" s="244"/>
      <c r="BZ182" s="244"/>
      <c r="CA182" s="244"/>
      <c r="CB182" s="244"/>
      <c r="CC182" s="244"/>
      <c r="CD182" s="244"/>
    </row>
    <row r="183" spans="1:82" s="259" customFormat="1" ht="48" x14ac:dyDescent="0.2">
      <c r="A183" s="255" t="s">
        <v>2438</v>
      </c>
      <c r="B183" s="255" t="s">
        <v>2375</v>
      </c>
      <c r="C183" s="256" t="s">
        <v>2768</v>
      </c>
      <c r="D183" s="256" t="s">
        <v>2891</v>
      </c>
      <c r="E183" s="257"/>
      <c r="F183" s="253"/>
      <c r="G183" s="244"/>
      <c r="H183" s="244"/>
      <c r="I183" s="244"/>
      <c r="J183" s="244"/>
      <c r="K183" s="244"/>
      <c r="L183" s="244"/>
      <c r="M183" s="244"/>
      <c r="N183" s="244"/>
      <c r="O183" s="244"/>
      <c r="P183" s="244"/>
      <c r="Q183" s="244"/>
      <c r="R183" s="244"/>
      <c r="S183" s="244"/>
      <c r="T183" s="244"/>
      <c r="U183" s="244"/>
      <c r="V183" s="244"/>
      <c r="W183" s="244"/>
      <c r="X183" s="244"/>
      <c r="Y183" s="244"/>
      <c r="Z183" s="244"/>
      <c r="AA183" s="244"/>
      <c r="AB183" s="244"/>
      <c r="AC183" s="244"/>
      <c r="AD183" s="244"/>
      <c r="AE183" s="244"/>
      <c r="AF183" s="244"/>
      <c r="AG183" s="244"/>
      <c r="AH183" s="244"/>
      <c r="AI183" s="244"/>
      <c r="AJ183" s="244"/>
      <c r="AK183" s="244"/>
      <c r="AL183" s="244"/>
      <c r="AM183" s="244"/>
      <c r="AN183" s="244"/>
      <c r="AO183" s="244"/>
      <c r="AP183" s="244"/>
      <c r="AQ183" s="244"/>
      <c r="AR183" s="244"/>
      <c r="AS183" s="244"/>
      <c r="AT183" s="244"/>
      <c r="AU183" s="244"/>
      <c r="AV183" s="244"/>
      <c r="AW183" s="244"/>
      <c r="AX183" s="244"/>
      <c r="AY183" s="244"/>
      <c r="AZ183" s="244"/>
      <c r="BA183" s="244"/>
      <c r="BB183" s="244"/>
      <c r="BC183" s="244"/>
      <c r="BD183" s="244"/>
      <c r="BE183" s="244"/>
      <c r="BF183" s="244"/>
      <c r="BG183" s="244"/>
      <c r="BH183" s="244"/>
      <c r="BI183" s="244"/>
      <c r="BJ183" s="244"/>
      <c r="BK183" s="244"/>
      <c r="BL183" s="244"/>
      <c r="BM183" s="244"/>
      <c r="BN183" s="244"/>
      <c r="BO183" s="244"/>
      <c r="BP183" s="244"/>
      <c r="BQ183" s="244"/>
      <c r="BR183" s="244"/>
      <c r="BS183" s="244"/>
      <c r="BT183" s="244"/>
      <c r="BU183" s="244"/>
      <c r="BV183" s="244"/>
      <c r="BW183" s="244"/>
      <c r="BX183" s="244"/>
      <c r="BY183" s="244"/>
      <c r="BZ183" s="244"/>
      <c r="CA183" s="244"/>
      <c r="CB183" s="244"/>
      <c r="CC183" s="244"/>
      <c r="CD183" s="244"/>
    </row>
    <row r="184" spans="1:82" s="259" customFormat="1" ht="64" x14ac:dyDescent="0.2">
      <c r="A184" s="250" t="s">
        <v>2439</v>
      </c>
      <c r="B184" s="250" t="s">
        <v>2376</v>
      </c>
      <c r="C184" s="251" t="s">
        <v>2741</v>
      </c>
      <c r="D184" s="251" t="s">
        <v>1486</v>
      </c>
      <c r="E184" s="252" t="s">
        <v>1487</v>
      </c>
      <c r="F184" s="253"/>
      <c r="G184" s="244"/>
      <c r="H184" s="244"/>
      <c r="I184" s="244"/>
      <c r="J184" s="244"/>
      <c r="K184" s="244"/>
      <c r="L184" s="244"/>
      <c r="M184" s="244"/>
      <c r="N184" s="244"/>
      <c r="O184" s="244"/>
      <c r="P184" s="244"/>
      <c r="Q184" s="244"/>
      <c r="R184" s="244"/>
      <c r="S184" s="244"/>
      <c r="T184" s="244"/>
      <c r="U184" s="244"/>
      <c r="V184" s="244"/>
      <c r="W184" s="244"/>
      <c r="X184" s="244"/>
      <c r="Y184" s="244"/>
      <c r="Z184" s="244"/>
      <c r="AA184" s="244"/>
      <c r="AB184" s="244"/>
      <c r="AC184" s="244"/>
      <c r="AD184" s="244"/>
      <c r="AE184" s="244"/>
      <c r="AF184" s="244"/>
      <c r="AG184" s="244"/>
      <c r="AH184" s="244"/>
      <c r="AI184" s="244"/>
      <c r="AJ184" s="244"/>
      <c r="AK184" s="244"/>
      <c r="AL184" s="244"/>
      <c r="AM184" s="244"/>
      <c r="AN184" s="244"/>
      <c r="AO184" s="244"/>
      <c r="AP184" s="244"/>
      <c r="AQ184" s="244"/>
      <c r="AR184" s="244"/>
      <c r="AS184" s="244"/>
      <c r="AT184" s="244"/>
      <c r="AU184" s="244"/>
      <c r="AV184" s="244"/>
      <c r="AW184" s="244"/>
      <c r="AX184" s="244"/>
      <c r="AY184" s="244"/>
      <c r="AZ184" s="244"/>
      <c r="BA184" s="244"/>
      <c r="BB184" s="244"/>
      <c r="BC184" s="244"/>
      <c r="BD184" s="244"/>
      <c r="BE184" s="244"/>
      <c r="BF184" s="244"/>
      <c r="BG184" s="244"/>
      <c r="BH184" s="244"/>
      <c r="BI184" s="244"/>
      <c r="BJ184" s="244"/>
      <c r="BK184" s="244"/>
      <c r="BL184" s="244"/>
      <c r="BM184" s="244"/>
      <c r="BN184" s="244"/>
      <c r="BO184" s="244"/>
      <c r="BP184" s="244"/>
      <c r="BQ184" s="244"/>
      <c r="BR184" s="244"/>
      <c r="BS184" s="244"/>
      <c r="BT184" s="244"/>
      <c r="BU184" s="244"/>
      <c r="BV184" s="244"/>
      <c r="BW184" s="244"/>
      <c r="BX184" s="244"/>
      <c r="BY184" s="244"/>
      <c r="BZ184" s="244"/>
      <c r="CA184" s="244"/>
      <c r="CB184" s="244"/>
      <c r="CC184" s="244"/>
      <c r="CD184" s="244"/>
    </row>
    <row r="185" spans="1:82" s="259" customFormat="1" ht="48" x14ac:dyDescent="0.2">
      <c r="A185" s="255" t="s">
        <v>2440</v>
      </c>
      <c r="B185" s="255" t="s">
        <v>2377</v>
      </c>
      <c r="C185" s="256" t="s">
        <v>2742</v>
      </c>
      <c r="D185" s="256" t="s">
        <v>2355</v>
      </c>
      <c r="E185" s="257"/>
      <c r="F185" s="253"/>
      <c r="G185" s="244"/>
      <c r="H185" s="244"/>
      <c r="I185" s="244"/>
      <c r="J185" s="244"/>
      <c r="K185" s="244"/>
      <c r="L185" s="244"/>
      <c r="M185" s="244"/>
      <c r="N185" s="244"/>
      <c r="O185" s="244"/>
      <c r="P185" s="244"/>
      <c r="Q185" s="244"/>
      <c r="R185" s="244"/>
      <c r="S185" s="244"/>
      <c r="T185" s="244"/>
      <c r="U185" s="244"/>
      <c r="V185" s="244"/>
      <c r="W185" s="244"/>
      <c r="X185" s="244"/>
      <c r="Y185" s="244"/>
      <c r="Z185" s="244"/>
      <c r="AA185" s="244"/>
      <c r="AB185" s="244"/>
      <c r="AC185" s="244"/>
      <c r="AD185" s="244"/>
      <c r="AE185" s="244"/>
      <c r="AF185" s="244"/>
      <c r="AG185" s="244"/>
      <c r="AH185" s="244"/>
      <c r="AI185" s="244"/>
      <c r="AJ185" s="244"/>
      <c r="AK185" s="244"/>
      <c r="AL185" s="244"/>
      <c r="AM185" s="244"/>
      <c r="AN185" s="244"/>
      <c r="AO185" s="244"/>
      <c r="AP185" s="244"/>
      <c r="AQ185" s="244"/>
      <c r="AR185" s="244"/>
      <c r="AS185" s="244"/>
      <c r="AT185" s="244"/>
      <c r="AU185" s="244"/>
      <c r="AV185" s="244"/>
      <c r="AW185" s="244"/>
      <c r="AX185" s="244"/>
      <c r="AY185" s="244"/>
      <c r="AZ185" s="244"/>
      <c r="BA185" s="244"/>
      <c r="BB185" s="244"/>
      <c r="BC185" s="244"/>
      <c r="BD185" s="244"/>
      <c r="BE185" s="244"/>
      <c r="BF185" s="244"/>
      <c r="BG185" s="244"/>
      <c r="BH185" s="244"/>
      <c r="BI185" s="244"/>
      <c r="BJ185" s="244"/>
      <c r="BK185" s="244"/>
      <c r="BL185" s="244"/>
      <c r="BM185" s="244"/>
      <c r="BN185" s="244"/>
      <c r="BO185" s="244"/>
      <c r="BP185" s="244"/>
      <c r="BQ185" s="244"/>
      <c r="BR185" s="244"/>
      <c r="BS185" s="244"/>
      <c r="BT185" s="244"/>
      <c r="BU185" s="244"/>
      <c r="BV185" s="244"/>
      <c r="BW185" s="244"/>
      <c r="BX185" s="244"/>
      <c r="BY185" s="244"/>
      <c r="BZ185" s="244"/>
      <c r="CA185" s="244"/>
      <c r="CB185" s="244"/>
      <c r="CC185" s="244"/>
      <c r="CD185" s="244"/>
    </row>
    <row r="186" spans="1:82" s="259" customFormat="1" ht="32" x14ac:dyDescent="0.2">
      <c r="A186" s="250" t="s">
        <v>2441</v>
      </c>
      <c r="B186" s="250" t="s">
        <v>2378</v>
      </c>
      <c r="C186" s="251" t="s">
        <v>2490</v>
      </c>
      <c r="D186" s="251" t="s">
        <v>2848</v>
      </c>
      <c r="E186" s="252"/>
      <c r="F186" s="253"/>
      <c r="G186" s="244"/>
      <c r="H186" s="244"/>
      <c r="I186" s="244"/>
      <c r="J186" s="244"/>
      <c r="K186" s="244"/>
      <c r="L186" s="244"/>
      <c r="M186" s="244"/>
      <c r="N186" s="244"/>
      <c r="O186" s="244"/>
      <c r="P186" s="244"/>
      <c r="Q186" s="244"/>
      <c r="R186" s="244"/>
      <c r="S186" s="244"/>
      <c r="T186" s="244"/>
      <c r="U186" s="244"/>
      <c r="V186" s="244"/>
      <c r="W186" s="244"/>
      <c r="X186" s="244"/>
      <c r="Y186" s="244"/>
      <c r="Z186" s="244"/>
      <c r="AA186" s="244"/>
      <c r="AB186" s="244"/>
      <c r="AC186" s="244"/>
      <c r="AD186" s="244"/>
      <c r="AE186" s="244"/>
      <c r="AF186" s="244"/>
      <c r="AG186" s="244"/>
      <c r="AH186" s="244"/>
      <c r="AI186" s="244"/>
      <c r="AJ186" s="244"/>
      <c r="AK186" s="244"/>
      <c r="AL186" s="244"/>
      <c r="AM186" s="244"/>
      <c r="AN186" s="244"/>
      <c r="AO186" s="244"/>
      <c r="AP186" s="244"/>
      <c r="AQ186" s="244"/>
      <c r="AR186" s="244"/>
      <c r="AS186" s="244"/>
      <c r="AT186" s="244"/>
      <c r="AU186" s="244"/>
      <c r="AV186" s="244"/>
      <c r="AW186" s="244"/>
      <c r="AX186" s="244"/>
      <c r="AY186" s="244"/>
      <c r="AZ186" s="244"/>
      <c r="BA186" s="244"/>
      <c r="BB186" s="244"/>
      <c r="BC186" s="244"/>
      <c r="BD186" s="244"/>
      <c r="BE186" s="244"/>
      <c r="BF186" s="244"/>
      <c r="BG186" s="244"/>
      <c r="BH186" s="244"/>
      <c r="BI186" s="244"/>
      <c r="BJ186" s="244"/>
      <c r="BK186" s="244"/>
      <c r="BL186" s="244"/>
      <c r="BM186" s="244"/>
      <c r="BN186" s="244"/>
      <c r="BO186" s="244"/>
      <c r="BP186" s="244"/>
      <c r="BQ186" s="244"/>
      <c r="BR186" s="244"/>
      <c r="BS186" s="244"/>
      <c r="BT186" s="244"/>
      <c r="BU186" s="244"/>
      <c r="BV186" s="244"/>
      <c r="BW186" s="244"/>
      <c r="BX186" s="244"/>
      <c r="BY186" s="244"/>
      <c r="BZ186" s="244"/>
      <c r="CA186" s="244"/>
      <c r="CB186" s="244"/>
      <c r="CC186" s="244"/>
      <c r="CD186" s="244"/>
    </row>
    <row r="187" spans="1:82" s="259" customFormat="1" ht="49" x14ac:dyDescent="0.2">
      <c r="A187" s="255" t="s">
        <v>2442</v>
      </c>
      <c r="B187" s="255" t="s">
        <v>2379</v>
      </c>
      <c r="C187" s="287" t="s">
        <v>2491</v>
      </c>
      <c r="D187" s="256" t="s">
        <v>2995</v>
      </c>
      <c r="E187" s="257"/>
      <c r="F187" s="253"/>
      <c r="G187" s="244"/>
      <c r="H187" s="244"/>
      <c r="I187" s="244"/>
      <c r="J187" s="244"/>
      <c r="K187" s="244"/>
      <c r="L187" s="244"/>
      <c r="M187" s="244"/>
      <c r="N187" s="244"/>
      <c r="O187" s="244"/>
      <c r="P187" s="244"/>
      <c r="Q187" s="244"/>
      <c r="R187" s="244"/>
      <c r="S187" s="244"/>
      <c r="T187" s="244"/>
      <c r="U187" s="244"/>
      <c r="V187" s="244"/>
      <c r="W187" s="244"/>
      <c r="X187" s="244"/>
      <c r="Y187" s="244"/>
      <c r="Z187" s="244"/>
      <c r="AA187" s="244"/>
      <c r="AB187" s="244"/>
      <c r="AC187" s="244"/>
      <c r="AD187" s="244"/>
      <c r="AE187" s="244"/>
      <c r="AF187" s="244"/>
      <c r="AG187" s="244"/>
      <c r="AH187" s="244"/>
      <c r="AI187" s="244"/>
      <c r="AJ187" s="244"/>
      <c r="AK187" s="244"/>
      <c r="AL187" s="244"/>
      <c r="AM187" s="244"/>
      <c r="AN187" s="244"/>
      <c r="AO187" s="244"/>
      <c r="AP187" s="244"/>
      <c r="AQ187" s="244"/>
      <c r="AR187" s="244"/>
      <c r="AS187" s="244"/>
      <c r="AT187" s="244"/>
      <c r="AU187" s="244"/>
      <c r="AV187" s="244"/>
      <c r="AW187" s="244"/>
      <c r="AX187" s="244"/>
      <c r="AY187" s="244"/>
      <c r="AZ187" s="244"/>
      <c r="BA187" s="244"/>
      <c r="BB187" s="244"/>
      <c r="BC187" s="244"/>
      <c r="BD187" s="244"/>
      <c r="BE187" s="244"/>
      <c r="BF187" s="244"/>
      <c r="BG187" s="244"/>
      <c r="BH187" s="244"/>
      <c r="BI187" s="244"/>
      <c r="BJ187" s="244"/>
      <c r="BK187" s="244"/>
      <c r="BL187" s="244"/>
      <c r="BM187" s="244"/>
      <c r="BN187" s="244"/>
      <c r="BO187" s="244"/>
      <c r="BP187" s="244"/>
      <c r="BQ187" s="244"/>
      <c r="BR187" s="244"/>
      <c r="BS187" s="244"/>
      <c r="BT187" s="244"/>
      <c r="BU187" s="244"/>
      <c r="BV187" s="244"/>
      <c r="BW187" s="244"/>
      <c r="BX187" s="244"/>
      <c r="BY187" s="244"/>
      <c r="BZ187" s="244"/>
      <c r="CA187" s="244"/>
      <c r="CB187" s="244"/>
      <c r="CC187" s="244"/>
      <c r="CD187" s="244"/>
    </row>
    <row r="188" spans="1:82" s="259" customFormat="1" x14ac:dyDescent="0.2">
      <c r="A188" s="255" t="s">
        <v>2419</v>
      </c>
      <c r="B188" s="255" t="s">
        <v>2380</v>
      </c>
      <c r="C188" s="256" t="s">
        <v>679</v>
      </c>
      <c r="D188" s="256" t="s">
        <v>1501</v>
      </c>
      <c r="E188" s="257" t="s">
        <v>2765</v>
      </c>
      <c r="F188" s="253"/>
      <c r="G188" s="244"/>
      <c r="H188" s="244"/>
      <c r="I188" s="244"/>
      <c r="J188" s="244"/>
      <c r="K188" s="244"/>
      <c r="L188" s="244"/>
      <c r="M188" s="244"/>
      <c r="N188" s="244"/>
      <c r="O188" s="244"/>
      <c r="P188" s="244"/>
      <c r="Q188" s="244"/>
      <c r="R188" s="244"/>
      <c r="S188" s="244"/>
      <c r="T188" s="244"/>
      <c r="U188" s="244"/>
      <c r="V188" s="244"/>
      <c r="W188" s="244"/>
      <c r="X188" s="244"/>
      <c r="Y188" s="244"/>
      <c r="Z188" s="244"/>
      <c r="AA188" s="244"/>
      <c r="AB188" s="244"/>
      <c r="AC188" s="244"/>
      <c r="AD188" s="244"/>
      <c r="AE188" s="244"/>
      <c r="AF188" s="244"/>
      <c r="AG188" s="244"/>
      <c r="AH188" s="244"/>
      <c r="AI188" s="244"/>
      <c r="AJ188" s="244"/>
      <c r="AK188" s="244"/>
      <c r="AL188" s="244"/>
      <c r="AM188" s="244"/>
      <c r="AN188" s="244"/>
      <c r="AO188" s="244"/>
      <c r="AP188" s="244"/>
      <c r="AQ188" s="244"/>
      <c r="AR188" s="244"/>
      <c r="AS188" s="244"/>
      <c r="AT188" s="244"/>
      <c r="AU188" s="244"/>
      <c r="AV188" s="244"/>
      <c r="AW188" s="244"/>
      <c r="AX188" s="244"/>
      <c r="AY188" s="244"/>
      <c r="AZ188" s="244"/>
      <c r="BA188" s="244"/>
      <c r="BB188" s="244"/>
      <c r="BC188" s="244"/>
      <c r="BD188" s="244"/>
      <c r="BE188" s="244"/>
      <c r="BF188" s="244"/>
      <c r="BG188" s="244"/>
      <c r="BH188" s="244"/>
      <c r="BI188" s="244"/>
      <c r="BJ188" s="244"/>
      <c r="BK188" s="244"/>
      <c r="BL188" s="244"/>
      <c r="BM188" s="244"/>
      <c r="BN188" s="244"/>
      <c r="BO188" s="244"/>
      <c r="BP188" s="244"/>
      <c r="BQ188" s="244"/>
      <c r="BR188" s="244"/>
      <c r="BS188" s="244"/>
      <c r="BT188" s="244"/>
      <c r="BU188" s="244"/>
      <c r="BV188" s="244"/>
      <c r="BW188" s="244"/>
      <c r="BX188" s="244"/>
      <c r="BY188" s="244"/>
      <c r="BZ188" s="244"/>
      <c r="CA188" s="244"/>
      <c r="CB188" s="244"/>
      <c r="CC188" s="244"/>
      <c r="CD188" s="244"/>
    </row>
    <row r="189" spans="1:82" x14ac:dyDescent="0.2">
      <c r="A189" s="281"/>
      <c r="B189" s="281"/>
      <c r="C189" s="282"/>
      <c r="D189" s="283" t="s">
        <v>2783</v>
      </c>
      <c r="E189" s="284"/>
      <c r="F189" s="253"/>
      <c r="G189" s="244"/>
      <c r="H189" s="244"/>
      <c r="I189" s="244"/>
      <c r="J189" s="244"/>
      <c r="K189" s="244"/>
      <c r="L189" s="244"/>
      <c r="M189" s="244"/>
      <c r="N189" s="244"/>
      <c r="O189" s="244"/>
      <c r="P189" s="244"/>
      <c r="Q189" s="244"/>
      <c r="R189" s="244"/>
      <c r="S189" s="244"/>
      <c r="T189" s="244"/>
      <c r="U189" s="244"/>
      <c r="V189" s="244"/>
      <c r="W189" s="244"/>
      <c r="X189" s="244"/>
      <c r="Y189" s="244"/>
      <c r="Z189" s="244"/>
      <c r="AA189" s="244"/>
      <c r="AB189" s="244"/>
      <c r="AC189" s="244"/>
      <c r="AD189" s="244"/>
      <c r="AE189" s="244"/>
      <c r="AF189" s="244"/>
      <c r="AG189" s="244"/>
      <c r="AH189" s="244"/>
      <c r="AI189" s="244"/>
      <c r="AJ189" s="244"/>
      <c r="AK189" s="244"/>
      <c r="AL189" s="244"/>
      <c r="AM189" s="244"/>
      <c r="AN189" s="244"/>
      <c r="AO189" s="244"/>
      <c r="AP189" s="244"/>
      <c r="AQ189" s="244"/>
      <c r="AR189" s="244"/>
      <c r="AS189" s="244"/>
      <c r="AT189" s="244"/>
      <c r="AU189" s="244"/>
      <c r="AV189" s="244"/>
      <c r="AW189" s="244"/>
      <c r="AX189" s="244"/>
      <c r="AY189" s="244"/>
      <c r="AZ189" s="244"/>
      <c r="BA189" s="244"/>
      <c r="BB189" s="244"/>
      <c r="BC189" s="244"/>
      <c r="BD189" s="244"/>
      <c r="BE189" s="244"/>
      <c r="BF189" s="244"/>
      <c r="BG189" s="244"/>
      <c r="BH189" s="244"/>
      <c r="BI189" s="244"/>
      <c r="BJ189" s="244"/>
      <c r="BK189" s="244"/>
      <c r="BL189" s="244"/>
      <c r="BM189" s="244"/>
      <c r="BN189" s="244"/>
      <c r="BO189" s="244"/>
      <c r="BP189" s="244"/>
      <c r="BQ189" s="244"/>
      <c r="BR189" s="244"/>
      <c r="BS189" s="244"/>
      <c r="BT189" s="244"/>
      <c r="BU189" s="244"/>
      <c r="BV189" s="244"/>
      <c r="BW189" s="244"/>
      <c r="BX189" s="244"/>
      <c r="BY189" s="244"/>
      <c r="BZ189" s="244"/>
      <c r="CA189" s="244"/>
      <c r="CB189" s="244"/>
      <c r="CC189" s="244"/>
      <c r="CD189" s="244"/>
    </row>
    <row r="190" spans="1:82" x14ac:dyDescent="0.2">
      <c r="A190" s="291" t="s">
        <v>2504</v>
      </c>
      <c r="B190" s="291" t="s">
        <v>2438</v>
      </c>
      <c r="C190" s="244" t="s">
        <v>2505</v>
      </c>
      <c r="D190" s="251" t="s">
        <v>2518</v>
      </c>
      <c r="E190" s="272"/>
      <c r="F190" s="253"/>
      <c r="G190" s="244"/>
      <c r="H190" s="244"/>
      <c r="I190" s="244"/>
      <c r="J190" s="244"/>
      <c r="K190" s="244"/>
      <c r="L190" s="244"/>
      <c r="M190" s="244"/>
      <c r="N190" s="244"/>
      <c r="O190" s="244"/>
      <c r="P190" s="244"/>
      <c r="Q190" s="244"/>
      <c r="R190" s="244"/>
      <c r="S190" s="244"/>
      <c r="T190" s="244"/>
      <c r="U190" s="244"/>
      <c r="V190" s="244"/>
      <c r="W190" s="244"/>
      <c r="X190" s="244"/>
      <c r="Y190" s="244"/>
      <c r="Z190" s="244"/>
      <c r="AA190" s="244"/>
      <c r="AB190" s="244"/>
      <c r="AC190" s="244"/>
      <c r="AD190" s="244"/>
      <c r="AE190" s="244"/>
      <c r="AF190" s="244"/>
      <c r="AG190" s="244"/>
      <c r="AH190" s="244"/>
      <c r="AI190" s="244"/>
      <c r="AJ190" s="244"/>
      <c r="AK190" s="244"/>
      <c r="AL190" s="244"/>
      <c r="AM190" s="244"/>
      <c r="AN190" s="244"/>
      <c r="AO190" s="244"/>
      <c r="AP190" s="244"/>
      <c r="AQ190" s="244"/>
      <c r="AR190" s="244"/>
      <c r="AS190" s="244"/>
      <c r="AT190" s="244"/>
      <c r="AU190" s="244"/>
      <c r="AV190" s="244"/>
      <c r="AW190" s="244"/>
      <c r="AX190" s="244"/>
      <c r="AY190" s="244"/>
      <c r="AZ190" s="244"/>
      <c r="BA190" s="244"/>
      <c r="BB190" s="244"/>
      <c r="BC190" s="244"/>
      <c r="BD190" s="244"/>
      <c r="BE190" s="244"/>
      <c r="BF190" s="244"/>
      <c r="BG190" s="244"/>
      <c r="BH190" s="244"/>
      <c r="BI190" s="244"/>
      <c r="BJ190" s="244"/>
      <c r="BK190" s="244"/>
      <c r="BL190" s="244"/>
      <c r="BM190" s="244"/>
      <c r="BN190" s="244"/>
      <c r="BO190" s="244"/>
      <c r="BP190" s="244"/>
      <c r="BQ190" s="244"/>
      <c r="BR190" s="244"/>
      <c r="BS190" s="244"/>
      <c r="BT190" s="244"/>
      <c r="BU190" s="244"/>
      <c r="BV190" s="244"/>
      <c r="BW190" s="244"/>
      <c r="BX190" s="244"/>
      <c r="BY190" s="244"/>
      <c r="BZ190" s="244"/>
      <c r="CA190" s="244"/>
      <c r="CB190" s="244"/>
      <c r="CC190" s="244"/>
      <c r="CD190" s="244"/>
    </row>
    <row r="191" spans="1:82" s="293" customFormat="1" ht="32" x14ac:dyDescent="0.2">
      <c r="A191" s="292" t="s">
        <v>2532</v>
      </c>
      <c r="B191" s="292" t="s">
        <v>2441</v>
      </c>
      <c r="C191" s="287" t="s">
        <v>2506</v>
      </c>
      <c r="D191" s="256" t="s">
        <v>2521</v>
      </c>
      <c r="E191" s="276"/>
      <c r="F191" s="253"/>
      <c r="G191" s="244"/>
      <c r="H191" s="273"/>
      <c r="I191" s="273"/>
      <c r="J191" s="273"/>
      <c r="K191" s="273"/>
      <c r="L191" s="273"/>
      <c r="M191" s="273"/>
      <c r="N191" s="27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c r="AQ191" s="273"/>
      <c r="AR191" s="273"/>
      <c r="AS191" s="273"/>
      <c r="AT191" s="273"/>
      <c r="AU191" s="273"/>
      <c r="AV191" s="273"/>
      <c r="AW191" s="273"/>
      <c r="AX191" s="273"/>
      <c r="AY191" s="273"/>
      <c r="AZ191" s="273"/>
      <c r="BA191" s="273"/>
      <c r="BB191" s="273"/>
      <c r="BC191" s="273"/>
      <c r="BD191" s="273"/>
      <c r="BE191" s="273"/>
      <c r="BF191" s="273"/>
      <c r="BG191" s="273"/>
      <c r="BH191" s="273"/>
      <c r="BI191" s="273"/>
      <c r="BJ191" s="273"/>
      <c r="BK191" s="273"/>
      <c r="BL191" s="273"/>
      <c r="BM191" s="273"/>
      <c r="BN191" s="273"/>
      <c r="BO191" s="273"/>
      <c r="BP191" s="273"/>
      <c r="BQ191" s="273"/>
      <c r="BR191" s="273"/>
      <c r="BS191" s="273"/>
      <c r="BT191" s="273"/>
      <c r="BU191" s="273"/>
      <c r="BV191" s="273"/>
      <c r="BW191" s="273"/>
      <c r="BX191" s="273"/>
      <c r="BY191" s="273"/>
      <c r="BZ191" s="273"/>
      <c r="CA191" s="273"/>
      <c r="CB191" s="273"/>
      <c r="CC191" s="273"/>
      <c r="CD191" s="273"/>
    </row>
    <row r="192" spans="1:82" s="293" customFormat="1" x14ac:dyDescent="0.2">
      <c r="A192" s="291" t="s">
        <v>2533</v>
      </c>
      <c r="B192" s="291" t="s">
        <v>2442</v>
      </c>
      <c r="C192" s="244" t="s">
        <v>2507</v>
      </c>
      <c r="D192" s="251" t="s">
        <v>2520</v>
      </c>
      <c r="E192" s="272"/>
      <c r="F192" s="253"/>
      <c r="G192" s="244"/>
      <c r="H192" s="273"/>
      <c r="I192" s="273"/>
      <c r="J192" s="273"/>
      <c r="K192" s="273"/>
      <c r="L192" s="273"/>
      <c r="M192" s="273"/>
      <c r="N192" s="27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c r="AQ192" s="273"/>
      <c r="AR192" s="273"/>
      <c r="AS192" s="273"/>
      <c r="AT192" s="273"/>
      <c r="AU192" s="273"/>
      <c r="AV192" s="273"/>
      <c r="AW192" s="273"/>
      <c r="AX192" s="273"/>
      <c r="AY192" s="273"/>
      <c r="AZ192" s="273"/>
      <c r="BA192" s="273"/>
      <c r="BB192" s="273"/>
      <c r="BC192" s="273"/>
      <c r="BD192" s="273"/>
      <c r="BE192" s="273"/>
      <c r="BF192" s="273"/>
      <c r="BG192" s="273"/>
      <c r="BH192" s="273"/>
      <c r="BI192" s="273"/>
      <c r="BJ192" s="273"/>
      <c r="BK192" s="273"/>
      <c r="BL192" s="273"/>
      <c r="BM192" s="273"/>
      <c r="BN192" s="273"/>
      <c r="BO192" s="273"/>
      <c r="BP192" s="273"/>
      <c r="BQ192" s="273"/>
      <c r="BR192" s="273"/>
      <c r="BS192" s="273"/>
      <c r="BT192" s="273"/>
      <c r="BU192" s="273"/>
      <c r="BV192" s="273"/>
      <c r="BW192" s="273"/>
      <c r="BX192" s="273"/>
      <c r="BY192" s="273"/>
      <c r="BZ192" s="273"/>
      <c r="CA192" s="273"/>
      <c r="CB192" s="273"/>
      <c r="CC192" s="273"/>
      <c r="CD192" s="273"/>
    </row>
    <row r="193" spans="1:82" s="293" customFormat="1" x14ac:dyDescent="0.2">
      <c r="A193" s="292" t="s">
        <v>2534</v>
      </c>
      <c r="B193" s="292" t="s">
        <v>2444</v>
      </c>
      <c r="C193" s="287" t="s">
        <v>2508</v>
      </c>
      <c r="D193" s="256" t="s">
        <v>2519</v>
      </c>
      <c r="E193" s="276"/>
      <c r="F193" s="253"/>
      <c r="G193" s="244"/>
      <c r="H193" s="273"/>
      <c r="I193" s="273"/>
      <c r="J193" s="273"/>
      <c r="K193" s="273"/>
      <c r="L193" s="273"/>
      <c r="M193" s="273"/>
      <c r="N193" s="27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c r="AQ193" s="273"/>
      <c r="AR193" s="273"/>
      <c r="AS193" s="273"/>
      <c r="AT193" s="273"/>
      <c r="AU193" s="273"/>
      <c r="AV193" s="273"/>
      <c r="AW193" s="273"/>
      <c r="AX193" s="273"/>
      <c r="AY193" s="273"/>
      <c r="AZ193" s="273"/>
      <c r="BA193" s="273"/>
      <c r="BB193" s="273"/>
      <c r="BC193" s="273"/>
      <c r="BD193" s="273"/>
      <c r="BE193" s="273"/>
      <c r="BF193" s="273"/>
      <c r="BG193" s="273"/>
      <c r="BH193" s="273"/>
      <c r="BI193" s="273"/>
      <c r="BJ193" s="273"/>
      <c r="BK193" s="273"/>
      <c r="BL193" s="273"/>
      <c r="BM193" s="273"/>
      <c r="BN193" s="273"/>
      <c r="BO193" s="273"/>
      <c r="BP193" s="273"/>
      <c r="BQ193" s="273"/>
      <c r="BR193" s="273"/>
      <c r="BS193" s="273"/>
      <c r="BT193" s="273"/>
      <c r="BU193" s="273"/>
      <c r="BV193" s="273"/>
      <c r="BW193" s="273"/>
      <c r="BX193" s="273"/>
      <c r="BY193" s="273"/>
      <c r="BZ193" s="273"/>
      <c r="CA193" s="273"/>
      <c r="CB193" s="273"/>
      <c r="CC193" s="273"/>
      <c r="CD193" s="273"/>
    </row>
    <row r="194" spans="1:82" s="293" customFormat="1" x14ac:dyDescent="0.2">
      <c r="A194" s="270" t="s">
        <v>2535</v>
      </c>
      <c r="B194" s="270" t="s">
        <v>2956</v>
      </c>
      <c r="C194" s="244" t="s">
        <v>2509</v>
      </c>
      <c r="D194" s="251" t="s">
        <v>2522</v>
      </c>
      <c r="E194" s="272"/>
      <c r="F194" s="253"/>
      <c r="G194" s="244"/>
      <c r="H194" s="273"/>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273"/>
      <c r="AT194" s="273"/>
      <c r="AU194" s="273"/>
      <c r="AV194" s="273"/>
      <c r="AW194" s="273"/>
      <c r="AX194" s="273"/>
      <c r="AY194" s="273"/>
      <c r="AZ194" s="273"/>
      <c r="BA194" s="273"/>
      <c r="BB194" s="273"/>
      <c r="BC194" s="273"/>
      <c r="BD194" s="273"/>
      <c r="BE194" s="273"/>
      <c r="BF194" s="273"/>
      <c r="BG194" s="273"/>
      <c r="BH194" s="273"/>
      <c r="BI194" s="273"/>
      <c r="BJ194" s="273"/>
      <c r="BK194" s="273"/>
      <c r="BL194" s="273"/>
      <c r="BM194" s="273"/>
      <c r="BN194" s="273"/>
      <c r="BO194" s="273"/>
      <c r="BP194" s="273"/>
      <c r="BQ194" s="273"/>
      <c r="BR194" s="273"/>
      <c r="BS194" s="273"/>
      <c r="BT194" s="273"/>
      <c r="BU194" s="273"/>
      <c r="BV194" s="273"/>
      <c r="BW194" s="273"/>
      <c r="BX194" s="273"/>
      <c r="BY194" s="273"/>
      <c r="BZ194" s="273"/>
      <c r="CA194" s="273"/>
      <c r="CB194" s="273"/>
      <c r="CC194" s="273"/>
      <c r="CD194" s="273"/>
    </row>
    <row r="195" spans="1:82" s="293" customFormat="1" x14ac:dyDescent="0.2">
      <c r="A195" s="285" t="s">
        <v>2536</v>
      </c>
      <c r="B195" s="285" t="s">
        <v>2957</v>
      </c>
      <c r="C195" s="287" t="s">
        <v>2510</v>
      </c>
      <c r="D195" s="256" t="s">
        <v>2524</v>
      </c>
      <c r="E195" s="276"/>
      <c r="F195" s="253"/>
      <c r="G195" s="244"/>
      <c r="H195" s="273"/>
      <c r="I195" s="273"/>
      <c r="J195" s="273"/>
      <c r="K195" s="273"/>
      <c r="L195" s="273"/>
      <c r="M195" s="273"/>
      <c r="N195" s="27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c r="AQ195" s="273"/>
      <c r="AR195" s="273"/>
      <c r="AS195" s="273"/>
      <c r="AT195" s="273"/>
      <c r="AU195" s="273"/>
      <c r="AV195" s="273"/>
      <c r="AW195" s="273"/>
      <c r="AX195" s="273"/>
      <c r="AY195" s="273"/>
      <c r="AZ195" s="273"/>
      <c r="BA195" s="273"/>
      <c r="BB195" s="273"/>
      <c r="BC195" s="273"/>
      <c r="BD195" s="273"/>
      <c r="BE195" s="273"/>
      <c r="BF195" s="273"/>
      <c r="BG195" s="273"/>
      <c r="BH195" s="273"/>
      <c r="BI195" s="273"/>
      <c r="BJ195" s="273"/>
      <c r="BK195" s="273"/>
      <c r="BL195" s="273"/>
      <c r="BM195" s="273"/>
      <c r="BN195" s="273"/>
      <c r="BO195" s="273"/>
      <c r="BP195" s="273"/>
      <c r="BQ195" s="273"/>
      <c r="BR195" s="273"/>
      <c r="BS195" s="273"/>
      <c r="BT195" s="273"/>
      <c r="BU195" s="273"/>
      <c r="BV195" s="273"/>
      <c r="BW195" s="273"/>
      <c r="BX195" s="273"/>
      <c r="BY195" s="273"/>
      <c r="BZ195" s="273"/>
      <c r="CA195" s="273"/>
      <c r="CB195" s="273"/>
      <c r="CC195" s="273"/>
      <c r="CD195" s="273"/>
    </row>
    <row r="196" spans="1:82" s="293" customFormat="1" ht="32" x14ac:dyDescent="0.2">
      <c r="A196" s="270" t="s">
        <v>2537</v>
      </c>
      <c r="B196" s="270" t="s">
        <v>2958</v>
      </c>
      <c r="C196" s="244" t="s">
        <v>2511</v>
      </c>
      <c r="D196" s="251" t="s">
        <v>2525</v>
      </c>
      <c r="E196" s="272"/>
      <c r="F196" s="253"/>
      <c r="G196" s="244"/>
      <c r="H196" s="273"/>
      <c r="I196" s="273"/>
      <c r="J196" s="273"/>
      <c r="K196" s="273"/>
      <c r="L196" s="273"/>
      <c r="M196" s="273"/>
      <c r="N196" s="273"/>
      <c r="O196" s="273"/>
      <c r="P196" s="273"/>
      <c r="Q196" s="273"/>
      <c r="R196" s="273"/>
      <c r="S196" s="273"/>
      <c r="T196" s="273"/>
      <c r="U196" s="273"/>
      <c r="V196" s="273"/>
      <c r="W196" s="273"/>
      <c r="X196" s="273"/>
      <c r="Y196" s="273"/>
      <c r="Z196" s="273"/>
      <c r="AA196" s="273"/>
      <c r="AB196" s="273"/>
      <c r="AC196" s="273"/>
      <c r="AD196" s="273"/>
      <c r="AE196" s="273"/>
      <c r="AF196" s="273"/>
      <c r="AG196" s="273"/>
      <c r="AH196" s="273"/>
      <c r="AI196" s="273"/>
      <c r="AJ196" s="273"/>
      <c r="AK196" s="273"/>
      <c r="AL196" s="273"/>
      <c r="AM196" s="273"/>
      <c r="AN196" s="273"/>
      <c r="AO196" s="273"/>
      <c r="AP196" s="273"/>
      <c r="AQ196" s="273"/>
      <c r="AR196" s="273"/>
      <c r="AS196" s="273"/>
      <c r="AT196" s="273"/>
      <c r="AU196" s="273"/>
      <c r="AV196" s="273"/>
      <c r="AW196" s="273"/>
      <c r="AX196" s="273"/>
      <c r="AY196" s="273"/>
      <c r="AZ196" s="273"/>
      <c r="BA196" s="273"/>
      <c r="BB196" s="273"/>
      <c r="BC196" s="273"/>
      <c r="BD196" s="273"/>
      <c r="BE196" s="273"/>
      <c r="BF196" s="273"/>
      <c r="BG196" s="273"/>
      <c r="BH196" s="273"/>
      <c r="BI196" s="273"/>
      <c r="BJ196" s="273"/>
      <c r="BK196" s="273"/>
      <c r="BL196" s="273"/>
      <c r="BM196" s="273"/>
      <c r="BN196" s="273"/>
      <c r="BO196" s="273"/>
      <c r="BP196" s="273"/>
      <c r="BQ196" s="273"/>
      <c r="BR196" s="273"/>
      <c r="BS196" s="273"/>
      <c r="BT196" s="273"/>
      <c r="BU196" s="273"/>
      <c r="BV196" s="273"/>
      <c r="BW196" s="273"/>
      <c r="BX196" s="273"/>
      <c r="BY196" s="273"/>
      <c r="BZ196" s="273"/>
      <c r="CA196" s="273"/>
      <c r="CB196" s="273"/>
      <c r="CC196" s="273"/>
      <c r="CD196" s="273"/>
    </row>
    <row r="197" spans="1:82" s="293" customFormat="1" ht="32" x14ac:dyDescent="0.2">
      <c r="A197" s="285" t="s">
        <v>2538</v>
      </c>
      <c r="B197" s="285" t="s">
        <v>2959</v>
      </c>
      <c r="C197" s="287" t="s">
        <v>2512</v>
      </c>
      <c r="D197" s="256" t="s">
        <v>2526</v>
      </c>
      <c r="E197" s="276"/>
      <c r="F197" s="253"/>
      <c r="G197" s="244"/>
      <c r="H197" s="273"/>
      <c r="I197" s="273"/>
      <c r="J197" s="273"/>
      <c r="K197" s="273"/>
      <c r="L197" s="273"/>
      <c r="M197" s="273"/>
      <c r="N197" s="273"/>
      <c r="O197" s="273"/>
      <c r="P197" s="273"/>
      <c r="Q197" s="273"/>
      <c r="R197" s="273"/>
      <c r="S197" s="273"/>
      <c r="T197" s="273"/>
      <c r="U197" s="273"/>
      <c r="V197" s="273"/>
      <c r="W197" s="273"/>
      <c r="X197" s="273"/>
      <c r="Y197" s="273"/>
      <c r="Z197" s="273"/>
      <c r="AA197" s="273"/>
      <c r="AB197" s="273"/>
      <c r="AC197" s="273"/>
      <c r="AD197" s="273"/>
      <c r="AE197" s="273"/>
      <c r="AF197" s="273"/>
      <c r="AG197" s="273"/>
      <c r="AH197" s="273"/>
      <c r="AI197" s="273"/>
      <c r="AJ197" s="273"/>
      <c r="AK197" s="273"/>
      <c r="AL197" s="273"/>
      <c r="AM197" s="273"/>
      <c r="AN197" s="273"/>
      <c r="AO197" s="273"/>
      <c r="AP197" s="273"/>
      <c r="AQ197" s="273"/>
      <c r="AR197" s="273"/>
      <c r="AS197" s="273"/>
      <c r="AT197" s="273"/>
      <c r="AU197" s="273"/>
      <c r="AV197" s="273"/>
      <c r="AW197" s="273"/>
      <c r="AX197" s="273"/>
      <c r="AY197" s="273"/>
      <c r="AZ197" s="273"/>
      <c r="BA197" s="273"/>
      <c r="BB197" s="273"/>
      <c r="BC197" s="273"/>
      <c r="BD197" s="273"/>
      <c r="BE197" s="273"/>
      <c r="BF197" s="273"/>
      <c r="BG197" s="273"/>
      <c r="BH197" s="273"/>
      <c r="BI197" s="273"/>
      <c r="BJ197" s="273"/>
      <c r="BK197" s="273"/>
      <c r="BL197" s="273"/>
      <c r="BM197" s="273"/>
      <c r="BN197" s="273"/>
      <c r="BO197" s="273"/>
      <c r="BP197" s="273"/>
      <c r="BQ197" s="273"/>
      <c r="BR197" s="273"/>
      <c r="BS197" s="273"/>
      <c r="BT197" s="273"/>
      <c r="BU197" s="273"/>
      <c r="BV197" s="273"/>
      <c r="BW197" s="273"/>
      <c r="BX197" s="273"/>
      <c r="BY197" s="273"/>
      <c r="BZ197" s="273"/>
      <c r="CA197" s="273"/>
      <c r="CB197" s="273"/>
      <c r="CC197" s="273"/>
      <c r="CD197" s="273"/>
    </row>
    <row r="198" spans="1:82" s="293" customFormat="1" ht="32" x14ac:dyDescent="0.2">
      <c r="A198" s="270" t="s">
        <v>2539</v>
      </c>
      <c r="B198" s="270" t="s">
        <v>2960</v>
      </c>
      <c r="C198" s="244" t="s">
        <v>2513</v>
      </c>
      <c r="D198" s="251" t="s">
        <v>2527</v>
      </c>
      <c r="E198" s="272"/>
      <c r="F198" s="253"/>
      <c r="G198" s="244"/>
      <c r="H198" s="273"/>
      <c r="I198" s="273"/>
      <c r="J198" s="273"/>
      <c r="K198" s="273"/>
      <c r="L198" s="273"/>
      <c r="M198" s="273"/>
      <c r="N198" s="273"/>
      <c r="O198" s="273"/>
      <c r="P198" s="273"/>
      <c r="Q198" s="273"/>
      <c r="R198" s="273"/>
      <c r="S198" s="273"/>
      <c r="T198" s="273"/>
      <c r="U198" s="273"/>
      <c r="V198" s="273"/>
      <c r="W198" s="273"/>
      <c r="X198" s="273"/>
      <c r="Y198" s="273"/>
      <c r="Z198" s="273"/>
      <c r="AA198" s="273"/>
      <c r="AB198" s="273"/>
      <c r="AC198" s="273"/>
      <c r="AD198" s="273"/>
      <c r="AE198" s="273"/>
      <c r="AF198" s="273"/>
      <c r="AG198" s="273"/>
      <c r="AH198" s="273"/>
      <c r="AI198" s="273"/>
      <c r="AJ198" s="273"/>
      <c r="AK198" s="273"/>
      <c r="AL198" s="273"/>
      <c r="AM198" s="273"/>
      <c r="AN198" s="273"/>
      <c r="AO198" s="273"/>
      <c r="AP198" s="273"/>
      <c r="AQ198" s="273"/>
      <c r="AR198" s="273"/>
      <c r="AS198" s="273"/>
      <c r="AT198" s="273"/>
      <c r="AU198" s="273"/>
      <c r="AV198" s="273"/>
      <c r="AW198" s="273"/>
      <c r="AX198" s="273"/>
      <c r="AY198" s="273"/>
      <c r="AZ198" s="273"/>
      <c r="BA198" s="273"/>
      <c r="BB198" s="273"/>
      <c r="BC198" s="273"/>
      <c r="BD198" s="273"/>
      <c r="BE198" s="273"/>
      <c r="BF198" s="273"/>
      <c r="BG198" s="273"/>
      <c r="BH198" s="273"/>
      <c r="BI198" s="273"/>
      <c r="BJ198" s="273"/>
      <c r="BK198" s="273"/>
      <c r="BL198" s="273"/>
      <c r="BM198" s="273"/>
      <c r="BN198" s="273"/>
      <c r="BO198" s="273"/>
      <c r="BP198" s="273"/>
      <c r="BQ198" s="273"/>
      <c r="BR198" s="273"/>
      <c r="BS198" s="273"/>
      <c r="BT198" s="273"/>
      <c r="BU198" s="273"/>
      <c r="BV198" s="273"/>
      <c r="BW198" s="273"/>
      <c r="BX198" s="273"/>
      <c r="BY198" s="273"/>
      <c r="BZ198" s="273"/>
      <c r="CA198" s="273"/>
      <c r="CB198" s="273"/>
      <c r="CC198" s="273"/>
      <c r="CD198" s="273"/>
    </row>
    <row r="199" spans="1:82" s="293" customFormat="1" ht="32" x14ac:dyDescent="0.2">
      <c r="A199" s="285" t="s">
        <v>2544</v>
      </c>
      <c r="B199" s="285" t="s">
        <v>2961</v>
      </c>
      <c r="C199" s="287" t="s">
        <v>2514</v>
      </c>
      <c r="D199" s="256" t="s">
        <v>2528</v>
      </c>
      <c r="E199" s="276"/>
      <c r="F199" s="253"/>
      <c r="G199" s="244"/>
      <c r="H199" s="273"/>
      <c r="I199" s="273"/>
      <c r="J199" s="273"/>
      <c r="K199" s="273"/>
      <c r="L199" s="273"/>
      <c r="M199" s="273"/>
      <c r="N199" s="273"/>
      <c r="O199" s="273"/>
      <c r="P199" s="273"/>
      <c r="Q199" s="273"/>
      <c r="R199" s="273"/>
      <c r="S199" s="273"/>
      <c r="T199" s="273"/>
      <c r="U199" s="273"/>
      <c r="V199" s="273"/>
      <c r="W199" s="273"/>
      <c r="X199" s="273"/>
      <c r="Y199" s="273"/>
      <c r="Z199" s="273"/>
      <c r="AA199" s="273"/>
      <c r="AB199" s="273"/>
      <c r="AC199" s="273"/>
      <c r="AD199" s="273"/>
      <c r="AE199" s="273"/>
      <c r="AF199" s="273"/>
      <c r="AG199" s="273"/>
      <c r="AH199" s="273"/>
      <c r="AI199" s="273"/>
      <c r="AJ199" s="273"/>
      <c r="AK199" s="273"/>
      <c r="AL199" s="273"/>
      <c r="AM199" s="273"/>
      <c r="AN199" s="273"/>
      <c r="AO199" s="273"/>
      <c r="AP199" s="273"/>
      <c r="AQ199" s="273"/>
      <c r="AR199" s="273"/>
      <c r="AS199" s="273"/>
      <c r="AT199" s="273"/>
      <c r="AU199" s="273"/>
      <c r="AV199" s="273"/>
      <c r="AW199" s="273"/>
      <c r="AX199" s="273"/>
      <c r="AY199" s="273"/>
      <c r="AZ199" s="273"/>
      <c r="BA199" s="273"/>
      <c r="BB199" s="273"/>
      <c r="BC199" s="273"/>
      <c r="BD199" s="273"/>
      <c r="BE199" s="273"/>
      <c r="BF199" s="273"/>
      <c r="BG199" s="273"/>
      <c r="BH199" s="273"/>
      <c r="BI199" s="273"/>
      <c r="BJ199" s="273"/>
      <c r="BK199" s="273"/>
      <c r="BL199" s="273"/>
      <c r="BM199" s="273"/>
      <c r="BN199" s="273"/>
      <c r="BO199" s="273"/>
      <c r="BP199" s="273"/>
      <c r="BQ199" s="273"/>
      <c r="BR199" s="273"/>
      <c r="BS199" s="273"/>
      <c r="BT199" s="273"/>
      <c r="BU199" s="273"/>
      <c r="BV199" s="273"/>
      <c r="BW199" s="273"/>
      <c r="BX199" s="273"/>
      <c r="BY199" s="273"/>
      <c r="BZ199" s="273"/>
      <c r="CA199" s="273"/>
      <c r="CB199" s="273"/>
      <c r="CC199" s="273"/>
      <c r="CD199" s="273"/>
    </row>
    <row r="200" spans="1:82" s="293" customFormat="1" x14ac:dyDescent="0.2">
      <c r="A200" s="270" t="s">
        <v>2540</v>
      </c>
      <c r="B200" s="270" t="s">
        <v>2962</v>
      </c>
      <c r="C200" s="244" t="s">
        <v>2515</v>
      </c>
      <c r="D200" s="251" t="s">
        <v>2523</v>
      </c>
      <c r="E200" s="272"/>
      <c r="F200" s="253"/>
      <c r="G200" s="244"/>
      <c r="H200" s="273"/>
      <c r="I200" s="273"/>
      <c r="J200" s="273"/>
      <c r="K200" s="273"/>
      <c r="L200" s="273"/>
      <c r="M200" s="273"/>
      <c r="N200" s="273"/>
      <c r="O200" s="273"/>
      <c r="P200" s="273"/>
      <c r="Q200" s="273"/>
      <c r="R200" s="273"/>
      <c r="S200" s="273"/>
      <c r="T200" s="273"/>
      <c r="U200" s="273"/>
      <c r="V200" s="273"/>
      <c r="W200" s="273"/>
      <c r="X200" s="273"/>
      <c r="Y200" s="273"/>
      <c r="Z200" s="273"/>
      <c r="AA200" s="273"/>
      <c r="AB200" s="273"/>
      <c r="AC200" s="273"/>
      <c r="AD200" s="273"/>
      <c r="AE200" s="273"/>
      <c r="AF200" s="273"/>
      <c r="AG200" s="273"/>
      <c r="AH200" s="273"/>
      <c r="AI200" s="273"/>
      <c r="AJ200" s="273"/>
      <c r="AK200" s="273"/>
      <c r="AL200" s="273"/>
      <c r="AM200" s="273"/>
      <c r="AN200" s="273"/>
      <c r="AO200" s="273"/>
      <c r="AP200" s="273"/>
      <c r="AQ200" s="273"/>
      <c r="AR200" s="273"/>
      <c r="AS200" s="273"/>
      <c r="AT200" s="273"/>
      <c r="AU200" s="273"/>
      <c r="AV200" s="273"/>
      <c r="AW200" s="273"/>
      <c r="AX200" s="273"/>
      <c r="AY200" s="273"/>
      <c r="AZ200" s="273"/>
      <c r="BA200" s="273"/>
      <c r="BB200" s="273"/>
      <c r="BC200" s="273"/>
      <c r="BD200" s="273"/>
      <c r="BE200" s="273"/>
      <c r="BF200" s="273"/>
      <c r="BG200" s="273"/>
      <c r="BH200" s="273"/>
      <c r="BI200" s="273"/>
      <c r="BJ200" s="273"/>
      <c r="BK200" s="273"/>
      <c r="BL200" s="273"/>
      <c r="BM200" s="273"/>
      <c r="BN200" s="273"/>
      <c r="BO200" s="273"/>
      <c r="BP200" s="273"/>
      <c r="BQ200" s="273"/>
      <c r="BR200" s="273"/>
      <c r="BS200" s="273"/>
      <c r="BT200" s="273"/>
      <c r="BU200" s="273"/>
      <c r="BV200" s="273"/>
      <c r="BW200" s="273"/>
      <c r="BX200" s="273"/>
      <c r="BY200" s="273"/>
      <c r="BZ200" s="273"/>
      <c r="CA200" s="273"/>
      <c r="CB200" s="273"/>
      <c r="CC200" s="273"/>
      <c r="CD200" s="273"/>
    </row>
    <row r="201" spans="1:82" s="293" customFormat="1" x14ac:dyDescent="0.2">
      <c r="A201" s="285" t="s">
        <v>2541</v>
      </c>
      <c r="B201" s="285" t="s">
        <v>2963</v>
      </c>
      <c r="C201" s="287" t="s">
        <v>2516</v>
      </c>
      <c r="D201" s="256" t="s">
        <v>2529</v>
      </c>
      <c r="E201" s="276"/>
      <c r="F201" s="253"/>
      <c r="G201" s="244"/>
      <c r="H201" s="273"/>
      <c r="I201" s="273"/>
      <c r="J201" s="273"/>
      <c r="K201" s="273"/>
      <c r="L201" s="273"/>
      <c r="M201" s="273"/>
      <c r="N201" s="273"/>
      <c r="O201" s="273"/>
      <c r="P201" s="273"/>
      <c r="Q201" s="273"/>
      <c r="R201" s="273"/>
      <c r="S201" s="273"/>
      <c r="T201" s="273"/>
      <c r="U201" s="273"/>
      <c r="V201" s="273"/>
      <c r="W201" s="273"/>
      <c r="X201" s="273"/>
      <c r="Y201" s="273"/>
      <c r="Z201" s="273"/>
      <c r="AA201" s="273"/>
      <c r="AB201" s="273"/>
      <c r="AC201" s="273"/>
      <c r="AD201" s="273"/>
      <c r="AE201" s="273"/>
      <c r="AF201" s="273"/>
      <c r="AG201" s="273"/>
      <c r="AH201" s="273"/>
      <c r="AI201" s="273"/>
      <c r="AJ201" s="273"/>
      <c r="AK201" s="273"/>
      <c r="AL201" s="273"/>
      <c r="AM201" s="273"/>
      <c r="AN201" s="273"/>
      <c r="AO201" s="273"/>
      <c r="AP201" s="273"/>
      <c r="AQ201" s="273"/>
      <c r="AR201" s="273"/>
      <c r="AS201" s="273"/>
      <c r="AT201" s="273"/>
      <c r="AU201" s="273"/>
      <c r="AV201" s="273"/>
      <c r="AW201" s="273"/>
      <c r="AX201" s="273"/>
      <c r="AY201" s="273"/>
      <c r="AZ201" s="273"/>
      <c r="BA201" s="273"/>
      <c r="BB201" s="273"/>
      <c r="BC201" s="273"/>
      <c r="BD201" s="273"/>
      <c r="BE201" s="273"/>
      <c r="BF201" s="273"/>
      <c r="BG201" s="273"/>
      <c r="BH201" s="273"/>
      <c r="BI201" s="273"/>
      <c r="BJ201" s="273"/>
      <c r="BK201" s="273"/>
      <c r="BL201" s="273"/>
      <c r="BM201" s="273"/>
      <c r="BN201" s="273"/>
      <c r="BO201" s="273"/>
      <c r="BP201" s="273"/>
      <c r="BQ201" s="273"/>
      <c r="BR201" s="273"/>
      <c r="BS201" s="273"/>
      <c r="BT201" s="273"/>
      <c r="BU201" s="273"/>
      <c r="BV201" s="273"/>
      <c r="BW201" s="273"/>
      <c r="BX201" s="273"/>
      <c r="BY201" s="273"/>
      <c r="BZ201" s="273"/>
      <c r="CA201" s="273"/>
      <c r="CB201" s="273"/>
      <c r="CC201" s="273"/>
      <c r="CD201" s="273"/>
    </row>
    <row r="202" spans="1:82" s="293" customFormat="1" ht="32" x14ac:dyDescent="0.2">
      <c r="A202" s="270" t="s">
        <v>2542</v>
      </c>
      <c r="B202" s="270" t="s">
        <v>2964</v>
      </c>
      <c r="C202" s="244" t="s">
        <v>503</v>
      </c>
      <c r="D202" s="251" t="s">
        <v>2530</v>
      </c>
      <c r="E202" s="272"/>
      <c r="F202" s="253"/>
      <c r="G202" s="244"/>
      <c r="H202" s="273"/>
      <c r="I202" s="273"/>
      <c r="J202" s="273"/>
      <c r="K202" s="273"/>
      <c r="L202" s="273"/>
      <c r="M202" s="273"/>
      <c r="N202" s="273"/>
      <c r="O202" s="273"/>
      <c r="P202" s="273"/>
      <c r="Q202" s="273"/>
      <c r="R202" s="273"/>
      <c r="S202" s="273"/>
      <c r="T202" s="273"/>
      <c r="U202" s="273"/>
      <c r="V202" s="273"/>
      <c r="W202" s="273"/>
      <c r="X202" s="273"/>
      <c r="Y202" s="273"/>
      <c r="Z202" s="273"/>
      <c r="AA202" s="273"/>
      <c r="AB202" s="273"/>
      <c r="AC202" s="273"/>
      <c r="AD202" s="273"/>
      <c r="AE202" s="273"/>
      <c r="AF202" s="273"/>
      <c r="AG202" s="273"/>
      <c r="AH202" s="273"/>
      <c r="AI202" s="273"/>
      <c r="AJ202" s="273"/>
      <c r="AK202" s="273"/>
      <c r="AL202" s="273"/>
      <c r="AM202" s="273"/>
      <c r="AN202" s="273"/>
      <c r="AO202" s="273"/>
      <c r="AP202" s="273"/>
      <c r="AQ202" s="273"/>
      <c r="AR202" s="273"/>
      <c r="AS202" s="273"/>
      <c r="AT202" s="273"/>
      <c r="AU202" s="273"/>
      <c r="AV202" s="273"/>
      <c r="AW202" s="273"/>
      <c r="AX202" s="273"/>
      <c r="AY202" s="273"/>
      <c r="AZ202" s="273"/>
      <c r="BA202" s="273"/>
      <c r="BB202" s="273"/>
      <c r="BC202" s="273"/>
      <c r="BD202" s="273"/>
      <c r="BE202" s="273"/>
      <c r="BF202" s="273"/>
      <c r="BG202" s="273"/>
      <c r="BH202" s="273"/>
      <c r="BI202" s="273"/>
      <c r="BJ202" s="273"/>
      <c r="BK202" s="273"/>
      <c r="BL202" s="273"/>
      <c r="BM202" s="273"/>
      <c r="BN202" s="273"/>
      <c r="BO202" s="273"/>
      <c r="BP202" s="273"/>
      <c r="BQ202" s="273"/>
      <c r="BR202" s="273"/>
      <c r="BS202" s="273"/>
      <c r="BT202" s="273"/>
      <c r="BU202" s="273"/>
      <c r="BV202" s="273"/>
      <c r="BW202" s="273"/>
      <c r="BX202" s="273"/>
      <c r="BY202" s="273"/>
      <c r="BZ202" s="273"/>
      <c r="CA202" s="273"/>
      <c r="CB202" s="273"/>
      <c r="CC202" s="273"/>
      <c r="CD202" s="273"/>
    </row>
    <row r="203" spans="1:82" s="293" customFormat="1" x14ac:dyDescent="0.2">
      <c r="A203" s="285" t="s">
        <v>2543</v>
      </c>
      <c r="B203" s="285" t="s">
        <v>2965</v>
      </c>
      <c r="C203" s="287" t="s">
        <v>2517</v>
      </c>
      <c r="D203" s="256" t="s">
        <v>2531</v>
      </c>
      <c r="E203" s="276"/>
      <c r="F203" s="253"/>
      <c r="G203" s="244"/>
      <c r="H203" s="273"/>
      <c r="I203" s="273"/>
      <c r="J203" s="273"/>
      <c r="K203" s="273"/>
      <c r="L203" s="273"/>
      <c r="M203" s="273"/>
      <c r="N203" s="273"/>
      <c r="O203" s="273"/>
      <c r="P203" s="273"/>
      <c r="Q203" s="273"/>
      <c r="R203" s="273"/>
      <c r="S203" s="273"/>
      <c r="T203" s="273"/>
      <c r="U203" s="273"/>
      <c r="V203" s="273"/>
      <c r="W203" s="273"/>
      <c r="X203" s="273"/>
      <c r="Y203" s="273"/>
      <c r="Z203" s="273"/>
      <c r="AA203" s="273"/>
      <c r="AB203" s="273"/>
      <c r="AC203" s="273"/>
      <c r="AD203" s="273"/>
      <c r="AE203" s="273"/>
      <c r="AF203" s="273"/>
      <c r="AG203" s="273"/>
      <c r="AH203" s="273"/>
      <c r="AI203" s="273"/>
      <c r="AJ203" s="273"/>
      <c r="AK203" s="273"/>
      <c r="AL203" s="273"/>
      <c r="AM203" s="273"/>
      <c r="AN203" s="273"/>
      <c r="AO203" s="273"/>
      <c r="AP203" s="273"/>
      <c r="AQ203" s="273"/>
      <c r="AR203" s="273"/>
      <c r="AS203" s="273"/>
      <c r="AT203" s="273"/>
      <c r="AU203" s="273"/>
      <c r="AV203" s="273"/>
      <c r="AW203" s="273"/>
      <c r="AX203" s="273"/>
      <c r="AY203" s="273"/>
      <c r="AZ203" s="273"/>
      <c r="BA203" s="273"/>
      <c r="BB203" s="273"/>
      <c r="BC203" s="273"/>
      <c r="BD203" s="273"/>
      <c r="BE203" s="273"/>
      <c r="BF203" s="273"/>
      <c r="BG203" s="273"/>
      <c r="BH203" s="273"/>
      <c r="BI203" s="273"/>
      <c r="BJ203" s="273"/>
      <c r="BK203" s="273"/>
      <c r="BL203" s="273"/>
      <c r="BM203" s="273"/>
      <c r="BN203" s="273"/>
      <c r="BO203" s="273"/>
      <c r="BP203" s="273"/>
      <c r="BQ203" s="273"/>
      <c r="BR203" s="273"/>
      <c r="BS203" s="273"/>
      <c r="BT203" s="273"/>
      <c r="BU203" s="273"/>
      <c r="BV203" s="273"/>
      <c r="BW203" s="273"/>
      <c r="BX203" s="273"/>
      <c r="BY203" s="273"/>
      <c r="BZ203" s="273"/>
      <c r="CA203" s="273"/>
      <c r="CB203" s="273"/>
      <c r="CC203" s="273"/>
      <c r="CD203" s="273"/>
    </row>
    <row r="204" spans="1:82" s="293" customFormat="1" ht="80" x14ac:dyDescent="0.2">
      <c r="A204" s="270" t="s">
        <v>2806</v>
      </c>
      <c r="B204" s="270" t="s">
        <v>2966</v>
      </c>
      <c r="C204" s="244" t="s">
        <v>2800</v>
      </c>
      <c r="D204" s="251" t="s">
        <v>2805</v>
      </c>
      <c r="E204" s="272"/>
      <c r="F204" s="253"/>
      <c r="G204" s="244"/>
      <c r="H204" s="273"/>
      <c r="I204" s="273"/>
      <c r="J204" s="273"/>
      <c r="K204" s="273"/>
      <c r="L204" s="273"/>
      <c r="M204" s="273"/>
      <c r="N204" s="273"/>
      <c r="O204" s="273"/>
      <c r="P204" s="273"/>
      <c r="Q204" s="273"/>
      <c r="R204" s="273"/>
      <c r="S204" s="273"/>
      <c r="T204" s="273"/>
      <c r="U204" s="273"/>
      <c r="V204" s="273"/>
      <c r="W204" s="273"/>
      <c r="X204" s="273"/>
      <c r="Y204" s="273"/>
      <c r="Z204" s="273"/>
      <c r="AA204" s="273"/>
      <c r="AB204" s="273"/>
      <c r="AC204" s="273"/>
      <c r="AD204" s="273"/>
      <c r="AE204" s="273"/>
      <c r="AF204" s="273"/>
      <c r="AG204" s="273"/>
      <c r="AH204" s="273"/>
      <c r="AI204" s="273"/>
      <c r="AJ204" s="273"/>
      <c r="AK204" s="273"/>
      <c r="AL204" s="273"/>
      <c r="AM204" s="273"/>
      <c r="AN204" s="273"/>
      <c r="AO204" s="273"/>
      <c r="AP204" s="273"/>
      <c r="AQ204" s="273"/>
      <c r="AR204" s="273"/>
      <c r="AS204" s="273"/>
      <c r="AT204" s="273"/>
      <c r="AU204" s="273"/>
      <c r="AV204" s="273"/>
      <c r="AW204" s="273"/>
      <c r="AX204" s="273"/>
      <c r="AY204" s="273"/>
      <c r="AZ204" s="273"/>
      <c r="BA204" s="273"/>
      <c r="BB204" s="273"/>
      <c r="BC204" s="273"/>
      <c r="BD204" s="273"/>
      <c r="BE204" s="273"/>
      <c r="BF204" s="273"/>
      <c r="BG204" s="273"/>
      <c r="BH204" s="273"/>
      <c r="BI204" s="273"/>
      <c r="BJ204" s="273"/>
      <c r="BK204" s="273"/>
      <c r="BL204" s="273"/>
      <c r="BM204" s="273"/>
      <c r="BN204" s="273"/>
      <c r="BO204" s="273"/>
      <c r="BP204" s="273"/>
      <c r="BQ204" s="273"/>
      <c r="BR204" s="273"/>
      <c r="BS204" s="273"/>
      <c r="BT204" s="273"/>
      <c r="BU204" s="273"/>
      <c r="BV204" s="273"/>
      <c r="BW204" s="273"/>
      <c r="BX204" s="273"/>
      <c r="BY204" s="273"/>
      <c r="BZ204" s="273"/>
      <c r="CA204" s="273"/>
      <c r="CB204" s="273"/>
      <c r="CC204" s="273"/>
      <c r="CD204" s="273"/>
    </row>
    <row r="205" spans="1:82" s="293" customFormat="1" ht="48" x14ac:dyDescent="0.2">
      <c r="A205" s="285" t="s">
        <v>2807</v>
      </c>
      <c r="B205" s="285" t="s">
        <v>2967</v>
      </c>
      <c r="C205" s="287" t="s">
        <v>2801</v>
      </c>
      <c r="D205" s="256" t="s">
        <v>2803</v>
      </c>
      <c r="E205" s="276"/>
      <c r="F205" s="253"/>
      <c r="G205" s="244"/>
      <c r="H205" s="273"/>
      <c r="I205" s="273"/>
      <c r="J205" s="273"/>
      <c r="K205" s="273"/>
      <c r="L205" s="273"/>
      <c r="M205" s="273"/>
      <c r="N205" s="273"/>
      <c r="O205" s="273"/>
      <c r="P205" s="273"/>
      <c r="Q205" s="273"/>
      <c r="R205" s="273"/>
      <c r="S205" s="273"/>
      <c r="T205" s="273"/>
      <c r="U205" s="273"/>
      <c r="V205" s="273"/>
      <c r="W205" s="273"/>
      <c r="X205" s="273"/>
      <c r="Y205" s="273"/>
      <c r="Z205" s="273"/>
      <c r="AA205" s="273"/>
      <c r="AB205" s="273"/>
      <c r="AC205" s="273"/>
      <c r="AD205" s="273"/>
      <c r="AE205" s="273"/>
      <c r="AF205" s="273"/>
      <c r="AG205" s="273"/>
      <c r="AH205" s="273"/>
      <c r="AI205" s="273"/>
      <c r="AJ205" s="273"/>
      <c r="AK205" s="273"/>
      <c r="AL205" s="273"/>
      <c r="AM205" s="273"/>
      <c r="AN205" s="273"/>
      <c r="AO205" s="273"/>
      <c r="AP205" s="273"/>
      <c r="AQ205" s="273"/>
      <c r="AR205" s="273"/>
      <c r="AS205" s="273"/>
      <c r="AT205" s="273"/>
      <c r="AU205" s="273"/>
      <c r="AV205" s="273"/>
      <c r="AW205" s="273"/>
      <c r="AX205" s="273"/>
      <c r="AY205" s="273"/>
      <c r="AZ205" s="273"/>
      <c r="BA205" s="273"/>
      <c r="BB205" s="273"/>
      <c r="BC205" s="273"/>
      <c r="BD205" s="273"/>
      <c r="BE205" s="273"/>
      <c r="BF205" s="273"/>
      <c r="BG205" s="273"/>
      <c r="BH205" s="273"/>
      <c r="BI205" s="273"/>
      <c r="BJ205" s="273"/>
      <c r="BK205" s="273"/>
      <c r="BL205" s="273"/>
      <c r="BM205" s="273"/>
      <c r="BN205" s="273"/>
      <c r="BO205" s="273"/>
      <c r="BP205" s="273"/>
      <c r="BQ205" s="273"/>
      <c r="BR205" s="273"/>
      <c r="BS205" s="273"/>
      <c r="BT205" s="273"/>
      <c r="BU205" s="273"/>
      <c r="BV205" s="273"/>
      <c r="BW205" s="273"/>
      <c r="BX205" s="273"/>
      <c r="BY205" s="273"/>
      <c r="BZ205" s="273"/>
      <c r="CA205" s="273"/>
      <c r="CB205" s="273"/>
      <c r="CC205" s="273"/>
      <c r="CD205" s="273"/>
    </row>
    <row r="206" spans="1:82" s="293" customFormat="1" ht="48" x14ac:dyDescent="0.2">
      <c r="A206" s="294" t="s">
        <v>2808</v>
      </c>
      <c r="B206" s="294" t="s">
        <v>2968</v>
      </c>
      <c r="C206" s="295" t="s">
        <v>2802</v>
      </c>
      <c r="D206" s="296" t="s">
        <v>2804</v>
      </c>
      <c r="E206" s="297"/>
      <c r="F206" s="253"/>
      <c r="G206" s="244"/>
      <c r="H206" s="273"/>
      <c r="I206" s="273"/>
      <c r="J206" s="273"/>
      <c r="K206" s="273"/>
      <c r="L206" s="273"/>
      <c r="M206" s="273"/>
      <c r="N206" s="273"/>
      <c r="O206" s="273"/>
      <c r="P206" s="273"/>
      <c r="Q206" s="273"/>
      <c r="R206" s="273"/>
      <c r="S206" s="273"/>
      <c r="T206" s="273"/>
      <c r="U206" s="273"/>
      <c r="V206" s="273"/>
      <c r="W206" s="273"/>
      <c r="X206" s="273"/>
      <c r="Y206" s="273"/>
      <c r="Z206" s="273"/>
      <c r="AA206" s="273"/>
      <c r="AB206" s="273"/>
      <c r="AC206" s="273"/>
      <c r="AD206" s="273"/>
      <c r="AE206" s="273"/>
      <c r="AF206" s="273"/>
      <c r="AG206" s="273"/>
      <c r="AH206" s="273"/>
      <c r="AI206" s="273"/>
      <c r="AJ206" s="273"/>
      <c r="AK206" s="273"/>
      <c r="AL206" s="273"/>
      <c r="AM206" s="273"/>
      <c r="AN206" s="273"/>
      <c r="AO206" s="273"/>
      <c r="AP206" s="273"/>
      <c r="AQ206" s="273"/>
      <c r="AR206" s="273"/>
      <c r="AS206" s="273"/>
      <c r="AT206" s="273"/>
      <c r="AU206" s="273"/>
      <c r="AV206" s="273"/>
      <c r="AW206" s="273"/>
      <c r="AX206" s="273"/>
      <c r="AY206" s="273"/>
      <c r="AZ206" s="273"/>
      <c r="BA206" s="273"/>
      <c r="BB206" s="273"/>
      <c r="BC206" s="273"/>
      <c r="BD206" s="273"/>
      <c r="BE206" s="273"/>
      <c r="BF206" s="273"/>
      <c r="BG206" s="273"/>
      <c r="BH206" s="273"/>
      <c r="BI206" s="273"/>
      <c r="BJ206" s="273"/>
      <c r="BK206" s="273"/>
      <c r="BL206" s="273"/>
      <c r="BM206" s="273"/>
      <c r="BN206" s="273"/>
      <c r="BO206" s="273"/>
      <c r="BP206" s="273"/>
      <c r="BQ206" s="273"/>
      <c r="BR206" s="273"/>
      <c r="BS206" s="273"/>
      <c r="BT206" s="273"/>
      <c r="BU206" s="273"/>
      <c r="BV206" s="273"/>
      <c r="BW206" s="273"/>
      <c r="BX206" s="273"/>
      <c r="BY206" s="273"/>
      <c r="BZ206" s="273"/>
      <c r="CA206" s="273"/>
      <c r="CB206" s="273"/>
      <c r="CC206" s="273"/>
      <c r="CD206" s="273"/>
    </row>
    <row r="207" spans="1:82" ht="17" thickBot="1" x14ac:dyDescent="0.25">
      <c r="A207" s="298"/>
      <c r="B207" s="298"/>
      <c r="C207" s="299"/>
      <c r="D207" s="300"/>
      <c r="E207" s="301"/>
      <c r="F207" s="253"/>
      <c r="G207" s="244"/>
      <c r="H207" s="244"/>
      <c r="I207" s="244"/>
      <c r="J207" s="244"/>
      <c r="K207" s="244"/>
      <c r="L207" s="244"/>
      <c r="M207" s="244"/>
      <c r="N207" s="244"/>
      <c r="O207" s="244"/>
      <c r="P207" s="244"/>
      <c r="Q207" s="244"/>
      <c r="R207" s="244"/>
      <c r="S207" s="244"/>
      <c r="T207" s="244"/>
      <c r="U207" s="244"/>
      <c r="V207" s="244"/>
      <c r="W207" s="244"/>
      <c r="X207" s="244"/>
      <c r="Y207" s="244"/>
      <c r="Z207" s="244"/>
      <c r="AA207" s="244"/>
      <c r="AB207" s="244"/>
      <c r="AC207" s="244"/>
      <c r="AD207" s="244"/>
      <c r="AE207" s="244"/>
      <c r="AF207" s="244"/>
      <c r="AG207" s="244"/>
      <c r="AH207" s="244"/>
      <c r="AI207" s="244"/>
      <c r="AJ207" s="244"/>
      <c r="AK207" s="244"/>
      <c r="AL207" s="244"/>
      <c r="AM207" s="244"/>
      <c r="AN207" s="244"/>
      <c r="AO207" s="244"/>
      <c r="AP207" s="244"/>
      <c r="AQ207" s="244"/>
      <c r="AR207" s="244"/>
      <c r="AS207" s="244"/>
      <c r="AT207" s="244"/>
      <c r="AU207" s="244"/>
      <c r="AV207" s="244"/>
      <c r="AW207" s="244"/>
      <c r="AX207" s="244"/>
      <c r="AY207" s="244"/>
      <c r="AZ207" s="244"/>
      <c r="BA207" s="244"/>
      <c r="BB207" s="244"/>
      <c r="BC207" s="244"/>
      <c r="BD207" s="244"/>
      <c r="BE207" s="244"/>
      <c r="BF207" s="244"/>
      <c r="BG207" s="244"/>
      <c r="BH207" s="244"/>
      <c r="BI207" s="244"/>
      <c r="BJ207" s="244"/>
      <c r="BK207" s="244"/>
      <c r="BL207" s="244"/>
      <c r="BM207" s="244"/>
      <c r="BN207" s="244"/>
      <c r="BO207" s="244"/>
      <c r="BP207" s="244"/>
      <c r="BQ207" s="244"/>
      <c r="BR207" s="244"/>
      <c r="BS207" s="244"/>
      <c r="BT207" s="244"/>
      <c r="BU207" s="244"/>
      <c r="BV207" s="244"/>
      <c r="BW207" s="244"/>
      <c r="BX207" s="244"/>
      <c r="BY207" s="244"/>
      <c r="BZ207" s="244"/>
      <c r="CA207" s="244"/>
      <c r="CB207" s="244"/>
      <c r="CC207" s="244"/>
      <c r="CD207" s="244"/>
    </row>
    <row r="208" spans="1:82" x14ac:dyDescent="0.2">
      <c r="A208" s="302"/>
      <c r="B208" s="302"/>
      <c r="C208" s="271"/>
      <c r="D208" s="251"/>
      <c r="E208" s="273"/>
      <c r="F208" s="253"/>
      <c r="G208" s="244"/>
      <c r="H208" s="244"/>
      <c r="I208" s="244"/>
      <c r="J208" s="244"/>
      <c r="K208" s="244"/>
      <c r="L208" s="244"/>
      <c r="M208" s="244"/>
      <c r="N208" s="244"/>
      <c r="O208" s="244"/>
      <c r="P208" s="244"/>
      <c r="Q208" s="244"/>
      <c r="R208" s="244"/>
      <c r="S208" s="244"/>
      <c r="T208" s="244"/>
      <c r="U208" s="244"/>
      <c r="V208" s="244"/>
      <c r="W208" s="244"/>
      <c r="X208" s="244"/>
      <c r="Y208" s="244"/>
      <c r="Z208" s="244"/>
      <c r="AA208" s="244"/>
      <c r="AB208" s="244"/>
      <c r="AC208" s="244"/>
      <c r="AD208" s="244"/>
      <c r="AE208" s="244"/>
      <c r="AF208" s="244"/>
      <c r="AG208" s="244"/>
      <c r="AH208" s="244"/>
      <c r="AI208" s="244"/>
      <c r="AJ208" s="244"/>
      <c r="AK208" s="244"/>
      <c r="AL208" s="244"/>
      <c r="AM208" s="244"/>
      <c r="AN208" s="244"/>
      <c r="AO208" s="244"/>
      <c r="AP208" s="244"/>
      <c r="AQ208" s="244"/>
      <c r="AR208" s="244"/>
      <c r="AS208" s="244"/>
      <c r="AT208" s="244"/>
      <c r="AU208" s="244"/>
      <c r="AV208" s="244"/>
      <c r="AW208" s="244"/>
      <c r="AX208" s="244"/>
      <c r="AY208" s="244"/>
      <c r="AZ208" s="244"/>
      <c r="BA208" s="244"/>
      <c r="BB208" s="244"/>
      <c r="BC208" s="244"/>
      <c r="BD208" s="244"/>
      <c r="BE208" s="244"/>
      <c r="BF208" s="244"/>
      <c r="BG208" s="244"/>
      <c r="BH208" s="244"/>
      <c r="BI208" s="244"/>
      <c r="BJ208" s="244"/>
      <c r="BK208" s="244"/>
      <c r="BL208" s="244"/>
      <c r="BM208" s="244"/>
      <c r="BN208" s="244"/>
      <c r="BO208" s="244"/>
      <c r="BP208" s="244"/>
      <c r="BQ208" s="244"/>
      <c r="BR208" s="244"/>
      <c r="BS208" s="244"/>
      <c r="BT208" s="244"/>
      <c r="BU208" s="244"/>
      <c r="BV208" s="244"/>
      <c r="BW208" s="244"/>
      <c r="BX208" s="244"/>
      <c r="BY208" s="244"/>
      <c r="BZ208" s="244"/>
      <c r="CA208" s="244"/>
      <c r="CB208" s="244"/>
      <c r="CC208" s="244"/>
      <c r="CD208" s="244"/>
    </row>
    <row r="209" spans="1:82" ht="17" thickBot="1" x14ac:dyDescent="0.25">
      <c r="A209" s="302"/>
      <c r="B209" s="302"/>
      <c r="C209" s="271"/>
      <c r="D209" s="251"/>
      <c r="E209" s="273"/>
      <c r="F209" s="253"/>
      <c r="G209" s="244"/>
      <c r="H209" s="244"/>
      <c r="I209" s="244"/>
      <c r="J209" s="244"/>
      <c r="K209" s="244"/>
      <c r="L209" s="244"/>
      <c r="M209" s="244"/>
      <c r="N209" s="244"/>
      <c r="O209" s="244"/>
      <c r="P209" s="244"/>
      <c r="Q209" s="244"/>
      <c r="R209" s="244"/>
      <c r="S209" s="244"/>
      <c r="T209" s="244"/>
      <c r="U209" s="244"/>
      <c r="V209" s="244"/>
      <c r="W209" s="244"/>
      <c r="X209" s="244"/>
      <c r="Y209" s="244"/>
      <c r="Z209" s="244"/>
      <c r="AA209" s="244"/>
      <c r="AB209" s="244"/>
      <c r="AC209" s="244"/>
      <c r="AD209" s="244"/>
      <c r="AE209" s="244"/>
      <c r="AF209" s="244"/>
      <c r="AG209" s="244"/>
      <c r="AH209" s="244"/>
      <c r="AI209" s="244"/>
      <c r="AJ209" s="244"/>
      <c r="AK209" s="244"/>
      <c r="AL209" s="244"/>
      <c r="AM209" s="244"/>
      <c r="AN209" s="244"/>
      <c r="AO209" s="244"/>
      <c r="AP209" s="244"/>
      <c r="AQ209" s="244"/>
      <c r="AR209" s="244"/>
      <c r="AS209" s="244"/>
      <c r="AT209" s="244"/>
      <c r="AU209" s="244"/>
      <c r="AV209" s="244"/>
      <c r="AW209" s="244"/>
      <c r="AX209" s="244"/>
      <c r="AY209" s="244"/>
      <c r="AZ209" s="244"/>
      <c r="BA209" s="244"/>
      <c r="BB209" s="244"/>
      <c r="BC209" s="244"/>
      <c r="BD209" s="244"/>
      <c r="BE209" s="244"/>
      <c r="BF209" s="244"/>
      <c r="BG209" s="244"/>
      <c r="BH209" s="244"/>
      <c r="BI209" s="244"/>
      <c r="BJ209" s="244"/>
      <c r="BK209" s="244"/>
      <c r="BL209" s="244"/>
      <c r="BM209" s="244"/>
      <c r="BN209" s="244"/>
      <c r="BO209" s="244"/>
      <c r="BP209" s="244"/>
      <c r="BQ209" s="244"/>
      <c r="BR209" s="244"/>
      <c r="BS209" s="244"/>
      <c r="BT209" s="244"/>
      <c r="BU209" s="244"/>
      <c r="BV209" s="244"/>
      <c r="BW209" s="244"/>
      <c r="BX209" s="244"/>
      <c r="BY209" s="244"/>
      <c r="BZ209" s="244"/>
      <c r="CA209" s="244"/>
      <c r="CB209" s="244"/>
      <c r="CC209" s="244"/>
      <c r="CD209" s="244"/>
    </row>
    <row r="210" spans="1:82" x14ac:dyDescent="0.2">
      <c r="A210" s="302"/>
      <c r="B210" s="302"/>
      <c r="C210" s="303" t="s">
        <v>2785</v>
      </c>
      <c r="D210" s="304">
        <v>113</v>
      </c>
      <c r="E210" s="273"/>
      <c r="F210" s="253"/>
      <c r="G210" s="244"/>
      <c r="H210" s="244"/>
      <c r="I210" s="244"/>
      <c r="J210" s="244"/>
      <c r="K210" s="244"/>
      <c r="L210" s="244"/>
      <c r="M210" s="244"/>
      <c r="N210" s="244"/>
      <c r="O210" s="244"/>
      <c r="P210" s="244"/>
      <c r="Q210" s="244"/>
      <c r="R210" s="244"/>
      <c r="S210" s="244"/>
      <c r="T210" s="244"/>
      <c r="U210" s="244"/>
      <c r="V210" s="244"/>
      <c r="W210" s="244"/>
      <c r="X210" s="244"/>
      <c r="Y210" s="244"/>
      <c r="Z210" s="244"/>
      <c r="AA210" s="244"/>
      <c r="AB210" s="244"/>
      <c r="AC210" s="244"/>
      <c r="AD210" s="244"/>
      <c r="AE210" s="244"/>
      <c r="AF210" s="244"/>
      <c r="AG210" s="244"/>
      <c r="AH210" s="244"/>
      <c r="AI210" s="244"/>
      <c r="AJ210" s="244"/>
      <c r="AK210" s="244"/>
      <c r="AL210" s="244"/>
      <c r="AM210" s="244"/>
      <c r="AN210" s="244"/>
      <c r="AO210" s="244"/>
      <c r="AP210" s="244"/>
      <c r="AQ210" s="244"/>
      <c r="AR210" s="244"/>
      <c r="AS210" s="244"/>
      <c r="AT210" s="244"/>
      <c r="AU210" s="244"/>
      <c r="AV210" s="244"/>
      <c r="AW210" s="244"/>
      <c r="AX210" s="244"/>
      <c r="AY210" s="244"/>
      <c r="AZ210" s="244"/>
      <c r="BA210" s="244"/>
      <c r="BB210" s="244"/>
      <c r="BC210" s="244"/>
      <c r="BD210" s="244"/>
      <c r="BE210" s="244"/>
      <c r="BF210" s="244"/>
      <c r="BG210" s="244"/>
      <c r="BH210" s="244"/>
      <c r="BI210" s="244"/>
      <c r="BJ210" s="244"/>
      <c r="BK210" s="244"/>
      <c r="BL210" s="244"/>
      <c r="BM210" s="244"/>
      <c r="BN210" s="244"/>
      <c r="BO210" s="244"/>
      <c r="BP210" s="244"/>
      <c r="BQ210" s="244"/>
      <c r="BR210" s="244"/>
      <c r="BS210" s="244"/>
      <c r="BT210" s="244"/>
      <c r="BU210" s="244"/>
      <c r="BV210" s="244"/>
      <c r="BW210" s="244"/>
      <c r="BX210" s="244"/>
      <c r="BY210" s="244"/>
      <c r="BZ210" s="244"/>
      <c r="CA210" s="244"/>
      <c r="CB210" s="244"/>
      <c r="CC210" s="244"/>
      <c r="CD210" s="244"/>
    </row>
    <row r="211" spans="1:82" x14ac:dyDescent="0.2">
      <c r="A211" s="302"/>
      <c r="B211" s="302"/>
      <c r="C211" s="305" t="s">
        <v>2787</v>
      </c>
      <c r="D211" s="272">
        <v>73</v>
      </c>
      <c r="E211" s="273"/>
      <c r="F211" s="253"/>
      <c r="G211" s="244"/>
      <c r="H211" s="244"/>
      <c r="I211" s="244"/>
      <c r="J211" s="244"/>
      <c r="K211" s="244"/>
      <c r="L211" s="244"/>
      <c r="M211" s="244"/>
      <c r="N211" s="244"/>
      <c r="O211" s="244"/>
      <c r="P211" s="244"/>
      <c r="Q211" s="244"/>
      <c r="R211" s="244"/>
      <c r="S211" s="244"/>
      <c r="T211" s="244"/>
      <c r="U211" s="244"/>
      <c r="V211" s="244"/>
      <c r="W211" s="244"/>
      <c r="X211" s="244"/>
      <c r="Y211" s="244"/>
      <c r="Z211" s="244"/>
      <c r="AA211" s="244"/>
      <c r="AB211" s="244"/>
      <c r="AC211" s="244"/>
      <c r="AD211" s="244"/>
      <c r="AE211" s="244"/>
      <c r="AF211" s="244"/>
      <c r="AG211" s="244"/>
      <c r="AH211" s="244"/>
      <c r="AI211" s="244"/>
      <c r="AJ211" s="244"/>
      <c r="AK211" s="244"/>
      <c r="AL211" s="244"/>
      <c r="AM211" s="244"/>
      <c r="AN211" s="244"/>
      <c r="AO211" s="244"/>
      <c r="AP211" s="244"/>
      <c r="AQ211" s="244"/>
      <c r="AR211" s="244"/>
      <c r="AS211" s="244"/>
      <c r="AT211" s="244"/>
      <c r="AU211" s="244"/>
      <c r="AV211" s="244"/>
      <c r="AW211" s="244"/>
      <c r="AX211" s="244"/>
      <c r="AY211" s="244"/>
      <c r="AZ211" s="244"/>
      <c r="BA211" s="244"/>
      <c r="BB211" s="244"/>
      <c r="BC211" s="244"/>
      <c r="BD211" s="244"/>
      <c r="BE211" s="244"/>
      <c r="BF211" s="244"/>
      <c r="BG211" s="244"/>
      <c r="BH211" s="244"/>
      <c r="BI211" s="244"/>
      <c r="BJ211" s="244"/>
      <c r="BK211" s="244"/>
      <c r="BL211" s="244"/>
      <c r="BM211" s="244"/>
      <c r="BN211" s="244"/>
      <c r="BO211" s="244"/>
      <c r="BP211" s="244"/>
      <c r="BQ211" s="244"/>
      <c r="BR211" s="244"/>
      <c r="BS211" s="244"/>
      <c r="BT211" s="244"/>
      <c r="BU211" s="244"/>
      <c r="BV211" s="244"/>
      <c r="BW211" s="244"/>
      <c r="BX211" s="244"/>
      <c r="BY211" s="244"/>
      <c r="BZ211" s="244"/>
      <c r="CA211" s="244"/>
      <c r="CB211" s="244"/>
      <c r="CC211" s="244"/>
      <c r="CD211" s="244"/>
    </row>
    <row r="212" spans="1:82" ht="17" thickBot="1" x14ac:dyDescent="0.25">
      <c r="A212" s="302"/>
      <c r="B212" s="302"/>
      <c r="C212" s="306" t="s">
        <v>2786</v>
      </c>
      <c r="D212" s="307">
        <v>6</v>
      </c>
      <c r="E212" s="273"/>
      <c r="F212" s="253"/>
      <c r="G212" s="244"/>
      <c r="H212" s="244"/>
      <c r="I212" s="244"/>
      <c r="J212" s="244"/>
      <c r="K212" s="244"/>
      <c r="L212" s="244"/>
      <c r="M212" s="244"/>
      <c r="N212" s="244"/>
      <c r="O212" s="244"/>
      <c r="P212" s="244"/>
      <c r="Q212" s="244"/>
      <c r="R212" s="244"/>
      <c r="S212" s="244"/>
      <c r="T212" s="244"/>
      <c r="U212" s="244"/>
      <c r="V212" s="244"/>
      <c r="W212" s="244"/>
      <c r="X212" s="244"/>
      <c r="Y212" s="244"/>
      <c r="Z212" s="244"/>
      <c r="AA212" s="244"/>
      <c r="AB212" s="244"/>
      <c r="AC212" s="244"/>
      <c r="AD212" s="244"/>
      <c r="AE212" s="244"/>
      <c r="AF212" s="244"/>
      <c r="AG212" s="244"/>
      <c r="AH212" s="244"/>
      <c r="AI212" s="244"/>
      <c r="AJ212" s="244"/>
      <c r="AK212" s="244"/>
      <c r="AL212" s="244"/>
      <c r="AM212" s="244"/>
      <c r="AN212" s="244"/>
      <c r="AO212" s="244"/>
      <c r="AP212" s="244"/>
      <c r="AQ212" s="244"/>
      <c r="AR212" s="244"/>
      <c r="AS212" s="244"/>
      <c r="AT212" s="244"/>
      <c r="AU212" s="244"/>
      <c r="AV212" s="244"/>
      <c r="AW212" s="244"/>
      <c r="AX212" s="244"/>
      <c r="AY212" s="244"/>
      <c r="AZ212" s="244"/>
      <c r="BA212" s="244"/>
      <c r="BB212" s="244"/>
      <c r="BC212" s="244"/>
      <c r="BD212" s="244"/>
      <c r="BE212" s="244"/>
      <c r="BF212" s="244"/>
      <c r="BG212" s="244"/>
      <c r="BH212" s="244"/>
      <c r="BI212" s="244"/>
      <c r="BJ212" s="244"/>
      <c r="BK212" s="244"/>
      <c r="BL212" s="244"/>
      <c r="BM212" s="244"/>
      <c r="BN212" s="244"/>
      <c r="BO212" s="244"/>
      <c r="BP212" s="244"/>
      <c r="BQ212" s="244"/>
      <c r="BR212" s="244"/>
      <c r="BS212" s="244"/>
      <c r="BT212" s="244"/>
      <c r="BU212" s="244"/>
      <c r="BV212" s="244"/>
      <c r="BW212" s="244"/>
      <c r="BX212" s="244"/>
      <c r="BY212" s="244"/>
      <c r="BZ212" s="244"/>
      <c r="CA212" s="244"/>
      <c r="CB212" s="244"/>
      <c r="CC212" s="244"/>
      <c r="CD212" s="244"/>
    </row>
    <row r="213" spans="1:82" ht="17" thickBot="1" x14ac:dyDescent="0.25">
      <c r="A213" s="302"/>
      <c r="B213" s="302"/>
      <c r="C213" s="308"/>
      <c r="D213" s="251"/>
      <c r="E213" s="273"/>
      <c r="F213" s="253"/>
      <c r="G213" s="244"/>
      <c r="H213" s="244"/>
      <c r="I213" s="244"/>
      <c r="J213" s="244"/>
      <c r="K213" s="244"/>
      <c r="L213" s="244"/>
      <c r="M213" s="244"/>
      <c r="N213" s="244"/>
      <c r="O213" s="244"/>
      <c r="P213" s="244"/>
      <c r="Q213" s="244"/>
      <c r="R213" s="244"/>
      <c r="S213" s="244"/>
      <c r="T213" s="244"/>
      <c r="U213" s="244"/>
      <c r="V213" s="244"/>
      <c r="W213" s="244"/>
      <c r="X213" s="244"/>
      <c r="Y213" s="244"/>
      <c r="Z213" s="244"/>
      <c r="AA213" s="244"/>
      <c r="AB213" s="244"/>
      <c r="AC213" s="244"/>
      <c r="AD213" s="244"/>
      <c r="AE213" s="244"/>
      <c r="AF213" s="244"/>
      <c r="AG213" s="244"/>
      <c r="AH213" s="244"/>
      <c r="AI213" s="244"/>
      <c r="AJ213" s="244"/>
      <c r="AK213" s="244"/>
      <c r="AL213" s="244"/>
      <c r="AM213" s="244"/>
      <c r="AN213" s="244"/>
      <c r="AO213" s="244"/>
      <c r="AP213" s="244"/>
      <c r="AQ213" s="244"/>
      <c r="AR213" s="244"/>
      <c r="AS213" s="244"/>
      <c r="AT213" s="244"/>
      <c r="AU213" s="244"/>
      <c r="AV213" s="244"/>
      <c r="AW213" s="244"/>
      <c r="AX213" s="244"/>
      <c r="AY213" s="244"/>
      <c r="AZ213" s="244"/>
      <c r="BA213" s="244"/>
      <c r="BB213" s="244"/>
      <c r="BC213" s="244"/>
      <c r="BD213" s="244"/>
      <c r="BE213" s="244"/>
      <c r="BF213" s="244"/>
      <c r="BG213" s="244"/>
      <c r="BH213" s="244"/>
      <c r="BI213" s="244"/>
      <c r="BJ213" s="244"/>
      <c r="BK213" s="244"/>
      <c r="BL213" s="244"/>
      <c r="BM213" s="244"/>
      <c r="BN213" s="244"/>
      <c r="BO213" s="244"/>
      <c r="BP213" s="244"/>
      <c r="BQ213" s="244"/>
      <c r="BR213" s="244"/>
      <c r="BS213" s="244"/>
      <c r="BT213" s="244"/>
      <c r="BU213" s="244"/>
      <c r="BV213" s="244"/>
      <c r="BW213" s="244"/>
      <c r="BX213" s="244"/>
      <c r="BY213" s="244"/>
      <c r="BZ213" s="244"/>
      <c r="CA213" s="244"/>
      <c r="CB213" s="244"/>
      <c r="CC213" s="244"/>
      <c r="CD213" s="244"/>
    </row>
    <row r="214" spans="1:82" ht="15" customHeight="1" x14ac:dyDescent="0.2">
      <c r="A214" s="309"/>
      <c r="B214" s="309"/>
      <c r="C214" s="310" t="s">
        <v>2821</v>
      </c>
      <c r="D214" s="311">
        <v>192</v>
      </c>
      <c r="E214" s="273"/>
      <c r="F214" s="253"/>
      <c r="G214" s="244"/>
      <c r="H214" s="244"/>
      <c r="I214" s="244"/>
      <c r="J214" s="244"/>
      <c r="K214" s="244"/>
      <c r="L214" s="244"/>
      <c r="M214" s="244"/>
      <c r="N214" s="244"/>
      <c r="O214" s="244"/>
      <c r="P214" s="244"/>
      <c r="Q214" s="244"/>
      <c r="R214" s="244"/>
      <c r="S214" s="244"/>
      <c r="T214" s="244"/>
      <c r="U214" s="244"/>
      <c r="V214" s="244"/>
      <c r="W214" s="244"/>
      <c r="X214" s="244"/>
      <c r="Y214" s="244"/>
      <c r="Z214" s="244"/>
      <c r="AA214" s="244"/>
      <c r="AB214" s="244"/>
      <c r="AC214" s="244"/>
      <c r="AD214" s="244"/>
      <c r="AE214" s="244"/>
      <c r="AF214" s="244"/>
      <c r="AG214" s="244"/>
      <c r="AH214" s="244"/>
      <c r="AI214" s="244"/>
      <c r="AJ214" s="244"/>
      <c r="AK214" s="244"/>
      <c r="AL214" s="244"/>
      <c r="AM214" s="244"/>
      <c r="AN214" s="244"/>
      <c r="AO214" s="244"/>
      <c r="AP214" s="244"/>
      <c r="AQ214" s="244"/>
      <c r="AR214" s="244"/>
      <c r="AS214" s="244"/>
      <c r="AT214" s="244"/>
      <c r="AU214" s="244"/>
      <c r="AV214" s="244"/>
      <c r="AW214" s="244"/>
      <c r="AX214" s="244"/>
      <c r="AY214" s="244"/>
      <c r="AZ214" s="244"/>
      <c r="BA214" s="244"/>
      <c r="BB214" s="244"/>
      <c r="BC214" s="244"/>
      <c r="BD214" s="244"/>
      <c r="BE214" s="244"/>
      <c r="BF214" s="244"/>
      <c r="BG214" s="244"/>
      <c r="BH214" s="244"/>
      <c r="BI214" s="244"/>
      <c r="BJ214" s="244"/>
      <c r="BK214" s="244"/>
      <c r="BL214" s="244"/>
      <c r="BM214" s="244"/>
      <c r="BN214" s="244"/>
      <c r="BO214" s="244"/>
      <c r="BP214" s="244"/>
      <c r="BQ214" s="244"/>
      <c r="BR214" s="244"/>
      <c r="BS214" s="244"/>
      <c r="BT214" s="244"/>
      <c r="BU214" s="244"/>
      <c r="BV214" s="244"/>
      <c r="BW214" s="244"/>
      <c r="BX214" s="244"/>
      <c r="BY214" s="244"/>
      <c r="BZ214" s="244"/>
      <c r="CA214" s="244"/>
      <c r="CB214" s="244"/>
      <c r="CC214" s="244"/>
      <c r="CD214" s="244"/>
    </row>
    <row r="215" spans="1:82" ht="15" customHeight="1" x14ac:dyDescent="0.2">
      <c r="A215" s="309"/>
      <c r="B215" s="309"/>
      <c r="C215" s="312" t="s">
        <v>2822</v>
      </c>
      <c r="D215" s="252">
        <v>228</v>
      </c>
      <c r="E215" s="273"/>
      <c r="F215" s="253"/>
      <c r="G215" s="244"/>
      <c r="H215" s="244"/>
      <c r="I215" s="244"/>
      <c r="J215" s="244"/>
      <c r="K215" s="244"/>
      <c r="L215" s="244"/>
      <c r="M215" s="244"/>
      <c r="N215" s="244"/>
      <c r="O215" s="244"/>
      <c r="P215" s="244"/>
      <c r="Q215" s="244"/>
      <c r="R215" s="244"/>
      <c r="S215" s="244"/>
      <c r="T215" s="244"/>
      <c r="U215" s="244"/>
      <c r="V215" s="244"/>
      <c r="W215" s="244"/>
      <c r="X215" s="244"/>
      <c r="Y215" s="244"/>
      <c r="Z215" s="244"/>
      <c r="AA215" s="244"/>
      <c r="AB215" s="244"/>
      <c r="AC215" s="244"/>
      <c r="AD215" s="244"/>
      <c r="AE215" s="244"/>
      <c r="AF215" s="244"/>
      <c r="AG215" s="244"/>
      <c r="AH215" s="244"/>
      <c r="AI215" s="244"/>
      <c r="AJ215" s="244"/>
      <c r="AK215" s="244"/>
      <c r="AL215" s="244"/>
      <c r="AM215" s="244"/>
      <c r="AN215" s="244"/>
      <c r="AO215" s="244"/>
      <c r="AP215" s="244"/>
      <c r="AQ215" s="244"/>
      <c r="AR215" s="244"/>
      <c r="AS215" s="244"/>
      <c r="AT215" s="244"/>
      <c r="AU215" s="244"/>
      <c r="AV215" s="244"/>
      <c r="AW215" s="244"/>
      <c r="AX215" s="244"/>
      <c r="AY215" s="244"/>
      <c r="AZ215" s="244"/>
      <c r="BA215" s="244"/>
      <c r="BB215" s="244"/>
      <c r="BC215" s="244"/>
      <c r="BD215" s="244"/>
      <c r="BE215" s="244"/>
      <c r="BF215" s="244"/>
      <c r="BG215" s="244"/>
      <c r="BH215" s="244"/>
      <c r="BI215" s="244"/>
      <c r="BJ215" s="244"/>
      <c r="BK215" s="244"/>
      <c r="BL215" s="244"/>
      <c r="BM215" s="244"/>
      <c r="BN215" s="244"/>
      <c r="BO215" s="244"/>
      <c r="BP215" s="244"/>
      <c r="BQ215" s="244"/>
      <c r="BR215" s="244"/>
      <c r="BS215" s="244"/>
      <c r="BT215" s="244"/>
      <c r="BU215" s="244"/>
      <c r="BV215" s="244"/>
      <c r="BW215" s="244"/>
      <c r="BX215" s="244"/>
      <c r="BY215" s="244"/>
      <c r="BZ215" s="244"/>
      <c r="CA215" s="244"/>
      <c r="CB215" s="244"/>
      <c r="CC215" s="244"/>
      <c r="CD215" s="244"/>
    </row>
    <row r="216" spans="1:82" ht="16" customHeight="1" thickBot="1" x14ac:dyDescent="0.25">
      <c r="A216" s="309"/>
      <c r="B216" s="309"/>
      <c r="C216" s="313" t="s">
        <v>2823</v>
      </c>
      <c r="D216" s="314">
        <v>420</v>
      </c>
      <c r="E216" s="273"/>
      <c r="F216" s="253"/>
      <c r="G216" s="244"/>
      <c r="H216" s="244"/>
      <c r="I216" s="244"/>
      <c r="J216" s="244"/>
      <c r="K216" s="244"/>
      <c r="L216" s="244"/>
      <c r="M216" s="244"/>
      <c r="N216" s="244"/>
      <c r="O216" s="244"/>
      <c r="P216" s="244"/>
      <c r="Q216" s="244"/>
      <c r="R216" s="244"/>
      <c r="S216" s="244"/>
      <c r="T216" s="244"/>
      <c r="U216" s="244"/>
      <c r="V216" s="244"/>
      <c r="W216" s="244"/>
      <c r="X216" s="244"/>
      <c r="Y216" s="244"/>
      <c r="Z216" s="244"/>
      <c r="AA216" s="244"/>
      <c r="AB216" s="244"/>
      <c r="AC216" s="244"/>
      <c r="AD216" s="244"/>
      <c r="AE216" s="244"/>
      <c r="AF216" s="244"/>
      <c r="AG216" s="244"/>
      <c r="AH216" s="244"/>
      <c r="AI216" s="244"/>
      <c r="AJ216" s="244"/>
      <c r="AK216" s="244"/>
      <c r="AL216" s="244"/>
      <c r="AM216" s="244"/>
      <c r="AN216" s="244"/>
      <c r="AO216" s="244"/>
      <c r="AP216" s="244"/>
      <c r="AQ216" s="244"/>
      <c r="AR216" s="244"/>
      <c r="AS216" s="244"/>
      <c r="AT216" s="244"/>
      <c r="AU216" s="244"/>
      <c r="AV216" s="244"/>
      <c r="AW216" s="244"/>
      <c r="AX216" s="244"/>
      <c r="AY216" s="244"/>
      <c r="AZ216" s="244"/>
      <c r="BA216" s="244"/>
      <c r="BB216" s="244"/>
      <c r="BC216" s="244"/>
      <c r="BD216" s="244"/>
      <c r="BE216" s="244"/>
      <c r="BF216" s="244"/>
      <c r="BG216" s="244"/>
      <c r="BH216" s="244"/>
      <c r="BI216" s="244"/>
      <c r="BJ216" s="244"/>
      <c r="BK216" s="244"/>
      <c r="BL216" s="244"/>
      <c r="BM216" s="244"/>
      <c r="BN216" s="244"/>
      <c r="BO216" s="244"/>
      <c r="BP216" s="244"/>
      <c r="BQ216" s="244"/>
      <c r="BR216" s="244"/>
      <c r="BS216" s="244"/>
      <c r="BT216" s="244"/>
      <c r="BU216" s="244"/>
      <c r="BV216" s="244"/>
      <c r="BW216" s="244"/>
      <c r="BX216" s="244"/>
      <c r="BY216" s="244"/>
      <c r="BZ216" s="244"/>
      <c r="CA216" s="244"/>
      <c r="CB216" s="244"/>
      <c r="CC216" s="244"/>
      <c r="CD216" s="244"/>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57C49-AEF4-42F5-A595-6E42661CC003}">
  <dimension ref="A1:AP223"/>
  <sheetViews>
    <sheetView zoomScale="50" zoomScaleNormal="85" workbookViewId="0">
      <pane ySplit="4" topLeftCell="A185" activePane="bottomLeft" state="frozen"/>
      <selection activeCell="A2" sqref="A2"/>
      <selection pane="bottomLeft" activeCell="J5" sqref="J5"/>
    </sheetView>
  </sheetViews>
  <sheetFormatPr baseColWidth="10" defaultColWidth="8.83203125" defaultRowHeight="15" x14ac:dyDescent="0.2"/>
  <cols>
    <col min="1" max="1" width="37" style="1" customWidth="1"/>
    <col min="2" max="2" width="39.33203125" style="205" customWidth="1"/>
    <col min="3" max="3" width="25.6640625" style="8" customWidth="1"/>
    <col min="4" max="4" width="30.5" style="8" customWidth="1"/>
    <col min="5" max="5" width="15.5" customWidth="1"/>
    <col min="6" max="6" width="7.83203125" style="7" customWidth="1"/>
    <col min="7" max="7" width="7" style="7" customWidth="1"/>
    <col min="8" max="8" width="12.5" style="4" customWidth="1"/>
    <col min="9" max="9" width="14.83203125" customWidth="1"/>
    <col min="10" max="10" width="19.5" customWidth="1"/>
    <col min="11" max="11" width="17.33203125" customWidth="1"/>
    <col min="12" max="12" width="16.1640625" customWidth="1"/>
    <col min="13" max="13" width="25.33203125" customWidth="1"/>
    <col min="14" max="14" width="23.5" customWidth="1"/>
    <col min="15" max="15" width="24.83203125" customWidth="1"/>
    <col min="16" max="16" width="31.5" customWidth="1"/>
    <col min="17" max="17" width="27" customWidth="1"/>
    <col min="18" max="18" width="23.83203125" customWidth="1"/>
    <col min="19" max="19" width="30.5" customWidth="1"/>
    <col min="20" max="20" width="18.33203125" customWidth="1"/>
    <col min="21" max="21" width="20.33203125" bestFit="1" customWidth="1"/>
    <col min="22" max="22" width="10" customWidth="1"/>
    <col min="23" max="23" width="33.1640625" customWidth="1"/>
    <col min="24" max="24" width="10" customWidth="1"/>
    <col min="25" max="25" width="23" customWidth="1"/>
    <col min="26" max="26" width="52.33203125" customWidth="1"/>
    <col min="27" max="27" width="16" customWidth="1"/>
    <col min="28" max="28" width="10" customWidth="1"/>
    <col min="29" max="29" width="22.6640625" bestFit="1" customWidth="1"/>
    <col min="30" max="30" width="36" customWidth="1"/>
    <col min="31" max="31" width="19.1640625" bestFit="1" customWidth="1"/>
    <col min="32" max="32" width="21.5" customWidth="1"/>
    <col min="33" max="33" width="11.33203125" bestFit="1" customWidth="1"/>
    <col min="34" max="34" width="23.5" bestFit="1" customWidth="1"/>
    <col min="35" max="35" width="18.6640625" bestFit="1" customWidth="1"/>
    <col min="36" max="36" width="23.83203125" customWidth="1"/>
    <col min="37" max="38" width="26.33203125" customWidth="1"/>
    <col min="39" max="39" width="31.6640625" customWidth="1"/>
    <col min="40" max="40" width="16.6640625" bestFit="1" customWidth="1"/>
  </cols>
  <sheetData>
    <row r="1" spans="1:40" s="3" customFormat="1" x14ac:dyDescent="0.2">
      <c r="A1" s="93"/>
      <c r="B1" s="203"/>
      <c r="C1" s="95"/>
      <c r="D1" s="95"/>
      <c r="E1" s="96"/>
      <c r="F1" s="94"/>
      <c r="G1" s="97"/>
      <c r="H1" s="98"/>
      <c r="I1" s="96"/>
      <c r="J1" s="96"/>
      <c r="K1" s="328" t="s">
        <v>1534</v>
      </c>
      <c r="L1" s="328"/>
      <c r="M1" s="329" t="s">
        <v>1535</v>
      </c>
      <c r="N1" s="329"/>
      <c r="O1" s="329"/>
      <c r="P1" s="329"/>
      <c r="Q1" s="329"/>
      <c r="R1" s="329"/>
      <c r="S1" s="329"/>
      <c r="T1" s="330" t="s">
        <v>1536</v>
      </c>
      <c r="U1" s="330"/>
      <c r="V1" s="331" t="s">
        <v>1537</v>
      </c>
      <c r="W1" s="331"/>
      <c r="X1" s="331"/>
      <c r="Y1" s="331"/>
      <c r="Z1" s="331"/>
      <c r="AA1" s="331"/>
      <c r="AB1" s="331"/>
      <c r="AC1" s="326" t="s">
        <v>1538</v>
      </c>
      <c r="AD1" s="326"/>
      <c r="AE1" s="326"/>
      <c r="AF1" s="326"/>
      <c r="AG1" s="326"/>
      <c r="AH1" s="326"/>
      <c r="AI1" s="326"/>
      <c r="AJ1" s="326"/>
      <c r="AK1" s="326"/>
      <c r="AL1" s="326"/>
      <c r="AM1" s="326"/>
      <c r="AN1" s="327"/>
    </row>
    <row r="2" spans="1:40" s="3" customFormat="1" x14ac:dyDescent="0.2">
      <c r="A2" s="99"/>
      <c r="B2" s="204"/>
      <c r="C2" s="101"/>
      <c r="D2" s="101"/>
      <c r="E2" s="102"/>
      <c r="F2" s="100"/>
      <c r="G2" s="103"/>
      <c r="H2" s="104"/>
      <c r="I2" s="102"/>
      <c r="J2" s="102"/>
      <c r="K2" s="105">
        <f t="shared" ref="K2:AN2" si="0">K3/$A$3</f>
        <v>0.32420091324200911</v>
      </c>
      <c r="L2" s="105">
        <f t="shared" si="0"/>
        <v>0.72602739726027399</v>
      </c>
      <c r="M2" s="106">
        <f t="shared" si="0"/>
        <v>0.82648401826484019</v>
      </c>
      <c r="N2" s="106">
        <f t="shared" si="0"/>
        <v>0.22831050228310501</v>
      </c>
      <c r="O2" s="106">
        <f t="shared" si="0"/>
        <v>0.15981735159817351</v>
      </c>
      <c r="P2" s="106">
        <f t="shared" si="0"/>
        <v>3.6529680365296802E-2</v>
      </c>
      <c r="Q2" s="106">
        <f t="shared" si="0"/>
        <v>3.6529680365296802E-2</v>
      </c>
      <c r="R2" s="106">
        <f t="shared" si="0"/>
        <v>6.8493150684931503E-2</v>
      </c>
      <c r="S2" s="106">
        <f t="shared" si="0"/>
        <v>0.13242009132420091</v>
      </c>
      <c r="T2" s="107">
        <f t="shared" si="0"/>
        <v>0.81735159817351599</v>
      </c>
      <c r="U2" s="107">
        <f t="shared" si="0"/>
        <v>0.33333333333333331</v>
      </c>
      <c r="V2" s="108">
        <f t="shared" si="0"/>
        <v>0.36986301369863012</v>
      </c>
      <c r="W2" s="108">
        <f t="shared" si="0"/>
        <v>0.28310502283105021</v>
      </c>
      <c r="X2" s="108">
        <f t="shared" si="0"/>
        <v>0.25114155251141551</v>
      </c>
      <c r="Y2" s="108">
        <f t="shared" si="0"/>
        <v>4.5662100456621002E-2</v>
      </c>
      <c r="Z2" s="108">
        <f t="shared" si="0"/>
        <v>0.21461187214611871</v>
      </c>
      <c r="AA2" s="108">
        <f t="shared" si="0"/>
        <v>3.1963470319634701E-2</v>
      </c>
      <c r="AB2" s="108">
        <f t="shared" si="0"/>
        <v>4.5662100456621002E-3</v>
      </c>
      <c r="AC2" s="109">
        <f t="shared" si="0"/>
        <v>0.14611872146118721</v>
      </c>
      <c r="AD2" s="109">
        <f t="shared" si="0"/>
        <v>0.1050228310502283</v>
      </c>
      <c r="AE2" s="109">
        <f t="shared" si="0"/>
        <v>4.1095890410958902E-2</v>
      </c>
      <c r="AF2" s="109">
        <f t="shared" si="0"/>
        <v>1.3698630136986301E-2</v>
      </c>
      <c r="AG2" s="109">
        <f t="shared" si="0"/>
        <v>0.12785388127853881</v>
      </c>
      <c r="AH2" s="109">
        <f t="shared" si="0"/>
        <v>3.6529680365296802E-2</v>
      </c>
      <c r="AI2" s="109">
        <f t="shared" si="0"/>
        <v>1.8264840182648401E-2</v>
      </c>
      <c r="AJ2" s="109">
        <f t="shared" si="0"/>
        <v>8.2191780821917804E-2</v>
      </c>
      <c r="AK2" s="109">
        <f t="shared" si="0"/>
        <v>0.1004566210045662</v>
      </c>
      <c r="AL2" s="109">
        <f t="shared" si="0"/>
        <v>9.1324200913242004E-2</v>
      </c>
      <c r="AM2" s="109">
        <f t="shared" si="0"/>
        <v>0.38356164383561642</v>
      </c>
      <c r="AN2" s="110">
        <f t="shared" si="0"/>
        <v>0.11872146118721461</v>
      </c>
    </row>
    <row r="3" spans="1:40" s="3" customFormat="1" x14ac:dyDescent="0.2">
      <c r="A3" s="111">
        <f>SUBTOTAL(3,A5:A223)</f>
        <v>219</v>
      </c>
      <c r="B3" s="204"/>
      <c r="C3" s="101"/>
      <c r="D3" s="101"/>
      <c r="E3" s="102"/>
      <c r="F3" s="100"/>
      <c r="G3" s="103"/>
      <c r="H3" s="104"/>
      <c r="I3" s="102"/>
      <c r="J3" s="102"/>
      <c r="K3" s="112">
        <f>SUBTOTAL(3,K5:K222)</f>
        <v>71</v>
      </c>
      <c r="L3" s="112">
        <f>SUBTOTAL(3,L5:L222)</f>
        <v>159</v>
      </c>
      <c r="M3" s="113">
        <f>SUBTOTAL(3,M5:M223)</f>
        <v>181</v>
      </c>
      <c r="N3" s="113">
        <f>SUBTOTAL(3,N5:N222)</f>
        <v>50</v>
      </c>
      <c r="O3" s="113">
        <f>31+4</f>
        <v>35</v>
      </c>
      <c r="P3" s="113">
        <f>SUBTOTAL(3,P5:P222)</f>
        <v>8</v>
      </c>
      <c r="Q3" s="113">
        <f t="shared" ref="Q3:S3" si="1">SUBTOTAL(3,Q5:Q222)</f>
        <v>8</v>
      </c>
      <c r="R3" s="113">
        <f t="shared" si="1"/>
        <v>15</v>
      </c>
      <c r="S3" s="113">
        <f t="shared" si="1"/>
        <v>29</v>
      </c>
      <c r="T3" s="114">
        <f>SUBTOTAL(3,T5:T222)</f>
        <v>179</v>
      </c>
      <c r="U3" s="114">
        <f>SUBTOTAL(3,U5:U222)</f>
        <v>73</v>
      </c>
      <c r="V3" s="115">
        <f>SUBTOTAL(3,V5:V222)</f>
        <v>81</v>
      </c>
      <c r="W3" s="115">
        <f t="shared" ref="W3:AB3" si="2">SUBTOTAL(3,W5:W222)</f>
        <v>62</v>
      </c>
      <c r="X3" s="115">
        <f t="shared" si="2"/>
        <v>55</v>
      </c>
      <c r="Y3" s="115">
        <f t="shared" si="2"/>
        <v>10</v>
      </c>
      <c r="Z3" s="115">
        <f t="shared" si="2"/>
        <v>47</v>
      </c>
      <c r="AA3" s="115">
        <f t="shared" si="2"/>
        <v>7</v>
      </c>
      <c r="AB3" s="115">
        <f t="shared" si="2"/>
        <v>1</v>
      </c>
      <c r="AC3" s="116">
        <f>SUBTOTAL(3,AC5:AC222)</f>
        <v>32</v>
      </c>
      <c r="AD3" s="116">
        <f t="shared" ref="AD3:AF3" si="3">SUBTOTAL(3,AD5:AD222)</f>
        <v>23</v>
      </c>
      <c r="AE3" s="116">
        <f t="shared" si="3"/>
        <v>9</v>
      </c>
      <c r="AF3" s="116">
        <f t="shared" si="3"/>
        <v>3</v>
      </c>
      <c r="AG3" s="117">
        <f>SUBTOTAL(3,AG5:AG222)</f>
        <v>28</v>
      </c>
      <c r="AH3" s="117">
        <f t="shared" ref="AH3:AJ3" si="4">SUBTOTAL(3,AH5:AH222)</f>
        <v>8</v>
      </c>
      <c r="AI3" s="117">
        <f t="shared" si="4"/>
        <v>4</v>
      </c>
      <c r="AJ3" s="117">
        <f t="shared" si="4"/>
        <v>18</v>
      </c>
      <c r="AK3" s="118">
        <f>SUBTOTAL(3,AK5:AK222)</f>
        <v>22</v>
      </c>
      <c r="AL3" s="118">
        <f t="shared" ref="AL3:AN3" si="5">SUBTOTAL(3,AL5:AL222)</f>
        <v>20</v>
      </c>
      <c r="AM3" s="118">
        <f t="shared" si="5"/>
        <v>84</v>
      </c>
      <c r="AN3" s="119">
        <f t="shared" si="5"/>
        <v>26</v>
      </c>
    </row>
    <row r="4" spans="1:40" s="91" customFormat="1" ht="16" x14ac:dyDescent="0.2">
      <c r="A4" s="120" t="s">
        <v>1539</v>
      </c>
      <c r="B4" s="85" t="s">
        <v>3</v>
      </c>
      <c r="C4" s="87" t="s">
        <v>1540</v>
      </c>
      <c r="D4" s="87" t="s">
        <v>1541</v>
      </c>
      <c r="E4" s="87" t="s">
        <v>1542</v>
      </c>
      <c r="F4" s="87" t="s">
        <v>836</v>
      </c>
      <c r="G4" s="87" t="s">
        <v>845</v>
      </c>
      <c r="H4" s="121" t="s">
        <v>1543</v>
      </c>
      <c r="I4" s="87" t="s">
        <v>1544</v>
      </c>
      <c r="J4" s="87" t="s">
        <v>1545</v>
      </c>
      <c r="K4" s="122" t="s">
        <v>1546</v>
      </c>
      <c r="L4" s="122" t="s">
        <v>1547</v>
      </c>
      <c r="M4" s="123" t="s">
        <v>1548</v>
      </c>
      <c r="N4" s="123" t="s">
        <v>1549</v>
      </c>
      <c r="O4" s="123" t="s">
        <v>1550</v>
      </c>
      <c r="P4" s="123" t="s">
        <v>1551</v>
      </c>
      <c r="Q4" s="123" t="s">
        <v>1552</v>
      </c>
      <c r="R4" s="123" t="s">
        <v>2213</v>
      </c>
      <c r="S4" s="123" t="s">
        <v>1553</v>
      </c>
      <c r="T4" s="124" t="s">
        <v>1554</v>
      </c>
      <c r="U4" s="124" t="s">
        <v>1555</v>
      </c>
      <c r="V4" s="125" t="s">
        <v>1556</v>
      </c>
      <c r="W4" s="125" t="s">
        <v>1557</v>
      </c>
      <c r="X4" s="125" t="s">
        <v>1558</v>
      </c>
      <c r="Y4" s="125" t="s">
        <v>1559</v>
      </c>
      <c r="Z4" s="125" t="s">
        <v>1560</v>
      </c>
      <c r="AA4" s="125" t="s">
        <v>1561</v>
      </c>
      <c r="AB4" s="125" t="s">
        <v>1562</v>
      </c>
      <c r="AC4" s="126" t="s">
        <v>1563</v>
      </c>
      <c r="AD4" s="126" t="s">
        <v>1564</v>
      </c>
      <c r="AE4" s="126" t="s">
        <v>1565</v>
      </c>
      <c r="AF4" s="126" t="s">
        <v>1566</v>
      </c>
      <c r="AG4" s="127" t="s">
        <v>1567</v>
      </c>
      <c r="AH4" s="127" t="s">
        <v>1568</v>
      </c>
      <c r="AI4" s="127" t="s">
        <v>1569</v>
      </c>
      <c r="AJ4" s="127" t="s">
        <v>1570</v>
      </c>
      <c r="AK4" s="128" t="s">
        <v>2289</v>
      </c>
      <c r="AL4" s="128" t="s">
        <v>1571</v>
      </c>
      <c r="AM4" s="128" t="s">
        <v>2252</v>
      </c>
      <c r="AN4" s="129" t="s">
        <v>1572</v>
      </c>
    </row>
    <row r="5" spans="1:40" ht="112" x14ac:dyDescent="0.2">
      <c r="A5" s="130" t="s">
        <v>1573</v>
      </c>
      <c r="B5" s="205" t="s">
        <v>1574</v>
      </c>
      <c r="C5" t="s">
        <v>1110</v>
      </c>
      <c r="D5" s="9" t="s">
        <v>930</v>
      </c>
      <c r="E5" t="s">
        <v>1235</v>
      </c>
      <c r="F5" s="4" t="str">
        <f>IF(AND(ISTEXT("https://github.com/FISCO-BCOS/SCStudio"),"https://github.com/FISCO-BCOS/SCStudio"&lt;&gt;""), HYPERLINK("https://github.com/FISCO-BCOS/SCStudio", "Link"),"-")</f>
        <v>Link</v>
      </c>
      <c r="G5" s="19">
        <v>2021</v>
      </c>
      <c r="H5" s="131" t="s">
        <v>1575</v>
      </c>
      <c r="J5" t="s">
        <v>1576</v>
      </c>
      <c r="L5" t="s">
        <v>1235</v>
      </c>
      <c r="M5" t="s">
        <v>1235</v>
      </c>
      <c r="N5" t="s">
        <v>1235</v>
      </c>
      <c r="O5" t="str">
        <f>IF(NOT(ISERROR( SEARCH(A5,#REF!))), "✓", "")</f>
        <v/>
      </c>
      <c r="S5" t="s">
        <v>1235</v>
      </c>
      <c r="T5" t="s">
        <v>1235</v>
      </c>
      <c r="U5" t="s">
        <v>1235</v>
      </c>
      <c r="X5" t="s">
        <v>1235</v>
      </c>
      <c r="AL5" t="s">
        <v>1235</v>
      </c>
      <c r="AN5" s="14"/>
    </row>
    <row r="6" spans="1:40" ht="48" x14ac:dyDescent="0.2">
      <c r="A6" s="92" t="s">
        <v>1577</v>
      </c>
      <c r="B6" s="206" t="s">
        <v>2825</v>
      </c>
      <c r="C6" t="s">
        <v>1161</v>
      </c>
      <c r="D6" s="9" t="s">
        <v>930</v>
      </c>
      <c r="E6" t="s">
        <v>1235</v>
      </c>
      <c r="F6" s="4" t="str">
        <f>IF(AND(ISTEXT("https://smartscan.cs.ryerson.ca:4638/"),"https://smartscan.cs.ryerson.ca:4638/"&lt;&gt;""), HYPERLINK("https://smartscan.cs.ryerson.ca:4638/", "Link"),"-")</f>
        <v>Link</v>
      </c>
      <c r="G6" s="19">
        <v>2021</v>
      </c>
      <c r="H6" s="4" t="s">
        <v>1578</v>
      </c>
      <c r="L6" t="s">
        <v>1235</v>
      </c>
      <c r="M6" t="s">
        <v>1235</v>
      </c>
      <c r="O6" t="str">
        <f>IF(NOT(ISERROR( SEARCH(A6,#REF!))), "✓", "")</f>
        <v/>
      </c>
      <c r="Q6" t="s">
        <v>1235</v>
      </c>
      <c r="T6" t="s">
        <v>1235</v>
      </c>
      <c r="U6" t="s">
        <v>1235</v>
      </c>
      <c r="AK6" t="s">
        <v>1235</v>
      </c>
      <c r="AL6" s="132"/>
      <c r="AN6" s="14"/>
    </row>
    <row r="7" spans="1:40" ht="48" x14ac:dyDescent="0.2">
      <c r="A7" s="92" t="s">
        <v>1579</v>
      </c>
      <c r="B7" s="205" t="s">
        <v>1580</v>
      </c>
      <c r="C7" t="s">
        <v>1121</v>
      </c>
      <c r="D7" s="9" t="s">
        <v>930</v>
      </c>
      <c r="E7" t="s">
        <v>1235</v>
      </c>
      <c r="F7" s="4" t="str">
        <f>IF(AND(ISTEXT("https://github.com/reentrancy/sGuard"),"https://github.com/reentrancy/sGuard"&lt;&gt;""), HYPERLINK("https://github.com/reentrancy/sGuard", "Link"),"-")</f>
        <v>Link</v>
      </c>
      <c r="G7" s="19">
        <v>2021</v>
      </c>
      <c r="H7" s="4" t="s">
        <v>1581</v>
      </c>
      <c r="J7" t="s">
        <v>1582</v>
      </c>
      <c r="K7" t="s">
        <v>1235</v>
      </c>
      <c r="L7" t="s">
        <v>1235</v>
      </c>
      <c r="M7" t="s">
        <v>1235</v>
      </c>
      <c r="O7" t="str">
        <f>IF(NOT(ISERROR( SEARCH(A7,#REF!))), "✓", "")</f>
        <v/>
      </c>
      <c r="P7" t="s">
        <v>1235</v>
      </c>
      <c r="R7" t="s">
        <v>1235</v>
      </c>
      <c r="S7" t="s">
        <v>1235</v>
      </c>
      <c r="T7" t="s">
        <v>1235</v>
      </c>
      <c r="U7" t="s">
        <v>1235</v>
      </c>
      <c r="V7" t="s">
        <v>1235</v>
      </c>
      <c r="W7" t="s">
        <v>1235</v>
      </c>
      <c r="X7" t="s">
        <v>1235</v>
      </c>
      <c r="AC7" t="s">
        <v>1235</v>
      </c>
      <c r="AH7" t="s">
        <v>1235</v>
      </c>
      <c r="AI7" t="s">
        <v>1235</v>
      </c>
      <c r="AL7" s="132"/>
      <c r="AN7" s="14" t="s">
        <v>1235</v>
      </c>
    </row>
    <row r="8" spans="1:40" ht="32" x14ac:dyDescent="0.2">
      <c r="A8" s="130" t="s">
        <v>1583</v>
      </c>
      <c r="B8" s="205" t="s">
        <v>1584</v>
      </c>
      <c r="C8" t="s">
        <v>1228</v>
      </c>
      <c r="D8" s="9" t="s">
        <v>930</v>
      </c>
      <c r="E8" t="s">
        <v>1235</v>
      </c>
      <c r="F8" s="4" t="str">
        <f>IF(AND(ISTEXT("https://github.com/gongbell/wana"),"https://github.com/gongbell/wana"&lt;&gt;""), HYPERLINK("https://github.com/gongbell/wana", "Link"),"-")</f>
        <v>Link</v>
      </c>
      <c r="G8" s="19">
        <v>2020</v>
      </c>
      <c r="H8" s="4" t="s">
        <v>1585</v>
      </c>
      <c r="I8" t="s">
        <v>1575</v>
      </c>
      <c r="J8" t="s">
        <v>1576</v>
      </c>
      <c r="K8" t="s">
        <v>1235</v>
      </c>
      <c r="M8" t="s">
        <v>1235</v>
      </c>
      <c r="O8" t="str">
        <f>IF(NOT(ISERROR( SEARCH(A8,#REF!))), "✓", "")</f>
        <v/>
      </c>
      <c r="T8" t="s">
        <v>1235</v>
      </c>
      <c r="U8" t="s">
        <v>1235</v>
      </c>
      <c r="AC8" t="s">
        <v>1235</v>
      </c>
      <c r="AN8" s="14"/>
    </row>
    <row r="9" spans="1:40" ht="64" x14ac:dyDescent="0.2">
      <c r="A9" s="130" t="s">
        <v>1586</v>
      </c>
      <c r="B9" s="205" t="s">
        <v>2826</v>
      </c>
      <c r="C9" s="9" t="s">
        <v>1587</v>
      </c>
      <c r="D9" s="9" t="s">
        <v>930</v>
      </c>
      <c r="F9" s="4" t="str">
        <f t="shared" ref="F9:F19" si="6">IF(AND(ISTEXT(""),""&lt;&gt;""), HYPERLINK("", "Link"),"-")</f>
        <v>-</v>
      </c>
      <c r="G9" s="20">
        <v>2020</v>
      </c>
      <c r="K9" t="s">
        <v>1235</v>
      </c>
      <c r="M9" t="s">
        <v>1235</v>
      </c>
      <c r="O9" t="str">
        <f>IF(NOT(ISERROR( SEARCH(A9,#REF!))), "✓", "")</f>
        <v/>
      </c>
      <c r="T9" t="s">
        <v>1235</v>
      </c>
      <c r="V9" t="s">
        <v>1235</v>
      </c>
      <c r="AA9" t="s">
        <v>1235</v>
      </c>
      <c r="AC9" t="s">
        <v>1235</v>
      </c>
      <c r="AN9" s="14"/>
    </row>
    <row r="10" spans="1:40" ht="96" x14ac:dyDescent="0.2">
      <c r="A10" s="130" t="s">
        <v>1588</v>
      </c>
      <c r="B10" s="205" t="s">
        <v>2827</v>
      </c>
      <c r="C10" s="9" t="s">
        <v>1589</v>
      </c>
      <c r="D10" s="9" t="s">
        <v>930</v>
      </c>
      <c r="F10" s="4" t="str">
        <f t="shared" si="6"/>
        <v>-</v>
      </c>
      <c r="G10" s="20">
        <v>2020</v>
      </c>
      <c r="L10" t="s">
        <v>1235</v>
      </c>
      <c r="M10" t="s">
        <v>1235</v>
      </c>
      <c r="O10" t="str">
        <f>IF(NOT(ISERROR( SEARCH(A10,#REF!))), "✓", "")</f>
        <v/>
      </c>
      <c r="T10" t="s">
        <v>1235</v>
      </c>
      <c r="Z10" t="s">
        <v>1235</v>
      </c>
      <c r="AM10" t="s">
        <v>1235</v>
      </c>
      <c r="AN10" s="14"/>
    </row>
    <row r="11" spans="1:40" ht="32" x14ac:dyDescent="0.2">
      <c r="A11" s="130" t="s">
        <v>1590</v>
      </c>
      <c r="B11" s="205" t="s">
        <v>2828</v>
      </c>
      <c r="C11" s="9" t="s">
        <v>1591</v>
      </c>
      <c r="D11" s="9" t="s">
        <v>930</v>
      </c>
      <c r="F11" s="4" t="str">
        <f t="shared" si="6"/>
        <v>-</v>
      </c>
      <c r="G11" s="20">
        <v>2020</v>
      </c>
      <c r="K11" t="s">
        <v>1235</v>
      </c>
      <c r="M11" t="s">
        <v>1235</v>
      </c>
      <c r="O11" t="str">
        <f>IF(NOT(ISERROR( SEARCH(A11,#REF!))), "✓", "")</f>
        <v/>
      </c>
      <c r="T11" t="s">
        <v>1235</v>
      </c>
      <c r="U11" t="s">
        <v>1235</v>
      </c>
      <c r="W11" t="s">
        <v>1235</v>
      </c>
      <c r="AG11" t="s">
        <v>1235</v>
      </c>
      <c r="AJ11" t="s">
        <v>1235</v>
      </c>
      <c r="AL11" s="132"/>
      <c r="AN11" s="14"/>
    </row>
    <row r="12" spans="1:40" ht="48" x14ac:dyDescent="0.2">
      <c r="A12" s="130" t="s">
        <v>1592</v>
      </c>
      <c r="B12" s="205" t="s">
        <v>2829</v>
      </c>
      <c r="C12" s="9" t="s">
        <v>1593</v>
      </c>
      <c r="D12" s="9" t="s">
        <v>930</v>
      </c>
      <c r="F12" s="4" t="str">
        <f t="shared" si="6"/>
        <v>-</v>
      </c>
      <c r="G12" s="20">
        <v>2020</v>
      </c>
      <c r="K12" t="s">
        <v>1235</v>
      </c>
      <c r="L12" t="s">
        <v>1235</v>
      </c>
      <c r="M12" t="s">
        <v>1235</v>
      </c>
      <c r="O12" t="str">
        <f>IF(NOT(ISERROR( SEARCH(A12,#REF!))), "✓", "")</f>
        <v/>
      </c>
      <c r="Q12" t="s">
        <v>1235</v>
      </c>
      <c r="T12" t="s">
        <v>1235</v>
      </c>
      <c r="U12" t="s">
        <v>1235</v>
      </c>
      <c r="V12" t="s">
        <v>1235</v>
      </c>
      <c r="AC12" t="s">
        <v>1235</v>
      </c>
      <c r="AL12" t="s">
        <v>1235</v>
      </c>
      <c r="AN12" s="14"/>
    </row>
    <row r="13" spans="1:40" ht="32" x14ac:dyDescent="0.2">
      <c r="A13" s="130" t="s">
        <v>1594</v>
      </c>
      <c r="B13" s="205" t="s">
        <v>1595</v>
      </c>
      <c r="C13" t="s">
        <v>1088</v>
      </c>
      <c r="D13" s="9" t="s">
        <v>930</v>
      </c>
      <c r="F13" s="4" t="str">
        <f t="shared" si="6"/>
        <v>-</v>
      </c>
      <c r="G13" s="133">
        <v>2021</v>
      </c>
      <c r="K13" t="s">
        <v>1235</v>
      </c>
      <c r="M13" t="s">
        <v>1235</v>
      </c>
      <c r="O13" t="str">
        <f>IF(NOT(ISERROR( SEARCH(A13,#REF!))), "✓", "")</f>
        <v/>
      </c>
      <c r="U13" t="s">
        <v>1235</v>
      </c>
      <c r="W13" t="s">
        <v>1235</v>
      </c>
      <c r="AG13" t="s">
        <v>1235</v>
      </c>
      <c r="AL13" s="132"/>
      <c r="AN13" s="14"/>
    </row>
    <row r="14" spans="1:40" ht="80" x14ac:dyDescent="0.2">
      <c r="A14" s="130" t="s">
        <v>1596</v>
      </c>
      <c r="B14" s="205" t="s">
        <v>2830</v>
      </c>
      <c r="C14" s="9" t="s">
        <v>1597</v>
      </c>
      <c r="D14" s="9" t="s">
        <v>930</v>
      </c>
      <c r="F14" s="4" t="str">
        <f t="shared" si="6"/>
        <v>-</v>
      </c>
      <c r="G14" s="20">
        <v>2021</v>
      </c>
      <c r="L14" t="s">
        <v>1235</v>
      </c>
      <c r="M14" t="s">
        <v>1235</v>
      </c>
      <c r="O14" t="str">
        <f>IF(NOT(ISERROR( SEARCH(A14,#REF!))), "✓", "")</f>
        <v/>
      </c>
      <c r="T14" t="s">
        <v>1235</v>
      </c>
      <c r="U14" t="s">
        <v>1235</v>
      </c>
      <c r="W14" t="s">
        <v>1235</v>
      </c>
      <c r="AL14" t="s">
        <v>1235</v>
      </c>
      <c r="AN14" s="14"/>
    </row>
    <row r="15" spans="1:40" ht="48" x14ac:dyDescent="0.2">
      <c r="A15" s="130" t="s">
        <v>1598</v>
      </c>
      <c r="B15" s="205" t="s">
        <v>2831</v>
      </c>
      <c r="C15" s="9" t="s">
        <v>1599</v>
      </c>
      <c r="D15" s="9" t="s">
        <v>930</v>
      </c>
      <c r="F15" s="4" t="str">
        <f t="shared" si="6"/>
        <v>-</v>
      </c>
      <c r="G15" s="20">
        <v>2019</v>
      </c>
      <c r="K15" t="s">
        <v>1235</v>
      </c>
      <c r="M15" t="s">
        <v>1235</v>
      </c>
      <c r="O15" t="str">
        <f>IF(NOT(ISERROR( SEARCH(A15,#REF!))), "✓", "")</f>
        <v/>
      </c>
      <c r="T15" t="s">
        <v>1235</v>
      </c>
      <c r="V15" t="s">
        <v>1235</v>
      </c>
      <c r="AC15" t="s">
        <v>1235</v>
      </c>
      <c r="AD15" t="s">
        <v>1235</v>
      </c>
      <c r="AN15" s="14"/>
    </row>
    <row r="16" spans="1:40" ht="48" x14ac:dyDescent="0.2">
      <c r="A16" s="130" t="s">
        <v>1600</v>
      </c>
      <c r="B16" s="205" t="s">
        <v>2832</v>
      </c>
      <c r="C16" s="9" t="s">
        <v>1601</v>
      </c>
      <c r="D16" s="9" t="s">
        <v>930</v>
      </c>
      <c r="F16" s="4" t="str">
        <f t="shared" si="6"/>
        <v>-</v>
      </c>
      <c r="G16" s="20">
        <v>2021</v>
      </c>
      <c r="L16" t="s">
        <v>1235</v>
      </c>
      <c r="M16" t="s">
        <v>1235</v>
      </c>
      <c r="O16" t="str">
        <f>IF(NOT(ISERROR( SEARCH(A16,#REF!))), "✓", "")</f>
        <v/>
      </c>
      <c r="U16" t="s">
        <v>1235</v>
      </c>
      <c r="W16" t="s">
        <v>1235</v>
      </c>
      <c r="AL16" t="s">
        <v>1235</v>
      </c>
      <c r="AN16" s="14"/>
    </row>
    <row r="17" spans="1:40" ht="32" x14ac:dyDescent="0.2">
      <c r="A17" s="130" t="s">
        <v>1602</v>
      </c>
      <c r="B17" s="205" t="s">
        <v>2833</v>
      </c>
      <c r="C17" s="9" t="s">
        <v>1603</v>
      </c>
      <c r="D17" s="9" t="s">
        <v>930</v>
      </c>
      <c r="F17" s="4" t="str">
        <f t="shared" si="6"/>
        <v>-</v>
      </c>
      <c r="G17" s="20">
        <v>2021</v>
      </c>
      <c r="K17" t="s">
        <v>1235</v>
      </c>
      <c r="M17" t="s">
        <v>1235</v>
      </c>
      <c r="O17" t="str">
        <f>IF(NOT(ISERROR( SEARCH(A17,#REF!))), "✓", "")</f>
        <v/>
      </c>
      <c r="U17" t="s">
        <v>1235</v>
      </c>
      <c r="Z17" t="s">
        <v>1235</v>
      </c>
      <c r="AG17" t="s">
        <v>1235</v>
      </c>
      <c r="AJ17" t="s">
        <v>1235</v>
      </c>
      <c r="AL17" s="132"/>
      <c r="AN17" s="14" t="s">
        <v>1235</v>
      </c>
    </row>
    <row r="18" spans="1:40" ht="64" x14ac:dyDescent="0.2">
      <c r="A18" s="130" t="s">
        <v>1604</v>
      </c>
      <c r="B18" s="205" t="s">
        <v>2834</v>
      </c>
      <c r="C18" s="9" t="s">
        <v>1605</v>
      </c>
      <c r="D18" s="9" t="s">
        <v>930</v>
      </c>
      <c r="F18" s="4" t="str">
        <f t="shared" si="6"/>
        <v>-</v>
      </c>
      <c r="G18" s="20">
        <v>2022</v>
      </c>
      <c r="K18" t="s">
        <v>1235</v>
      </c>
      <c r="M18" t="s">
        <v>1235</v>
      </c>
      <c r="O18" t="str">
        <f>IF(NOT(ISERROR( SEARCH(A18,#REF!))), "✓", "")</f>
        <v/>
      </c>
      <c r="T18" t="s">
        <v>1235</v>
      </c>
      <c r="W18" t="s">
        <v>1235</v>
      </c>
      <c r="AD18" t="s">
        <v>1235</v>
      </c>
      <c r="AL18" t="s">
        <v>1235</v>
      </c>
      <c r="AN18" s="14"/>
    </row>
    <row r="19" spans="1:40" ht="48" x14ac:dyDescent="0.2">
      <c r="A19" s="130" t="s">
        <v>1606</v>
      </c>
      <c r="B19" s="205" t="s">
        <v>2835</v>
      </c>
      <c r="C19" s="9" t="s">
        <v>1607</v>
      </c>
      <c r="D19" s="9" t="s">
        <v>930</v>
      </c>
      <c r="F19" s="4" t="str">
        <f t="shared" si="6"/>
        <v>-</v>
      </c>
      <c r="G19" s="20">
        <v>2019</v>
      </c>
      <c r="L19" t="s">
        <v>1235</v>
      </c>
      <c r="M19" t="s">
        <v>1235</v>
      </c>
      <c r="O19" t="str">
        <f>IF(NOT(ISERROR( SEARCH(A19,#REF!))), "✓", "")</f>
        <v/>
      </c>
      <c r="T19" t="s">
        <v>1235</v>
      </c>
      <c r="X19" t="s">
        <v>1235</v>
      </c>
      <c r="AM19" t="s">
        <v>1235</v>
      </c>
      <c r="AN19" s="14"/>
    </row>
    <row r="20" spans="1:40" ht="80" x14ac:dyDescent="0.2">
      <c r="A20" s="130" t="s">
        <v>1608</v>
      </c>
      <c r="B20" s="205" t="s">
        <v>1609</v>
      </c>
      <c r="C20" t="s">
        <v>1024</v>
      </c>
      <c r="D20" s="9" t="s">
        <v>930</v>
      </c>
      <c r="E20" t="s">
        <v>1235</v>
      </c>
      <c r="F20" s="4" t="str">
        <f>IF(AND(ISTEXT("https://github.com/SeUniVr/EtherSolve/"),"https://github.com/SeUniVr/EtherSolve/"&lt;&gt;""), HYPERLINK("https://github.com/SeUniVr/EtherSolve/", "Link"),"-")</f>
        <v>Link</v>
      </c>
      <c r="G20" s="21">
        <v>2021</v>
      </c>
      <c r="H20" s="4" t="s">
        <v>1575</v>
      </c>
      <c r="I20" t="s">
        <v>1610</v>
      </c>
      <c r="J20" t="s">
        <v>1611</v>
      </c>
      <c r="K20" t="s">
        <v>1235</v>
      </c>
      <c r="M20" t="s">
        <v>1235</v>
      </c>
      <c r="O20" t="str">
        <f>IF(NOT(ISERROR( SEARCH(A20,#REF!))), "✓", "")</f>
        <v/>
      </c>
      <c r="T20" t="s">
        <v>1235</v>
      </c>
      <c r="V20" t="s">
        <v>1235</v>
      </c>
      <c r="AC20" t="s">
        <v>1235</v>
      </c>
      <c r="AN20" s="14"/>
    </row>
    <row r="21" spans="1:40" ht="80" x14ac:dyDescent="0.2">
      <c r="A21" s="130" t="s">
        <v>1612</v>
      </c>
      <c r="B21" s="205" t="s">
        <v>2836</v>
      </c>
      <c r="C21" s="9" t="s">
        <v>1613</v>
      </c>
      <c r="D21" s="9" t="s">
        <v>930</v>
      </c>
      <c r="F21" s="4" t="str">
        <f>IF(AND(ISTEXT(""),""&lt;&gt;""), HYPERLINK("", "Link"),"-")</f>
        <v>-</v>
      </c>
      <c r="G21" s="133">
        <v>2021</v>
      </c>
      <c r="K21" t="s">
        <v>1235</v>
      </c>
      <c r="L21" t="s">
        <v>1235</v>
      </c>
      <c r="M21" t="s">
        <v>1235</v>
      </c>
      <c r="N21" t="s">
        <v>1235</v>
      </c>
      <c r="O21" t="str">
        <f>IF(NOT(ISERROR( SEARCH(A21,#REF!))), "✓", "")</f>
        <v/>
      </c>
      <c r="T21" t="s">
        <v>1235</v>
      </c>
      <c r="V21" t="s">
        <v>1235</v>
      </c>
      <c r="Y21" t="s">
        <v>1235</v>
      </c>
      <c r="AD21" t="s">
        <v>1235</v>
      </c>
      <c r="AN21" s="14"/>
    </row>
    <row r="22" spans="1:40" ht="48" x14ac:dyDescent="0.2">
      <c r="A22" s="130" t="s">
        <v>1614</v>
      </c>
      <c r="B22" s="205" t="s">
        <v>1615</v>
      </c>
      <c r="C22" t="s">
        <v>948</v>
      </c>
      <c r="D22" s="9" t="s">
        <v>930</v>
      </c>
      <c r="E22" t="s">
        <v>1235</v>
      </c>
      <c r="F22" s="4" t="str">
        <f>IF(AND(ISTEXT("https://github.com/MRdoulestar/DeeSCVHunter"),"https://github.com/MRdoulestar/DeeSCVHunter"&lt;&gt;""), HYPERLINK("https://github.com/MRdoulestar/DeeSCVHunter", "Link"),"-")</f>
        <v>Link</v>
      </c>
      <c r="G22" s="19">
        <v>2021</v>
      </c>
      <c r="H22" s="4" t="s">
        <v>1581</v>
      </c>
      <c r="I22" t="s">
        <v>1616</v>
      </c>
      <c r="J22" t="s">
        <v>1617</v>
      </c>
      <c r="L22" t="s">
        <v>1235</v>
      </c>
      <c r="M22" t="s">
        <v>1235</v>
      </c>
      <c r="O22" t="str">
        <f>IF(NOT(ISERROR( SEARCH(A22,#REF!))), "✓", "")</f>
        <v/>
      </c>
      <c r="T22" t="s">
        <v>1235</v>
      </c>
      <c r="V22" t="s">
        <v>1235</v>
      </c>
      <c r="Z22" t="s">
        <v>1235</v>
      </c>
      <c r="AM22" t="s">
        <v>1235</v>
      </c>
      <c r="AN22" s="14"/>
    </row>
    <row r="23" spans="1:40" ht="64" x14ac:dyDescent="0.2">
      <c r="A23" s="130" t="s">
        <v>1618</v>
      </c>
      <c r="B23" s="205" t="s">
        <v>2837</v>
      </c>
      <c r="C23" s="9" t="s">
        <v>1619</v>
      </c>
      <c r="D23" s="9" t="s">
        <v>930</v>
      </c>
      <c r="E23" t="s">
        <v>1235</v>
      </c>
      <c r="F23" s="4" t="str">
        <f>IF(AND(ISTEXT("https://github.com/FISCO-BCOS/FISCO-BCOS"),"https://github.com/FISCO-BCOS/FISCO-BCOS"&lt;&gt;""), HYPERLINK("https://github.com/FISCO-BCOS/FISCO-BCOS", "Link"),"-")</f>
        <v>Link</v>
      </c>
      <c r="G23" s="19">
        <v>2018</v>
      </c>
      <c r="H23" s="4" t="s">
        <v>1620</v>
      </c>
      <c r="I23" s="7" t="s">
        <v>1621</v>
      </c>
      <c r="J23" t="s">
        <v>1622</v>
      </c>
      <c r="K23" t="s">
        <v>1235</v>
      </c>
      <c r="M23" t="s">
        <v>1235</v>
      </c>
      <c r="O23" t="str">
        <f>IF(NOT(ISERROR( SEARCH(A23,#REF!))), "✓", "")</f>
        <v/>
      </c>
      <c r="R23" t="s">
        <v>1235</v>
      </c>
      <c r="U23" t="s">
        <v>1235</v>
      </c>
      <c r="V23" t="s">
        <v>1235</v>
      </c>
      <c r="Z23" t="s">
        <v>1235</v>
      </c>
      <c r="AL23" t="s">
        <v>1235</v>
      </c>
      <c r="AN23" s="14"/>
    </row>
    <row r="24" spans="1:40" ht="80" x14ac:dyDescent="0.2">
      <c r="A24" s="130" t="s">
        <v>1623</v>
      </c>
      <c r="B24" s="205" t="s">
        <v>1624</v>
      </c>
      <c r="C24" t="s">
        <v>1007</v>
      </c>
      <c r="D24" s="9" t="s">
        <v>930</v>
      </c>
      <c r="E24" t="s">
        <v>1235</v>
      </c>
      <c r="F24" s="4" t="str">
        <f>IF(AND(ISTEXT("https://github.com/fseclab-osaka/eth2vec"),"https://github.com/fseclab-osaka/eth2vec"&lt;&gt;""), HYPERLINK("https://github.com/fseclab-osaka/eth2vec", "Link"),"-")</f>
        <v>Link</v>
      </c>
      <c r="G24" s="19">
        <v>2021</v>
      </c>
      <c r="H24" s="4" t="s">
        <v>1575</v>
      </c>
      <c r="J24" t="s">
        <v>1625</v>
      </c>
      <c r="K24" t="s">
        <v>1235</v>
      </c>
      <c r="M24" t="s">
        <v>1235</v>
      </c>
      <c r="O24" t="str">
        <f>IF(NOT(ISERROR( SEARCH(A24,#REF!))), "✓", "")</f>
        <v/>
      </c>
      <c r="T24" t="s">
        <v>1235</v>
      </c>
      <c r="X24" t="s">
        <v>1235</v>
      </c>
      <c r="AM24" t="s">
        <v>1235</v>
      </c>
      <c r="AN24" s="14"/>
    </row>
    <row r="25" spans="1:40" ht="144" x14ac:dyDescent="0.2">
      <c r="A25" s="130" t="s">
        <v>1626</v>
      </c>
      <c r="B25" s="205" t="s">
        <v>1627</v>
      </c>
      <c r="C25" t="s">
        <v>1218</v>
      </c>
      <c r="D25" s="9" t="s">
        <v>930</v>
      </c>
      <c r="F25" s="4" t="str">
        <f>IF(AND(ISTEXT(""),""&lt;&gt;""), HYPERLINK("", "Link"),"-")</f>
        <v>-</v>
      </c>
      <c r="G25" s="133">
        <v>2021</v>
      </c>
      <c r="K25" t="s">
        <v>1235</v>
      </c>
      <c r="M25" t="s">
        <v>1235</v>
      </c>
      <c r="O25" t="str">
        <f>IF(NOT(ISERROR( SEARCH(A25,#REF!))), "✓", "")</f>
        <v/>
      </c>
      <c r="P25" t="s">
        <v>1235</v>
      </c>
      <c r="T25" t="s">
        <v>1235</v>
      </c>
      <c r="V25" t="s">
        <v>1235</v>
      </c>
      <c r="AA25" t="s">
        <v>1235</v>
      </c>
      <c r="AM25" t="s">
        <v>1235</v>
      </c>
      <c r="AN25" s="14"/>
    </row>
    <row r="26" spans="1:40" ht="112" x14ac:dyDescent="0.2">
      <c r="A26" s="130" t="s">
        <v>1628</v>
      </c>
      <c r="B26" s="205" t="s">
        <v>1629</v>
      </c>
      <c r="C26" t="s">
        <v>20</v>
      </c>
      <c r="D26" s="9" t="s">
        <v>930</v>
      </c>
      <c r="E26" t="s">
        <v>1235</v>
      </c>
      <c r="F26" s="4" t="str">
        <f>IF(AND(ISTEXT("https://github.com/alopezvivar/ESAF-PSEUDOCODE"),"https://github.com/alopezvivar/ESAF-PSEUDOCODE"&lt;&gt;""), HYPERLINK("https://github.com/alopezvivar/ESAF-PSEUDOCODE", "Link"),"-")</f>
        <v>Link</v>
      </c>
      <c r="G26" s="19">
        <v>2020</v>
      </c>
      <c r="H26" s="4" t="s">
        <v>1630</v>
      </c>
      <c r="J26" t="s">
        <v>1631</v>
      </c>
      <c r="K26" t="s">
        <v>1235</v>
      </c>
      <c r="L26" t="s">
        <v>1235</v>
      </c>
      <c r="M26" t="s">
        <v>1235</v>
      </c>
      <c r="O26" t="str">
        <f>IF(NOT(ISERROR( SEARCH(A26,#REF!))), "✓", "")</f>
        <v/>
      </c>
      <c r="T26" t="s">
        <v>1235</v>
      </c>
      <c r="U26" t="s">
        <v>1235</v>
      </c>
      <c r="AL26" t="s">
        <v>1235</v>
      </c>
      <c r="AN26" s="14"/>
    </row>
    <row r="27" spans="1:40" ht="48" x14ac:dyDescent="0.2">
      <c r="A27" s="130" t="s">
        <v>1632</v>
      </c>
      <c r="B27" s="205" t="s">
        <v>2838</v>
      </c>
      <c r="C27" s="9" t="s">
        <v>1633</v>
      </c>
      <c r="D27" s="9" t="s">
        <v>930</v>
      </c>
      <c r="F27" s="4" t="str">
        <f>IF(AND(ISTEXT(""),""&lt;&gt;""), HYPERLINK("", "Link"),"-")</f>
        <v>-</v>
      </c>
      <c r="G27" s="20">
        <v>2021</v>
      </c>
      <c r="L27" t="s">
        <v>1235</v>
      </c>
      <c r="M27" t="s">
        <v>1235</v>
      </c>
      <c r="O27" t="str">
        <f>IF(NOT(ISERROR( SEARCH(A27,#REF!))), "✓", "")</f>
        <v/>
      </c>
      <c r="T27" t="s">
        <v>1235</v>
      </c>
      <c r="Z27" t="s">
        <v>1235</v>
      </c>
      <c r="AM27" t="s">
        <v>1235</v>
      </c>
      <c r="AN27" s="14"/>
    </row>
    <row r="28" spans="1:40" ht="48" x14ac:dyDescent="0.2">
      <c r="A28" s="130" t="s">
        <v>1634</v>
      </c>
      <c r="B28" s="205" t="s">
        <v>2839</v>
      </c>
      <c r="C28" t="s">
        <v>1081</v>
      </c>
      <c r="D28" s="9" t="s">
        <v>930</v>
      </c>
      <c r="E28" t="s">
        <v>1235</v>
      </c>
      <c r="F28" s="4" t="str">
        <f>IF(AND(ISTEXT("https://github.com/wuhongjun15/Peculiar"),"https://github.com/wuhongjun15/Peculiar"&lt;&gt;""), HYPERLINK("https://github.com/wuhongjun15/Peculiar", "Link"),"-")</f>
        <v>Link</v>
      </c>
      <c r="G28" s="19">
        <v>2021</v>
      </c>
      <c r="H28" s="4" t="s">
        <v>1635</v>
      </c>
      <c r="J28" t="s">
        <v>1617</v>
      </c>
      <c r="L28" t="s">
        <v>1235</v>
      </c>
      <c r="M28" t="s">
        <v>1235</v>
      </c>
      <c r="O28" t="str">
        <f>IF(NOT(ISERROR( SEARCH(A28,#REF!))), "✓", "")</f>
        <v/>
      </c>
      <c r="T28" t="s">
        <v>1235</v>
      </c>
      <c r="W28" t="s">
        <v>1235</v>
      </c>
      <c r="X28" t="s">
        <v>1235</v>
      </c>
      <c r="AM28" t="s">
        <v>1235</v>
      </c>
      <c r="AN28" s="14"/>
    </row>
    <row r="29" spans="1:40" ht="96" x14ac:dyDescent="0.2">
      <c r="A29" s="130" t="s">
        <v>1636</v>
      </c>
      <c r="B29" s="205" t="s">
        <v>2840</v>
      </c>
      <c r="C29" s="9" t="s">
        <v>1637</v>
      </c>
      <c r="D29" s="9" t="s">
        <v>930</v>
      </c>
      <c r="F29" s="4" t="str">
        <f>IF(AND(ISTEXT(""),""&lt;&gt;""), HYPERLINK("", "Link"),"-")</f>
        <v>-</v>
      </c>
      <c r="G29" s="20">
        <v>2021</v>
      </c>
      <c r="L29" t="s">
        <v>1235</v>
      </c>
      <c r="M29" t="s">
        <v>1235</v>
      </c>
      <c r="O29" t="str">
        <f>IF(NOT(ISERROR( SEARCH(A29,#REF!))), "✓", "")</f>
        <v/>
      </c>
      <c r="T29" t="s">
        <v>1235</v>
      </c>
      <c r="X29" t="s">
        <v>1235</v>
      </c>
      <c r="Z29" t="s">
        <v>1235</v>
      </c>
      <c r="AM29" t="s">
        <v>1235</v>
      </c>
      <c r="AN29" s="14"/>
    </row>
    <row r="30" spans="1:40" ht="48" x14ac:dyDescent="0.2">
      <c r="A30" s="130" t="s">
        <v>1638</v>
      </c>
      <c r="B30" s="205" t="s">
        <v>2841</v>
      </c>
      <c r="C30" s="9" t="s">
        <v>1639</v>
      </c>
      <c r="D30" s="9" t="s">
        <v>930</v>
      </c>
      <c r="F30" s="4" t="str">
        <f>IF(AND(ISTEXT(""),""&lt;&gt;""), HYPERLINK("", "Link"),"-")</f>
        <v>-</v>
      </c>
      <c r="G30" s="20">
        <v>2021</v>
      </c>
      <c r="K30" t="s">
        <v>1235</v>
      </c>
      <c r="L30" t="s">
        <v>1235</v>
      </c>
      <c r="M30" t="s">
        <v>1235</v>
      </c>
      <c r="O30" t="str">
        <f>IF(NOT(ISERROR( SEARCH(A30,#REF!))), "✓", "")</f>
        <v/>
      </c>
      <c r="T30" t="s">
        <v>1235</v>
      </c>
      <c r="V30" t="s">
        <v>1235</v>
      </c>
      <c r="W30" t="s">
        <v>1235</v>
      </c>
      <c r="X30" t="s">
        <v>1235</v>
      </c>
      <c r="Y30" t="s">
        <v>1235</v>
      </c>
      <c r="AM30" t="s">
        <v>1235</v>
      </c>
      <c r="AN30" s="14"/>
    </row>
    <row r="31" spans="1:40" ht="240" x14ac:dyDescent="0.2">
      <c r="A31" s="130" t="s">
        <v>1640</v>
      </c>
      <c r="B31" s="205" t="s">
        <v>1641</v>
      </c>
      <c r="C31" t="s">
        <v>1021</v>
      </c>
      <c r="D31" s="9" t="s">
        <v>930</v>
      </c>
      <c r="E31" t="s">
        <v>1235</v>
      </c>
      <c r="F31" s="4" t="str">
        <f>IF(AND(ISTEXT("https://github.com/shomzy/EtherProv"),"https://github.com/shomzy/EtherProv"&lt;&gt;""), HYPERLINK("https://github.com/shomzy/EtherProv", "Link"),"-")</f>
        <v>Link</v>
      </c>
      <c r="G31" s="19">
        <v>2022</v>
      </c>
      <c r="H31" s="4" t="s">
        <v>1642</v>
      </c>
      <c r="J31" t="s">
        <v>1576</v>
      </c>
      <c r="L31" t="s">
        <v>1235</v>
      </c>
      <c r="M31" t="s">
        <v>1235</v>
      </c>
      <c r="N31" t="s">
        <v>1235</v>
      </c>
      <c r="O31" t="str">
        <f>IF(NOT(ISERROR( SEARCH(A31,#REF!))), "✓", "")</f>
        <v/>
      </c>
      <c r="T31" t="s">
        <v>1235</v>
      </c>
      <c r="U31" t="s">
        <v>1235</v>
      </c>
      <c r="V31" t="s">
        <v>1235</v>
      </c>
      <c r="W31" t="s">
        <v>1235</v>
      </c>
      <c r="AH31" t="s">
        <v>1235</v>
      </c>
      <c r="AL31" t="s">
        <v>1235</v>
      </c>
      <c r="AN31" s="14" t="s">
        <v>1235</v>
      </c>
    </row>
    <row r="32" spans="1:40" ht="48" x14ac:dyDescent="0.2">
      <c r="A32" s="130" t="s">
        <v>1643</v>
      </c>
      <c r="B32" s="205" t="s">
        <v>1644</v>
      </c>
      <c r="C32" t="s">
        <v>1153</v>
      </c>
      <c r="D32" s="9" t="s">
        <v>930</v>
      </c>
      <c r="E32" t="s">
        <v>1235</v>
      </c>
      <c r="F32" s="4" t="str">
        <f>IF(AND(ISTEXT("https://github.com/chaoweilanmaohahaha/SmartGift"),"https://github.com/chaoweilanmaohahaha/SmartGift"&lt;&gt;""), HYPERLINK("https://github.com/chaoweilanmaohahaha/SmartGift", "Link"),"-")</f>
        <v>Link</v>
      </c>
      <c r="G32" s="19">
        <v>2021</v>
      </c>
      <c r="H32" s="4" t="s">
        <v>1642</v>
      </c>
      <c r="I32" t="s">
        <v>1645</v>
      </c>
      <c r="J32" t="s">
        <v>1576</v>
      </c>
      <c r="L32" t="s">
        <v>1235</v>
      </c>
      <c r="M32" t="s">
        <v>1235</v>
      </c>
      <c r="N32" t="s">
        <v>1235</v>
      </c>
      <c r="O32" t="str">
        <f>IF(NOT(ISERROR( SEARCH(A32,#REF!))), "✓", "")</f>
        <v/>
      </c>
      <c r="T32" t="s">
        <v>1235</v>
      </c>
      <c r="W32" t="s">
        <v>1235</v>
      </c>
      <c r="AM32" t="s">
        <v>1235</v>
      </c>
      <c r="AN32" s="14"/>
    </row>
    <row r="33" spans="1:40" ht="64" x14ac:dyDescent="0.2">
      <c r="A33" s="130" t="s">
        <v>2313</v>
      </c>
      <c r="B33" s="206" t="s">
        <v>2842</v>
      </c>
      <c r="C33" t="s">
        <v>1137</v>
      </c>
      <c r="D33" s="9" t="s">
        <v>2548</v>
      </c>
      <c r="E33" t="s">
        <v>1235</v>
      </c>
      <c r="F33" s="4" t="str">
        <f>IF(AND(ISTEXT("https://github.com/Messi-Q/AMEVulDetector"),"https://github.com/Messi-Q/AMEVulDetector"&lt;&gt;""), HYPERLINK("https://github.com/Messi-Q/AMEVulDetector", "Link"),"-")</f>
        <v>Link</v>
      </c>
      <c r="G33" s="19">
        <v>2021</v>
      </c>
      <c r="H33" s="4" t="s">
        <v>1578</v>
      </c>
      <c r="J33" t="s">
        <v>1576</v>
      </c>
      <c r="L33" t="s">
        <v>1235</v>
      </c>
      <c r="M33" t="s">
        <v>1235</v>
      </c>
      <c r="O33" t="str">
        <f>IF(NOT(ISERROR( SEARCH(A33,#REF!))), "✓", "")</f>
        <v/>
      </c>
      <c r="T33" t="s">
        <v>1235</v>
      </c>
      <c r="V33" t="s">
        <v>1235</v>
      </c>
      <c r="W33" t="s">
        <v>1235</v>
      </c>
      <c r="AK33" t="s">
        <v>1235</v>
      </c>
      <c r="AM33" t="s">
        <v>1235</v>
      </c>
      <c r="AN33" s="14"/>
    </row>
    <row r="34" spans="1:40" ht="96" x14ac:dyDescent="0.2">
      <c r="A34" s="130" t="s">
        <v>1647</v>
      </c>
      <c r="B34" s="205" t="s">
        <v>2843</v>
      </c>
      <c r="C34" s="9" t="s">
        <v>1648</v>
      </c>
      <c r="D34" s="9" t="s">
        <v>930</v>
      </c>
      <c r="F34" s="4" t="str">
        <f>IF(AND(ISTEXT(""),""&lt;&gt;""), HYPERLINK("", "Link"),"-")</f>
        <v>-</v>
      </c>
      <c r="G34" s="20">
        <v>2021</v>
      </c>
      <c r="K34" t="s">
        <v>1235</v>
      </c>
      <c r="M34" t="s">
        <v>1235</v>
      </c>
      <c r="O34" t="str">
        <f>IF(NOT(ISERROR( SEARCH(A34,#REF!))), "✓", "")</f>
        <v/>
      </c>
      <c r="T34" t="s">
        <v>1235</v>
      </c>
      <c r="Z34" t="s">
        <v>1235</v>
      </c>
      <c r="AM34" t="s">
        <v>1235</v>
      </c>
      <c r="AN34" s="14"/>
    </row>
    <row r="35" spans="1:40" ht="48" x14ac:dyDescent="0.2">
      <c r="A35" s="130" t="s">
        <v>1649</v>
      </c>
      <c r="B35" s="205" t="s">
        <v>1650</v>
      </c>
      <c r="C35" t="s">
        <v>874</v>
      </c>
      <c r="D35" s="9" t="s">
        <v>930</v>
      </c>
      <c r="F35" s="4" t="str">
        <f>IF(AND(ISTEXT(""),""&lt;&gt;""), HYPERLINK("", "Link"),"-")</f>
        <v>-</v>
      </c>
      <c r="G35" s="133">
        <v>2021</v>
      </c>
      <c r="L35" t="s">
        <v>1235</v>
      </c>
      <c r="M35" t="s">
        <v>1235</v>
      </c>
      <c r="O35" t="str">
        <f>IF(NOT(ISERROR( SEARCH(A35,#REF!))), "✓", "")</f>
        <v/>
      </c>
      <c r="T35" t="s">
        <v>1235</v>
      </c>
      <c r="X35" t="s">
        <v>1235</v>
      </c>
      <c r="AM35" t="s">
        <v>1235</v>
      </c>
      <c r="AN35" s="14"/>
    </row>
    <row r="36" spans="1:40" ht="96" x14ac:dyDescent="0.2">
      <c r="A36" s="130" t="s">
        <v>1651</v>
      </c>
      <c r="B36" s="205" t="s">
        <v>1652</v>
      </c>
      <c r="C36" t="s">
        <v>930</v>
      </c>
      <c r="D36" s="9" t="s">
        <v>930</v>
      </c>
      <c r="E36" t="s">
        <v>1235</v>
      </c>
      <c r="F36" s="4" t="str">
        <f>IF(AND(ISTEXT("https://github.com/Messi-Q/GPSCVulDetector"),"https://github.com/Messi-Q/GPSCVulDetector"&lt;&gt;""), HYPERLINK("https://github.com/Messi-Q/GPSCVulDetector", "Link"),"-")</f>
        <v>Link</v>
      </c>
      <c r="G36" s="133">
        <v>2023</v>
      </c>
      <c r="J36" t="s">
        <v>1576</v>
      </c>
      <c r="L36" t="s">
        <v>1235</v>
      </c>
      <c r="M36" t="s">
        <v>1235</v>
      </c>
      <c r="O36" t="str">
        <f>IF(NOT(ISERROR( SEARCH(A36,#REF!))), "✓", "")</f>
        <v/>
      </c>
      <c r="T36" t="s">
        <v>1235</v>
      </c>
      <c r="V36" t="s">
        <v>1235</v>
      </c>
      <c r="W36" t="s">
        <v>1235</v>
      </c>
      <c r="AK36" t="s">
        <v>1235</v>
      </c>
      <c r="AM36" t="s">
        <v>1235</v>
      </c>
      <c r="AN36" s="14"/>
    </row>
    <row r="37" spans="1:40" ht="48" x14ac:dyDescent="0.2">
      <c r="A37" s="130" t="s">
        <v>999</v>
      </c>
      <c r="B37" s="205" t="s">
        <v>2844</v>
      </c>
      <c r="C37" s="9"/>
      <c r="D37" s="9" t="s">
        <v>930</v>
      </c>
      <c r="F37" s="4" t="str">
        <f t="shared" ref="F37:F43" si="7">IF(AND(ISTEXT(""),""&lt;&gt;""), HYPERLINK("", "Link"),"-")</f>
        <v>-</v>
      </c>
      <c r="G37" s="20">
        <v>2021</v>
      </c>
      <c r="K37" t="s">
        <v>1235</v>
      </c>
      <c r="M37" t="s">
        <v>1235</v>
      </c>
      <c r="O37" t="str">
        <f>IF(NOT(ISERROR( SEARCH(A37,#REF!))), "✓", "")</f>
        <v/>
      </c>
      <c r="T37" t="s">
        <v>1235</v>
      </c>
      <c r="V37" t="s">
        <v>1235</v>
      </c>
      <c r="W37" t="s">
        <v>1235</v>
      </c>
      <c r="Z37" t="s">
        <v>1235</v>
      </c>
      <c r="AL37" t="s">
        <v>1235</v>
      </c>
      <c r="AN37" s="14"/>
    </row>
    <row r="38" spans="1:40" ht="64" x14ac:dyDescent="0.2">
      <c r="A38" s="130" t="s">
        <v>1653</v>
      </c>
      <c r="B38" s="205" t="s">
        <v>2845</v>
      </c>
      <c r="C38" s="9" t="s">
        <v>1654</v>
      </c>
      <c r="D38" s="9" t="s">
        <v>930</v>
      </c>
      <c r="F38" s="4" t="str">
        <f t="shared" si="7"/>
        <v>-</v>
      </c>
      <c r="G38" s="20">
        <v>2020</v>
      </c>
      <c r="L38" t="s">
        <v>1235</v>
      </c>
      <c r="M38" t="s">
        <v>1235</v>
      </c>
      <c r="O38" t="str">
        <f>IF(NOT(ISERROR( SEARCH(A38,#REF!))), "✓", "")</f>
        <v/>
      </c>
      <c r="T38" t="s">
        <v>1235</v>
      </c>
      <c r="AK38" t="s">
        <v>1235</v>
      </c>
      <c r="AN38" s="14"/>
    </row>
    <row r="39" spans="1:40" ht="32" x14ac:dyDescent="0.2">
      <c r="A39" s="130" t="s">
        <v>1655</v>
      </c>
      <c r="B39" s="205" t="s">
        <v>2846</v>
      </c>
      <c r="C39" s="9" t="s">
        <v>1656</v>
      </c>
      <c r="D39" s="9" t="s">
        <v>930</v>
      </c>
      <c r="F39" s="4" t="str">
        <f t="shared" si="7"/>
        <v>-</v>
      </c>
      <c r="G39" s="20">
        <v>2020</v>
      </c>
      <c r="L39" t="s">
        <v>1235</v>
      </c>
      <c r="M39" t="s">
        <v>1235</v>
      </c>
      <c r="O39" t="str">
        <f>IF(NOT(ISERROR( SEARCH(A39,#REF!))), "✓", "")</f>
        <v/>
      </c>
      <c r="T39" t="s">
        <v>1235</v>
      </c>
      <c r="V39" t="s">
        <v>1235</v>
      </c>
      <c r="AL39" t="s">
        <v>1235</v>
      </c>
      <c r="AN39" s="14"/>
    </row>
    <row r="40" spans="1:40" ht="48" x14ac:dyDescent="0.2">
      <c r="A40" s="130" t="s">
        <v>1657</v>
      </c>
      <c r="B40" s="205" t="s">
        <v>2847</v>
      </c>
      <c r="C40" s="9" t="s">
        <v>1658</v>
      </c>
      <c r="D40" s="9" t="s">
        <v>930</v>
      </c>
      <c r="F40" s="4" t="str">
        <f t="shared" si="7"/>
        <v>-</v>
      </c>
      <c r="G40" s="20">
        <v>2020</v>
      </c>
      <c r="L40" t="s">
        <v>1235</v>
      </c>
      <c r="M40" t="s">
        <v>1235</v>
      </c>
      <c r="O40" t="str">
        <f>IF(NOT(ISERROR( SEARCH(A40,#REF!))), "✓", "")</f>
        <v/>
      </c>
      <c r="T40" t="s">
        <v>1235</v>
      </c>
      <c r="X40" t="s">
        <v>1235</v>
      </c>
      <c r="AL40" t="s">
        <v>1235</v>
      </c>
      <c r="AN40" s="14"/>
    </row>
    <row r="41" spans="1:40" ht="224" x14ac:dyDescent="0.2">
      <c r="A41" s="92" t="s">
        <v>1659</v>
      </c>
      <c r="B41" s="205" t="s">
        <v>1660</v>
      </c>
      <c r="C41" s="8" t="s">
        <v>1661</v>
      </c>
      <c r="D41" s="9" t="s">
        <v>930</v>
      </c>
      <c r="F41" s="4" t="str">
        <f t="shared" si="7"/>
        <v>-</v>
      </c>
      <c r="G41" s="20">
        <v>2019</v>
      </c>
      <c r="K41" t="s">
        <v>1235</v>
      </c>
      <c r="M41" t="s">
        <v>1235</v>
      </c>
      <c r="O41" t="str">
        <f>IF(NOT(ISERROR( SEARCH(A41,#REF!))), "✓", "")</f>
        <v/>
      </c>
      <c r="T41" t="s">
        <v>1235</v>
      </c>
      <c r="U41" t="s">
        <v>1235</v>
      </c>
      <c r="Z41" t="s">
        <v>1235</v>
      </c>
      <c r="AC41" t="s">
        <v>1235</v>
      </c>
      <c r="AI41" t="s">
        <v>1235</v>
      </c>
      <c r="AL41" s="132"/>
      <c r="AN41" s="14" t="s">
        <v>1235</v>
      </c>
    </row>
    <row r="42" spans="1:40" ht="208" x14ac:dyDescent="0.2">
      <c r="A42" s="130" t="s">
        <v>1662</v>
      </c>
      <c r="B42" s="205" t="s">
        <v>1663</v>
      </c>
      <c r="C42" s="8" t="s">
        <v>1664</v>
      </c>
      <c r="D42" s="9" t="s">
        <v>930</v>
      </c>
      <c r="F42" s="4" t="str">
        <f t="shared" si="7"/>
        <v>-</v>
      </c>
      <c r="G42" s="20">
        <v>2021</v>
      </c>
      <c r="K42" t="s">
        <v>1235</v>
      </c>
      <c r="M42" t="s">
        <v>1235</v>
      </c>
      <c r="O42" t="str">
        <f>IF(NOT(ISERROR( SEARCH(A42,#REF!))), "✓", "")</f>
        <v/>
      </c>
      <c r="T42" t="s">
        <v>1235</v>
      </c>
      <c r="V42" t="s">
        <v>1235</v>
      </c>
      <c r="AM42" t="s">
        <v>1235</v>
      </c>
      <c r="AN42" s="14"/>
    </row>
    <row r="43" spans="1:40" ht="112" x14ac:dyDescent="0.2">
      <c r="A43" s="130" t="s">
        <v>1665</v>
      </c>
      <c r="B43" s="205" t="s">
        <v>1666</v>
      </c>
      <c r="C43" s="8" t="s">
        <v>1667</v>
      </c>
      <c r="D43" s="9" t="s">
        <v>930</v>
      </c>
      <c r="F43" s="4" t="str">
        <f t="shared" si="7"/>
        <v>-</v>
      </c>
      <c r="G43" s="20">
        <v>2020</v>
      </c>
      <c r="L43" t="s">
        <v>1235</v>
      </c>
      <c r="M43" t="s">
        <v>1235</v>
      </c>
      <c r="O43" t="str">
        <f>IF(NOT(ISERROR( SEARCH(A43,#REF!))), "✓", "")</f>
        <v/>
      </c>
      <c r="T43" t="s">
        <v>1235</v>
      </c>
      <c r="X43" t="s">
        <v>1235</v>
      </c>
      <c r="Z43" t="s">
        <v>1235</v>
      </c>
      <c r="AM43" t="s">
        <v>1235</v>
      </c>
      <c r="AN43" s="14"/>
    </row>
    <row r="44" spans="1:40" ht="224" x14ac:dyDescent="0.2">
      <c r="A44" s="92" t="s">
        <v>1668</v>
      </c>
      <c r="B44" s="205" t="s">
        <v>1669</v>
      </c>
      <c r="C44" t="s">
        <v>2307</v>
      </c>
      <c r="D44" s="8" t="s">
        <v>914</v>
      </c>
      <c r="E44" t="s">
        <v>1235</v>
      </c>
      <c r="F44" s="4" t="str">
        <f>IF(AND(ISTEXT("https://github.com/EVMFuzzer/EVMFuzzer"),"https://github.com/EVMFuzzer/EVMFuzzer"&lt;&gt;""), HYPERLINK("https://github.com/EVMFuzzer/EVMFuzzer", "Link"),"-")</f>
        <v>Link</v>
      </c>
      <c r="G44" s="19">
        <v>2019</v>
      </c>
      <c r="H44" s="4" t="s">
        <v>1670</v>
      </c>
      <c r="J44" t="s">
        <v>1576</v>
      </c>
      <c r="K44" t="s">
        <v>1235</v>
      </c>
      <c r="M44" t="s">
        <v>1235</v>
      </c>
      <c r="O44" t="str">
        <f>IF(NOT(ISERROR( SEARCH(A44,#REF!))), "✓", "")</f>
        <v/>
      </c>
      <c r="U44" t="s">
        <v>1235</v>
      </c>
      <c r="W44" t="s">
        <v>1235</v>
      </c>
      <c r="AG44" t="s">
        <v>1235</v>
      </c>
      <c r="AJ44" t="s">
        <v>1235</v>
      </c>
      <c r="AN44" s="14"/>
    </row>
    <row r="45" spans="1:40" ht="112" x14ac:dyDescent="0.2">
      <c r="A45" s="92" t="s">
        <v>1671</v>
      </c>
      <c r="B45" s="205" t="s">
        <v>1672</v>
      </c>
      <c r="C45" t="s">
        <v>925</v>
      </c>
      <c r="F45" s="4" t="str">
        <f>IF(AND(ISTEXT(""),""&lt;&gt;""), HYPERLINK("", "Link"),"-")</f>
        <v>-</v>
      </c>
      <c r="G45" s="20">
        <v>2022</v>
      </c>
      <c r="K45" t="s">
        <v>1235</v>
      </c>
      <c r="M45" t="s">
        <v>1235</v>
      </c>
      <c r="O45" t="str">
        <f>IF(NOT(ISERROR( SEARCH(A45,#REF!))), "✓", "")</f>
        <v/>
      </c>
      <c r="T45" t="s">
        <v>1235</v>
      </c>
      <c r="Z45" t="s">
        <v>1235</v>
      </c>
      <c r="AM45" t="s">
        <v>1235</v>
      </c>
      <c r="AN45" s="14"/>
    </row>
    <row r="46" spans="1:40" ht="192" x14ac:dyDescent="0.2">
      <c r="A46" s="130" t="s">
        <v>1673</v>
      </c>
      <c r="B46" s="205" t="s">
        <v>1674</v>
      </c>
      <c r="C46" s="8" t="s">
        <v>1675</v>
      </c>
      <c r="D46" s="8" t="s">
        <v>914</v>
      </c>
      <c r="E46" t="s">
        <v>1235</v>
      </c>
      <c r="F46" s="4" t="str">
        <f>IF(AND(ISTEXT("https://github.com/uni-due-syssec/evmpatch-developer-study"),"https://github.com/uni-due-syssec/evmpatch-developer-study"&lt;&gt;""), HYPERLINK("https://github.com/uni-due-syssec/evmpatch-developer-study", "Link"),"-")</f>
        <v>Link</v>
      </c>
      <c r="G46" s="19">
        <v>2021</v>
      </c>
      <c r="H46" s="4" t="s">
        <v>1676</v>
      </c>
      <c r="J46" t="s">
        <v>1576</v>
      </c>
      <c r="K46" t="s">
        <v>1235</v>
      </c>
      <c r="M46" t="s">
        <v>1235</v>
      </c>
      <c r="N46" t="s">
        <v>1235</v>
      </c>
      <c r="O46" t="str">
        <f>IF(NOT(ISERROR( SEARCH(A46,#REF!))), "✓", "")</f>
        <v/>
      </c>
      <c r="P46" t="s">
        <v>1235</v>
      </c>
      <c r="R46" t="s">
        <v>1235</v>
      </c>
      <c r="T46" t="s">
        <v>1235</v>
      </c>
      <c r="U46" t="s">
        <v>1235</v>
      </c>
      <c r="V46" t="s">
        <v>1235</v>
      </c>
      <c r="AE46" t="s">
        <v>1235</v>
      </c>
      <c r="AL46" s="132"/>
      <c r="AN46" s="14"/>
    </row>
    <row r="47" spans="1:40" ht="80" x14ac:dyDescent="0.2">
      <c r="A47" s="130" t="s">
        <v>1677</v>
      </c>
      <c r="B47" s="205" t="s">
        <v>2312</v>
      </c>
      <c r="C47" t="s">
        <v>961</v>
      </c>
      <c r="E47" t="s">
        <v>1235</v>
      </c>
      <c r="F47" s="4" t="str">
        <f>IF(AND(ISTEXT("https://github.com/s00ne/SmartConDetect"),"https://github.com/s00ne/SmartConDetect"&lt;&gt;""), HYPERLINK("https://github.com/s00ne/SmartConDetect", "Link"),"-")</f>
        <v>Link</v>
      </c>
      <c r="G47" s="19">
        <v>2023</v>
      </c>
      <c r="H47" s="4" t="s">
        <v>1678</v>
      </c>
      <c r="L47" t="s">
        <v>1235</v>
      </c>
      <c r="M47" t="s">
        <v>1235</v>
      </c>
      <c r="O47" t="str">
        <f>IF(NOT(ISERROR( SEARCH(A47,#REF!))), "✓", "")</f>
        <v/>
      </c>
      <c r="T47" t="s">
        <v>1235</v>
      </c>
      <c r="Z47" t="s">
        <v>1235</v>
      </c>
      <c r="AK47" t="s">
        <v>1235</v>
      </c>
      <c r="AM47" t="s">
        <v>1235</v>
      </c>
      <c r="AN47" s="14"/>
    </row>
    <row r="48" spans="1:40" ht="80" x14ac:dyDescent="0.2">
      <c r="A48" s="92" t="s">
        <v>1679</v>
      </c>
      <c r="B48" s="205" t="s">
        <v>1680</v>
      </c>
      <c r="C48" t="s">
        <v>1231</v>
      </c>
      <c r="D48" s="8" t="s">
        <v>865</v>
      </c>
      <c r="E48" t="s">
        <v>1235</v>
      </c>
      <c r="F48" s="4" t="str">
        <f>IF(AND(ISTEXT("https://github.com/ToolmanInside/xfuzz_tool "),"https://github.com/ToolmanInside/xfuzz_tool "&lt;&gt;""), HYPERLINK("https://github.com/ToolmanInside/xfuzz_tool ", "Link"),"-")</f>
        <v>Link</v>
      </c>
      <c r="G48" s="19">
        <v>2022</v>
      </c>
      <c r="H48" s="4" t="s">
        <v>1681</v>
      </c>
      <c r="J48" t="s">
        <v>1622</v>
      </c>
      <c r="L48" t="s">
        <v>1235</v>
      </c>
      <c r="M48" t="s">
        <v>1235</v>
      </c>
      <c r="N48" t="s">
        <v>1235</v>
      </c>
      <c r="O48" t="str">
        <f>IF(NOT(ISERROR( SEARCH(A48,#REF!))), "✓", "")</f>
        <v/>
      </c>
      <c r="T48" t="s">
        <v>1235</v>
      </c>
      <c r="U48" t="s">
        <v>1235</v>
      </c>
      <c r="V48" t="s">
        <v>1235</v>
      </c>
      <c r="X48" t="s">
        <v>1235</v>
      </c>
      <c r="AG48" t="s">
        <v>1235</v>
      </c>
      <c r="AM48" t="s">
        <v>1235</v>
      </c>
      <c r="AN48" s="14"/>
    </row>
    <row r="49" spans="1:40" ht="208" x14ac:dyDescent="0.2">
      <c r="A49" s="92" t="s">
        <v>1682</v>
      </c>
      <c r="B49" s="205" t="s">
        <v>1683</v>
      </c>
      <c r="C49" t="s">
        <v>986</v>
      </c>
      <c r="D49" s="8" t="s">
        <v>865</v>
      </c>
      <c r="E49" t="s">
        <v>1235</v>
      </c>
      <c r="F49" s="4" t="str">
        <f>IF(AND(ISTEXT("https://github.com/Demonhero0/rlf"),"https://github.com/Demonhero0/rlf"&lt;&gt;""), HYPERLINK("https://github.com/Demonhero0/rlf", "Link"),"-")</f>
        <v>Link</v>
      </c>
      <c r="G49" s="19">
        <v>2022</v>
      </c>
      <c r="H49" s="4" t="s">
        <v>1684</v>
      </c>
      <c r="J49" t="s">
        <v>1576</v>
      </c>
      <c r="L49" t="s">
        <v>1235</v>
      </c>
      <c r="M49" t="s">
        <v>1235</v>
      </c>
      <c r="O49" t="str">
        <f>IF(NOT(ISERROR( SEARCH(A49,#REF!))), "✓", "")</f>
        <v/>
      </c>
      <c r="U49" t="s">
        <v>1235</v>
      </c>
      <c r="W49" t="s">
        <v>1235</v>
      </c>
      <c r="AG49" t="s">
        <v>1235</v>
      </c>
      <c r="AM49" t="s">
        <v>1235</v>
      </c>
      <c r="AN49" s="14"/>
    </row>
    <row r="50" spans="1:40" ht="80" x14ac:dyDescent="0.2">
      <c r="A50" s="92" t="s">
        <v>1685</v>
      </c>
      <c r="B50" s="205" t="s">
        <v>1686</v>
      </c>
      <c r="C50" t="s">
        <v>1098</v>
      </c>
      <c r="D50" s="8" t="s">
        <v>865</v>
      </c>
      <c r="E50" t="s">
        <v>1235</v>
      </c>
      <c r="F50" s="4" t="str">
        <f>IF(AND(ISTEXT("https://github.com/Messi-Q/IR-Fuzz"),"https://github.com/Messi-Q/IR-Fuzz"&lt;&gt;""), HYPERLINK("https://github.com/Messi-Q/IR-Fuzz", "Link"),"-")</f>
        <v>Link</v>
      </c>
      <c r="G50" s="19">
        <v>2023</v>
      </c>
      <c r="H50" s="4" t="s">
        <v>1687</v>
      </c>
      <c r="J50" t="s">
        <v>1622</v>
      </c>
      <c r="L50" t="s">
        <v>1235</v>
      </c>
      <c r="M50" t="s">
        <v>1235</v>
      </c>
      <c r="N50" t="s">
        <v>1235</v>
      </c>
      <c r="O50" t="str">
        <f>IF(NOT(ISERROR( SEARCH(A50,#REF!))), "✓", "")</f>
        <v/>
      </c>
      <c r="U50" t="s">
        <v>1235</v>
      </c>
      <c r="W50" t="s">
        <v>1235</v>
      </c>
      <c r="X50" t="s">
        <v>1235</v>
      </c>
      <c r="AG50" t="s">
        <v>1235</v>
      </c>
      <c r="AJ50" t="s">
        <v>1235</v>
      </c>
      <c r="AL50" s="132"/>
      <c r="AN50" s="14"/>
    </row>
    <row r="51" spans="1:40" ht="240" x14ac:dyDescent="0.2">
      <c r="A51" s="92" t="s">
        <v>1688</v>
      </c>
      <c r="B51" s="205" t="s">
        <v>1689</v>
      </c>
      <c r="C51" t="s">
        <v>1055</v>
      </c>
      <c r="D51" s="8" t="s">
        <v>865</v>
      </c>
      <c r="E51" t="s">
        <v>1235</v>
      </c>
      <c r="F51" s="4" t="str">
        <f>IF(AND(ISTEXT("https://github.com/fuzzland/ityfuzz"),"https://github.com/fuzzland/ityfuzz"&lt;&gt;""), HYPERLINK("https://github.com/fuzzland/ityfuzz", "Link"),"-")</f>
        <v>Link</v>
      </c>
      <c r="G51" s="19">
        <v>2023</v>
      </c>
      <c r="H51" s="4" t="s">
        <v>1690</v>
      </c>
      <c r="I51" t="s">
        <v>1691</v>
      </c>
      <c r="J51" t="s">
        <v>1692</v>
      </c>
      <c r="L51" t="s">
        <v>1235</v>
      </c>
      <c r="M51" t="s">
        <v>1235</v>
      </c>
      <c r="N51" t="s">
        <v>1235</v>
      </c>
      <c r="O51" t="str">
        <f>IF(NOT(ISERROR( SEARCH(A51,#REF!))), "✓", "")</f>
        <v/>
      </c>
      <c r="U51" t="s">
        <v>1235</v>
      </c>
      <c r="W51" t="s">
        <v>1235</v>
      </c>
      <c r="AG51" t="s">
        <v>1235</v>
      </c>
      <c r="AJ51" t="s">
        <v>1235</v>
      </c>
      <c r="AL51" s="132"/>
      <c r="AN51" s="14"/>
    </row>
    <row r="52" spans="1:40" ht="32" x14ac:dyDescent="0.2">
      <c r="A52" s="92" t="s">
        <v>1693</v>
      </c>
      <c r="B52" s="205" t="s">
        <v>1694</v>
      </c>
      <c r="C52" s="8" t="s">
        <v>1695</v>
      </c>
      <c r="D52" s="8" t="s">
        <v>865</v>
      </c>
      <c r="E52" t="s">
        <v>1235</v>
      </c>
      <c r="F52" s="4" t="str">
        <f>IF(AND(ISTEXT("https://github.com/wesleyjtann/Safe-SmartContracts"),"https://github.com/wesleyjtann/Safe-SmartContracts"&lt;&gt;""), HYPERLINK("https://github.com/wesleyjtann/Safe-SmartContracts", "Link"),"-")</f>
        <v>Link</v>
      </c>
      <c r="G52" s="19">
        <v>2019</v>
      </c>
      <c r="H52" s="4" t="s">
        <v>1696</v>
      </c>
      <c r="J52" t="s">
        <v>1697</v>
      </c>
      <c r="K52" t="s">
        <v>1235</v>
      </c>
      <c r="M52" t="s">
        <v>1235</v>
      </c>
      <c r="O52" t="str">
        <f>IF(NOT(ISERROR( SEARCH(A52,#REF!))), "✓", "")</f>
        <v/>
      </c>
      <c r="Q52" t="s">
        <v>1235</v>
      </c>
      <c r="T52" t="s">
        <v>1235</v>
      </c>
      <c r="Z52" t="s">
        <v>1235</v>
      </c>
      <c r="AM52" t="s">
        <v>1235</v>
      </c>
      <c r="AN52" s="14"/>
    </row>
    <row r="53" spans="1:40" ht="64" x14ac:dyDescent="0.2">
      <c r="A53" s="92" t="s">
        <v>1698</v>
      </c>
      <c r="B53" s="205" t="s">
        <v>1699</v>
      </c>
      <c r="C53" s="8" t="s">
        <v>1700</v>
      </c>
      <c r="D53" s="8" t="s">
        <v>2549</v>
      </c>
      <c r="E53" t="s">
        <v>1235</v>
      </c>
      <c r="F53" s="4" t="str">
        <f>IF(AND(ISTEXT("https://github.com/Messi-Q/ReChecker"),"https://github.com/Messi-Q/ReChecker"&lt;&gt;""), HYPERLINK("https://github.com/Messi-Q/ReChecker", "Link"),"-")</f>
        <v>Link</v>
      </c>
      <c r="G53" s="19">
        <v>2020</v>
      </c>
      <c r="H53" s="4" t="s">
        <v>1701</v>
      </c>
      <c r="J53" t="s">
        <v>1576</v>
      </c>
      <c r="L53" t="s">
        <v>1235</v>
      </c>
      <c r="M53" t="s">
        <v>1235</v>
      </c>
      <c r="O53" t="str">
        <f>IF(NOT(ISERROR( SEARCH(A53,#REF!))), "✓", "")</f>
        <v/>
      </c>
      <c r="T53" t="s">
        <v>1235</v>
      </c>
      <c r="Z53" t="s">
        <v>1235</v>
      </c>
      <c r="AM53" t="s">
        <v>1235</v>
      </c>
      <c r="AN53" s="14"/>
    </row>
    <row r="54" spans="1:40" ht="48" x14ac:dyDescent="0.2">
      <c r="A54" s="130" t="s">
        <v>1702</v>
      </c>
      <c r="B54" s="205" t="s">
        <v>1703</v>
      </c>
      <c r="C54" s="8" t="s">
        <v>1704</v>
      </c>
      <c r="D54" s="8" t="s">
        <v>865</v>
      </c>
      <c r="F54" s="4" t="str">
        <f>IF(AND(ISTEXT(""),""&lt;&gt;""), HYPERLINK("", "Link"),"-")</f>
        <v>-</v>
      </c>
      <c r="G54" s="20">
        <v>2023</v>
      </c>
      <c r="L54" t="s">
        <v>1235</v>
      </c>
      <c r="M54" t="s">
        <v>1235</v>
      </c>
      <c r="O54" t="str">
        <f>IF(NOT(ISERROR( SEARCH(A54,#REF!))), "✓", "")</f>
        <v/>
      </c>
      <c r="T54" t="s">
        <v>1235</v>
      </c>
      <c r="V54" t="s">
        <v>1235</v>
      </c>
      <c r="AM54" t="s">
        <v>1235</v>
      </c>
      <c r="AN54" s="14"/>
    </row>
    <row r="55" spans="1:40" ht="80" x14ac:dyDescent="0.2">
      <c r="A55" s="92" t="s">
        <v>1705</v>
      </c>
      <c r="B55" s="205" t="s">
        <v>1706</v>
      </c>
      <c r="C55" s="8" t="s">
        <v>1707</v>
      </c>
      <c r="D55" s="8" t="s">
        <v>865</v>
      </c>
      <c r="F55" s="4" t="str">
        <f>IF(AND(ISTEXT(""),""&lt;&gt;""), HYPERLINK("", "Link"),"-")</f>
        <v>-</v>
      </c>
      <c r="G55" s="20">
        <v>2022</v>
      </c>
      <c r="L55" t="s">
        <v>1235</v>
      </c>
      <c r="M55" t="s">
        <v>1235</v>
      </c>
      <c r="N55" t="s">
        <v>1235</v>
      </c>
      <c r="O55" t="str">
        <f>IF(NOT(ISERROR( SEARCH(A55,#REF!))), "✓", "")</f>
        <v/>
      </c>
      <c r="R55" t="s">
        <v>1235</v>
      </c>
      <c r="T55" t="s">
        <v>1235</v>
      </c>
      <c r="V55" t="s">
        <v>1235</v>
      </c>
      <c r="W55" t="s">
        <v>1235</v>
      </c>
      <c r="X55" t="s">
        <v>1235</v>
      </c>
      <c r="Y55" t="s">
        <v>1235</v>
      </c>
      <c r="Z55" t="s">
        <v>1235</v>
      </c>
      <c r="AN55" s="14"/>
    </row>
    <row r="56" spans="1:40" ht="48" x14ac:dyDescent="0.2">
      <c r="A56" s="92" t="s">
        <v>1708</v>
      </c>
      <c r="B56" s="205" t="s">
        <v>1709</v>
      </c>
      <c r="C56" s="8" t="s">
        <v>1710</v>
      </c>
      <c r="D56" s="8" t="s">
        <v>865</v>
      </c>
      <c r="E56" t="s">
        <v>1235</v>
      </c>
      <c r="F56" s="4" t="str">
        <f>IF(AND(ISTEXT("https://sites.google.com/view/ase2022-definery"),"https://sites.google.com/view/ase2022-definery"&lt;&gt;""), HYPERLINK("https://sites.google.com/view/ase2022-definery", "Link"),"-")</f>
        <v>Link</v>
      </c>
      <c r="G56" s="19">
        <v>2022</v>
      </c>
      <c r="H56" s="4" t="s">
        <v>1711</v>
      </c>
      <c r="J56" t="s">
        <v>1712</v>
      </c>
      <c r="L56" t="s">
        <v>1235</v>
      </c>
      <c r="M56" t="s">
        <v>1235</v>
      </c>
      <c r="N56" t="s">
        <v>1235</v>
      </c>
      <c r="O56" t="str">
        <f>IF(NOT(ISERROR( SEARCH(A56,#REF!))), "✓", "")</f>
        <v/>
      </c>
      <c r="P56" t="s">
        <v>1235</v>
      </c>
      <c r="R56" t="s">
        <v>1235</v>
      </c>
      <c r="S56" t="s">
        <v>1235</v>
      </c>
      <c r="T56" t="s">
        <v>1235</v>
      </c>
      <c r="U56" t="s">
        <v>1235</v>
      </c>
      <c r="W56" t="s">
        <v>1235</v>
      </c>
      <c r="AC56" t="s">
        <v>1235</v>
      </c>
      <c r="AJ56" t="s">
        <v>1235</v>
      </c>
      <c r="AL56" s="132"/>
      <c r="AN56" s="14"/>
    </row>
    <row r="57" spans="1:40" ht="112" x14ac:dyDescent="0.2">
      <c r="A57" s="92" t="s">
        <v>914</v>
      </c>
      <c r="B57" s="205" t="s">
        <v>1713</v>
      </c>
      <c r="C57" t="s">
        <v>914</v>
      </c>
      <c r="F57" s="4" t="str">
        <f>IF(AND(ISTEXT(""),""&lt;&gt;""), HYPERLINK("", "Link"),"-")</f>
        <v>-</v>
      </c>
      <c r="G57" s="134">
        <v>2021</v>
      </c>
      <c r="L57" t="s">
        <v>1235</v>
      </c>
      <c r="M57" t="s">
        <v>1235</v>
      </c>
      <c r="O57" t="str">
        <f>IF(NOT(ISERROR( SEARCH(A57,#REF!))), "✓", "")</f>
        <v/>
      </c>
      <c r="T57" t="s">
        <v>1235</v>
      </c>
      <c r="X57" t="s">
        <v>1235</v>
      </c>
      <c r="AM57" t="s">
        <v>1235</v>
      </c>
      <c r="AN57" s="14"/>
    </row>
    <row r="58" spans="1:40" ht="128" x14ac:dyDescent="0.2">
      <c r="A58" s="92" t="s">
        <v>1714</v>
      </c>
      <c r="B58" s="205" t="s">
        <v>1715</v>
      </c>
      <c r="C58" t="s">
        <v>1150</v>
      </c>
      <c r="E58" t="s">
        <v>1235</v>
      </c>
      <c r="F58" s="4" t="str">
        <f>IF(AND(ISTEXT("https://github.com/SmartContractTools/SmartFast/tree/main"),"https://github.com/SmartContractTools/SmartFast/tree/main"&lt;&gt;""), HYPERLINK("https://github.com/SmartContractTools/SmartFast/tree/main", "Link"),"-")</f>
        <v>Link</v>
      </c>
      <c r="G58" s="19">
        <v>2022</v>
      </c>
      <c r="H58" s="4" t="s">
        <v>1684</v>
      </c>
      <c r="J58" t="s">
        <v>1576</v>
      </c>
      <c r="L58" t="s">
        <v>1235</v>
      </c>
      <c r="M58" t="s">
        <v>1235</v>
      </c>
      <c r="N58" t="s">
        <v>1235</v>
      </c>
      <c r="O58" t="str">
        <f>IF(NOT(ISERROR( SEARCH(A58,#REF!))), "✓", "")</f>
        <v/>
      </c>
      <c r="S58" t="s">
        <v>1235</v>
      </c>
      <c r="T58" t="s">
        <v>1235</v>
      </c>
      <c r="V58" t="s">
        <v>1235</v>
      </c>
      <c r="Z58" t="s">
        <v>1235</v>
      </c>
      <c r="AK58" t="s">
        <v>1235</v>
      </c>
      <c r="AN58" s="14" t="s">
        <v>1235</v>
      </c>
    </row>
    <row r="59" spans="1:40" ht="64" x14ac:dyDescent="0.2">
      <c r="A59" s="92" t="s">
        <v>1716</v>
      </c>
      <c r="B59" s="205" t="s">
        <v>1717</v>
      </c>
      <c r="C59" t="s">
        <v>1070</v>
      </c>
      <c r="F59" s="4" t="str">
        <f>IF(AND(ISTEXT(""),""&lt;&gt;""), HYPERLINK("", "Link"),"-")</f>
        <v>-</v>
      </c>
      <c r="G59" s="134">
        <v>2023</v>
      </c>
      <c r="L59" t="s">
        <v>1235</v>
      </c>
      <c r="M59" t="s">
        <v>1235</v>
      </c>
      <c r="O59" t="str">
        <f>IF(NOT(ISERROR( SEARCH(A59,#REF!))), "✓", "")</f>
        <v/>
      </c>
      <c r="T59" t="s">
        <v>1235</v>
      </c>
      <c r="X59" t="s">
        <v>1235</v>
      </c>
      <c r="Z59" t="s">
        <v>1235</v>
      </c>
      <c r="AK59" t="s">
        <v>1235</v>
      </c>
      <c r="AN59" s="14"/>
    </row>
    <row r="60" spans="1:40" ht="48" x14ac:dyDescent="0.2">
      <c r="A60" s="92" t="s">
        <v>1718</v>
      </c>
      <c r="B60" s="205" t="s">
        <v>1719</v>
      </c>
      <c r="C60" t="s">
        <v>1172</v>
      </c>
      <c r="E60" t="s">
        <v>1235</v>
      </c>
      <c r="F60" s="4" t="str">
        <f>IF(AND(ISTEXT("https://github.com/MorenaBarboni/SuMo-SOlidity-Mutator"),"https://github.com/MorenaBarboni/SuMo-SOlidity-Mutator"&lt;&gt;""), HYPERLINK("https://github.com/MorenaBarboni/SuMo-SOlidity-Mutator", "Link"),"-")</f>
        <v>Link</v>
      </c>
      <c r="G60" s="19">
        <v>2022</v>
      </c>
      <c r="H60" s="4" t="s">
        <v>1681</v>
      </c>
      <c r="I60" t="s">
        <v>1720</v>
      </c>
      <c r="J60" t="s">
        <v>1721</v>
      </c>
      <c r="L60" t="s">
        <v>1235</v>
      </c>
      <c r="M60" t="s">
        <v>1235</v>
      </c>
      <c r="N60" t="s">
        <v>1235</v>
      </c>
      <c r="O60" t="str">
        <f>IF(NOT(ISERROR( SEARCH(A60,#REF!))), "✓", "")</f>
        <v/>
      </c>
      <c r="S60" t="s">
        <v>1235</v>
      </c>
      <c r="U60" t="s">
        <v>1235</v>
      </c>
      <c r="X60" t="s">
        <v>1235</v>
      </c>
      <c r="AJ60" t="s">
        <v>1235</v>
      </c>
      <c r="AL60" s="132"/>
      <c r="AN60" s="14"/>
    </row>
    <row r="61" spans="1:40" ht="96" x14ac:dyDescent="0.2">
      <c r="A61" s="92" t="s">
        <v>1722</v>
      </c>
      <c r="B61" s="205" t="s">
        <v>1723</v>
      </c>
      <c r="C61" t="s">
        <v>1096</v>
      </c>
      <c r="F61" s="4" t="str">
        <f>IF(AND(ISTEXT(""),""&lt;&gt;""), HYPERLINK("", "Link"),"-")</f>
        <v>-</v>
      </c>
      <c r="G61" s="134">
        <v>2023</v>
      </c>
      <c r="L61" t="s">
        <v>1235</v>
      </c>
      <c r="M61" t="s">
        <v>1235</v>
      </c>
      <c r="N61" t="s">
        <v>1235</v>
      </c>
      <c r="O61" t="str">
        <f>IF(NOT(ISERROR( SEARCH(A61,#REF!))), "✓", "")</f>
        <v/>
      </c>
      <c r="S61" t="s">
        <v>1235</v>
      </c>
      <c r="T61" t="s">
        <v>1235</v>
      </c>
      <c r="U61" t="s">
        <v>1235</v>
      </c>
      <c r="X61" t="s">
        <v>1235</v>
      </c>
      <c r="AJ61" t="s">
        <v>1235</v>
      </c>
      <c r="AL61" s="132"/>
      <c r="AN61" s="14"/>
    </row>
    <row r="62" spans="1:40" ht="240" x14ac:dyDescent="0.2">
      <c r="A62" s="92" t="s">
        <v>1724</v>
      </c>
      <c r="B62" s="205" t="s">
        <v>1725</v>
      </c>
      <c r="C62" t="s">
        <v>1049</v>
      </c>
      <c r="D62" s="8" t="s">
        <v>20</v>
      </c>
      <c r="F62" s="4" t="str">
        <f>IF(AND(ISTEXT(""),""&lt;&gt;""), HYPERLINK("", "Link"),"-")</f>
        <v>-</v>
      </c>
      <c r="G62" s="134">
        <v>2022</v>
      </c>
      <c r="K62" t="s">
        <v>1235</v>
      </c>
      <c r="M62" t="s">
        <v>1235</v>
      </c>
      <c r="O62" t="str">
        <f>IF(NOT(ISERROR( SEARCH(A62,#REF!))), "✓", "")</f>
        <v/>
      </c>
      <c r="T62" t="s">
        <v>1235</v>
      </c>
      <c r="Z62" t="s">
        <v>1235</v>
      </c>
      <c r="AM62" t="s">
        <v>1235</v>
      </c>
      <c r="AN62" s="14"/>
    </row>
    <row r="63" spans="1:40" ht="96" x14ac:dyDescent="0.2">
      <c r="A63" s="92" t="s">
        <v>1726</v>
      </c>
      <c r="B63" s="205" t="s">
        <v>1727</v>
      </c>
      <c r="C63" t="s">
        <v>1058</v>
      </c>
      <c r="D63" s="8" t="s">
        <v>20</v>
      </c>
      <c r="E63" t="s">
        <v>1235</v>
      </c>
      <c r="F63" s="4" t="str">
        <f>IF(AND(ISTEXT("https://github.com/woods1060/M-A-R"),"https://github.com/woods1060/M-A-R"&lt;&gt;""), HYPERLINK("https://github.com/woods1060/M-A-R", "Link"),"-")</f>
        <v>Link</v>
      </c>
      <c r="G63" s="19">
        <v>2021</v>
      </c>
      <c r="H63" s="4" t="s">
        <v>1676</v>
      </c>
      <c r="J63" t="s">
        <v>1576</v>
      </c>
      <c r="L63" t="s">
        <v>1235</v>
      </c>
      <c r="M63" t="s">
        <v>1235</v>
      </c>
      <c r="O63" t="str">
        <f>IF(NOT(ISERROR( SEARCH(A63,#REF!))), "✓", "")</f>
        <v/>
      </c>
      <c r="U63" t="s">
        <v>1235</v>
      </c>
      <c r="W63" t="s">
        <v>1235</v>
      </c>
      <c r="AC63" t="s">
        <v>1235</v>
      </c>
      <c r="AI63" t="s">
        <v>1235</v>
      </c>
      <c r="AN63" s="14"/>
    </row>
    <row r="64" spans="1:40" ht="48" x14ac:dyDescent="0.2">
      <c r="A64" s="92" t="s">
        <v>1728</v>
      </c>
      <c r="B64" s="205" t="s">
        <v>1729</v>
      </c>
      <c r="C64" t="s">
        <v>1148</v>
      </c>
      <c r="D64" s="8" t="s">
        <v>20</v>
      </c>
      <c r="F64" s="4" t="str">
        <f>IF(AND(ISTEXT(""),""&lt;&gt;""), HYPERLINK("", "Link"),"-")</f>
        <v>-</v>
      </c>
      <c r="G64" s="20">
        <v>2021</v>
      </c>
      <c r="L64" t="s">
        <v>1235</v>
      </c>
      <c r="M64" t="s">
        <v>1235</v>
      </c>
      <c r="O64" t="str">
        <f>IF(NOT(ISERROR( SEARCH(A64,#REF!))), "✓", "")</f>
        <v/>
      </c>
      <c r="Q64" t="s">
        <v>1235</v>
      </c>
      <c r="T64" t="s">
        <v>1235</v>
      </c>
      <c r="W64" t="s">
        <v>1235</v>
      </c>
      <c r="AC64" t="s">
        <v>1235</v>
      </c>
      <c r="AN64" s="14"/>
    </row>
    <row r="65" spans="1:40" ht="64" x14ac:dyDescent="0.2">
      <c r="A65" s="92" t="s">
        <v>1730</v>
      </c>
      <c r="B65" s="205" t="s">
        <v>1731</v>
      </c>
      <c r="C65" t="s">
        <v>2308</v>
      </c>
      <c r="D65" t="s">
        <v>1732</v>
      </c>
      <c r="E65" t="s">
        <v>1235</v>
      </c>
      <c r="F65" s="4" t="str">
        <f>IF(AND(ISTEXT("https://github.com/msuiche/porosity"),"https://github.com/msuiche/porosity"&lt;&gt;""), HYPERLINK("https://github.com/msuiche/porosity", "Link"),"-")</f>
        <v>Link</v>
      </c>
      <c r="G65" s="19">
        <v>2017</v>
      </c>
      <c r="H65" s="4" t="s">
        <v>1733</v>
      </c>
      <c r="J65" t="s">
        <v>1622</v>
      </c>
      <c r="K65" t="s">
        <v>1235</v>
      </c>
      <c r="O65" t="str">
        <f>IF(NOT(ISERROR( SEARCH(A65,#REF!))), "✓", "")</f>
        <v/>
      </c>
      <c r="T65" t="s">
        <v>1235</v>
      </c>
      <c r="U65" t="s">
        <v>1235</v>
      </c>
      <c r="Y65" t="s">
        <v>1235</v>
      </c>
      <c r="AN65" s="14"/>
    </row>
    <row r="66" spans="1:40" ht="160" x14ac:dyDescent="0.2">
      <c r="A66" s="92" t="s">
        <v>1734</v>
      </c>
      <c r="B66" s="205" t="s">
        <v>1735</v>
      </c>
      <c r="C66" t="s">
        <v>1064</v>
      </c>
      <c r="E66" t="s">
        <v>1235</v>
      </c>
      <c r="F66" s="4" t="str">
        <f>IF(AND(ISTEXT("https://github.com/MANDO-Project/ge-sc-machine"),"https://github.com/MANDO-Project/ge-sc-machine"&lt;&gt;""), HYPERLINK("https://github.com/MANDO-Project/ge-sc-machine", "Link"),"-")</f>
        <v>Link</v>
      </c>
      <c r="G66" s="19">
        <v>2022</v>
      </c>
      <c r="H66" s="4" t="s">
        <v>1736</v>
      </c>
      <c r="J66" t="s">
        <v>1576</v>
      </c>
      <c r="L66" t="s">
        <v>1235</v>
      </c>
      <c r="M66" t="s">
        <v>1235</v>
      </c>
      <c r="O66" t="str">
        <f>IF(NOT(ISERROR( SEARCH(A66,#REF!))), "✓", "")</f>
        <v/>
      </c>
      <c r="T66" t="s">
        <v>1235</v>
      </c>
      <c r="V66" t="s">
        <v>1235</v>
      </c>
      <c r="AM66" t="s">
        <v>1235</v>
      </c>
      <c r="AN66" s="14"/>
    </row>
    <row r="67" spans="1:40" ht="192" x14ac:dyDescent="0.2">
      <c r="A67" s="92" t="s">
        <v>1737</v>
      </c>
      <c r="B67" s="205" t="s">
        <v>1738</v>
      </c>
      <c r="C67" t="s">
        <v>1067</v>
      </c>
      <c r="E67" t="s">
        <v>1235</v>
      </c>
      <c r="F67" s="4" t="str">
        <f>IF(AND(ISTEXT("https://github.com/MANDO-Project/ge-sc-transformer"),"https://github.com/MANDO-Project/ge-sc-transformer"&lt;&gt;""), HYPERLINK("https://github.com/MANDO-Project/ge-sc-transformer", "Link"),"-")</f>
        <v>Link</v>
      </c>
      <c r="G67" s="19">
        <v>2023</v>
      </c>
      <c r="H67" s="4" t="s">
        <v>1687</v>
      </c>
      <c r="J67" t="s">
        <v>1576</v>
      </c>
      <c r="K67" t="s">
        <v>1235</v>
      </c>
      <c r="L67" t="s">
        <v>1235</v>
      </c>
      <c r="M67" t="s">
        <v>1235</v>
      </c>
      <c r="O67" t="str">
        <f>IF(NOT(ISERROR( SEARCH(A67,#REF!))), "✓", "")</f>
        <v/>
      </c>
      <c r="T67" t="s">
        <v>1235</v>
      </c>
      <c r="V67" t="s">
        <v>1235</v>
      </c>
      <c r="AM67" t="s">
        <v>1235</v>
      </c>
      <c r="AN67" s="14"/>
    </row>
    <row r="68" spans="1:40" ht="80" x14ac:dyDescent="0.2">
      <c r="A68" s="92" t="s">
        <v>1739</v>
      </c>
      <c r="B68" s="205" t="s">
        <v>1740</v>
      </c>
      <c r="C68" t="s">
        <v>1107</v>
      </c>
      <c r="F68" s="4" t="str">
        <f>IF(AND(ISTEXT(""),""&lt;&gt;""), HYPERLINK("", "Link"),"-")</f>
        <v>-</v>
      </c>
      <c r="G68" s="134">
        <v>2023</v>
      </c>
      <c r="L68" t="s">
        <v>1235</v>
      </c>
      <c r="M68" t="s">
        <v>1235</v>
      </c>
      <c r="O68" t="str">
        <f>IF(NOT(ISERROR( SEARCH(A68,#REF!))), "✓", "")</f>
        <v/>
      </c>
      <c r="T68" t="s">
        <v>1235</v>
      </c>
      <c r="Z68" t="s">
        <v>1235</v>
      </c>
      <c r="AM68" t="s">
        <v>1235</v>
      </c>
      <c r="AN68" s="14"/>
    </row>
    <row r="69" spans="1:40" ht="176" x14ac:dyDescent="0.2">
      <c r="A69" s="92" t="s">
        <v>1741</v>
      </c>
      <c r="B69" s="205" t="s">
        <v>1742</v>
      </c>
      <c r="C69" t="s">
        <v>1220</v>
      </c>
      <c r="F69" s="4" t="str">
        <f>IF(AND(ISTEXT(""),""&lt;&gt;""), HYPERLINK("", "Link"),"-")</f>
        <v>-</v>
      </c>
      <c r="G69" s="19">
        <v>2023</v>
      </c>
      <c r="H69" s="4" t="s">
        <v>1743</v>
      </c>
      <c r="L69" t="s">
        <v>1235</v>
      </c>
      <c r="M69" t="s">
        <v>1235</v>
      </c>
      <c r="O69" t="str">
        <f>IF(NOT(ISERROR( SEARCH(A69,#REF!))), "✓", "")</f>
        <v/>
      </c>
      <c r="T69" t="s">
        <v>1235</v>
      </c>
      <c r="U69" t="s">
        <v>1235</v>
      </c>
      <c r="V69" t="s">
        <v>1235</v>
      </c>
      <c r="AC69" t="s">
        <v>1235</v>
      </c>
      <c r="AD69" t="s">
        <v>1235</v>
      </c>
      <c r="AM69" t="s">
        <v>1235</v>
      </c>
      <c r="AN69" s="14"/>
    </row>
    <row r="70" spans="1:40" ht="128" x14ac:dyDescent="0.2">
      <c r="A70" s="92" t="s">
        <v>1744</v>
      </c>
      <c r="B70" s="205" t="s">
        <v>1745</v>
      </c>
      <c r="C70" t="s">
        <v>1225</v>
      </c>
      <c r="E70" t="s">
        <v>1235</v>
      </c>
      <c r="F70" s="4" t="str">
        <f>IF(AND(ISTEXT("https://github.com/ToolmanInside/vulpedia_demo"),"https://github.com/ToolmanInside/vulpedia_demo"&lt;&gt;""), HYPERLINK("https://github.com/ToolmanInside/vulpedia_demo", "Link"),"-")</f>
        <v>Link</v>
      </c>
      <c r="G70" s="19">
        <v>2022</v>
      </c>
      <c r="H70" s="4" t="s">
        <v>1681</v>
      </c>
      <c r="J70" t="s">
        <v>1576</v>
      </c>
      <c r="L70" t="s">
        <v>1235</v>
      </c>
      <c r="M70" t="s">
        <v>1235</v>
      </c>
      <c r="O70" t="str">
        <f>IF(NOT(ISERROR( SEARCH(A70,#REF!))), "✓", "")</f>
        <v/>
      </c>
      <c r="T70" t="s">
        <v>1235</v>
      </c>
      <c r="X70" t="s">
        <v>1235</v>
      </c>
      <c r="AL70" t="s">
        <v>1235</v>
      </c>
      <c r="AN70" s="14"/>
    </row>
    <row r="71" spans="1:40" ht="48" x14ac:dyDescent="0.2">
      <c r="A71" s="92" t="s">
        <v>1746</v>
      </c>
      <c r="B71" s="205" t="s">
        <v>1747</v>
      </c>
      <c r="C71" t="s">
        <v>1091</v>
      </c>
      <c r="F71" s="4" t="str">
        <f>IF(AND(ISTEXT(""),""&lt;&gt;""), HYPERLINK("", "Link"),"-")</f>
        <v>-</v>
      </c>
      <c r="G71" s="133">
        <v>2021</v>
      </c>
      <c r="K71" t="s">
        <v>1235</v>
      </c>
      <c r="L71" t="s">
        <v>1235</v>
      </c>
      <c r="M71" t="s">
        <v>1235</v>
      </c>
      <c r="O71" t="str">
        <f>IF(NOT(ISERROR( SEARCH(A71,#REF!))), "✓", "")</f>
        <v/>
      </c>
      <c r="T71" t="s">
        <v>1235</v>
      </c>
      <c r="V71" t="s">
        <v>1235</v>
      </c>
      <c r="AC71" t="s">
        <v>1235</v>
      </c>
      <c r="AN71" s="14"/>
    </row>
    <row r="72" spans="1:40" ht="208" x14ac:dyDescent="0.2">
      <c r="A72" s="92" t="s">
        <v>1748</v>
      </c>
      <c r="B72" s="205" t="s">
        <v>1749</v>
      </c>
      <c r="C72" t="s">
        <v>1129</v>
      </c>
      <c r="F72" s="4" t="str">
        <f>IF(AND(ISTEXT(""),""&lt;&gt;""), HYPERLINK("", "Link"),"-")</f>
        <v>-</v>
      </c>
      <c r="G72" s="134">
        <v>2024</v>
      </c>
      <c r="L72" t="s">
        <v>1235</v>
      </c>
      <c r="M72" t="s">
        <v>1235</v>
      </c>
      <c r="O72" t="str">
        <f>IF(NOT(ISERROR( SEARCH(A72,#REF!))), "✓", "")</f>
        <v/>
      </c>
      <c r="T72" t="s">
        <v>1235</v>
      </c>
      <c r="Z72" t="s">
        <v>1235</v>
      </c>
      <c r="AM72" t="s">
        <v>1235</v>
      </c>
      <c r="AN72" s="14"/>
    </row>
    <row r="73" spans="1:40" ht="80" x14ac:dyDescent="0.2">
      <c r="A73" s="92" t="s">
        <v>1750</v>
      </c>
      <c r="B73" s="205" t="s">
        <v>1751</v>
      </c>
      <c r="C73" t="s">
        <v>981</v>
      </c>
      <c r="F73" s="4" t="str">
        <f>IF(AND(ISTEXT(""),""&lt;&gt;""), HYPERLINK("", "Link"),"-")</f>
        <v>-</v>
      </c>
      <c r="G73" s="134">
        <v>2021</v>
      </c>
      <c r="L73" t="s">
        <v>1235</v>
      </c>
      <c r="M73" t="s">
        <v>1235</v>
      </c>
      <c r="O73" t="str">
        <f>IF(NOT(ISERROR( SEARCH(A73,#REF!))), "✓", "")</f>
        <v/>
      </c>
      <c r="U73" t="s">
        <v>1235</v>
      </c>
      <c r="W73" t="s">
        <v>1235</v>
      </c>
      <c r="AH73" t="s">
        <v>1235</v>
      </c>
      <c r="AM73" t="s">
        <v>1235</v>
      </c>
      <c r="AN73" s="14"/>
    </row>
    <row r="74" spans="1:40" ht="64" x14ac:dyDescent="0.2">
      <c r="A74" s="92" t="s">
        <v>1752</v>
      </c>
      <c r="B74" s="205" t="s">
        <v>1753</v>
      </c>
      <c r="C74" t="s">
        <v>905</v>
      </c>
      <c r="F74" s="4" t="str">
        <f>IF(AND(ISTEXT(""),""&lt;&gt;""), HYPERLINK("", "Link"),"-")</f>
        <v>-</v>
      </c>
      <c r="G74" s="134">
        <v>2022</v>
      </c>
      <c r="L74" t="s">
        <v>1235</v>
      </c>
      <c r="M74" t="s">
        <v>1235</v>
      </c>
      <c r="N74" t="s">
        <v>1235</v>
      </c>
      <c r="O74" t="str">
        <f>IF(NOT(ISERROR( SEARCH(A74,#REF!))), "✓", "")</f>
        <v/>
      </c>
      <c r="P74" t="s">
        <v>1235</v>
      </c>
      <c r="R74" t="s">
        <v>1235</v>
      </c>
      <c r="S74" t="s">
        <v>1235</v>
      </c>
      <c r="T74" t="s">
        <v>1235</v>
      </c>
      <c r="V74" t="s">
        <v>1235</v>
      </c>
      <c r="X74" t="s">
        <v>1235</v>
      </c>
      <c r="AL74" t="s">
        <v>1235</v>
      </c>
      <c r="AN74" s="14"/>
    </row>
    <row r="75" spans="1:40" ht="96" x14ac:dyDescent="0.2">
      <c r="A75" s="92" t="s">
        <v>1754</v>
      </c>
      <c r="B75" s="205" t="s">
        <v>1755</v>
      </c>
      <c r="C75" t="s">
        <v>933</v>
      </c>
      <c r="D75" s="8" t="s">
        <v>874</v>
      </c>
      <c r="E75" t="s">
        <v>1235</v>
      </c>
      <c r="F75" s="4" t="str">
        <f>IF(AND(ISTEXT("https://github.com/christoftorres/ConFuzzius"),"https://github.com/christoftorres/ConFuzzius"&lt;&gt;""), HYPERLINK("https://github.com/christoftorres/ConFuzzius", "Link"),"-")</f>
        <v>Link</v>
      </c>
      <c r="G75" s="19">
        <v>2021</v>
      </c>
      <c r="H75" s="4" t="s">
        <v>1756</v>
      </c>
      <c r="I75" t="s">
        <v>1757</v>
      </c>
      <c r="J75" t="s">
        <v>1576</v>
      </c>
      <c r="L75" t="s">
        <v>1235</v>
      </c>
      <c r="M75" t="s">
        <v>1235</v>
      </c>
      <c r="N75" t="s">
        <v>1235</v>
      </c>
      <c r="O75" t="str">
        <f>IF(NOT(ISERROR( SEARCH(A75,#REF!))), "✓", "")</f>
        <v/>
      </c>
      <c r="T75" t="s">
        <v>1235</v>
      </c>
      <c r="U75" t="s">
        <v>1235</v>
      </c>
      <c r="W75" t="s">
        <v>1235</v>
      </c>
      <c r="AC75" t="s">
        <v>1235</v>
      </c>
      <c r="AD75" t="s">
        <v>1235</v>
      </c>
      <c r="AG75" t="s">
        <v>1235</v>
      </c>
      <c r="AJ75" t="s">
        <v>1235</v>
      </c>
      <c r="AN75" s="14" t="s">
        <v>1235</v>
      </c>
    </row>
    <row r="76" spans="1:40" ht="128" x14ac:dyDescent="0.2">
      <c r="A76" s="92" t="s">
        <v>1758</v>
      </c>
      <c r="B76" s="205" t="s">
        <v>1759</v>
      </c>
      <c r="C76" t="s">
        <v>927</v>
      </c>
      <c r="F76" s="4" t="str">
        <f t="shared" ref="F76:F84" si="8">IF(AND(ISTEXT(""),""&lt;&gt;""), HYPERLINK("", "Link"),"-")</f>
        <v>-</v>
      </c>
      <c r="G76" s="134">
        <v>2023</v>
      </c>
      <c r="L76" t="s">
        <v>1235</v>
      </c>
      <c r="M76" t="s">
        <v>1235</v>
      </c>
      <c r="O76" t="str">
        <f>IF(NOT(ISERROR( SEARCH(A76,#REF!))), "✓", "")</f>
        <v/>
      </c>
      <c r="T76" t="s">
        <v>1235</v>
      </c>
      <c r="V76" t="s">
        <v>1235</v>
      </c>
      <c r="X76" t="s">
        <v>1235</v>
      </c>
      <c r="AM76" t="s">
        <v>1235</v>
      </c>
      <c r="AN76" s="14"/>
    </row>
    <row r="77" spans="1:40" ht="96" x14ac:dyDescent="0.2">
      <c r="A77" s="92" t="s">
        <v>1760</v>
      </c>
      <c r="B77" s="205" t="s">
        <v>1761</v>
      </c>
      <c r="C77" t="s">
        <v>1156</v>
      </c>
      <c r="F77" s="4" t="str">
        <f t="shared" si="8"/>
        <v>-</v>
      </c>
      <c r="G77" s="134">
        <v>2023</v>
      </c>
      <c r="L77" t="s">
        <v>1235</v>
      </c>
      <c r="M77" t="s">
        <v>1235</v>
      </c>
      <c r="O77" t="str">
        <f>IF(NOT(ISERROR( SEARCH(A77,#REF!))), "✓", "")</f>
        <v/>
      </c>
      <c r="T77" t="s">
        <v>1235</v>
      </c>
      <c r="V77" t="s">
        <v>1235</v>
      </c>
      <c r="X77" t="s">
        <v>1235</v>
      </c>
      <c r="Z77" t="s">
        <v>1235</v>
      </c>
      <c r="AF77" t="s">
        <v>1235</v>
      </c>
      <c r="AN77" s="14"/>
    </row>
    <row r="78" spans="1:40" ht="96" x14ac:dyDescent="0.2">
      <c r="A78" s="92" t="s">
        <v>1762</v>
      </c>
      <c r="B78" s="205" t="s">
        <v>1763</v>
      </c>
      <c r="C78" t="s">
        <v>1073</v>
      </c>
      <c r="F78" s="4" t="str">
        <f t="shared" si="8"/>
        <v>-</v>
      </c>
      <c r="G78" s="134">
        <v>2023</v>
      </c>
      <c r="L78" t="s">
        <v>1235</v>
      </c>
      <c r="M78" t="s">
        <v>1235</v>
      </c>
      <c r="O78" t="str">
        <f>IF(NOT(ISERROR( SEARCH(A78,#REF!))), "✓", "")</f>
        <v/>
      </c>
      <c r="T78" t="s">
        <v>1235</v>
      </c>
      <c r="Z78" t="s">
        <v>1235</v>
      </c>
      <c r="AM78" t="s">
        <v>1235</v>
      </c>
      <c r="AN78" s="14"/>
    </row>
    <row r="79" spans="1:40" ht="48" x14ac:dyDescent="0.2">
      <c r="A79" s="92" t="s">
        <v>1764</v>
      </c>
      <c r="B79" s="205" t="s">
        <v>1765</v>
      </c>
      <c r="C79" t="s">
        <v>1040</v>
      </c>
      <c r="F79" s="4" t="str">
        <f t="shared" si="8"/>
        <v>-</v>
      </c>
      <c r="G79" s="134">
        <v>2023</v>
      </c>
      <c r="L79" t="s">
        <v>1235</v>
      </c>
      <c r="M79" t="s">
        <v>1235</v>
      </c>
      <c r="O79" t="str">
        <f>IF(NOT(ISERROR( SEARCH(A79,#REF!))), "✓", "")</f>
        <v/>
      </c>
      <c r="T79" t="s">
        <v>1235</v>
      </c>
      <c r="V79" t="s">
        <v>1235</v>
      </c>
      <c r="AM79" t="s">
        <v>1235</v>
      </c>
      <c r="AN79" s="14"/>
    </row>
    <row r="80" spans="1:40" ht="48" x14ac:dyDescent="0.2">
      <c r="A80" s="92" t="s">
        <v>1766</v>
      </c>
      <c r="B80" s="205" t="s">
        <v>1767</v>
      </c>
      <c r="C80" t="s">
        <v>865</v>
      </c>
      <c r="F80" s="4" t="str">
        <f t="shared" si="8"/>
        <v>-</v>
      </c>
      <c r="G80" s="134">
        <v>2023</v>
      </c>
      <c r="K80" t="s">
        <v>1235</v>
      </c>
      <c r="L80" t="s">
        <v>1235</v>
      </c>
      <c r="M80" t="s">
        <v>1235</v>
      </c>
      <c r="O80" t="str">
        <f>IF(NOT(ISERROR( SEARCH(A80,#REF!))), "✓", "")</f>
        <v/>
      </c>
      <c r="T80" t="s">
        <v>1235</v>
      </c>
      <c r="Y80" t="s">
        <v>1235</v>
      </c>
      <c r="AM80" t="s">
        <v>1235</v>
      </c>
      <c r="AN80" s="14"/>
    </row>
    <row r="81" spans="1:40" ht="32" x14ac:dyDescent="0.2">
      <c r="A81" s="92" t="s">
        <v>1768</v>
      </c>
      <c r="B81" s="205" t="s">
        <v>1769</v>
      </c>
      <c r="C81" t="s">
        <v>984</v>
      </c>
      <c r="F81" s="4" t="str">
        <f t="shared" si="8"/>
        <v>-</v>
      </c>
      <c r="G81" s="134">
        <v>2024</v>
      </c>
      <c r="L81" t="s">
        <v>1235</v>
      </c>
      <c r="M81" t="s">
        <v>1235</v>
      </c>
      <c r="O81" t="str">
        <f>IF(NOT(ISERROR( SEARCH(A81,#REF!))), "✓", "")</f>
        <v/>
      </c>
      <c r="T81" t="s">
        <v>1235</v>
      </c>
      <c r="U81" t="s">
        <v>1235</v>
      </c>
      <c r="W81" t="s">
        <v>1235</v>
      </c>
      <c r="AM81" t="s">
        <v>1235</v>
      </c>
      <c r="AN81" s="14"/>
    </row>
    <row r="82" spans="1:40" ht="96" x14ac:dyDescent="0.2">
      <c r="A82" s="92" t="s">
        <v>1770</v>
      </c>
      <c r="B82" s="205" t="s">
        <v>1771</v>
      </c>
      <c r="C82" t="s">
        <v>908</v>
      </c>
      <c r="F82" s="4" t="str">
        <f t="shared" si="8"/>
        <v>-</v>
      </c>
      <c r="G82" s="134">
        <v>2023</v>
      </c>
      <c r="L82" t="s">
        <v>1235</v>
      </c>
      <c r="M82" t="s">
        <v>1235</v>
      </c>
      <c r="O82" t="str">
        <f>IF(NOT(ISERROR( SEARCH(A82,#REF!))), "✓", "")</f>
        <v/>
      </c>
      <c r="T82" t="s">
        <v>1235</v>
      </c>
      <c r="W82" t="s">
        <v>1235</v>
      </c>
      <c r="Z82" t="s">
        <v>1235</v>
      </c>
      <c r="AM82" t="s">
        <v>1235</v>
      </c>
      <c r="AN82" s="14"/>
    </row>
    <row r="83" spans="1:40" ht="32" x14ac:dyDescent="0.2">
      <c r="A83" s="92" t="s">
        <v>1772</v>
      </c>
      <c r="B83" s="205" t="s">
        <v>1773</v>
      </c>
      <c r="C83" s="41" t="s">
        <v>1043</v>
      </c>
      <c r="F83" s="4" t="str">
        <f t="shared" si="8"/>
        <v>-</v>
      </c>
      <c r="G83" s="134">
        <v>2023</v>
      </c>
      <c r="L83" t="s">
        <v>1235</v>
      </c>
      <c r="M83" t="s">
        <v>1235</v>
      </c>
      <c r="N83" t="s">
        <v>1235</v>
      </c>
      <c r="O83" t="str">
        <f>IF(NOT(ISERROR( SEARCH(A83,#REF!))), "✓", "")</f>
        <v/>
      </c>
      <c r="T83" t="s">
        <v>1235</v>
      </c>
      <c r="V83" t="s">
        <v>1235</v>
      </c>
      <c r="Z83" t="s">
        <v>1235</v>
      </c>
      <c r="AC83" t="s">
        <v>1235</v>
      </c>
      <c r="AF83" t="s">
        <v>1235</v>
      </c>
      <c r="AM83" t="s">
        <v>1235</v>
      </c>
      <c r="AN83" s="14"/>
    </row>
    <row r="84" spans="1:40" ht="64" x14ac:dyDescent="0.2">
      <c r="A84" s="92" t="s">
        <v>1774</v>
      </c>
      <c r="B84" s="205" t="s">
        <v>1775</v>
      </c>
      <c r="C84" t="s">
        <v>945</v>
      </c>
      <c r="E84" s="8"/>
      <c r="F84" s="4" t="str">
        <f t="shared" si="8"/>
        <v>-</v>
      </c>
      <c r="G84" s="134">
        <v>2023</v>
      </c>
      <c r="L84" t="s">
        <v>1235</v>
      </c>
      <c r="M84" t="s">
        <v>1235</v>
      </c>
      <c r="O84" t="str">
        <f>IF(NOT(ISERROR( SEARCH(A84,#REF!))), "✓", "")</f>
        <v/>
      </c>
      <c r="T84" t="s">
        <v>1235</v>
      </c>
      <c r="W84" t="s">
        <v>1235</v>
      </c>
      <c r="AM84" t="s">
        <v>1235</v>
      </c>
      <c r="AN84" s="14"/>
    </row>
    <row r="85" spans="1:40" ht="64" x14ac:dyDescent="0.2">
      <c r="A85" s="92" t="s">
        <v>1776</v>
      </c>
      <c r="B85" s="205" t="s">
        <v>1777</v>
      </c>
      <c r="C85" t="s">
        <v>917</v>
      </c>
      <c r="E85" t="s">
        <v>1235</v>
      </c>
      <c r="F85" s="4" t="str">
        <f>IF(AND(ISTEXT("https://github.com/majdsoud/AutoMESC-Framework"),"https://github.com/majdsoud/AutoMESC-Framework"&lt;&gt;""), HYPERLINK("https://github.com/majdsoud/AutoMESC-Framework", "Link"),"-")</f>
        <v>Link</v>
      </c>
      <c r="G85" s="19">
        <v>2023</v>
      </c>
      <c r="H85" s="4" t="s">
        <v>1678</v>
      </c>
      <c r="J85" t="s">
        <v>1576</v>
      </c>
      <c r="K85" t="s">
        <v>1235</v>
      </c>
      <c r="L85" t="s">
        <v>1235</v>
      </c>
      <c r="M85" t="s">
        <v>1235</v>
      </c>
      <c r="N85" t="s">
        <v>1235</v>
      </c>
      <c r="O85" t="str">
        <f>IF(NOT(ISERROR( SEARCH(A85,#REF!))), "✓", "")</f>
        <v/>
      </c>
      <c r="R85" t="s">
        <v>1235</v>
      </c>
      <c r="S85" t="s">
        <v>1235</v>
      </c>
      <c r="T85" t="s">
        <v>1235</v>
      </c>
      <c r="U85" t="s">
        <v>1235</v>
      </c>
      <c r="AK85" t="s">
        <v>1235</v>
      </c>
      <c r="AN85" s="14" t="s">
        <v>1235</v>
      </c>
    </row>
    <row r="86" spans="1:40" ht="64" x14ac:dyDescent="0.2">
      <c r="A86" s="92" t="s">
        <v>1778</v>
      </c>
      <c r="B86" s="205" t="s">
        <v>1779</v>
      </c>
      <c r="C86" t="s">
        <v>911</v>
      </c>
      <c r="F86" s="4" t="str">
        <f>IF(AND(ISTEXT(""),""&lt;&gt;""), HYPERLINK("", "Link"),"-")</f>
        <v>-</v>
      </c>
      <c r="G86" s="134">
        <v>2023</v>
      </c>
      <c r="L86" t="s">
        <v>1235</v>
      </c>
      <c r="N86" t="s">
        <v>1235</v>
      </c>
      <c r="O86" t="str">
        <f>IF(NOT(ISERROR( SEARCH(A86,#REF!))), "✓", "")</f>
        <v/>
      </c>
      <c r="S86" t="s">
        <v>1235</v>
      </c>
      <c r="U86" t="s">
        <v>1235</v>
      </c>
      <c r="V86" t="s">
        <v>1235</v>
      </c>
      <c r="X86" t="s">
        <v>1235</v>
      </c>
      <c r="AJ86" t="s">
        <v>1235</v>
      </c>
      <c r="AN86" s="14"/>
    </row>
    <row r="87" spans="1:40" ht="64" x14ac:dyDescent="0.2">
      <c r="A87" s="92" t="s">
        <v>1780</v>
      </c>
      <c r="B87" s="205" t="s">
        <v>1781</v>
      </c>
      <c r="C87" t="s">
        <v>958</v>
      </c>
      <c r="E87" t="s">
        <v>1235</v>
      </c>
      <c r="F87" s="4" t="str">
        <f>IF(AND(ISTEXT("https://github.com/Messi-Q/RNVulDet"),"https://github.com/Messi-Q/RNVulDet"&lt;&gt;""), HYPERLINK("https://github.com/Messi-Q/RNVulDet", "Link"),"-")</f>
        <v>Link</v>
      </c>
      <c r="G87" s="19">
        <v>2023</v>
      </c>
      <c r="H87" s="4" t="s">
        <v>1782</v>
      </c>
      <c r="J87" t="s">
        <v>1576</v>
      </c>
      <c r="K87" t="s">
        <v>1235</v>
      </c>
      <c r="M87" t="s">
        <v>1235</v>
      </c>
      <c r="O87" t="str">
        <f>IF(NOT(ISERROR( SEARCH(A87,#REF!))), "✓", "")</f>
        <v/>
      </c>
      <c r="T87" t="s">
        <v>1235</v>
      </c>
      <c r="U87" t="s">
        <v>1235</v>
      </c>
      <c r="V87" t="s">
        <v>1235</v>
      </c>
      <c r="AA87" t="s">
        <v>1235</v>
      </c>
      <c r="AC87" t="s">
        <v>1235</v>
      </c>
      <c r="AK87" t="s">
        <v>1235</v>
      </c>
      <c r="AN87" s="14" t="s">
        <v>1235</v>
      </c>
    </row>
    <row r="88" spans="1:40" ht="128" x14ac:dyDescent="0.2">
      <c r="A88" s="92" t="s">
        <v>1783</v>
      </c>
      <c r="B88" s="205" t="s">
        <v>1784</v>
      </c>
      <c r="C88" t="s">
        <v>877</v>
      </c>
      <c r="E88" t="s">
        <v>1235</v>
      </c>
      <c r="F88" s="4" t="str">
        <f>IF(AND(ISTEXT("https://github.com/yzu-wjl/SCVDIE"),"https://github.com/yzu-wjl/SCVDIE"&lt;&gt;""), HYPERLINK("https://github.com/yzu-wjl/SCVDIE", "Link"),"-")</f>
        <v>Link</v>
      </c>
      <c r="G88" s="19">
        <v>2022</v>
      </c>
      <c r="H88" s="4" t="s">
        <v>1785</v>
      </c>
      <c r="J88" t="s">
        <v>1576</v>
      </c>
      <c r="L88" t="s">
        <v>1235</v>
      </c>
      <c r="M88" t="s">
        <v>1235</v>
      </c>
      <c r="O88" t="str">
        <f>IF(NOT(ISERROR( SEARCH(A88,#REF!))), "✓", "")</f>
        <v/>
      </c>
      <c r="T88" t="s">
        <v>1235</v>
      </c>
      <c r="W88" t="s">
        <v>1235</v>
      </c>
      <c r="AM88" t="s">
        <v>1235</v>
      </c>
      <c r="AN88" s="14"/>
    </row>
    <row r="89" spans="1:40" ht="48" x14ac:dyDescent="0.2">
      <c r="A89" s="130" t="s">
        <v>1786</v>
      </c>
      <c r="B89" s="205" t="s">
        <v>1787</v>
      </c>
      <c r="C89" t="s">
        <v>1004</v>
      </c>
      <c r="E89" t="s">
        <v>1235</v>
      </c>
      <c r="F89" s="4" t="str">
        <f>IF(AND(ISTEXT("https://github.com/DependableSystemsLab/eTainter"),"https://github.com/DependableSystemsLab/eTainter"&lt;&gt;""), HYPERLINK("https://github.com/DependableSystemsLab/eTainter", "Link"),"-")</f>
        <v>Link</v>
      </c>
      <c r="G89" s="19">
        <v>2022</v>
      </c>
      <c r="H89" s="4" t="s">
        <v>1757</v>
      </c>
      <c r="J89" t="s">
        <v>1576</v>
      </c>
      <c r="K89" t="s">
        <v>1235</v>
      </c>
      <c r="M89" t="s">
        <v>1235</v>
      </c>
      <c r="O89" t="str">
        <f>IF(NOT(ISERROR( SEARCH(A89,#REF!))), "✓", "")</f>
        <v/>
      </c>
      <c r="T89" t="s">
        <v>1235</v>
      </c>
      <c r="V89" t="s">
        <v>1235</v>
      </c>
      <c r="AN89" s="14" t="s">
        <v>1235</v>
      </c>
    </row>
    <row r="90" spans="1:40" ht="80" x14ac:dyDescent="0.2">
      <c r="A90" s="92" t="s">
        <v>1788</v>
      </c>
      <c r="B90" s="205" t="s">
        <v>1789</v>
      </c>
      <c r="C90" t="s">
        <v>1078</v>
      </c>
      <c r="F90" s="4" t="str">
        <f>IF(AND(ISTEXT(""),""&lt;&gt;""), HYPERLINK("", "Link"),"-")</f>
        <v>-</v>
      </c>
      <c r="G90" s="134">
        <v>2022</v>
      </c>
      <c r="K90" t="s">
        <v>1235</v>
      </c>
      <c r="O90" t="str">
        <f>IF(NOT(ISERROR( SEARCH(A90,#REF!))), "✓", "")</f>
        <v/>
      </c>
      <c r="S90" t="s">
        <v>1235</v>
      </c>
      <c r="T90" t="s">
        <v>1235</v>
      </c>
      <c r="U90" t="s">
        <v>1235</v>
      </c>
      <c r="W90" t="s">
        <v>1235</v>
      </c>
      <c r="AC90" t="s">
        <v>1235</v>
      </c>
      <c r="AL90" s="132"/>
      <c r="AN90" s="14"/>
    </row>
    <row r="91" spans="1:40" ht="112" x14ac:dyDescent="0.2">
      <c r="A91" s="92" t="s">
        <v>1790</v>
      </c>
      <c r="B91" s="205" t="s">
        <v>1791</v>
      </c>
      <c r="C91" t="s">
        <v>899</v>
      </c>
      <c r="E91" t="s">
        <v>1235</v>
      </c>
      <c r="F91" s="4" t="str">
        <f>IF(AND(ISTEXT("https://github.com/DependableSystemsLab/Achecker"),"https://github.com/DependableSystemsLab/Achecker"&lt;&gt;""), HYPERLINK("https://github.com/DependableSystemsLab/Achecker", "Link"),"-")</f>
        <v>Link</v>
      </c>
      <c r="G91" s="19">
        <v>2023</v>
      </c>
      <c r="H91" s="4" t="s">
        <v>1616</v>
      </c>
      <c r="J91" t="s">
        <v>1576</v>
      </c>
      <c r="K91" t="s">
        <v>1235</v>
      </c>
      <c r="M91" t="s">
        <v>1235</v>
      </c>
      <c r="O91" t="str">
        <f>IF(NOT(ISERROR( SEARCH(A91,#REF!))), "✓", "")</f>
        <v/>
      </c>
      <c r="T91" t="s">
        <v>1235</v>
      </c>
      <c r="W91" t="s">
        <v>1235</v>
      </c>
      <c r="AC91" t="s">
        <v>1235</v>
      </c>
      <c r="AN91" s="14" t="s">
        <v>1235</v>
      </c>
    </row>
    <row r="92" spans="1:40" ht="48" x14ac:dyDescent="0.2">
      <c r="A92" s="92" t="s">
        <v>1792</v>
      </c>
      <c r="B92" s="205" t="s">
        <v>1793</v>
      </c>
      <c r="C92" t="s">
        <v>1124</v>
      </c>
      <c r="E92" t="s">
        <v>1235</v>
      </c>
      <c r="F92" s="4" t="str">
        <f>IF(AND(ISTEXT("https://github.com/Jiashuo-Zhang/Siguard"),"https://github.com/Jiashuo-Zhang/Siguard"&lt;&gt;""), HYPERLINK("https://github.com/Jiashuo-Zhang/Siguard", "Link"),"-")</f>
        <v>Link</v>
      </c>
      <c r="G92" s="19">
        <v>2023</v>
      </c>
      <c r="H92" s="4" t="s">
        <v>1616</v>
      </c>
      <c r="J92" t="s">
        <v>1576</v>
      </c>
      <c r="K92" t="s">
        <v>1235</v>
      </c>
      <c r="M92" t="s">
        <v>1235</v>
      </c>
      <c r="O92" t="str">
        <f>IF(NOT(ISERROR( SEARCH(A92,#REF!))), "✓", "")</f>
        <v/>
      </c>
      <c r="T92" t="s">
        <v>1235</v>
      </c>
      <c r="V92" t="s">
        <v>1235</v>
      </c>
      <c r="AC92" t="s">
        <v>1235</v>
      </c>
      <c r="AN92" s="14" t="s">
        <v>1235</v>
      </c>
    </row>
    <row r="93" spans="1:40" ht="48" x14ac:dyDescent="0.2">
      <c r="A93" s="92" t="s">
        <v>1794</v>
      </c>
      <c r="B93" s="205" t="s">
        <v>1795</v>
      </c>
      <c r="C93" t="s">
        <v>1163</v>
      </c>
      <c r="E93" t="s">
        <v>1235</v>
      </c>
      <c r="F93" s="4" t="str">
        <f>IF(AND(ISTEXT("https://github.com/InPlusLab/SmartState"),"https://github.com/InPlusLab/SmartState"&lt;&gt;""), HYPERLINK("https://github.com/InPlusLab/SmartState", "Link"),"-")</f>
        <v>Link</v>
      </c>
      <c r="G93" s="19">
        <v>2023</v>
      </c>
      <c r="H93" s="4" t="s">
        <v>1782</v>
      </c>
      <c r="J93" t="s">
        <v>1576</v>
      </c>
      <c r="K93" t="s">
        <v>1235</v>
      </c>
      <c r="M93" t="s">
        <v>1235</v>
      </c>
      <c r="O93" t="str">
        <f>IF(NOT(ISERROR( SEARCH(A93,#REF!))), "✓", "")</f>
        <v/>
      </c>
      <c r="T93" t="s">
        <v>1235</v>
      </c>
      <c r="W93" t="s">
        <v>1235</v>
      </c>
      <c r="AN93" s="14" t="s">
        <v>1235</v>
      </c>
    </row>
    <row r="94" spans="1:40" ht="48" x14ac:dyDescent="0.2">
      <c r="A94" s="92" t="s">
        <v>939</v>
      </c>
      <c r="B94" s="205" t="s">
        <v>1797</v>
      </c>
      <c r="C94" t="s">
        <v>939</v>
      </c>
      <c r="E94" t="s">
        <v>1235</v>
      </c>
      <c r="F94" s="4" t="str">
        <f>IF(AND(ISTEXT("https://github.com/Messi-Q/Cross-Modality-Bug-Detection"),"https://github.com/Messi-Q/Cross-Modality-Bug-Detection"&lt;&gt;""), HYPERLINK("https://github.com/Messi-Q/Cross-Modality-Bug-Detection", "Link"),"-")</f>
        <v>Link</v>
      </c>
      <c r="G94" s="19">
        <v>2023</v>
      </c>
      <c r="H94" s="4" t="s">
        <v>1798</v>
      </c>
      <c r="J94" t="s">
        <v>1576</v>
      </c>
      <c r="K94" t="s">
        <v>1235</v>
      </c>
      <c r="M94" t="s">
        <v>1235</v>
      </c>
      <c r="O94" t="str">
        <f>IF(NOT(ISERROR( SEARCH(A94,#REF!))), "✓", "")</f>
        <v/>
      </c>
      <c r="T94" t="s">
        <v>1235</v>
      </c>
      <c r="V94" t="s">
        <v>1235</v>
      </c>
      <c r="AC94" t="s">
        <v>1235</v>
      </c>
      <c r="AM94" t="s">
        <v>1235</v>
      </c>
      <c r="AN94" s="14"/>
    </row>
    <row r="95" spans="1:40" ht="32" x14ac:dyDescent="0.2">
      <c r="A95" s="92" t="s">
        <v>1799</v>
      </c>
      <c r="B95" s="205" t="s">
        <v>1800</v>
      </c>
      <c r="C95" t="s">
        <v>1182</v>
      </c>
      <c r="E95" t="s">
        <v>1235</v>
      </c>
      <c r="F95" s="4" t="str">
        <f>IF(AND(ISTEXT("https://github.com/syntest-framework/syntest-solidity"),"https://github.com/syntest-framework/syntest-solidity"&lt;&gt;""), HYPERLINK("https://github.com/syntest-framework/syntest-solidity", "Link"),"-")</f>
        <v>Link</v>
      </c>
      <c r="G95" s="19">
        <v>2022</v>
      </c>
      <c r="H95" s="4" t="s">
        <v>1785</v>
      </c>
      <c r="I95" t="s">
        <v>1687</v>
      </c>
      <c r="J95" t="s">
        <v>1801</v>
      </c>
      <c r="L95" t="s">
        <v>1235</v>
      </c>
      <c r="M95" t="s">
        <v>1235</v>
      </c>
      <c r="N95" t="s">
        <v>1235</v>
      </c>
      <c r="O95" t="str">
        <f>IF(NOT(ISERROR( SEARCH(A95,#REF!))), "✓", "")</f>
        <v/>
      </c>
      <c r="U95" t="s">
        <v>1235</v>
      </c>
      <c r="V95" t="s">
        <v>1235</v>
      </c>
      <c r="AG95" t="s">
        <v>1235</v>
      </c>
      <c r="AJ95" t="s">
        <v>1235</v>
      </c>
      <c r="AN95" s="14"/>
    </row>
    <row r="96" spans="1:40" ht="80" x14ac:dyDescent="0.2">
      <c r="A96" s="92" t="s">
        <v>1802</v>
      </c>
      <c r="B96" s="205" t="s">
        <v>1803</v>
      </c>
      <c r="C96" t="s">
        <v>991</v>
      </c>
      <c r="E96" t="s">
        <v>1235</v>
      </c>
      <c r="F96" s="4" t="str">
        <f>IF(AND(ISTEXT("https://github.com/christoftorres/Elysium"),"https://github.com/christoftorres/Elysium"&lt;&gt;""), HYPERLINK("https://github.com/christoftorres/Elysium", "Link"),"-")</f>
        <v>Link</v>
      </c>
      <c r="G96" s="19">
        <v>2022</v>
      </c>
      <c r="H96" s="4" t="s">
        <v>1684</v>
      </c>
      <c r="J96" t="s">
        <v>1804</v>
      </c>
      <c r="K96" t="s">
        <v>1235</v>
      </c>
      <c r="M96" t="s">
        <v>1235</v>
      </c>
      <c r="N96" t="s">
        <v>1235</v>
      </c>
      <c r="O96" t="str">
        <f>IF(NOT(ISERROR( SEARCH(A96,#REF!))), "✓", "")</f>
        <v/>
      </c>
      <c r="P96" t="s">
        <v>1235</v>
      </c>
      <c r="R96" t="s">
        <v>1235</v>
      </c>
      <c r="S96" t="s">
        <v>1235</v>
      </c>
      <c r="T96" t="s">
        <v>1235</v>
      </c>
      <c r="V96" t="s">
        <v>1235</v>
      </c>
      <c r="AN96" s="14" t="s">
        <v>1235</v>
      </c>
    </row>
    <row r="97" spans="1:42" s="13" customFormat="1" ht="96" x14ac:dyDescent="0.2">
      <c r="A97" s="135" t="s">
        <v>1805</v>
      </c>
      <c r="B97" s="207" t="s">
        <v>1806</v>
      </c>
      <c r="C97" t="s">
        <v>884</v>
      </c>
      <c r="D97" s="137"/>
      <c r="F97" s="4" t="str">
        <f>IF(AND(ISTEXT(""),""&lt;&gt;""), HYPERLINK("", "Link"),"-")</f>
        <v>-</v>
      </c>
      <c r="G97" s="138">
        <v>2023</v>
      </c>
      <c r="H97" s="139"/>
      <c r="L97" s="13" t="s">
        <v>1235</v>
      </c>
      <c r="N97" s="13" t="s">
        <v>1235</v>
      </c>
      <c r="O97" t="str">
        <f>IF(NOT(ISERROR( SEARCH(A97,#REF!))), "✓", "")</f>
        <v/>
      </c>
      <c r="T97" s="13" t="s">
        <v>1235</v>
      </c>
      <c r="V97" s="13" t="s">
        <v>1235</v>
      </c>
      <c r="AD97" s="13" t="s">
        <v>1235</v>
      </c>
      <c r="AN97" s="140"/>
      <c r="AP97"/>
    </row>
    <row r="98" spans="1:42" ht="64" x14ac:dyDescent="0.2">
      <c r="A98" s="92" t="s">
        <v>1807</v>
      </c>
      <c r="B98" s="205" t="s">
        <v>1808</v>
      </c>
      <c r="C98" t="s">
        <v>1061</v>
      </c>
      <c r="E98" s="8"/>
      <c r="F98" s="4" t="str">
        <f>IF(AND(ISTEXT(""),""&lt;&gt;""), HYPERLINK("", "Link"),"-")</f>
        <v>-</v>
      </c>
      <c r="G98" s="134">
        <v>2023</v>
      </c>
      <c r="L98" t="s">
        <v>1235</v>
      </c>
      <c r="M98" t="s">
        <v>1235</v>
      </c>
      <c r="N98" t="s">
        <v>1235</v>
      </c>
      <c r="O98" t="str">
        <f>IF(NOT(ISERROR( SEARCH(A98,#REF!))), "✓", "")</f>
        <v/>
      </c>
      <c r="T98" t="s">
        <v>1235</v>
      </c>
      <c r="U98" t="s">
        <v>1235</v>
      </c>
      <c r="V98" t="s">
        <v>1235</v>
      </c>
      <c r="X98" t="s">
        <v>1235</v>
      </c>
      <c r="AD98" s="13" t="s">
        <v>1235</v>
      </c>
      <c r="AG98" t="s">
        <v>1235</v>
      </c>
      <c r="AN98" s="14"/>
    </row>
    <row r="99" spans="1:42" ht="64" x14ac:dyDescent="0.2">
      <c r="A99" s="92" t="s">
        <v>1809</v>
      </c>
      <c r="B99" s="205" t="s">
        <v>1810</v>
      </c>
      <c r="C99" s="41" t="s">
        <v>1158</v>
      </c>
      <c r="E99" t="s">
        <v>1235</v>
      </c>
      <c r="F99" s="4" t="str">
        <f>IF(AND(ISTEXT("https://github.com/SoftSec-KAIST/Smartian"),"https://github.com/SoftSec-KAIST/Smartian"&lt;&gt;""), HYPERLINK("https://github.com/SoftSec-KAIST/Smartian", "Link"),"-")</f>
        <v>Link</v>
      </c>
      <c r="G99" s="19">
        <v>2021</v>
      </c>
      <c r="H99" s="4" t="s">
        <v>1811</v>
      </c>
      <c r="J99" t="s">
        <v>1812</v>
      </c>
      <c r="K99" t="s">
        <v>1235</v>
      </c>
      <c r="M99" t="s">
        <v>1235</v>
      </c>
      <c r="N99" t="s">
        <v>1235</v>
      </c>
      <c r="O99" t="str">
        <f>IF(NOT(ISERROR( SEARCH(A99,#REF!))), "✓", "")</f>
        <v/>
      </c>
      <c r="T99" t="s">
        <v>1235</v>
      </c>
      <c r="U99" t="s">
        <v>1235</v>
      </c>
      <c r="V99" t="s">
        <v>1235</v>
      </c>
      <c r="AG99" t="s">
        <v>1235</v>
      </c>
      <c r="AJ99" t="s">
        <v>1235</v>
      </c>
      <c r="AN99" s="14" t="s">
        <v>1235</v>
      </c>
    </row>
    <row r="100" spans="1:42" ht="48" x14ac:dyDescent="0.2">
      <c r="A100" s="92" t="s">
        <v>1813</v>
      </c>
      <c r="B100" s="205" t="s">
        <v>1814</v>
      </c>
      <c r="C100" t="s">
        <v>942</v>
      </c>
      <c r="F100" s="4" t="str">
        <f t="shared" ref="F100:F106" si="9">IF(AND(ISTEXT(""),""&lt;&gt;""), HYPERLINK("", "Link"),"-")</f>
        <v>-</v>
      </c>
      <c r="G100" s="134">
        <v>2024</v>
      </c>
      <c r="L100" t="s">
        <v>1235</v>
      </c>
      <c r="M100" t="s">
        <v>1235</v>
      </c>
      <c r="N100" t="s">
        <v>1235</v>
      </c>
      <c r="O100" t="str">
        <f>IF(NOT(ISERROR( SEARCH(A100,#REF!))), "✓", "")</f>
        <v/>
      </c>
      <c r="T100" t="s">
        <v>1235</v>
      </c>
      <c r="U100" t="s">
        <v>1235</v>
      </c>
      <c r="V100" t="s">
        <v>1235</v>
      </c>
      <c r="AC100" t="s">
        <v>1235</v>
      </c>
      <c r="AG100" t="s">
        <v>1235</v>
      </c>
      <c r="AJ100" t="s">
        <v>1235</v>
      </c>
      <c r="AN100" s="14"/>
    </row>
    <row r="101" spans="1:42" ht="48" x14ac:dyDescent="0.2">
      <c r="A101" s="92" t="s">
        <v>1815</v>
      </c>
      <c r="B101" s="205" t="s">
        <v>1816</v>
      </c>
      <c r="C101" t="s">
        <v>920</v>
      </c>
      <c r="F101" s="4" t="str">
        <f t="shared" si="9"/>
        <v>-</v>
      </c>
      <c r="G101" s="134">
        <v>2023</v>
      </c>
      <c r="K101" t="s">
        <v>1235</v>
      </c>
      <c r="O101" t="str">
        <f>IF(NOT(ISERROR( SEARCH(A101,#REF!))), "✓", "")</f>
        <v/>
      </c>
      <c r="T101" t="s">
        <v>1235</v>
      </c>
      <c r="AM101" t="s">
        <v>1235</v>
      </c>
      <c r="AN101" s="14"/>
    </row>
    <row r="102" spans="1:42" ht="64" x14ac:dyDescent="0.2">
      <c r="A102" s="92" t="s">
        <v>1817</v>
      </c>
      <c r="B102" s="205" t="s">
        <v>1818</v>
      </c>
      <c r="C102" t="s">
        <v>1018</v>
      </c>
      <c r="F102" s="4" t="str">
        <f t="shared" si="9"/>
        <v>-</v>
      </c>
      <c r="G102" s="134">
        <v>2022</v>
      </c>
      <c r="K102" t="s">
        <v>1235</v>
      </c>
      <c r="M102" t="s">
        <v>1235</v>
      </c>
      <c r="O102" t="str">
        <f>IF(NOT(ISERROR( SEARCH(A102,#REF!))), "✓", "")</f>
        <v/>
      </c>
      <c r="T102" t="s">
        <v>1235</v>
      </c>
      <c r="V102" t="s">
        <v>1235</v>
      </c>
      <c r="AM102" t="s">
        <v>1235</v>
      </c>
      <c r="AN102" s="14"/>
    </row>
    <row r="103" spans="1:42" ht="80" x14ac:dyDescent="0.2">
      <c r="A103" s="92" t="s">
        <v>1819</v>
      </c>
      <c r="B103" s="205" t="s">
        <v>1820</v>
      </c>
      <c r="C103" t="s">
        <v>1001</v>
      </c>
      <c r="F103" s="4" t="str">
        <f t="shared" si="9"/>
        <v>-</v>
      </c>
      <c r="G103" s="134">
        <v>2021</v>
      </c>
      <c r="K103" t="s">
        <v>1235</v>
      </c>
      <c r="M103" t="s">
        <v>1235</v>
      </c>
      <c r="O103" t="str">
        <f>IF(NOT(ISERROR( SEARCH(A103,#REF!))), "✓", "")</f>
        <v/>
      </c>
      <c r="T103" t="s">
        <v>1235</v>
      </c>
      <c r="Z103" t="s">
        <v>1235</v>
      </c>
      <c r="AM103" t="s">
        <v>1235</v>
      </c>
      <c r="AN103" s="14"/>
    </row>
    <row r="104" spans="1:42" ht="48" x14ac:dyDescent="0.2">
      <c r="A104" s="92" t="s">
        <v>1821</v>
      </c>
      <c r="B104" s="205" t="s">
        <v>1822</v>
      </c>
      <c r="C104" t="s">
        <v>1179</v>
      </c>
      <c r="F104" s="4" t="str">
        <f t="shared" si="9"/>
        <v>-</v>
      </c>
      <c r="G104" s="134">
        <v>2023</v>
      </c>
      <c r="L104" t="s">
        <v>1235</v>
      </c>
      <c r="M104" t="s">
        <v>1235</v>
      </c>
      <c r="O104" t="str">
        <f>IF(NOT(ISERROR( SEARCH(A104,#REF!))), "✓", "")</f>
        <v/>
      </c>
      <c r="T104" t="s">
        <v>1235</v>
      </c>
      <c r="X104" t="s">
        <v>1235</v>
      </c>
      <c r="AK104" t="s">
        <v>1235</v>
      </c>
      <c r="AM104" t="s">
        <v>1235</v>
      </c>
      <c r="AN104" s="14"/>
    </row>
    <row r="105" spans="1:42" ht="96" x14ac:dyDescent="0.2">
      <c r="A105" s="92" t="s">
        <v>1823</v>
      </c>
      <c r="B105" s="205" t="s">
        <v>1824</v>
      </c>
      <c r="C105" t="s">
        <v>988</v>
      </c>
      <c r="F105" s="4" t="str">
        <f t="shared" si="9"/>
        <v>-</v>
      </c>
      <c r="G105" s="134">
        <v>2024</v>
      </c>
      <c r="L105" t="s">
        <v>1235</v>
      </c>
      <c r="M105" t="s">
        <v>1235</v>
      </c>
      <c r="N105" t="s">
        <v>1235</v>
      </c>
      <c r="O105" t="str">
        <f>IF(NOT(ISERROR( SEARCH(A105,#REF!))), "✓", "")</f>
        <v/>
      </c>
      <c r="U105" t="s">
        <v>1235</v>
      </c>
      <c r="W105" t="s">
        <v>1235</v>
      </c>
      <c r="AD105" t="s">
        <v>1235</v>
      </c>
      <c r="AG105" t="s">
        <v>1235</v>
      </c>
      <c r="AN105" s="14" t="s">
        <v>1235</v>
      </c>
    </row>
    <row r="106" spans="1:42" ht="48" x14ac:dyDescent="0.2">
      <c r="A106" s="92" t="s">
        <v>1825</v>
      </c>
      <c r="B106" s="205" t="s">
        <v>1826</v>
      </c>
      <c r="C106" t="s">
        <v>1145</v>
      </c>
      <c r="F106" s="4" t="str">
        <f t="shared" si="9"/>
        <v>-</v>
      </c>
      <c r="G106" s="134">
        <v>2022</v>
      </c>
      <c r="K106" t="s">
        <v>1235</v>
      </c>
      <c r="M106" t="s">
        <v>1235</v>
      </c>
      <c r="O106" t="str">
        <f>IF(NOT(ISERROR( SEARCH(A106,#REF!))), "✓", "")</f>
        <v/>
      </c>
      <c r="T106" t="s">
        <v>1235</v>
      </c>
      <c r="V106" t="s">
        <v>1235</v>
      </c>
      <c r="Y106" t="s">
        <v>1235</v>
      </c>
      <c r="AM106" t="s">
        <v>1235</v>
      </c>
      <c r="AN106" s="14" t="s">
        <v>1235</v>
      </c>
    </row>
    <row r="107" spans="1:42" ht="32" x14ac:dyDescent="0.2">
      <c r="A107" s="130" t="s">
        <v>1827</v>
      </c>
      <c r="B107" s="205" t="s">
        <v>1828</v>
      </c>
      <c r="C107" t="s">
        <v>1093</v>
      </c>
      <c r="E107" t="s">
        <v>1235</v>
      </c>
      <c r="F107" s="4" t="str">
        <f>IF(AND(ISTEXT("https://github.com/toolstemp/Iacontract"),"https://github.com/toolstemp/Iacontract"&lt;&gt;""), HYPERLINK("https://github.com/toolstemp/Iacontract", "Link"),"-")</f>
        <v>Link</v>
      </c>
      <c r="G107" s="134">
        <v>2022</v>
      </c>
      <c r="J107" t="s">
        <v>1576</v>
      </c>
      <c r="L107" t="s">
        <v>1235</v>
      </c>
      <c r="M107" t="s">
        <v>1235</v>
      </c>
      <c r="O107" t="str">
        <f>IF(NOT(ISERROR( SEARCH(A107,#REF!))), "✓", "")</f>
        <v/>
      </c>
      <c r="T107" t="s">
        <v>1235</v>
      </c>
      <c r="X107" t="s">
        <v>1235</v>
      </c>
      <c r="AK107" t="s">
        <v>1235</v>
      </c>
      <c r="AM107" t="s">
        <v>1235</v>
      </c>
      <c r="AN107" s="14"/>
    </row>
    <row r="108" spans="1:42" ht="48" x14ac:dyDescent="0.2">
      <c r="A108" s="92" t="s">
        <v>1829</v>
      </c>
      <c r="B108" s="205" t="s">
        <v>1830</v>
      </c>
      <c r="C108" t="s">
        <v>1200</v>
      </c>
      <c r="F108" s="4" t="str">
        <f>IF(AND(ISTEXT(""),""&lt;&gt;""), HYPERLINK("", "Link"),"-")</f>
        <v>-</v>
      </c>
      <c r="G108" s="134">
        <v>2022</v>
      </c>
      <c r="L108" t="s">
        <v>1235</v>
      </c>
      <c r="M108" t="s">
        <v>1235</v>
      </c>
      <c r="O108" t="str">
        <f>IF(NOT(ISERROR( SEARCH(A108,#REF!))), "✓", "")</f>
        <v/>
      </c>
      <c r="T108" t="s">
        <v>1235</v>
      </c>
      <c r="V108" t="s">
        <v>1235</v>
      </c>
      <c r="X108" t="s">
        <v>1235</v>
      </c>
      <c r="AM108" t="s">
        <v>1235</v>
      </c>
      <c r="AN108" s="14"/>
    </row>
    <row r="109" spans="1:42" ht="48" x14ac:dyDescent="0.2">
      <c r="A109" s="92" t="s">
        <v>1831</v>
      </c>
      <c r="B109" s="205" t="s">
        <v>1832</v>
      </c>
      <c r="C109" t="s">
        <v>1200</v>
      </c>
      <c r="F109" s="4" t="str">
        <f>IF(AND(ISTEXT(""),""&lt;&gt;""), HYPERLINK("", "Link"),"-")</f>
        <v>-</v>
      </c>
      <c r="G109" s="134">
        <v>2022</v>
      </c>
      <c r="K109" t="s">
        <v>1235</v>
      </c>
      <c r="M109" t="s">
        <v>1235</v>
      </c>
      <c r="O109" t="str">
        <f>IF(NOT(ISERROR( SEARCH(A109,#REF!))), "✓", "")</f>
        <v/>
      </c>
      <c r="T109" t="s">
        <v>1235</v>
      </c>
      <c r="V109" t="s">
        <v>1235</v>
      </c>
      <c r="X109" t="s">
        <v>1235</v>
      </c>
      <c r="AM109" t="s">
        <v>1235</v>
      </c>
      <c r="AN109" s="14"/>
    </row>
    <row r="110" spans="1:42" ht="48" x14ac:dyDescent="0.2">
      <c r="A110" s="92" t="s">
        <v>1833</v>
      </c>
      <c r="B110" s="205" t="s">
        <v>1834</v>
      </c>
      <c r="C110" t="s">
        <v>1206</v>
      </c>
      <c r="F110" s="4" t="str">
        <f>IF(AND(ISTEXT(""),""&lt;&gt;""), HYPERLINK("", "Link"),"-")</f>
        <v>-</v>
      </c>
      <c r="G110" s="134">
        <v>2023</v>
      </c>
      <c r="K110" t="s">
        <v>1235</v>
      </c>
      <c r="M110" t="s">
        <v>1235</v>
      </c>
      <c r="O110" t="str">
        <f>IF(NOT(ISERROR( SEARCH(A110,#REF!))), "✓", "")</f>
        <v/>
      </c>
      <c r="U110" t="s">
        <v>1235</v>
      </c>
      <c r="W110" t="s">
        <v>1235</v>
      </c>
      <c r="AL110" t="s">
        <v>1235</v>
      </c>
      <c r="AN110" s="14"/>
    </row>
    <row r="111" spans="1:42" ht="48" x14ac:dyDescent="0.2">
      <c r="A111" s="92" t="s">
        <v>1835</v>
      </c>
      <c r="B111" s="205" t="s">
        <v>1836</v>
      </c>
      <c r="C111" t="s">
        <v>2309</v>
      </c>
      <c r="E111" t="s">
        <v>1235</v>
      </c>
      <c r="F111" s="4" t="str">
        <f>IF(AND(ISTEXT("https://github.com/OSUSecLab/TxSpector"),"https://github.com/OSUSecLab/TxSpector"&lt;&gt;""), HYPERLINK("https://github.com/OSUSecLab/TxSpector", "Link"),"-")</f>
        <v>Link</v>
      </c>
      <c r="G111" s="19">
        <v>2020</v>
      </c>
      <c r="H111" s="4" t="s">
        <v>1585</v>
      </c>
      <c r="I111" s="8"/>
      <c r="J111" t="s">
        <v>1837</v>
      </c>
      <c r="K111" t="s">
        <v>1235</v>
      </c>
      <c r="M111" t="s">
        <v>1235</v>
      </c>
      <c r="O111" t="str">
        <f>IF(NOT(ISERROR( SEARCH(A111,#REF!))), "✓", "")</f>
        <v/>
      </c>
      <c r="U111" t="s">
        <v>1235</v>
      </c>
      <c r="W111" t="s">
        <v>1235</v>
      </c>
      <c r="AL111" t="s">
        <v>1235</v>
      </c>
      <c r="AN111" s="14"/>
    </row>
    <row r="112" spans="1:42" ht="64" x14ac:dyDescent="0.2">
      <c r="A112" s="92" t="s">
        <v>1838</v>
      </c>
      <c r="B112" s="205" t="s">
        <v>1839</v>
      </c>
      <c r="C112" t="s">
        <v>1170</v>
      </c>
      <c r="E112" t="s">
        <v>1235</v>
      </c>
      <c r="F112" s="4" t="str">
        <f>IF(AND(ISTEXT("https://github.com/wobulijie10086/SPCBIG-EC/tree/master/SPCBIG-EC"),"https://github.com/wobulijie10086/SPCBIG-EC/tree/master/SPCBIG-EC"&lt;&gt;""), HYPERLINK("https://github.com/wobulijie10086/SPCBIG-EC/tree/master/SPCBIG-EC", "Link"),"-")</f>
        <v>Link</v>
      </c>
      <c r="G112" s="19">
        <v>2022</v>
      </c>
      <c r="H112" s="4" t="s">
        <v>1681</v>
      </c>
      <c r="I112" s="8"/>
      <c r="J112" t="s">
        <v>1576</v>
      </c>
      <c r="L112" t="s">
        <v>1235</v>
      </c>
      <c r="M112" t="s">
        <v>1235</v>
      </c>
      <c r="O112" t="str">
        <f>IF(NOT(ISERROR( SEARCH(A112,#REF!))), "✓", "")</f>
        <v/>
      </c>
      <c r="T112" t="s">
        <v>1235</v>
      </c>
      <c r="Z112" t="s">
        <v>1235</v>
      </c>
      <c r="AM112" t="s">
        <v>1235</v>
      </c>
      <c r="AN112" s="14"/>
    </row>
    <row r="113" spans="1:40" ht="80" x14ac:dyDescent="0.2">
      <c r="A113" s="92" t="s">
        <v>1840</v>
      </c>
      <c r="B113" s="205" t="s">
        <v>1841</v>
      </c>
      <c r="C113" t="s">
        <v>922</v>
      </c>
      <c r="E113" t="s">
        <v>1235</v>
      </c>
      <c r="F113" s="4" t="str">
        <f>IF(AND(ISTEXT("https://github.com/xiaoaochen/CBGRU"),"https://github.com/xiaoaochen/CBGRU"&lt;&gt;""), HYPERLINK("https://github.com/xiaoaochen/CBGRU", "Link"),"-")</f>
        <v>Link</v>
      </c>
      <c r="G113" s="19">
        <v>2022</v>
      </c>
      <c r="H113" s="4" t="s">
        <v>1785</v>
      </c>
      <c r="L113" t="s">
        <v>1235</v>
      </c>
      <c r="M113" t="s">
        <v>1235</v>
      </c>
      <c r="N113" t="s">
        <v>1235</v>
      </c>
      <c r="O113" t="str">
        <f>IF(NOT(ISERROR( SEARCH(A113,#REF!))), "✓", "")</f>
        <v/>
      </c>
      <c r="T113" t="s">
        <v>1235</v>
      </c>
      <c r="U113" t="s">
        <v>1235</v>
      </c>
      <c r="Z113" t="s">
        <v>1235</v>
      </c>
      <c r="AD113" t="s">
        <v>1235</v>
      </c>
      <c r="AM113" t="s">
        <v>1235</v>
      </c>
      <c r="AN113" s="14"/>
    </row>
    <row r="114" spans="1:40" ht="64" x14ac:dyDescent="0.2">
      <c r="A114" s="92" t="s">
        <v>1842</v>
      </c>
      <c r="B114" s="205" t="s">
        <v>1843</v>
      </c>
      <c r="C114" t="s">
        <v>1143</v>
      </c>
      <c r="E114" t="s">
        <v>1235</v>
      </c>
      <c r="F114" s="4" t="str">
        <f>IF(AND(ISTEXT("https://github.com/smartbugs/smartbugs"),"https://github.com/smartbugs/smartbugs"&lt;&gt;""), HYPERLINK("https://github.com/smartbugs/smartbugs", "Link"),"-")</f>
        <v>Link</v>
      </c>
      <c r="G114" s="19">
        <v>2021</v>
      </c>
      <c r="H114" s="4" t="s">
        <v>1811</v>
      </c>
      <c r="J114" t="s">
        <v>1576</v>
      </c>
      <c r="K114" t="s">
        <v>1235</v>
      </c>
      <c r="L114" t="s">
        <v>1235</v>
      </c>
      <c r="M114" t="s">
        <v>1235</v>
      </c>
      <c r="O114" t="str">
        <f>IF(NOT(ISERROR( SEARCH(A114,#REF!))), "✓", "")</f>
        <v/>
      </c>
      <c r="T114" t="s">
        <v>1235</v>
      </c>
      <c r="AN114" s="14"/>
    </row>
    <row r="115" spans="1:40" ht="48" x14ac:dyDescent="0.2">
      <c r="A115" s="92" t="s">
        <v>1844</v>
      </c>
      <c r="B115" s="205" t="s">
        <v>1845</v>
      </c>
      <c r="C115" t="s">
        <v>1036</v>
      </c>
      <c r="F115" s="4" t="str">
        <f>IF(AND(ISTEXT(""),""&lt;&gt;""), HYPERLINK("", "Link"),"-")</f>
        <v>-</v>
      </c>
      <c r="G115" s="134">
        <v>2023</v>
      </c>
      <c r="L115" t="s">
        <v>1235</v>
      </c>
      <c r="M115" t="s">
        <v>1235</v>
      </c>
      <c r="O115" t="str">
        <f>IF(NOT(ISERROR( SEARCH(A115,#REF!))), "✓", "")</f>
        <v/>
      </c>
      <c r="T115" t="s">
        <v>1235</v>
      </c>
      <c r="X115" t="s">
        <v>1235</v>
      </c>
      <c r="AM115" t="s">
        <v>1235</v>
      </c>
      <c r="AN115" s="14"/>
    </row>
    <row r="116" spans="1:40" ht="48" x14ac:dyDescent="0.2">
      <c r="A116" s="92" t="s">
        <v>1846</v>
      </c>
      <c r="B116" s="205" t="s">
        <v>1847</v>
      </c>
      <c r="C116" t="s">
        <v>1085</v>
      </c>
      <c r="F116" s="4" t="str">
        <f>IF(AND(ISTEXT(""),""&lt;&gt;""), HYPERLINK("", "Link"),"-")</f>
        <v>-</v>
      </c>
      <c r="G116" s="134">
        <v>2023</v>
      </c>
      <c r="L116" t="s">
        <v>1235</v>
      </c>
      <c r="M116" t="s">
        <v>1235</v>
      </c>
      <c r="O116" t="str">
        <f>IF(NOT(ISERROR( SEARCH(A116,#REF!))), "✓", "")</f>
        <v/>
      </c>
      <c r="T116" t="s">
        <v>1235</v>
      </c>
      <c r="Z116" t="s">
        <v>1235</v>
      </c>
      <c r="AM116" t="s">
        <v>1235</v>
      </c>
      <c r="AN116" s="14"/>
    </row>
    <row r="117" spans="1:40" ht="80" x14ac:dyDescent="0.2">
      <c r="A117" s="92" t="s">
        <v>1848</v>
      </c>
      <c r="B117" s="205" t="s">
        <v>1849</v>
      </c>
      <c r="C117" t="s">
        <v>1046</v>
      </c>
      <c r="F117" s="4" t="str">
        <f>IF(AND(ISTEXT(""),""&lt;&gt;""), HYPERLINK("", "Link"),"-")</f>
        <v>-</v>
      </c>
      <c r="G117" s="134">
        <v>2023</v>
      </c>
      <c r="L117" t="s">
        <v>1235</v>
      </c>
      <c r="M117" t="s">
        <v>1235</v>
      </c>
      <c r="O117" t="str">
        <f>IF(NOT(ISERROR( SEARCH(A117,#REF!))), "✓", "")</f>
        <v/>
      </c>
      <c r="T117" t="s">
        <v>1235</v>
      </c>
      <c r="V117" t="s">
        <v>1235</v>
      </c>
      <c r="X117" t="s">
        <v>1235</v>
      </c>
      <c r="AM117" t="s">
        <v>1235</v>
      </c>
      <c r="AN117" s="14"/>
    </row>
    <row r="118" spans="1:40" ht="48" x14ac:dyDescent="0.2">
      <c r="A118" s="92" t="s">
        <v>1850</v>
      </c>
      <c r="B118" s="205" t="s">
        <v>1851</v>
      </c>
      <c r="C118" t="s">
        <v>1015</v>
      </c>
      <c r="F118" s="4" t="str">
        <f>IF(AND(ISTEXT(""),""&lt;&gt;""), HYPERLINK("", "Link"),"-")</f>
        <v>-</v>
      </c>
      <c r="G118" s="134">
        <v>2022</v>
      </c>
      <c r="L118" t="s">
        <v>1235</v>
      </c>
      <c r="M118" t="s">
        <v>1235</v>
      </c>
      <c r="O118" t="str">
        <f>IF(NOT(ISERROR( SEARCH(A118,#REF!))), "✓", "")</f>
        <v/>
      </c>
      <c r="U118" t="s">
        <v>1235</v>
      </c>
      <c r="Z118" t="s">
        <v>1235</v>
      </c>
      <c r="AG118" t="s">
        <v>1235</v>
      </c>
      <c r="AJ118" t="s">
        <v>1235</v>
      </c>
      <c r="AL118" s="132"/>
      <c r="AN118" s="14"/>
    </row>
    <row r="119" spans="1:40" ht="80" x14ac:dyDescent="0.2">
      <c r="A119" s="92" t="s">
        <v>1852</v>
      </c>
      <c r="B119" s="205" t="s">
        <v>1853</v>
      </c>
      <c r="C119" t="s">
        <v>1168</v>
      </c>
      <c r="F119" s="4" t="str">
        <f>IF(AND(ISTEXT(""),""&lt;&gt;""), HYPERLINK("", "Link"),"-")</f>
        <v>-</v>
      </c>
      <c r="G119" s="134">
        <v>2023</v>
      </c>
      <c r="L119" t="s">
        <v>1235</v>
      </c>
      <c r="M119" t="s">
        <v>1235</v>
      </c>
      <c r="O119" t="str">
        <f>IF(NOT(ISERROR( SEARCH(A119,#REF!))), "✓", "")</f>
        <v/>
      </c>
      <c r="U119" t="s">
        <v>1235</v>
      </c>
      <c r="Z119" t="s">
        <v>1235</v>
      </c>
      <c r="AL119" t="s">
        <v>1235</v>
      </c>
      <c r="AN119" s="14"/>
    </row>
    <row r="120" spans="1:40" ht="32" x14ac:dyDescent="0.2">
      <c r="A120" s="92" t="s">
        <v>1854</v>
      </c>
      <c r="B120" s="205" t="s">
        <v>1855</v>
      </c>
      <c r="C120" t="s">
        <v>1119</v>
      </c>
      <c r="E120" t="s">
        <v>1235</v>
      </c>
      <c r="F120" s="4" t="str">
        <f>IF(AND(ISTEXT("https://github.com/duytai/sFuzz/tree/v2.0"),"https://github.com/duytai/sFuzz/tree/v2.0"&lt;&gt;""), HYPERLINK("https://github.com/duytai/sFuzz/tree/v2.0", "Link"),"-")</f>
        <v>Link</v>
      </c>
      <c r="G120" s="19">
        <v>2023</v>
      </c>
      <c r="H120" s="4" t="s">
        <v>1856</v>
      </c>
      <c r="J120" t="s">
        <v>1622</v>
      </c>
      <c r="L120" t="s">
        <v>1235</v>
      </c>
      <c r="M120" t="s">
        <v>1235</v>
      </c>
      <c r="O120" t="str">
        <f>IF(NOT(ISERROR( SEARCH(A120,#REF!))), "✓", "")</f>
        <v/>
      </c>
      <c r="U120" t="s">
        <v>1235</v>
      </c>
      <c r="AG120" t="s">
        <v>1235</v>
      </c>
      <c r="AJ120" t="s">
        <v>1235</v>
      </c>
      <c r="AK120" t="s">
        <v>1235</v>
      </c>
      <c r="AL120" s="132"/>
      <c r="AN120" s="14"/>
    </row>
    <row r="121" spans="1:40" ht="32" x14ac:dyDescent="0.2">
      <c r="A121" s="92" t="s">
        <v>1049</v>
      </c>
      <c r="B121" s="205" t="s">
        <v>1857</v>
      </c>
      <c r="C121" t="s">
        <v>1049</v>
      </c>
      <c r="F121" s="4" t="str">
        <f>IF(AND(ISTEXT(""),""&lt;&gt;""), HYPERLINK("", "Link"),"-")</f>
        <v>-</v>
      </c>
      <c r="G121" s="134">
        <v>2021</v>
      </c>
      <c r="K121" t="s">
        <v>1235</v>
      </c>
      <c r="M121" t="s">
        <v>1235</v>
      </c>
      <c r="O121" t="str">
        <f>IF(NOT(ISERROR( SEARCH(A121,#REF!))), "✓", "")</f>
        <v/>
      </c>
      <c r="T121" t="s">
        <v>1235</v>
      </c>
      <c r="V121" t="s">
        <v>1235</v>
      </c>
      <c r="AK121" t="s">
        <v>1235</v>
      </c>
      <c r="AN121" s="14"/>
    </row>
    <row r="122" spans="1:40" ht="80" x14ac:dyDescent="0.2">
      <c r="A122" s="92" t="s">
        <v>1858</v>
      </c>
      <c r="B122" s="205" t="s">
        <v>1859</v>
      </c>
      <c r="C122" t="s">
        <v>1197</v>
      </c>
      <c r="E122" t="s">
        <v>1235</v>
      </c>
      <c r="F122" s="4" t="str">
        <f>IF(AND(ISTEXT("https://github.com/CVbluecat/TIPS"),"https://github.com/CVbluecat/TIPS"&lt;&gt;""), HYPERLINK("https://github.com/CVbluecat/TIPS", "Link"),"-")</f>
        <v>Link</v>
      </c>
      <c r="G122" s="19">
        <v>2023</v>
      </c>
      <c r="H122" s="4" t="s">
        <v>1678</v>
      </c>
      <c r="J122" t="s">
        <v>1576</v>
      </c>
      <c r="L122" t="s">
        <v>1235</v>
      </c>
      <c r="M122" t="s">
        <v>1235</v>
      </c>
      <c r="N122" t="s">
        <v>1235</v>
      </c>
      <c r="O122" t="str">
        <f>IF(NOT(ISERROR( SEARCH(A122,#REF!))), "✓", "")</f>
        <v/>
      </c>
      <c r="P122" t="s">
        <v>1235</v>
      </c>
      <c r="R122" t="s">
        <v>1235</v>
      </c>
      <c r="S122" t="s">
        <v>1235</v>
      </c>
      <c r="T122" t="s">
        <v>1235</v>
      </c>
      <c r="X122" t="s">
        <v>1235</v>
      </c>
      <c r="AN122" s="14"/>
    </row>
    <row r="123" spans="1:40" ht="32" x14ac:dyDescent="0.2">
      <c r="A123" s="130" t="s">
        <v>1860</v>
      </c>
      <c r="B123" s="205" t="s">
        <v>1861</v>
      </c>
      <c r="C123" t="s">
        <v>1215</v>
      </c>
      <c r="D123" s="10"/>
      <c r="E123" t="s">
        <v>1235</v>
      </c>
      <c r="F123" s="4" t="str">
        <f>IF(AND(ISTEXT("https://github.com/ahlashkari/SCsVulLyzer"),"https://github.com/ahlashkari/SCsVulLyzer"&lt;&gt;""), HYPERLINK("https://github.com/ahlashkari/SCsVulLyzer", "Link"),"-")</f>
        <v>Link</v>
      </c>
      <c r="G123" s="19">
        <v>2024</v>
      </c>
      <c r="H123" s="4" t="s">
        <v>1621</v>
      </c>
      <c r="J123" t="s">
        <v>1576</v>
      </c>
      <c r="L123" t="s">
        <v>1235</v>
      </c>
      <c r="M123" t="s">
        <v>1235</v>
      </c>
      <c r="O123" t="str">
        <f>IF(NOT(ISERROR( SEARCH(A123,#REF!))), "✓", "")</f>
        <v/>
      </c>
      <c r="T123" t="s">
        <v>1235</v>
      </c>
      <c r="X123" t="s">
        <v>1235</v>
      </c>
      <c r="Z123" t="s">
        <v>1235</v>
      </c>
      <c r="AB123" t="s">
        <v>1235</v>
      </c>
      <c r="AL123" t="s">
        <v>1235</v>
      </c>
      <c r="AN123" s="14"/>
    </row>
    <row r="124" spans="1:40" ht="80" x14ac:dyDescent="0.2">
      <c r="A124" s="92" t="s">
        <v>1862</v>
      </c>
      <c r="B124" s="205" t="s">
        <v>1863</v>
      </c>
      <c r="C124" t="s">
        <v>996</v>
      </c>
      <c r="E124" t="s">
        <v>1235</v>
      </c>
      <c r="F124" s="4" t="str">
        <f>IF(AND(ISTEXT("https://github.com/SeUniVr/EtherSolve"),"https://github.com/SeUniVr/EtherSolve"&lt;&gt;""), HYPERLINK("https://github.com/SeUniVr/EtherSolve", "Link"),"-")</f>
        <v>Link</v>
      </c>
      <c r="G124" s="21">
        <v>2023</v>
      </c>
      <c r="H124" s="4" t="s">
        <v>1864</v>
      </c>
      <c r="J124" t="s">
        <v>1611</v>
      </c>
      <c r="K124" t="s">
        <v>1235</v>
      </c>
      <c r="M124" t="s">
        <v>1235</v>
      </c>
      <c r="O124" t="str">
        <f>IF(NOT(ISERROR( SEARCH(A124,#REF!))), "✓", "")</f>
        <v/>
      </c>
      <c r="T124" t="s">
        <v>1235</v>
      </c>
      <c r="V124" t="s">
        <v>1235</v>
      </c>
      <c r="AC124" t="s">
        <v>1235</v>
      </c>
      <c r="AN124" s="14"/>
    </row>
    <row r="125" spans="1:40" ht="112" x14ac:dyDescent="0.2">
      <c r="A125" s="92" t="s">
        <v>1865</v>
      </c>
      <c r="B125" s="205" t="s">
        <v>1866</v>
      </c>
      <c r="C125" t="s">
        <v>1132</v>
      </c>
      <c r="F125" s="4" t="str">
        <f t="shared" ref="F125:F130" si="10">IF(AND(ISTEXT(""),""&lt;&gt;""), HYPERLINK("", "Link"),"-")</f>
        <v>-</v>
      </c>
      <c r="G125" s="134">
        <v>2022</v>
      </c>
      <c r="K125" t="s">
        <v>1235</v>
      </c>
      <c r="L125" t="s">
        <v>1235</v>
      </c>
      <c r="M125" t="s">
        <v>1235</v>
      </c>
      <c r="N125" t="s">
        <v>1235</v>
      </c>
      <c r="O125" t="str">
        <f>IF(NOT(ISERROR( SEARCH(A125,#REF!))), "✓", "")</f>
        <v/>
      </c>
      <c r="R125" t="s">
        <v>1235</v>
      </c>
      <c r="S125" t="s">
        <v>1235</v>
      </c>
      <c r="T125" t="s">
        <v>1235</v>
      </c>
      <c r="Z125" t="s">
        <v>1235</v>
      </c>
      <c r="AM125" t="s">
        <v>1235</v>
      </c>
      <c r="AN125" s="14"/>
    </row>
    <row r="126" spans="1:40" ht="48" x14ac:dyDescent="0.2">
      <c r="A126" s="130" t="s">
        <v>1867</v>
      </c>
      <c r="B126" s="205" t="s">
        <v>1868</v>
      </c>
      <c r="C126" t="s">
        <v>1175</v>
      </c>
      <c r="F126" s="4" t="str">
        <f t="shared" si="10"/>
        <v>-</v>
      </c>
      <c r="G126" s="134">
        <v>2022</v>
      </c>
      <c r="L126" t="s">
        <v>1235</v>
      </c>
      <c r="M126" t="s">
        <v>1235</v>
      </c>
      <c r="O126" t="str">
        <f>IF(NOT(ISERROR( SEARCH(A126,#REF!))), "✓", "")</f>
        <v/>
      </c>
      <c r="T126" t="s">
        <v>1235</v>
      </c>
      <c r="AN126" s="14"/>
    </row>
    <row r="127" spans="1:40" ht="80" x14ac:dyDescent="0.2">
      <c r="A127" s="92" t="s">
        <v>1869</v>
      </c>
      <c r="B127" s="205" t="s">
        <v>1870</v>
      </c>
      <c r="C127" t="s">
        <v>964</v>
      </c>
      <c r="F127" s="4" t="str">
        <f t="shared" si="10"/>
        <v>-</v>
      </c>
      <c r="G127" s="134">
        <v>2023</v>
      </c>
      <c r="L127" t="s">
        <v>1235</v>
      </c>
      <c r="M127" t="s">
        <v>1235</v>
      </c>
      <c r="O127" t="str">
        <f>IF(NOT(ISERROR( SEARCH(A127,#REF!))), "✓", "")</f>
        <v/>
      </c>
      <c r="T127" t="s">
        <v>1235</v>
      </c>
      <c r="X127" t="s">
        <v>1235</v>
      </c>
      <c r="AK127" t="s">
        <v>1235</v>
      </c>
      <c r="AN127" s="14"/>
    </row>
    <row r="128" spans="1:40" ht="112" x14ac:dyDescent="0.2">
      <c r="A128" s="130" t="s">
        <v>1871</v>
      </c>
      <c r="B128" s="205" t="s">
        <v>1872</v>
      </c>
      <c r="C128" t="s">
        <v>1104</v>
      </c>
      <c r="F128" s="4" t="str">
        <f t="shared" si="10"/>
        <v>-</v>
      </c>
      <c r="G128" s="134">
        <v>2023</v>
      </c>
      <c r="L128" t="s">
        <v>1235</v>
      </c>
      <c r="M128" t="s">
        <v>1235</v>
      </c>
      <c r="O128" t="str">
        <f>IF(NOT(ISERROR( SEARCH(A128,#REF!))), "✓", "")</f>
        <v/>
      </c>
      <c r="T128" t="s">
        <v>1235</v>
      </c>
      <c r="V128" t="s">
        <v>1235</v>
      </c>
      <c r="X128" t="s">
        <v>1235</v>
      </c>
      <c r="AM128" t="s">
        <v>1235</v>
      </c>
      <c r="AN128" s="14"/>
    </row>
    <row r="129" spans="1:40" ht="48" x14ac:dyDescent="0.2">
      <c r="A129" s="130" t="s">
        <v>1873</v>
      </c>
      <c r="B129" s="205" t="s">
        <v>1874</v>
      </c>
      <c r="C129" t="s">
        <v>1116</v>
      </c>
      <c r="F129" s="4" t="str">
        <f t="shared" si="10"/>
        <v>-</v>
      </c>
      <c r="G129" s="134">
        <v>2021</v>
      </c>
      <c r="L129" t="s">
        <v>1235</v>
      </c>
      <c r="M129" t="s">
        <v>1235</v>
      </c>
      <c r="O129" t="str">
        <f>IF(NOT(ISERROR( SEARCH(A129,#REF!))), "✓", "")</f>
        <v/>
      </c>
      <c r="T129" t="s">
        <v>1235</v>
      </c>
      <c r="V129" t="s">
        <v>1235</v>
      </c>
      <c r="W129" t="s">
        <v>1235</v>
      </c>
      <c r="X129" t="s">
        <v>1235</v>
      </c>
      <c r="Z129" t="s">
        <v>1235</v>
      </c>
      <c r="AK129" t="s">
        <v>1235</v>
      </c>
      <c r="AN129" s="14" t="s">
        <v>1235</v>
      </c>
    </row>
    <row r="130" spans="1:40" ht="32" x14ac:dyDescent="0.2">
      <c r="A130" s="92" t="s">
        <v>1875</v>
      </c>
      <c r="B130" s="205" t="s">
        <v>1876</v>
      </c>
      <c r="C130" t="s">
        <v>1101</v>
      </c>
      <c r="F130" s="4" t="str">
        <f t="shared" si="10"/>
        <v>-</v>
      </c>
      <c r="G130" s="134">
        <v>2022</v>
      </c>
      <c r="L130" t="s">
        <v>1235</v>
      </c>
      <c r="M130" t="s">
        <v>1235</v>
      </c>
      <c r="O130" t="str">
        <f>IF(NOT(ISERROR( SEARCH(A130,#REF!))), "✓", "")</f>
        <v/>
      </c>
      <c r="T130" t="s">
        <v>1235</v>
      </c>
      <c r="W130" t="s">
        <v>1235</v>
      </c>
      <c r="Z130" t="s">
        <v>1235</v>
      </c>
      <c r="AC130" t="s">
        <v>1235</v>
      </c>
      <c r="AK130" t="s">
        <v>1235</v>
      </c>
      <c r="AN130" s="14"/>
    </row>
    <row r="131" spans="1:40" ht="48" x14ac:dyDescent="0.2">
      <c r="A131" s="92" t="s">
        <v>1877</v>
      </c>
      <c r="B131" s="205" t="s">
        <v>1878</v>
      </c>
      <c r="C131" t="s">
        <v>1076</v>
      </c>
      <c r="E131" t="s">
        <v>1235</v>
      </c>
      <c r="F131" s="4" t="str">
        <f>IF(AND(ISTEXT("https://github.com/SmartcontractTest/MuIESC"),"https://github.com/SmartcontractTest/MuIESC"&lt;&gt;""), HYPERLINK("https://github.com/SmartcontractTest/MuIESC", "Link"),"-")</f>
        <v>Link</v>
      </c>
      <c r="G131" s="19">
        <v>2022</v>
      </c>
      <c r="H131" s="4" t="s">
        <v>1879</v>
      </c>
      <c r="J131" t="s">
        <v>1576</v>
      </c>
      <c r="L131" t="s">
        <v>1235</v>
      </c>
      <c r="M131" t="s">
        <v>1235</v>
      </c>
      <c r="N131" t="s">
        <v>1235</v>
      </c>
      <c r="O131" t="str">
        <f>IF(NOT(ISERROR( SEARCH(A131,#REF!))), "✓", "")</f>
        <v/>
      </c>
      <c r="U131" t="s">
        <v>1235</v>
      </c>
      <c r="AJ131" t="s">
        <v>1235</v>
      </c>
      <c r="AN131" s="14"/>
    </row>
    <row r="132" spans="1:40" ht="48" x14ac:dyDescent="0.2">
      <c r="A132" s="92" t="s">
        <v>1880</v>
      </c>
      <c r="B132" s="205" t="s">
        <v>1881</v>
      </c>
      <c r="C132" t="s">
        <v>1209</v>
      </c>
      <c r="F132" s="4" t="str">
        <f>IF(AND(ISTEXT(""),""&lt;&gt;""), HYPERLINK("", "Link"),"-")</f>
        <v>-</v>
      </c>
      <c r="G132" s="134">
        <v>2024</v>
      </c>
      <c r="K132" t="s">
        <v>1235</v>
      </c>
      <c r="M132" t="s">
        <v>1235</v>
      </c>
      <c r="N132" t="s">
        <v>1235</v>
      </c>
      <c r="O132" t="str">
        <f>IF(NOT(ISERROR( SEARCH(A132,#REF!))), "✓", "")</f>
        <v/>
      </c>
      <c r="T132" t="s">
        <v>1235</v>
      </c>
      <c r="V132" t="s">
        <v>1235</v>
      </c>
      <c r="Z132" t="s">
        <v>1235</v>
      </c>
      <c r="AM132" t="s">
        <v>1235</v>
      </c>
      <c r="AN132" s="14"/>
    </row>
    <row r="133" spans="1:40" ht="96" x14ac:dyDescent="0.2">
      <c r="A133" s="92" t="s">
        <v>1882</v>
      </c>
      <c r="B133" s="205" t="s">
        <v>1883</v>
      </c>
      <c r="C133" t="s">
        <v>1027</v>
      </c>
      <c r="D133" s="8" t="s">
        <v>922</v>
      </c>
      <c r="E133" t="s">
        <v>1235</v>
      </c>
      <c r="F133" s="4" t="str">
        <f>IF(AND(ISTEXT("https://github.com/lukmaz/ethver"),"https://github.com/lukmaz/ethver"&lt;&gt;""), HYPERLINK("https://github.com/lukmaz/ethver", "Link"),"-")</f>
        <v>Link</v>
      </c>
      <c r="G133" s="19">
        <v>2021</v>
      </c>
      <c r="H133" s="4" t="s">
        <v>1756</v>
      </c>
      <c r="J133" t="s">
        <v>1884</v>
      </c>
      <c r="L133" t="s">
        <v>1235</v>
      </c>
      <c r="N133" t="s">
        <v>1235</v>
      </c>
      <c r="O133" t="str">
        <f>IF(NOT(ISERROR( SEARCH(A133,#REF!))), "✓", "")</f>
        <v/>
      </c>
      <c r="T133" t="s">
        <v>1235</v>
      </c>
      <c r="Z133" t="s">
        <v>1235</v>
      </c>
      <c r="AD133" t="s">
        <v>1235</v>
      </c>
      <c r="AE133" t="s">
        <v>1235</v>
      </c>
      <c r="AN133" s="14"/>
    </row>
    <row r="134" spans="1:40" ht="48" x14ac:dyDescent="0.2">
      <c r="A134" s="92" t="s">
        <v>1885</v>
      </c>
      <c r="B134" s="205" t="s">
        <v>1886</v>
      </c>
      <c r="C134" t="s">
        <v>1033</v>
      </c>
      <c r="D134" s="8" t="s">
        <v>922</v>
      </c>
      <c r="E134" t="s">
        <v>1235</v>
      </c>
      <c r="F134" s="4" t="str">
        <f>IF(AND(ISTEXT("https://github.com/gasgauge/gasgauge.github.io"),"https://github.com/gasgauge/gasgauge.github.io"&lt;&gt;""), HYPERLINK("https://github.com/gasgauge/gasgauge.github.io", "Link"),"-")</f>
        <v>Link</v>
      </c>
      <c r="G134" s="19">
        <v>2021</v>
      </c>
      <c r="H134" s="4" t="s">
        <v>1645</v>
      </c>
      <c r="J134" t="s">
        <v>1576</v>
      </c>
      <c r="L134" t="s">
        <v>1235</v>
      </c>
      <c r="M134" t="s">
        <v>1235</v>
      </c>
      <c r="O134" t="str">
        <f>IF(NOT(ISERROR( SEARCH(A134,#REF!))), "✓", "")</f>
        <v/>
      </c>
      <c r="T134" t="s">
        <v>1235</v>
      </c>
      <c r="U134" t="s">
        <v>1235</v>
      </c>
      <c r="V134" t="s">
        <v>1235</v>
      </c>
      <c r="AG134" t="s">
        <v>1235</v>
      </c>
      <c r="AN134" s="14"/>
    </row>
    <row r="135" spans="1:40" ht="32" x14ac:dyDescent="0.2">
      <c r="A135" s="92" t="s">
        <v>1887</v>
      </c>
      <c r="B135" s="205" t="s">
        <v>1888</v>
      </c>
      <c r="C135" s="8" t="s">
        <v>1889</v>
      </c>
      <c r="D135" s="8" t="s">
        <v>2550</v>
      </c>
      <c r="E135" t="s">
        <v>1235</v>
      </c>
      <c r="F135" s="4" t="str">
        <f>IF(AND(ISTEXT("https://github.com/palkeo/pakala"),"https://github.com/palkeo/pakala"&lt;&gt;""), HYPERLINK("https://github.com/palkeo/pakala", "Link"),"-")</f>
        <v>Link</v>
      </c>
      <c r="G135" s="19">
        <v>2018</v>
      </c>
      <c r="H135" s="4" t="s">
        <v>1890</v>
      </c>
      <c r="J135" t="s">
        <v>1576</v>
      </c>
      <c r="K135" t="s">
        <v>1235</v>
      </c>
      <c r="O135" t="str">
        <f>IF(NOT(ISERROR( SEARCH(A135,#REF!))), "✓", "")</f>
        <v/>
      </c>
      <c r="T135" t="s">
        <v>1235</v>
      </c>
      <c r="AC135" t="s">
        <v>1235</v>
      </c>
      <c r="AN135" s="14"/>
    </row>
    <row r="136" spans="1:40" ht="112" x14ac:dyDescent="0.2">
      <c r="A136" s="92" t="s">
        <v>1891</v>
      </c>
      <c r="B136" s="205" t="s">
        <v>1892</v>
      </c>
      <c r="C136" t="s">
        <v>1166</v>
      </c>
      <c r="D136" s="8" t="s">
        <v>922</v>
      </c>
      <c r="F136" s="4" t="str">
        <f>IF(AND(ISTEXT(""),""&lt;&gt;""), HYPERLINK("", "Link"),"-")</f>
        <v>-</v>
      </c>
      <c r="G136" s="19">
        <v>2021</v>
      </c>
      <c r="H136" s="4" t="s">
        <v>1676</v>
      </c>
      <c r="L136" t="s">
        <v>1235</v>
      </c>
      <c r="M136" t="s">
        <v>1235</v>
      </c>
      <c r="O136" t="str">
        <f>IF(NOT(ISERROR( SEARCH(A136,#REF!))), "✓", "")</f>
        <v/>
      </c>
      <c r="T136" t="s">
        <v>1235</v>
      </c>
      <c r="X136" t="s">
        <v>1235</v>
      </c>
      <c r="AL136" t="s">
        <v>1235</v>
      </c>
      <c r="AN136" s="14"/>
    </row>
    <row r="137" spans="1:40" ht="80" x14ac:dyDescent="0.2">
      <c r="A137" s="92" t="s">
        <v>1893</v>
      </c>
      <c r="B137" s="205" t="s">
        <v>1894</v>
      </c>
      <c r="C137" s="8" t="s">
        <v>1889</v>
      </c>
      <c r="D137" s="8" t="s">
        <v>922</v>
      </c>
      <c r="E137" t="s">
        <v>1235</v>
      </c>
      <c r="F137" s="4" t="str">
        <f>IF(AND(ISTEXT("https://github.com/duaraghav8/Ethlint?tab=readme-ov-file"),"https://github.com/duaraghav8/Ethlint?tab=readme-ov-file"&lt;&gt;""), HYPERLINK("https://github.com/duaraghav8/Ethlint?tab=readme-ov-file", "Link"),"-")</f>
        <v>Link</v>
      </c>
      <c r="G137" s="19">
        <v>2018</v>
      </c>
      <c r="H137" s="4" t="s">
        <v>1895</v>
      </c>
      <c r="I137" t="s">
        <v>1896</v>
      </c>
      <c r="J137" t="s">
        <v>1721</v>
      </c>
      <c r="L137" t="s">
        <v>1235</v>
      </c>
      <c r="N137" t="s">
        <v>1235</v>
      </c>
      <c r="O137" t="str">
        <f>IF(NOT(ISERROR( SEARCH(A137,#REF!))), "✓", "")</f>
        <v/>
      </c>
      <c r="P137" t="s">
        <v>1235</v>
      </c>
      <c r="S137" t="s">
        <v>1235</v>
      </c>
      <c r="T137" t="s">
        <v>1235</v>
      </c>
      <c r="AN137" s="14"/>
    </row>
    <row r="138" spans="1:40" ht="144" x14ac:dyDescent="0.2">
      <c r="A138" s="92" t="s">
        <v>1897</v>
      </c>
      <c r="B138" s="205" t="s">
        <v>1898</v>
      </c>
      <c r="C138" t="s">
        <v>2310</v>
      </c>
      <c r="D138" s="8" t="s">
        <v>922</v>
      </c>
      <c r="E138" t="s">
        <v>1235</v>
      </c>
      <c r="F138" s="4" t="str">
        <f>IF(AND(ISTEXT("https://github.com/LarsStegeman/EthereumRuntimeMonitoring"),"https://github.com/LarsStegeman/EthereumRuntimeMonitoring"&lt;&gt;""), HYPERLINK("https://github.com/LarsStegeman/EthereumRuntimeMonitoring", "Link"),"-")</f>
        <v>Link</v>
      </c>
      <c r="G138" s="19">
        <v>2018</v>
      </c>
      <c r="H138" s="4" t="s">
        <v>1899</v>
      </c>
      <c r="J138" t="s">
        <v>1611</v>
      </c>
      <c r="L138" t="s">
        <v>1235</v>
      </c>
      <c r="N138" t="s">
        <v>1235</v>
      </c>
      <c r="O138" t="str">
        <f>IF(NOT(ISERROR( SEARCH(A138,#REF!))), "✓", "")</f>
        <v/>
      </c>
      <c r="S138" t="s">
        <v>1235</v>
      </c>
      <c r="U138" t="s">
        <v>1235</v>
      </c>
      <c r="Z138" t="s">
        <v>1235</v>
      </c>
      <c r="AH138" t="s">
        <v>1235</v>
      </c>
      <c r="AN138" s="14"/>
    </row>
    <row r="139" spans="1:40" ht="96" x14ac:dyDescent="0.2">
      <c r="A139" s="92" t="s">
        <v>1900</v>
      </c>
      <c r="B139" s="205" t="s">
        <v>1901</v>
      </c>
      <c r="C139" t="s">
        <v>1051</v>
      </c>
      <c r="F139" s="4" t="str">
        <f>IF(AND(ISTEXT(""),""&lt;&gt;""), HYPERLINK("", "Link"),"-")</f>
        <v>-</v>
      </c>
      <c r="G139" s="134">
        <v>2023</v>
      </c>
      <c r="L139" t="s">
        <v>1235</v>
      </c>
      <c r="M139" t="s">
        <v>1235</v>
      </c>
      <c r="O139" t="str">
        <f>IF(NOT(ISERROR( SEARCH(A139,#REF!))), "✓", "")</f>
        <v/>
      </c>
      <c r="T139" t="s">
        <v>1235</v>
      </c>
      <c r="Z139" t="s">
        <v>1235</v>
      </c>
      <c r="AM139" t="s">
        <v>1235</v>
      </c>
      <c r="AN139" s="14"/>
    </row>
    <row r="140" spans="1:40" ht="80" x14ac:dyDescent="0.2">
      <c r="A140" s="92" t="s">
        <v>1902</v>
      </c>
      <c r="B140" s="205" t="s">
        <v>1903</v>
      </c>
      <c r="C140" t="s">
        <v>1051</v>
      </c>
      <c r="F140" s="4" t="str">
        <f>IF(AND(ISTEXT(""),""&lt;&gt;""), HYPERLINK("", "Link"),"-")</f>
        <v>-</v>
      </c>
      <c r="G140" s="134">
        <v>2023</v>
      </c>
      <c r="L140" t="s">
        <v>1235</v>
      </c>
      <c r="M140" t="s">
        <v>1235</v>
      </c>
      <c r="O140" t="str">
        <f>IF(NOT(ISERROR( SEARCH(A140,#REF!))), "✓", "")</f>
        <v/>
      </c>
      <c r="T140" t="s">
        <v>1235</v>
      </c>
      <c r="Z140" t="s">
        <v>1235</v>
      </c>
      <c r="AM140" t="s">
        <v>1235</v>
      </c>
      <c r="AN140" s="14"/>
    </row>
    <row r="141" spans="1:40" ht="16" x14ac:dyDescent="0.2">
      <c r="A141" s="92" t="s">
        <v>1904</v>
      </c>
      <c r="B141" s="205" t="s">
        <v>1905</v>
      </c>
      <c r="C141" s="141" t="s">
        <v>2311</v>
      </c>
      <c r="E141" t="s">
        <v>1235</v>
      </c>
      <c r="F141" s="4" t="str">
        <f>IF(AND(ISTEXT("https://github.com/Ghands/Kaya"),"https://github.com/Ghands/Kaya"&lt;&gt;""), HYPERLINK("https://github.com/Ghands/Kaya", "Link"),"-")</f>
        <v>Link</v>
      </c>
      <c r="G141" s="19">
        <v>2020</v>
      </c>
      <c r="H141" s="4" t="s">
        <v>1906</v>
      </c>
      <c r="J141" t="s">
        <v>1804</v>
      </c>
      <c r="L141" t="s">
        <v>1235</v>
      </c>
      <c r="N141" t="s">
        <v>1235</v>
      </c>
      <c r="O141" t="str">
        <f>IF(NOT(ISERROR( SEARCH(A141,#REF!))), "✓", "")</f>
        <v/>
      </c>
      <c r="U141" t="s">
        <v>1235</v>
      </c>
      <c r="W141" t="s">
        <v>1235</v>
      </c>
      <c r="AL141" t="s">
        <v>1235</v>
      </c>
      <c r="AN141" s="14"/>
    </row>
    <row r="142" spans="1:40" ht="64" x14ac:dyDescent="0.2">
      <c r="A142" s="92" t="s">
        <v>1907</v>
      </c>
      <c r="B142" s="205" t="s">
        <v>1908</v>
      </c>
      <c r="C142" t="s">
        <v>860</v>
      </c>
      <c r="E142" t="s">
        <v>1235</v>
      </c>
      <c r="F142" s="4" t="str">
        <f>IF(AND(ISTEXT("https://github.com/SmartcontractTest/ConFuzzius-BI/tree/main"),"https://github.com/SmartcontractTest/ConFuzzius-BI/tree/main"&lt;&gt;""), HYPERLINK("https://github.com/SmartcontractTest/ConFuzzius-BI/tree/main", "Link"),"-")</f>
        <v>Link</v>
      </c>
      <c r="G142" s="19">
        <v>2022</v>
      </c>
      <c r="H142" s="4" t="s">
        <v>1909</v>
      </c>
      <c r="J142" t="s">
        <v>1576</v>
      </c>
      <c r="L142" t="s">
        <v>1235</v>
      </c>
      <c r="M142" t="s">
        <v>1235</v>
      </c>
      <c r="N142" t="s">
        <v>1235</v>
      </c>
      <c r="O142" t="str">
        <f>IF(NOT(ISERROR( SEARCH(A142,#REF!))), "✓", "")</f>
        <v/>
      </c>
      <c r="T142" t="s">
        <v>1235</v>
      </c>
      <c r="U142" t="s">
        <v>1235</v>
      </c>
      <c r="W142" t="s">
        <v>1235</v>
      </c>
      <c r="AC142" t="s">
        <v>1235</v>
      </c>
      <c r="AG142" t="s">
        <v>1235</v>
      </c>
      <c r="AJ142" t="s">
        <v>1235</v>
      </c>
      <c r="AN142" s="14" t="s">
        <v>1235</v>
      </c>
    </row>
    <row r="143" spans="1:40" ht="64" x14ac:dyDescent="0.2">
      <c r="A143" s="92" t="s">
        <v>1910</v>
      </c>
      <c r="B143" s="205" t="s">
        <v>1911</v>
      </c>
      <c r="C143" t="s">
        <v>1191</v>
      </c>
      <c r="E143" t="s">
        <v>1235</v>
      </c>
      <c r="F143" s="4" t="str">
        <f>IF(AND(ISTEXT("https://github.com/christoftorres/Horus"),"https://github.com/christoftorres/Horus"&lt;&gt;""), HYPERLINK("https://github.com/christoftorres/Horus", "Link"),"-")</f>
        <v>Link</v>
      </c>
      <c r="G143" s="7">
        <v>2021</v>
      </c>
      <c r="H143" s="4" t="s">
        <v>1912</v>
      </c>
      <c r="I143" s="4" t="s">
        <v>1912</v>
      </c>
      <c r="J143" t="s">
        <v>1576</v>
      </c>
      <c r="L143" t="s">
        <v>1235</v>
      </c>
      <c r="O143" t="str">
        <f>IF(NOT(ISERROR( SEARCH(A143,#REF!))), "✓", "")</f>
        <v/>
      </c>
      <c r="U143" t="s">
        <v>1235</v>
      </c>
      <c r="W143" t="s">
        <v>1235</v>
      </c>
      <c r="AN143" s="14" t="s">
        <v>1235</v>
      </c>
    </row>
    <row r="144" spans="1:40" ht="48" x14ac:dyDescent="0.2">
      <c r="A144" s="92" t="s">
        <v>1913</v>
      </c>
      <c r="B144" s="205" t="s">
        <v>1914</v>
      </c>
      <c r="C144" t="s">
        <v>1010</v>
      </c>
      <c r="F144" s="4" t="str">
        <f>IF(AND(ISTEXT(""),""&lt;&gt;""), HYPERLINK("", "Link"),"-")</f>
        <v>-</v>
      </c>
      <c r="G144" s="7">
        <v>2024</v>
      </c>
      <c r="K144" t="s">
        <v>1235</v>
      </c>
      <c r="O144" t="str">
        <f>IF(NOT(ISERROR( SEARCH(A144,#REF!))), "✓", "")</f>
        <v/>
      </c>
      <c r="T144" t="s">
        <v>1235</v>
      </c>
      <c r="V144" t="s">
        <v>1235</v>
      </c>
      <c r="AC144" t="s">
        <v>1235</v>
      </c>
      <c r="AG144" t="s">
        <v>1235</v>
      </c>
      <c r="AN144" s="14"/>
    </row>
    <row r="145" spans="1:40" ht="32" x14ac:dyDescent="0.2">
      <c r="A145" s="92" t="s">
        <v>1915</v>
      </c>
      <c r="B145" s="205" t="s">
        <v>1916</v>
      </c>
      <c r="C145" s="8" t="s">
        <v>1223</v>
      </c>
      <c r="F145" s="4" t="str">
        <f>IF(AND(ISTEXT(""),""&lt;&gt;""), HYPERLINK("", "Link"),"-")</f>
        <v>-</v>
      </c>
      <c r="G145" s="7">
        <v>2022</v>
      </c>
      <c r="L145" t="s">
        <v>1235</v>
      </c>
      <c r="M145" t="s">
        <v>1235</v>
      </c>
      <c r="O145" t="str">
        <f>IF(NOT(ISERROR( SEARCH(A145,#REF!))), "✓", "")</f>
        <v/>
      </c>
      <c r="T145" t="s">
        <v>1235</v>
      </c>
      <c r="X145" t="s">
        <v>1235</v>
      </c>
      <c r="AM145" t="s">
        <v>1235</v>
      </c>
      <c r="AN145" s="14"/>
    </row>
    <row r="146" spans="1:40" ht="32" x14ac:dyDescent="0.2">
      <c r="A146" s="92" t="s">
        <v>1917</v>
      </c>
      <c r="B146" s="205" t="s">
        <v>1918</v>
      </c>
      <c r="C146" t="s">
        <v>978</v>
      </c>
      <c r="E146" t="s">
        <v>1235</v>
      </c>
      <c r="F146" s="4" t="str">
        <f>IF(AND(ISTEXT("https://github.com/LaoSuanNaii/DL4SC"),"https://github.com/LaoSuanNaii/DL4SC"&lt;&gt;""), HYPERLINK("https://github.com/LaoSuanNaii/DL4SC", "Link"),"-")</f>
        <v>Link</v>
      </c>
      <c r="G146" s="7">
        <v>2024</v>
      </c>
      <c r="H146" s="4" t="s">
        <v>1691</v>
      </c>
      <c r="I146" s="4" t="s">
        <v>1691</v>
      </c>
      <c r="J146" t="s">
        <v>1576</v>
      </c>
      <c r="K146" t="s">
        <v>1235</v>
      </c>
      <c r="M146" t="s">
        <v>1235</v>
      </c>
      <c r="O146" t="str">
        <f>IF(NOT(ISERROR( SEARCH(A146,#REF!))), "✓", "")</f>
        <v/>
      </c>
      <c r="T146" t="s">
        <v>1235</v>
      </c>
      <c r="AM146" t="s">
        <v>1235</v>
      </c>
      <c r="AN146" s="14"/>
    </row>
    <row r="147" spans="1:40" ht="48" x14ac:dyDescent="0.2">
      <c r="A147" s="92" t="s">
        <v>1919</v>
      </c>
      <c r="B147" s="205" t="s">
        <v>1920</v>
      </c>
      <c r="C147" s="8" t="s">
        <v>972</v>
      </c>
      <c r="F147" s="4" t="str">
        <f>IF(AND(ISTEXT(""),""&lt;&gt;""), HYPERLINK("", "Link"),"-")</f>
        <v>-</v>
      </c>
      <c r="G147" s="7">
        <v>2024</v>
      </c>
      <c r="K147" t="s">
        <v>1235</v>
      </c>
      <c r="M147" t="s">
        <v>1235</v>
      </c>
      <c r="O147" t="str">
        <f>IF(NOT(ISERROR( SEARCH(A147,#REF!))), "✓", "")</f>
        <v/>
      </c>
      <c r="T147" t="s">
        <v>1235</v>
      </c>
      <c r="V147" t="s">
        <v>1235</v>
      </c>
      <c r="AM147" t="s">
        <v>1235</v>
      </c>
      <c r="AN147" s="14"/>
    </row>
    <row r="148" spans="1:40" ht="48" x14ac:dyDescent="0.2">
      <c r="A148" s="92" t="s">
        <v>1921</v>
      </c>
      <c r="B148" s="205" t="s">
        <v>1922</v>
      </c>
      <c r="C148" t="s">
        <v>870</v>
      </c>
      <c r="F148" s="4" t="str">
        <f>IF(AND(ISTEXT(""),""&lt;&gt;""), HYPERLINK("", "Link"),"-")</f>
        <v>-</v>
      </c>
      <c r="G148" s="7">
        <v>2023</v>
      </c>
      <c r="L148" t="s">
        <v>1235</v>
      </c>
      <c r="M148" t="s">
        <v>1235</v>
      </c>
      <c r="N148" t="s">
        <v>1235</v>
      </c>
      <c r="O148" t="str">
        <f>IF(NOT(ISERROR( SEARCH(A148,#REF!))), "✓", "")</f>
        <v/>
      </c>
      <c r="S148" t="s">
        <v>1235</v>
      </c>
      <c r="T148" t="s">
        <v>1235</v>
      </c>
      <c r="V148" t="s">
        <v>1235</v>
      </c>
      <c r="AM148" t="s">
        <v>1235</v>
      </c>
      <c r="AN148" s="14"/>
    </row>
    <row r="149" spans="1:40" ht="160" x14ac:dyDescent="0.2">
      <c r="A149" s="142" t="s">
        <v>1923</v>
      </c>
      <c r="B149" s="205" t="s">
        <v>1924</v>
      </c>
      <c r="C149" s="41" t="s">
        <v>1234</v>
      </c>
      <c r="E149" t="s">
        <v>1235</v>
      </c>
      <c r="F149" s="4" t="str">
        <f>IF(AND(ISTEXT("https://github.com/chenpp1881/Clear"),"https://github.com/chenpp1881/Clear"&lt;&gt;""), HYPERLINK("https://github.com/chenpp1881/Clear", "Link"),"-")</f>
        <v>Link</v>
      </c>
      <c r="G149" s="7">
        <v>2024</v>
      </c>
      <c r="H149" s="133">
        <v>2023</v>
      </c>
      <c r="I149" s="4" t="s">
        <v>1925</v>
      </c>
      <c r="J149" t="s">
        <v>1576</v>
      </c>
      <c r="L149" t="s">
        <v>1235</v>
      </c>
      <c r="M149" t="s">
        <v>1235</v>
      </c>
      <c r="T149" t="s">
        <v>1235</v>
      </c>
      <c r="AM149" t="s">
        <v>1926</v>
      </c>
      <c r="AN149" s="14"/>
    </row>
    <row r="150" spans="1:40" ht="144" x14ac:dyDescent="0.2">
      <c r="A150" s="142" t="s">
        <v>1927</v>
      </c>
      <c r="B150" s="205" t="s">
        <v>1928</v>
      </c>
      <c r="C150" s="8" t="s">
        <v>1239</v>
      </c>
      <c r="E150" t="s">
        <v>1235</v>
      </c>
      <c r="F150" s="4" t="str">
        <f>IF(AND(ISTEXT("https://github.com/NioTheFirst/ScType"),"https://github.com/NioTheFirst/ScType"&lt;&gt;""), HYPERLINK("https://github.com/NioTheFirst/ScType", "Link"),"-")</f>
        <v>Link</v>
      </c>
      <c r="G150" s="7">
        <v>2024</v>
      </c>
      <c r="H150" s="133">
        <v>2023</v>
      </c>
      <c r="I150">
        <v>2024</v>
      </c>
      <c r="J150" t="s">
        <v>1576</v>
      </c>
      <c r="L150" t="s">
        <v>1235</v>
      </c>
      <c r="N150" t="s">
        <v>1235</v>
      </c>
      <c r="S150" t="s">
        <v>1235</v>
      </c>
      <c r="T150" t="s">
        <v>1235</v>
      </c>
      <c r="AD150" t="s">
        <v>1235</v>
      </c>
      <c r="AF150" t="s">
        <v>1235</v>
      </c>
      <c r="AN150" s="14"/>
    </row>
    <row r="151" spans="1:40" ht="32" x14ac:dyDescent="0.2">
      <c r="A151" s="142" t="s">
        <v>1929</v>
      </c>
      <c r="B151" s="205" t="s">
        <v>1930</v>
      </c>
      <c r="C151" s="8" t="s">
        <v>1241</v>
      </c>
      <c r="E151" t="s">
        <v>1235</v>
      </c>
      <c r="F151" s="4" t="str">
        <f>IF(AND(ISTEXT("https://metatrust.io/metascan"),"https://metatrust.io/metascan"&lt;&gt;""), HYPERLINK("https://metatrust.io/metascan", "Link"),"-")</f>
        <v>Link</v>
      </c>
      <c r="G151" s="7">
        <v>2024</v>
      </c>
      <c r="L151" t="s">
        <v>1235</v>
      </c>
      <c r="M151" t="s">
        <v>1235</v>
      </c>
      <c r="S151" t="s">
        <v>1235</v>
      </c>
      <c r="T151" t="s">
        <v>1235</v>
      </c>
      <c r="AM151" t="s">
        <v>1926</v>
      </c>
      <c r="AN151" s="14"/>
    </row>
    <row r="152" spans="1:40" ht="112" x14ac:dyDescent="0.2">
      <c r="A152" s="142" t="s">
        <v>1931</v>
      </c>
      <c r="B152" s="205" t="s">
        <v>1932</v>
      </c>
      <c r="C152" s="8" t="s">
        <v>1243</v>
      </c>
      <c r="E152" t="s">
        <v>1235</v>
      </c>
      <c r="F152" s="4" t="str">
        <f>IF(AND(ISTEXT("https://figshare.com/articles/software/scvhunter/24566893/1?file=43154218"),"https://figshare.com/articles/software/scvhunter/24566893/1?file=43154218"&lt;&gt;""), HYPERLINK("https://figshare.com/articles/software/scvhunter/24566893/1?file=43154218", "Link"),"-")</f>
        <v>Link</v>
      </c>
      <c r="G152" s="7">
        <v>2024</v>
      </c>
      <c r="H152" s="133">
        <v>2024</v>
      </c>
      <c r="I152" t="s">
        <v>1743</v>
      </c>
      <c r="J152" t="s">
        <v>1576</v>
      </c>
      <c r="L152" t="s">
        <v>1235</v>
      </c>
      <c r="M152" t="s">
        <v>1235</v>
      </c>
      <c r="T152" t="s">
        <v>1235</v>
      </c>
      <c r="Z152" t="s">
        <v>1235</v>
      </c>
      <c r="AM152" t="s">
        <v>1926</v>
      </c>
      <c r="AN152" s="14"/>
    </row>
    <row r="153" spans="1:40" ht="112" x14ac:dyDescent="0.2">
      <c r="A153" s="142" t="s">
        <v>1933</v>
      </c>
      <c r="B153" s="205" t="s">
        <v>1934</v>
      </c>
      <c r="C153" s="8" t="s">
        <v>1245</v>
      </c>
      <c r="F153" s="4" t="str">
        <f>IF(AND(ISTEXT(""),""&lt;&gt;""), HYPERLINK("", "Link"),"-")</f>
        <v>-</v>
      </c>
      <c r="G153" s="7">
        <v>2024</v>
      </c>
      <c r="J153" t="s">
        <v>1576</v>
      </c>
      <c r="L153" t="s">
        <v>1235</v>
      </c>
      <c r="N153" t="s">
        <v>1235</v>
      </c>
      <c r="T153" t="s">
        <v>1235</v>
      </c>
      <c r="AD153" t="s">
        <v>1235</v>
      </c>
      <c r="AE153" t="s">
        <v>1235</v>
      </c>
      <c r="AN153" s="14"/>
    </row>
    <row r="154" spans="1:40" ht="128" x14ac:dyDescent="0.2">
      <c r="A154" s="142" t="s">
        <v>1935</v>
      </c>
      <c r="B154" s="205" t="s">
        <v>1936</v>
      </c>
      <c r="C154" s="8" t="s">
        <v>1247</v>
      </c>
      <c r="F154" s="4" t="str">
        <f>IF(AND(ISTEXT(""),""&lt;&gt;""), HYPERLINK("", "Link"),"-")</f>
        <v>-</v>
      </c>
      <c r="G154" s="7">
        <v>2024</v>
      </c>
      <c r="I154" s="133"/>
      <c r="L154" t="s">
        <v>1235</v>
      </c>
      <c r="N154" t="s">
        <v>1235</v>
      </c>
      <c r="T154" t="s">
        <v>1235</v>
      </c>
      <c r="AD154" t="s">
        <v>1235</v>
      </c>
      <c r="AE154" t="s">
        <v>1235</v>
      </c>
      <c r="AN154" s="14"/>
    </row>
    <row r="155" spans="1:40" ht="80" x14ac:dyDescent="0.2">
      <c r="A155" s="142" t="s">
        <v>1937</v>
      </c>
      <c r="B155" s="205" t="s">
        <v>1938</v>
      </c>
      <c r="C155" s="8" t="s">
        <v>1249</v>
      </c>
      <c r="E155" t="s">
        <v>1235</v>
      </c>
      <c r="F155" s="4" t="str">
        <f>IF(AND(ISTEXT("https://github.com/shuo-young/BlockWatchdog"),"https://github.com/shuo-young/BlockWatchdog"&lt;&gt;""), HYPERLINK("https://github.com/shuo-young/BlockWatchdog", "Link"),"-")</f>
        <v>Link</v>
      </c>
      <c r="G155" s="7">
        <v>2024</v>
      </c>
      <c r="H155" s="133">
        <v>2024</v>
      </c>
      <c r="I155" s="133">
        <v>2024</v>
      </c>
      <c r="K155" t="s">
        <v>1235</v>
      </c>
      <c r="M155" t="s">
        <v>1235</v>
      </c>
      <c r="T155" t="s">
        <v>1235</v>
      </c>
      <c r="U155" t="s">
        <v>1235</v>
      </c>
      <c r="V155" t="s">
        <v>1235</v>
      </c>
      <c r="W155" t="s">
        <v>1235</v>
      </c>
      <c r="Y155" t="s">
        <v>1235</v>
      </c>
      <c r="Z155" t="s">
        <v>1235</v>
      </c>
      <c r="AN155" s="14" t="s">
        <v>1235</v>
      </c>
    </row>
    <row r="156" spans="1:40" ht="128" x14ac:dyDescent="0.2">
      <c r="A156" s="142" t="s">
        <v>1939</v>
      </c>
      <c r="B156" s="205" t="s">
        <v>1940</v>
      </c>
      <c r="C156" s="8" t="s">
        <v>1252</v>
      </c>
      <c r="E156" t="s">
        <v>1235</v>
      </c>
      <c r="F156" s="4" t="str">
        <f>IF(AND(ISTEXT("https://figshare.com/s/6143dfd54a3d3eadde31"),"https://figshare.com/s/6143dfd54a3d3eadde31"&lt;&gt;""), HYPERLINK("https://figshare.com/s/6143dfd54a3d3eadde31", "Link"),"-")</f>
        <v>Link</v>
      </c>
      <c r="G156" s="7">
        <v>2024</v>
      </c>
      <c r="H156" s="133">
        <v>2024</v>
      </c>
      <c r="I156" s="133">
        <v>2024</v>
      </c>
      <c r="K156" t="s">
        <v>1235</v>
      </c>
      <c r="M156" t="s">
        <v>1235</v>
      </c>
      <c r="R156" t="s">
        <v>1235</v>
      </c>
      <c r="T156" t="s">
        <v>1235</v>
      </c>
      <c r="AN156" s="14"/>
    </row>
    <row r="157" spans="1:40" ht="48" x14ac:dyDescent="0.2">
      <c r="A157" s="142" t="s">
        <v>1941</v>
      </c>
      <c r="B157" s="205" t="s">
        <v>1942</v>
      </c>
      <c r="C157" s="8" t="s">
        <v>1254</v>
      </c>
      <c r="E157" t="s">
        <v>1235</v>
      </c>
      <c r="F157" s="4" t="str">
        <f>IF(AND(ISTEXT("https://github.com/jeffchen006/OpenTracer"),"https://github.com/jeffchen006/OpenTracer"&lt;&gt;""), HYPERLINK("https://github.com/jeffchen006/OpenTracer", "Link"),"-")</f>
        <v>Link</v>
      </c>
      <c r="G157" s="7">
        <v>2024</v>
      </c>
      <c r="H157" s="133">
        <v>2024</v>
      </c>
      <c r="I157" s="133">
        <v>2024</v>
      </c>
      <c r="L157" t="s">
        <v>2819</v>
      </c>
      <c r="M157" t="s">
        <v>1235</v>
      </c>
      <c r="O157" t="s">
        <v>1235</v>
      </c>
      <c r="U157" t="s">
        <v>1235</v>
      </c>
      <c r="W157" t="s">
        <v>1235</v>
      </c>
      <c r="AN157" s="14" t="s">
        <v>1235</v>
      </c>
    </row>
    <row r="158" spans="1:40" ht="48" x14ac:dyDescent="0.2">
      <c r="A158" s="142" t="s">
        <v>1943</v>
      </c>
      <c r="B158" s="205" t="s">
        <v>1944</v>
      </c>
      <c r="C158" s="8" t="s">
        <v>1256</v>
      </c>
      <c r="F158" s="4" t="str">
        <f>IF(AND(ISTEXT(""),""&lt;&gt;""), HYPERLINK("", "Link"),"-")</f>
        <v>-</v>
      </c>
      <c r="G158" s="7">
        <v>2024</v>
      </c>
      <c r="K158" t="s">
        <v>1235</v>
      </c>
      <c r="M158" t="s">
        <v>1235</v>
      </c>
      <c r="T158" t="s">
        <v>1235</v>
      </c>
      <c r="V158" t="s">
        <v>1235</v>
      </c>
      <c r="AN158" s="14"/>
    </row>
    <row r="159" spans="1:40" ht="80" x14ac:dyDescent="0.2">
      <c r="A159" s="142" t="s">
        <v>1945</v>
      </c>
      <c r="B159" s="205" t="s">
        <v>1946</v>
      </c>
      <c r="C159" s="8" t="s">
        <v>1258</v>
      </c>
      <c r="E159" t="s">
        <v>1235</v>
      </c>
      <c r="F159" s="4" t="str">
        <f>IF(AND(ISTEXT("https://figshare.com/s/3f864a6e7c6245ad9704"),"https://figshare.com/s/3f864a6e7c6245ad9704"&lt;&gt;""), HYPERLINK("https://figshare.com/s/3f864a6e7c6245ad9704", "Link"),"-")</f>
        <v>Link</v>
      </c>
      <c r="G159" s="7">
        <v>2024</v>
      </c>
      <c r="H159" s="133">
        <v>2024</v>
      </c>
      <c r="I159" s="133">
        <v>2024</v>
      </c>
      <c r="L159" t="s">
        <v>1235</v>
      </c>
      <c r="M159" t="s">
        <v>1235</v>
      </c>
      <c r="Q159" t="s">
        <v>1235</v>
      </c>
      <c r="T159" t="s">
        <v>1235</v>
      </c>
      <c r="AN159" s="14"/>
    </row>
    <row r="160" spans="1:40" ht="32" x14ac:dyDescent="0.2">
      <c r="A160" s="142" t="s">
        <v>1947</v>
      </c>
      <c r="B160" s="205" t="s">
        <v>1948</v>
      </c>
      <c r="C160" s="8" t="s">
        <v>1260</v>
      </c>
      <c r="E160" t="s">
        <v>1235</v>
      </c>
      <c r="F160" s="4" t="str">
        <f>IF(AND(ISTEXT("https://github.com/CheWang09/LLM4SMAPR"),"https://github.com/CheWang09/LLM4SMAPR"&lt;&gt;""), HYPERLINK("https://github.com/CheWang09/LLM4SMAPR", "Link"),"-")</f>
        <v>Link</v>
      </c>
      <c r="G160" s="7">
        <v>2024</v>
      </c>
      <c r="H160" s="133">
        <v>2024</v>
      </c>
      <c r="I160" s="133">
        <v>2024</v>
      </c>
      <c r="J160" t="s">
        <v>1804</v>
      </c>
      <c r="L160" t="s">
        <v>1235</v>
      </c>
      <c r="R160" t="s">
        <v>1235</v>
      </c>
      <c r="T160" t="s">
        <v>1235</v>
      </c>
      <c r="V160" t="s">
        <v>1235</v>
      </c>
      <c r="W160" t="s">
        <v>1235</v>
      </c>
      <c r="X160" t="s">
        <v>1235</v>
      </c>
      <c r="AN160" s="14"/>
    </row>
    <row r="161" spans="1:40" ht="80" x14ac:dyDescent="0.2">
      <c r="A161" s="142" t="s">
        <v>1949</v>
      </c>
      <c r="B161" s="205" t="s">
        <v>1950</v>
      </c>
      <c r="C161" s="8" t="s">
        <v>1262</v>
      </c>
      <c r="E161" t="s">
        <v>1235</v>
      </c>
      <c r="F161" s="4" t="str">
        <f>IF(AND(ISTEXT("https://github.com/mojtaba-eshghie/HighGuard"),"https://github.com/mojtaba-eshghie/HighGuard"&lt;&gt;""), HYPERLINK("https://github.com/mojtaba-eshghie/HighGuard", "Link"),"-")</f>
        <v>Link</v>
      </c>
      <c r="G161" s="7">
        <v>2024</v>
      </c>
      <c r="H161" s="133">
        <v>2024</v>
      </c>
      <c r="I161" s="133">
        <v>2024</v>
      </c>
      <c r="J161" t="s">
        <v>1576</v>
      </c>
      <c r="L161" t="s">
        <v>1235</v>
      </c>
      <c r="N161" t="s">
        <v>1235</v>
      </c>
      <c r="R161" t="s">
        <v>1235</v>
      </c>
      <c r="U161" t="s">
        <v>1235</v>
      </c>
      <c r="W161" t="s">
        <v>1235</v>
      </c>
      <c r="AD161" t="s">
        <v>1235</v>
      </c>
      <c r="AE161" t="s">
        <v>1235</v>
      </c>
      <c r="AN161" s="14"/>
    </row>
    <row r="162" spans="1:40" ht="48" x14ac:dyDescent="0.2">
      <c r="A162" s="142" t="s">
        <v>1951</v>
      </c>
      <c r="B162" s="205" t="s">
        <v>1952</v>
      </c>
      <c r="C162" s="8" t="s">
        <v>1264</v>
      </c>
      <c r="E162" t="s">
        <v>1235</v>
      </c>
      <c r="F162" s="4" t="str">
        <f>IF(AND(ISTEXT("https://github.com/mojtaba-eshghie/XploGen"),"https://github.com/mojtaba-eshghie/XploGen"&lt;&gt;""), HYPERLINK("https://github.com/mojtaba-eshghie/XploGen", "Link"),"-")</f>
        <v>Link</v>
      </c>
      <c r="G162" s="7">
        <v>2024</v>
      </c>
      <c r="H162" s="133">
        <v>2024</v>
      </c>
      <c r="I162" s="133">
        <v>2024</v>
      </c>
      <c r="J162" t="s">
        <v>1576</v>
      </c>
      <c r="L162" t="s">
        <v>1235</v>
      </c>
      <c r="Q162" t="s">
        <v>1235</v>
      </c>
      <c r="T162" t="s">
        <v>1235</v>
      </c>
      <c r="U162" t="s">
        <v>1235</v>
      </c>
      <c r="AD162" t="s">
        <v>1235</v>
      </c>
      <c r="AE162" t="s">
        <v>1235</v>
      </c>
      <c r="AN162" s="14"/>
    </row>
    <row r="163" spans="1:40" ht="64" x14ac:dyDescent="0.2">
      <c r="A163" s="142" t="s">
        <v>1953</v>
      </c>
      <c r="B163" s="205" t="s">
        <v>1954</v>
      </c>
      <c r="C163" s="8" t="s">
        <v>1267</v>
      </c>
      <c r="F163" s="4" t="str">
        <f>IF(AND(ISTEXT(""),""&lt;&gt;""), HYPERLINK("", "Link"),"-")</f>
        <v>-</v>
      </c>
      <c r="G163" s="7">
        <v>2024</v>
      </c>
      <c r="L163" t="s">
        <v>1235</v>
      </c>
      <c r="U163" t="s">
        <v>1235</v>
      </c>
      <c r="W163" t="s">
        <v>1235</v>
      </c>
      <c r="AH163" t="s">
        <v>1235</v>
      </c>
      <c r="AN163" s="14" t="s">
        <v>1235</v>
      </c>
    </row>
    <row r="164" spans="1:40" ht="48" x14ac:dyDescent="0.2">
      <c r="A164" s="142" t="s">
        <v>1955</v>
      </c>
      <c r="B164" s="205" t="s">
        <v>1956</v>
      </c>
      <c r="C164" s="8" t="s">
        <v>1957</v>
      </c>
      <c r="E164" t="s">
        <v>1235</v>
      </c>
      <c r="F164" s="4" t="str">
        <f>IF(AND(ISTEXT("https://zenodo.org/records/12671411"),"https://zenodo.org/records/12671411"&lt;&gt;""), HYPERLINK("https://zenodo.org/records/12671411", "Link"),"-")</f>
        <v>Link</v>
      </c>
      <c r="G164" s="7">
        <v>2024</v>
      </c>
      <c r="H164" s="133">
        <v>2024</v>
      </c>
      <c r="I164" s="133">
        <v>2024</v>
      </c>
      <c r="J164" s="133"/>
      <c r="L164" t="s">
        <v>1235</v>
      </c>
      <c r="O164" t="s">
        <v>1235</v>
      </c>
      <c r="T164" t="s">
        <v>1235</v>
      </c>
      <c r="AN164" s="14"/>
    </row>
    <row r="165" spans="1:40" ht="96" x14ac:dyDescent="0.2">
      <c r="A165" s="142" t="s">
        <v>1958</v>
      </c>
      <c r="B165" s="205" t="s">
        <v>1959</v>
      </c>
      <c r="C165" s="8" t="s">
        <v>1275</v>
      </c>
      <c r="E165" t="s">
        <v>1235</v>
      </c>
      <c r="F165" s="4" t="str">
        <f>IF(AND(ISTEXT("https://github.com/BugmakerCC/SOChecker"),"https://github.com/BugmakerCC/SOChecker"&lt;&gt;""), HYPERLINK("https://github.com/BugmakerCC/SOChecker", "Link"),"-")</f>
        <v>Link</v>
      </c>
      <c r="G165" s="7">
        <v>2024</v>
      </c>
      <c r="H165" s="133">
        <v>2024</v>
      </c>
      <c r="I165" s="133">
        <v>2024</v>
      </c>
      <c r="J165" t="s">
        <v>1576</v>
      </c>
      <c r="L165" t="s">
        <v>1235</v>
      </c>
      <c r="M165" t="s">
        <v>1235</v>
      </c>
      <c r="S165" t="s">
        <v>1235</v>
      </c>
      <c r="T165" t="s">
        <v>1235</v>
      </c>
      <c r="V165" t="s">
        <v>1235</v>
      </c>
      <c r="X165" t="s">
        <v>1235</v>
      </c>
      <c r="AC165" t="s">
        <v>1235</v>
      </c>
      <c r="AN165" s="14"/>
    </row>
    <row r="166" spans="1:40" ht="48" x14ac:dyDescent="0.2">
      <c r="A166" s="142" t="s">
        <v>1960</v>
      </c>
      <c r="B166" s="205" t="s">
        <v>1961</v>
      </c>
      <c r="C166" s="41" t="s">
        <v>1277</v>
      </c>
      <c r="E166" t="s">
        <v>1235</v>
      </c>
      <c r="F166" s="4" t="str">
        <f>IF(AND(ISTEXT("https://github.com/MingxiYe/Midas"),"https://github.com/MingxiYe/Midas"&lt;&gt;""), HYPERLINK("https://github.com/MingxiYe/Midas", "Link"),"-")</f>
        <v>Link</v>
      </c>
      <c r="G166" s="7">
        <v>2024</v>
      </c>
      <c r="H166" s="133">
        <v>2024</v>
      </c>
      <c r="I166" s="133">
        <v>2024</v>
      </c>
      <c r="J166" t="s">
        <v>1692</v>
      </c>
      <c r="L166" t="s">
        <v>2820</v>
      </c>
      <c r="M166" s="41"/>
      <c r="Q166" s="41" t="s">
        <v>1235</v>
      </c>
      <c r="T166" s="41"/>
      <c r="U166" s="41" t="s">
        <v>1235</v>
      </c>
      <c r="W166" s="41" t="s">
        <v>1235</v>
      </c>
      <c r="AG166" s="41" t="s">
        <v>1235</v>
      </c>
      <c r="AN166" s="14"/>
    </row>
    <row r="167" spans="1:40" ht="48" x14ac:dyDescent="0.2">
      <c r="A167" s="142" t="s">
        <v>1962</v>
      </c>
      <c r="B167" s="205" t="s">
        <v>1963</v>
      </c>
      <c r="C167" s="8" t="s">
        <v>1279</v>
      </c>
      <c r="F167" s="4" t="str">
        <f>IF(AND(ISTEXT(""),""&lt;&gt;""), HYPERLINK("", "Link"),"-")</f>
        <v>-</v>
      </c>
      <c r="G167" s="7">
        <v>2024</v>
      </c>
      <c r="H167" s="133">
        <v>2024</v>
      </c>
      <c r="I167" s="133">
        <v>2024</v>
      </c>
      <c r="L167" t="s">
        <v>1235</v>
      </c>
      <c r="N167" t="s">
        <v>1235</v>
      </c>
      <c r="S167" t="s">
        <v>1235</v>
      </c>
      <c r="T167" t="s">
        <v>1235</v>
      </c>
      <c r="AE167" t="s">
        <v>1235</v>
      </c>
      <c r="AN167" s="14"/>
    </row>
    <row r="168" spans="1:40" ht="32" x14ac:dyDescent="0.2">
      <c r="A168" s="142" t="s">
        <v>1964</v>
      </c>
      <c r="B168" s="205" t="s">
        <v>1965</v>
      </c>
      <c r="C168" s="41" t="s">
        <v>1282</v>
      </c>
      <c r="F168" s="4" t="str">
        <f>IF(AND(ISTEXT(""),""&lt;&gt;""), HYPERLINK("", "Link"),"-")</f>
        <v>-</v>
      </c>
      <c r="G168" s="7">
        <v>2024</v>
      </c>
      <c r="I168" s="133"/>
      <c r="L168" t="s">
        <v>1235</v>
      </c>
      <c r="N168" t="s">
        <v>1235</v>
      </c>
      <c r="T168" t="s">
        <v>1235</v>
      </c>
      <c r="U168" t="s">
        <v>1235</v>
      </c>
      <c r="W168" t="s">
        <v>1235</v>
      </c>
      <c r="AH168" t="s">
        <v>1235</v>
      </c>
      <c r="AN168" s="14" t="s">
        <v>1235</v>
      </c>
    </row>
    <row r="169" spans="1:40" ht="48" x14ac:dyDescent="0.2">
      <c r="A169" s="142" t="s">
        <v>1966</v>
      </c>
      <c r="B169" s="205" t="s">
        <v>1967</v>
      </c>
      <c r="C169" s="8" t="s">
        <v>1286</v>
      </c>
      <c r="E169" t="s">
        <v>1235</v>
      </c>
      <c r="F169" s="4" t="str">
        <f>IF(AND(ISTEXT("https://github.com/Anonymous123xx/RLRep"),"https://github.com/Anonymous123xx/RLRep"&lt;&gt;""), HYPERLINK("https://github.com/Anonymous123xx/RLRep", "Link"),"-")</f>
        <v>Link</v>
      </c>
      <c r="G169" s="7">
        <v>2024</v>
      </c>
      <c r="H169" s="133">
        <v>2022</v>
      </c>
      <c r="I169" s="133">
        <v>2024</v>
      </c>
      <c r="J169" t="s">
        <v>1576</v>
      </c>
      <c r="L169" t="s">
        <v>1235</v>
      </c>
      <c r="M169" t="s">
        <v>1235</v>
      </c>
      <c r="N169" t="s">
        <v>1235</v>
      </c>
      <c r="S169" t="s">
        <v>1235</v>
      </c>
      <c r="T169" t="s">
        <v>1235</v>
      </c>
      <c r="X169" t="s">
        <v>1235</v>
      </c>
      <c r="AK169" t="s">
        <v>1235</v>
      </c>
      <c r="AM169" t="s">
        <v>1235</v>
      </c>
      <c r="AN169" s="14"/>
    </row>
    <row r="170" spans="1:40" ht="48" x14ac:dyDescent="0.2">
      <c r="A170" s="142" t="s">
        <v>1968</v>
      </c>
      <c r="B170" s="205" t="s">
        <v>1969</v>
      </c>
      <c r="C170" s="41" t="s">
        <v>1288</v>
      </c>
      <c r="E170" t="s">
        <v>1235</v>
      </c>
      <c r="F170" s="4" t="str">
        <f>IF(AND(ISTEXT("https://github.com/MingxiYe/FunFuzz/"),"https://github.com/MingxiYe/FunFuzz/"&lt;&gt;""), HYPERLINK("https://github.com/MingxiYe/FunFuzz/", "Link"),"-")</f>
        <v>Link</v>
      </c>
      <c r="G170" s="7">
        <v>2024</v>
      </c>
      <c r="H170" s="133">
        <v>2021</v>
      </c>
      <c r="I170" s="143">
        <v>2023</v>
      </c>
      <c r="J170" t="s">
        <v>1622</v>
      </c>
      <c r="K170" t="s">
        <v>1235</v>
      </c>
      <c r="M170" t="s">
        <v>1235</v>
      </c>
      <c r="U170" t="s">
        <v>1235</v>
      </c>
      <c r="V170" t="s">
        <v>1235</v>
      </c>
      <c r="AG170" t="s">
        <v>1235</v>
      </c>
      <c r="AN170" s="14"/>
    </row>
    <row r="171" spans="1:40" ht="112" x14ac:dyDescent="0.2">
      <c r="A171" s="142" t="s">
        <v>1970</v>
      </c>
      <c r="B171" s="205" t="s">
        <v>1971</v>
      </c>
      <c r="C171" s="41" t="s">
        <v>1290</v>
      </c>
      <c r="F171" s="4" t="str">
        <f>IF(AND(ISTEXT(""),""&lt;&gt;""), HYPERLINK("", "Link"),"-")</f>
        <v>-</v>
      </c>
      <c r="G171" s="144">
        <v>2025</v>
      </c>
      <c r="L171" t="s">
        <v>1235</v>
      </c>
      <c r="M171" t="s">
        <v>1235</v>
      </c>
      <c r="T171" t="s">
        <v>1235</v>
      </c>
      <c r="V171" t="s">
        <v>1235</v>
      </c>
      <c r="X171" t="s">
        <v>1235</v>
      </c>
      <c r="Z171" t="s">
        <v>1235</v>
      </c>
      <c r="AN171" s="14"/>
    </row>
    <row r="172" spans="1:40" ht="80" x14ac:dyDescent="0.2">
      <c r="A172" s="142" t="s">
        <v>1972</v>
      </c>
      <c r="B172" s="205" t="s">
        <v>1973</v>
      </c>
      <c r="C172" s="8" t="s">
        <v>1295</v>
      </c>
      <c r="F172" s="4" t="str">
        <f>IF(AND(ISTEXT(""),""&lt;&gt;""), HYPERLINK("", "Link"),"-")</f>
        <v>-</v>
      </c>
      <c r="G172" s="7">
        <v>2024</v>
      </c>
      <c r="K172" t="s">
        <v>1235</v>
      </c>
      <c r="M172" t="s">
        <v>1235</v>
      </c>
      <c r="T172" t="s">
        <v>1235</v>
      </c>
      <c r="V172" t="s">
        <v>1235</v>
      </c>
      <c r="AD172" t="s">
        <v>1235</v>
      </c>
      <c r="AN172" s="14"/>
    </row>
    <row r="173" spans="1:40" ht="80" x14ac:dyDescent="0.2">
      <c r="A173" s="142" t="s">
        <v>1974</v>
      </c>
      <c r="B173" s="205" t="s">
        <v>1975</v>
      </c>
      <c r="C173" s="8" t="s">
        <v>1298</v>
      </c>
      <c r="F173" s="4" t="str">
        <f>IF(AND(ISTEXT("https://github.com/uni-due-syssec/efcf-framework/"),"https://github.com/uni-due-syssec/efcf-framework/"&lt;&gt;""), HYPERLINK("https://github.com/uni-due-syssec/efcf-framework/", "Link"),"-")</f>
        <v>Link</v>
      </c>
      <c r="G173" s="7">
        <v>2023</v>
      </c>
      <c r="H173" s="133">
        <v>2023</v>
      </c>
      <c r="I173" s="133">
        <v>2023</v>
      </c>
      <c r="K173" t="s">
        <v>1235</v>
      </c>
      <c r="M173" t="s">
        <v>1235</v>
      </c>
      <c r="U173" t="s">
        <v>1235</v>
      </c>
      <c r="W173" t="s">
        <v>1235</v>
      </c>
      <c r="AG173" t="s">
        <v>1235</v>
      </c>
      <c r="AH173" t="s">
        <v>1235</v>
      </c>
      <c r="AN173" s="14"/>
    </row>
    <row r="174" spans="1:40" ht="16" x14ac:dyDescent="0.2">
      <c r="A174" s="142" t="s">
        <v>1976</v>
      </c>
      <c r="B174" s="205" t="s">
        <v>1977</v>
      </c>
      <c r="C174" s="8" t="s">
        <v>1300</v>
      </c>
      <c r="E174" t="s">
        <v>1235</v>
      </c>
      <c r="F174" s="4" t="str">
        <f>IF(AND(ISTEXT("https://github.com/Franklinliu/InvConPlus-Tool/tree/main"),"https://github.com/Franklinliu/InvConPlus-Tool/tree/main"&lt;&gt;""), HYPERLINK("https://github.com/Franklinliu/InvConPlus-Tool/tree/main", "Link"),"-")</f>
        <v>Link</v>
      </c>
      <c r="G174" s="7">
        <v>2023</v>
      </c>
      <c r="H174" s="133">
        <v>2023</v>
      </c>
      <c r="I174" s="133">
        <v>2024</v>
      </c>
      <c r="L174" t="s">
        <v>1235</v>
      </c>
      <c r="N174" t="s">
        <v>1235</v>
      </c>
      <c r="U174" t="s">
        <v>1235</v>
      </c>
      <c r="W174" t="s">
        <v>1235</v>
      </c>
      <c r="AN174" s="14"/>
    </row>
    <row r="175" spans="1:40" ht="112" x14ac:dyDescent="0.2">
      <c r="A175" s="142" t="s">
        <v>1978</v>
      </c>
      <c r="B175" s="205" t="s">
        <v>1979</v>
      </c>
      <c r="C175" t="s">
        <v>1306</v>
      </c>
      <c r="E175" t="s">
        <v>1235</v>
      </c>
      <c r="F175" s="4" t="str">
        <f>IF(AND(ISTEXT("https://github.com/Franklinliu/InvCon-Tool"),"https://github.com/Franklinliu/InvCon-Tool"&lt;&gt;""), HYPERLINK("https://github.com/Franklinliu/InvCon-Tool", "Link"),"-")</f>
        <v>Link</v>
      </c>
      <c r="G175" s="7">
        <v>2022</v>
      </c>
      <c r="H175" s="133">
        <v>2022</v>
      </c>
      <c r="I175" s="133">
        <v>2022</v>
      </c>
      <c r="J175" t="s">
        <v>1980</v>
      </c>
      <c r="L175" t="s">
        <v>2820</v>
      </c>
      <c r="N175" t="s">
        <v>1235</v>
      </c>
      <c r="U175" t="s">
        <v>1235</v>
      </c>
      <c r="W175" t="s">
        <v>1235</v>
      </c>
      <c r="AN175" s="14"/>
    </row>
    <row r="176" spans="1:40" ht="64" x14ac:dyDescent="0.2">
      <c r="A176" s="142" t="s">
        <v>1981</v>
      </c>
      <c r="B176" s="205" t="s">
        <v>1982</v>
      </c>
      <c r="C176" s="8" t="s">
        <v>1309</v>
      </c>
      <c r="F176" s="4" t="str">
        <f>IF(AND(ISTEXT(""),""&lt;&gt;""), HYPERLINK("", "Link"),"-")</f>
        <v>-</v>
      </c>
      <c r="G176" s="7">
        <v>2022</v>
      </c>
      <c r="L176" t="s">
        <v>1235</v>
      </c>
      <c r="M176" t="s">
        <v>1235</v>
      </c>
      <c r="T176" t="s">
        <v>1235</v>
      </c>
      <c r="X176" t="s">
        <v>1235</v>
      </c>
      <c r="Z176" t="s">
        <v>1235</v>
      </c>
      <c r="AC176" t="s">
        <v>1235</v>
      </c>
      <c r="AD176" t="s">
        <v>1235</v>
      </c>
      <c r="AN176" s="14"/>
    </row>
    <row r="177" spans="1:40" ht="32" x14ac:dyDescent="0.2">
      <c r="A177" s="142" t="s">
        <v>1983</v>
      </c>
      <c r="B177" s="205" t="s">
        <v>1984</v>
      </c>
      <c r="C177" t="s">
        <v>1321</v>
      </c>
      <c r="E177" t="s">
        <v>1235</v>
      </c>
      <c r="F177" s="4" t="str">
        <f>IF(AND(ISTEXT("https://github.com/InPlusLab/FSE24-SmartAxe"),"https://github.com/InPlusLab/FSE24-SmartAxe"&lt;&gt;""), HYPERLINK("https://github.com/InPlusLab/FSE24-SmartAxe", "Link"),"-")</f>
        <v>Link</v>
      </c>
      <c r="G177" s="7">
        <v>2024</v>
      </c>
      <c r="H177" s="133">
        <v>2024</v>
      </c>
      <c r="I177" s="133">
        <v>2024</v>
      </c>
      <c r="K177" t="s">
        <v>1235</v>
      </c>
      <c r="M177" t="s">
        <v>1235</v>
      </c>
      <c r="T177" t="s">
        <v>1235</v>
      </c>
      <c r="V177" t="s">
        <v>1235</v>
      </c>
      <c r="W177" t="s">
        <v>1235</v>
      </c>
      <c r="AN177" s="14"/>
    </row>
    <row r="178" spans="1:40" ht="32" x14ac:dyDescent="0.2">
      <c r="A178" s="142" t="s">
        <v>1985</v>
      </c>
      <c r="B178" s="205" t="s">
        <v>1986</v>
      </c>
      <c r="C178" t="s">
        <v>1316</v>
      </c>
      <c r="E178" t="s">
        <v>1235</v>
      </c>
      <c r="F178" s="4" t="str">
        <f>IF(AND(ISTEXT("https://github.com/Z-Zhijie/PrettySmart"),"https://github.com/Z-Zhijie/PrettySmart"&lt;&gt;""), HYPERLINK("https://github.com/Z-Zhijie/PrettySmart", "Link"),"-")</f>
        <v>Link</v>
      </c>
      <c r="G178" s="7">
        <v>2024</v>
      </c>
      <c r="H178" s="133">
        <v>2024</v>
      </c>
      <c r="I178" s="133">
        <v>2024</v>
      </c>
      <c r="J178" t="s">
        <v>1576</v>
      </c>
      <c r="K178" t="s">
        <v>1235</v>
      </c>
      <c r="M178" t="s">
        <v>1235</v>
      </c>
      <c r="T178" t="s">
        <v>1235</v>
      </c>
      <c r="V178" t="s">
        <v>1235</v>
      </c>
      <c r="Y178" t="s">
        <v>1235</v>
      </c>
      <c r="Z178" t="s">
        <v>1235</v>
      </c>
      <c r="AN178" s="14" t="s">
        <v>1235</v>
      </c>
    </row>
    <row r="179" spans="1:40" ht="48" x14ac:dyDescent="0.2">
      <c r="A179" s="142" t="s">
        <v>1987</v>
      </c>
      <c r="B179" s="205" t="s">
        <v>1988</v>
      </c>
      <c r="C179" s="8" t="s">
        <v>1323</v>
      </c>
      <c r="E179" t="s">
        <v>1235</v>
      </c>
      <c r="F179" s="4" t="str">
        <f>IF(AND(ISTEXT("https://github.com/SliSE-SC/SliSE"),"https://github.com/SliSE-SC/SliSE"&lt;&gt;""), HYPERLINK("https://github.com/SliSE-SC/SliSE", "Link"),"-")</f>
        <v>Link</v>
      </c>
      <c r="G179" s="7">
        <v>2024</v>
      </c>
      <c r="H179" s="133">
        <v>2024</v>
      </c>
      <c r="I179" s="133">
        <v>2024</v>
      </c>
      <c r="J179" t="s">
        <v>1576</v>
      </c>
      <c r="L179" t="s">
        <v>1235</v>
      </c>
      <c r="M179" t="s">
        <v>1235</v>
      </c>
      <c r="T179" t="s">
        <v>1235</v>
      </c>
      <c r="V179" t="s">
        <v>1235</v>
      </c>
      <c r="W179" t="s">
        <v>1235</v>
      </c>
      <c r="X179" t="s">
        <v>1235</v>
      </c>
      <c r="AC179" t="s">
        <v>1235</v>
      </c>
      <c r="AD179" t="s">
        <v>1235</v>
      </c>
      <c r="AN179" s="14"/>
    </row>
    <row r="180" spans="1:40" ht="64" x14ac:dyDescent="0.2">
      <c r="A180" s="142" t="s">
        <v>1989</v>
      </c>
      <c r="B180" s="205" t="s">
        <v>1990</v>
      </c>
      <c r="C180" t="s">
        <v>1325</v>
      </c>
      <c r="E180" t="s">
        <v>1235</v>
      </c>
      <c r="F180" s="4" t="str">
        <f>IF(AND(ISTEXT("https://github.com/agroce/echidna-parade"),"https://github.com/agroce/echidna-parade"&lt;&gt;""), HYPERLINK("https://github.com/agroce/echidna-parade", "Link"),"-")</f>
        <v>Link</v>
      </c>
      <c r="G180" s="7">
        <v>2021</v>
      </c>
      <c r="H180" s="133">
        <v>2021</v>
      </c>
      <c r="I180" s="133">
        <v>2021</v>
      </c>
      <c r="J180" t="s">
        <v>1576</v>
      </c>
      <c r="L180" t="s">
        <v>1235</v>
      </c>
      <c r="N180" t="s">
        <v>1235</v>
      </c>
      <c r="S180" t="s">
        <v>1235</v>
      </c>
      <c r="U180" t="s">
        <v>1235</v>
      </c>
      <c r="W180" t="s">
        <v>1235</v>
      </c>
      <c r="AG180" t="s">
        <v>1235</v>
      </c>
      <c r="AN180" s="14"/>
    </row>
    <row r="181" spans="1:40" ht="32" x14ac:dyDescent="0.2">
      <c r="A181" s="142" t="s">
        <v>1991</v>
      </c>
      <c r="B181" s="205" t="s">
        <v>1992</v>
      </c>
      <c r="C181" t="s">
        <v>1327</v>
      </c>
      <c r="F181" s="4" t="str">
        <f>IF(AND(ISTEXT(""),""&lt;&gt;""), HYPERLINK("", "Link"),"-")</f>
        <v>-</v>
      </c>
      <c r="G181" s="7">
        <v>2021</v>
      </c>
      <c r="K181" t="s">
        <v>1235</v>
      </c>
      <c r="S181" t="s">
        <v>1235</v>
      </c>
      <c r="U181" t="s">
        <v>1235</v>
      </c>
      <c r="AN181" s="14" t="s">
        <v>1235</v>
      </c>
    </row>
    <row r="182" spans="1:40" ht="64" x14ac:dyDescent="0.2">
      <c r="A182" s="142" t="s">
        <v>1993</v>
      </c>
      <c r="B182" s="205" t="s">
        <v>1994</v>
      </c>
      <c r="C182" t="s">
        <v>1330</v>
      </c>
      <c r="E182" t="s">
        <v>1235</v>
      </c>
      <c r="F182" s="4" t="str">
        <f>IF(AND(ISTEXT("https://researchdata.ntu.edu.sg/dataset.xhtml?persistentId=doi:10.21979/N9/MBHBCI"),"https://researchdata.ntu.edu.sg/dataset.xhtml?persistentId=doi:10.21979/N9/MBHBCI"&lt;&gt;""), HYPERLINK("https://researchdata.ntu.edu.sg/dataset.xhtml?persistentId=doi:10.21979/N9/MBHBCI", "Link"),"-")</f>
        <v>Link</v>
      </c>
      <c r="G182" s="7">
        <v>2022</v>
      </c>
      <c r="H182" s="133">
        <v>2022</v>
      </c>
      <c r="I182" s="133">
        <v>2022</v>
      </c>
      <c r="J182" t="s">
        <v>1576</v>
      </c>
      <c r="L182" t="s">
        <v>1235</v>
      </c>
      <c r="M182" t="s">
        <v>1235</v>
      </c>
      <c r="S182" t="s">
        <v>1235</v>
      </c>
      <c r="T182" t="s">
        <v>1235</v>
      </c>
      <c r="W182" t="s">
        <v>1235</v>
      </c>
      <c r="AN182" s="14"/>
    </row>
    <row r="183" spans="1:40" ht="48" x14ac:dyDescent="0.2">
      <c r="A183" s="142" t="s">
        <v>1995</v>
      </c>
      <c r="B183" s="205" t="s">
        <v>1996</v>
      </c>
      <c r="C183" t="s">
        <v>1333</v>
      </c>
      <c r="F183" s="4" t="str">
        <f>IF(AND(ISTEXT(""),""&lt;&gt;""), HYPERLINK("", "Link"),"-")</f>
        <v>-</v>
      </c>
      <c r="G183" s="7">
        <v>2021</v>
      </c>
      <c r="H183" s="133">
        <v>2021</v>
      </c>
      <c r="I183" s="133">
        <v>2021</v>
      </c>
      <c r="K183" t="s">
        <v>1235</v>
      </c>
      <c r="N183" t="s">
        <v>1235</v>
      </c>
      <c r="S183" t="s">
        <v>1235</v>
      </c>
      <c r="T183" t="s">
        <v>1235</v>
      </c>
      <c r="AA183" t="s">
        <v>1235</v>
      </c>
      <c r="AC183" t="s">
        <v>1235</v>
      </c>
      <c r="AN183" s="14"/>
    </row>
    <row r="184" spans="1:40" ht="64" x14ac:dyDescent="0.2">
      <c r="A184" s="142" t="s">
        <v>2390</v>
      </c>
      <c r="B184" s="205" t="s">
        <v>1997</v>
      </c>
      <c r="C184" s="8" t="s">
        <v>1336</v>
      </c>
      <c r="F184" s="4" t="str">
        <f>IF(AND(ISTEXT(""),""&lt;&gt;""), HYPERLINK("", "Link"),"-")</f>
        <v>-</v>
      </c>
      <c r="G184" s="7">
        <v>2021</v>
      </c>
      <c r="H184" s="133">
        <v>2021</v>
      </c>
      <c r="I184" s="133">
        <v>2021</v>
      </c>
      <c r="L184" t="s">
        <v>2288</v>
      </c>
      <c r="O184" t="s">
        <v>1235</v>
      </c>
      <c r="U184" t="s">
        <v>1235</v>
      </c>
      <c r="W184" t="s">
        <v>1235</v>
      </c>
      <c r="AK184" t="s">
        <v>1235</v>
      </c>
      <c r="AN184" s="14"/>
    </row>
    <row r="185" spans="1:40" ht="128" x14ac:dyDescent="0.2">
      <c r="A185" s="142" t="s">
        <v>1998</v>
      </c>
      <c r="B185" s="205" t="s">
        <v>1999</v>
      </c>
      <c r="C185" t="s">
        <v>1339</v>
      </c>
      <c r="E185" t="s">
        <v>1235</v>
      </c>
      <c r="F185" s="4" t="str">
        <f>IF(AND(ISTEXT("https://drive.google.com/file/d/1kauLT3y2IiHPkUlVx4FSTda-dVAyL4za/view?usp=sharing"),"https://drive.google.com/file/d/1kauLT3y2IiHPkUlVx4FSTda-dVAyL4za/view?usp=sharing"&lt;&gt;""), HYPERLINK("https://drive.google.com/file/d/1kauLT3y2IiHPkUlVx4FSTda-dVAyL4za/view?usp=sharing", "Link"),"-")</f>
        <v>Link</v>
      </c>
      <c r="G185" s="7">
        <v>2021</v>
      </c>
      <c r="H185" s="133">
        <v>2021</v>
      </c>
      <c r="I185" s="133">
        <v>2021</v>
      </c>
      <c r="L185" t="s">
        <v>1235</v>
      </c>
      <c r="M185" t="s">
        <v>1235</v>
      </c>
      <c r="T185" t="s">
        <v>1235</v>
      </c>
      <c r="X185" t="s">
        <v>1235</v>
      </c>
      <c r="AL185" t="s">
        <v>1235</v>
      </c>
      <c r="AN185" s="14"/>
    </row>
    <row r="186" spans="1:40" ht="32" x14ac:dyDescent="0.2">
      <c r="A186" s="142" t="s">
        <v>2000</v>
      </c>
      <c r="B186" s="205" t="s">
        <v>2001</v>
      </c>
      <c r="C186" s="41" t="s">
        <v>1342</v>
      </c>
      <c r="E186" t="s">
        <v>1235</v>
      </c>
      <c r="F186" s="4" t="str">
        <f>IF(AND(ISTEXT("https://github.com/hitew/ContractCheck"),"https://github.com/hitew/ContractCheck"&lt;&gt;""), HYPERLINK("https://github.com/hitew/ContractCheck", "Link"),"-")</f>
        <v>Link</v>
      </c>
      <c r="G186" s="7">
        <v>2024</v>
      </c>
      <c r="H186" s="133">
        <v>2024</v>
      </c>
      <c r="I186" s="133">
        <v>2024</v>
      </c>
      <c r="L186" t="s">
        <v>1235</v>
      </c>
      <c r="M186" t="s">
        <v>1235</v>
      </c>
      <c r="T186" t="s">
        <v>1235</v>
      </c>
      <c r="X186" t="s">
        <v>1235</v>
      </c>
      <c r="AD186" t="s">
        <v>1235</v>
      </c>
      <c r="AM186" t="s">
        <v>1235</v>
      </c>
      <c r="AN186" s="14"/>
    </row>
    <row r="187" spans="1:40" ht="48" x14ac:dyDescent="0.2">
      <c r="A187" s="142" t="s">
        <v>2002</v>
      </c>
      <c r="B187" s="205" t="s">
        <v>2003</v>
      </c>
      <c r="C187" s="8" t="s">
        <v>1344</v>
      </c>
      <c r="E187" t="s">
        <v>1235</v>
      </c>
      <c r="F187" s="4" t="str">
        <f>IF(AND(ISTEXT("https://github.com/Our4514444/SCAnoGenerator"),"https://github.com/Our4514444/SCAnoGenerator"&lt;&gt;""), HYPERLINK("https://github.com/Our4514444/SCAnoGenerator", "Link"),"-")</f>
        <v>Link</v>
      </c>
      <c r="G187" s="7">
        <v>2024</v>
      </c>
      <c r="H187" s="133">
        <v>2024</v>
      </c>
      <c r="I187" s="133">
        <v>2024</v>
      </c>
      <c r="J187" t="s">
        <v>1576</v>
      </c>
      <c r="L187" t="s">
        <v>1235</v>
      </c>
      <c r="S187" t="s">
        <v>1235</v>
      </c>
      <c r="T187" t="s">
        <v>1235</v>
      </c>
      <c r="V187" t="s">
        <v>1235</v>
      </c>
      <c r="W187" t="s">
        <v>1235</v>
      </c>
      <c r="AN187" s="14"/>
    </row>
    <row r="188" spans="1:40" ht="64" x14ac:dyDescent="0.2">
      <c r="A188" s="142" t="s">
        <v>2004</v>
      </c>
      <c r="B188" s="205" t="s">
        <v>2005</v>
      </c>
      <c r="C188" s="41" t="s">
        <v>1346</v>
      </c>
      <c r="E188" t="s">
        <v>1235</v>
      </c>
      <c r="F188" s="4" t="str">
        <f>IF(AND(ISTEXT("https://github.com/tczpl/lent-sse/"),"https://github.com/tczpl/lent-sse/"&lt;&gt;""), HYPERLINK("https://github.com/tczpl/lent-sse/", "Link"),"-")</f>
        <v>Link</v>
      </c>
      <c r="G188" s="7">
        <v>2024</v>
      </c>
      <c r="H188" s="133">
        <v>2024</v>
      </c>
      <c r="I188" s="133">
        <v>2024</v>
      </c>
      <c r="J188" t="s">
        <v>1576</v>
      </c>
      <c r="L188" t="s">
        <v>1235</v>
      </c>
      <c r="T188" t="s">
        <v>1235</v>
      </c>
      <c r="W188" t="s">
        <v>1235</v>
      </c>
      <c r="AC188" t="s">
        <v>1235</v>
      </c>
      <c r="AD188" t="s">
        <v>1235</v>
      </c>
      <c r="AN188" s="14"/>
    </row>
    <row r="189" spans="1:40" ht="32" x14ac:dyDescent="0.2">
      <c r="A189" s="142" t="s">
        <v>2006</v>
      </c>
      <c r="B189" s="205" t="s">
        <v>2007</v>
      </c>
      <c r="C189" s="41" t="s">
        <v>1348</v>
      </c>
      <c r="F189" s="4" t="str">
        <f>IF(AND(ISTEXT(""),""&lt;&gt;""), HYPERLINK("", "Link"),"-")</f>
        <v>-</v>
      </c>
      <c r="G189" s="7">
        <v>2024</v>
      </c>
      <c r="H189" s="133"/>
      <c r="I189" s="133"/>
      <c r="K189" t="s">
        <v>1235</v>
      </c>
      <c r="M189" t="s">
        <v>1235</v>
      </c>
      <c r="T189" t="s">
        <v>1235</v>
      </c>
      <c r="U189" t="s">
        <v>1235</v>
      </c>
      <c r="V189" t="s">
        <v>1235</v>
      </c>
      <c r="AG189" t="s">
        <v>1235</v>
      </c>
      <c r="AN189" s="14"/>
    </row>
    <row r="190" spans="1:40" ht="48" x14ac:dyDescent="0.2">
      <c r="A190" s="145" t="s">
        <v>1880</v>
      </c>
      <c r="B190" s="205" t="s">
        <v>2209</v>
      </c>
      <c r="C190" s="8" t="s">
        <v>2210</v>
      </c>
      <c r="F190" s="4" t="str">
        <f>IF(AND(ISTEXT(""),""&lt;&gt;""), HYPERLINK("", "Link"),"-")</f>
        <v>-</v>
      </c>
      <c r="G190" s="7">
        <v>2024</v>
      </c>
      <c r="H190" s="133"/>
      <c r="I190" s="133"/>
      <c r="K190" t="s">
        <v>1235</v>
      </c>
      <c r="M190" t="s">
        <v>1235</v>
      </c>
      <c r="T190" t="s">
        <v>1235</v>
      </c>
      <c r="V190" t="s">
        <v>1235</v>
      </c>
      <c r="AA190" t="s">
        <v>1235</v>
      </c>
      <c r="AM190" t="s">
        <v>1235</v>
      </c>
      <c r="AN190" s="14"/>
    </row>
    <row r="191" spans="1:40" ht="64" x14ac:dyDescent="0.2">
      <c r="A191" s="142" t="s">
        <v>2212</v>
      </c>
      <c r="B191" s="205" t="s">
        <v>2214</v>
      </c>
      <c r="C191" t="s">
        <v>2211</v>
      </c>
      <c r="F191" s="4" t="str">
        <f>IF(AND(ISTEXT(""),""&lt;&gt;""), HYPERLINK("", "Link"),"-")</f>
        <v>-</v>
      </c>
      <c r="G191" s="7">
        <v>2024</v>
      </c>
      <c r="H191" s="133"/>
      <c r="I191" s="133"/>
      <c r="L191" t="s">
        <v>1235</v>
      </c>
      <c r="M191" t="s">
        <v>1235</v>
      </c>
      <c r="R191" t="s">
        <v>2231</v>
      </c>
      <c r="T191" t="s">
        <v>1235</v>
      </c>
      <c r="X191" t="s">
        <v>1235</v>
      </c>
      <c r="AK191" t="s">
        <v>1235</v>
      </c>
      <c r="AM191" t="s">
        <v>1235</v>
      </c>
      <c r="AN191" s="14"/>
    </row>
    <row r="192" spans="1:40" ht="32" x14ac:dyDescent="0.2">
      <c r="A192" s="142" t="s">
        <v>2218</v>
      </c>
      <c r="B192" s="205" t="s">
        <v>2216</v>
      </c>
      <c r="C192" t="s">
        <v>2215</v>
      </c>
      <c r="F192" s="4" t="str">
        <f>IF(AND(ISTEXT(""),""&lt;&gt;""), HYPERLINK("", "Link"),"-")</f>
        <v>-</v>
      </c>
      <c r="G192" s="7">
        <v>2024</v>
      </c>
      <c r="H192" s="133"/>
      <c r="I192" s="133"/>
      <c r="L192" t="s">
        <v>1235</v>
      </c>
      <c r="M192" t="s">
        <v>1235</v>
      </c>
      <c r="T192" t="s">
        <v>1235</v>
      </c>
      <c r="U192" t="s">
        <v>1235</v>
      </c>
      <c r="V192" t="s">
        <v>1235</v>
      </c>
      <c r="W192" t="s">
        <v>1235</v>
      </c>
      <c r="X192" t="s">
        <v>1235</v>
      </c>
      <c r="AG192" t="s">
        <v>1235</v>
      </c>
      <c r="AN192" s="14"/>
    </row>
    <row r="193" spans="1:40" ht="48" x14ac:dyDescent="0.2">
      <c r="A193" s="142" t="s">
        <v>2219</v>
      </c>
      <c r="B193" s="205" t="s">
        <v>2222</v>
      </c>
      <c r="C193" t="s">
        <v>2221</v>
      </c>
      <c r="F193" s="4" t="str">
        <f>IF(AND(ISTEXT(""),""&lt;&gt;""), HYPERLINK("", "Link"),"-")</f>
        <v>-</v>
      </c>
      <c r="G193" s="7">
        <v>2024</v>
      </c>
      <c r="H193" s="133"/>
      <c r="I193" s="133"/>
      <c r="K193" t="s">
        <v>1235</v>
      </c>
      <c r="L193" t="s">
        <v>1235</v>
      </c>
      <c r="M193" t="s">
        <v>1235</v>
      </c>
      <c r="T193" t="s">
        <v>1235</v>
      </c>
      <c r="X193" t="s">
        <v>1235</v>
      </c>
      <c r="Z193" t="s">
        <v>2224</v>
      </c>
      <c r="AN193" s="14"/>
    </row>
    <row r="194" spans="1:40" ht="48" x14ac:dyDescent="0.2">
      <c r="A194" s="142" t="s">
        <v>2226</v>
      </c>
      <c r="B194" s="205" t="s">
        <v>2227</v>
      </c>
      <c r="C194" t="s">
        <v>2225</v>
      </c>
      <c r="E194" t="s">
        <v>1235</v>
      </c>
      <c r="F194" s="4" t="str">
        <f>IF(AND(ISTEXT("https://github.com/helloswx/EVM-Shield"),"https://github.com/helloswx/EVM-Shield"&lt;&gt;""), HYPERLINK("https://github.com/helloswx/EVM-Shield", "Link"),"-")</f>
        <v>Link</v>
      </c>
      <c r="G194" s="7">
        <v>2023</v>
      </c>
      <c r="H194" s="133">
        <v>2023</v>
      </c>
      <c r="I194" s="133">
        <v>2023</v>
      </c>
      <c r="L194" t="s">
        <v>1235</v>
      </c>
      <c r="M194" t="s">
        <v>1235</v>
      </c>
      <c r="T194" t="s">
        <v>1235</v>
      </c>
      <c r="U194" t="s">
        <v>1235</v>
      </c>
      <c r="W194" t="s">
        <v>1235</v>
      </c>
      <c r="X194" t="s">
        <v>1235</v>
      </c>
      <c r="AH194" t="s">
        <v>1235</v>
      </c>
      <c r="AN194" s="14"/>
    </row>
    <row r="195" spans="1:40" ht="64" x14ac:dyDescent="0.2">
      <c r="A195" s="142" t="s">
        <v>2230</v>
      </c>
      <c r="B195" s="205" t="s">
        <v>2229</v>
      </c>
      <c r="C195" t="s">
        <v>2228</v>
      </c>
      <c r="E195" t="s">
        <v>1235</v>
      </c>
      <c r="F195" s="4" t="str">
        <f>IF(AND(ISTEXT("https://github.com/dslmllab/LLMSmartSec"),"https://github.com/dslmllab/LLMSmartSec"&lt;&gt;""), HYPERLINK("https://github.com/dslmllab/LLMSmartSec", "Link"),"-")</f>
        <v>Link</v>
      </c>
      <c r="G195" s="7">
        <v>2024</v>
      </c>
      <c r="H195" s="133">
        <v>2024</v>
      </c>
      <c r="I195" s="133">
        <v>2024</v>
      </c>
      <c r="J195" t="s">
        <v>1576</v>
      </c>
      <c r="L195" t="s">
        <v>1235</v>
      </c>
      <c r="M195" t="s">
        <v>1235</v>
      </c>
      <c r="R195" t="s">
        <v>2231</v>
      </c>
      <c r="T195" t="s">
        <v>1235</v>
      </c>
      <c r="V195" t="s">
        <v>1235</v>
      </c>
      <c r="AN195" s="14"/>
    </row>
    <row r="196" spans="1:40" ht="64" x14ac:dyDescent="0.2">
      <c r="A196" s="142" t="s">
        <v>2232</v>
      </c>
      <c r="B196" s="205" t="s">
        <v>2234</v>
      </c>
      <c r="C196" t="s">
        <v>2233</v>
      </c>
      <c r="E196" t="s">
        <v>1235</v>
      </c>
      <c r="F196" s="4" t="str">
        <f>IF(AND(ISTEXT("https://github.com/author1/ContractArmor"),"https://github.com/author1/ContractArmor"&lt;&gt;""), HYPERLINK("https://github.com/author1/ContractArmor", "Link"),"-")</f>
        <v>Link</v>
      </c>
      <c r="G196" s="7">
        <v>2024</v>
      </c>
      <c r="H196" s="133">
        <v>2024</v>
      </c>
      <c r="I196" s="133">
        <v>2024</v>
      </c>
      <c r="L196" t="s">
        <v>1235</v>
      </c>
      <c r="N196" t="s">
        <v>1235</v>
      </c>
      <c r="T196" t="s">
        <v>1235</v>
      </c>
      <c r="AN196" s="14"/>
    </row>
    <row r="197" spans="1:40" ht="32" x14ac:dyDescent="0.2">
      <c r="A197" s="142" t="s">
        <v>2235</v>
      </c>
      <c r="B197" s="205" t="s">
        <v>2236</v>
      </c>
      <c r="C197" t="s">
        <v>2237</v>
      </c>
      <c r="F197" s="4" t="str">
        <f>IF(AND(ISTEXT(""),""&lt;&gt;""), HYPERLINK("", "Link"),"-")</f>
        <v>-</v>
      </c>
      <c r="G197" s="7">
        <v>2024</v>
      </c>
      <c r="H197" s="133"/>
      <c r="I197" s="133"/>
      <c r="K197" t="s">
        <v>1235</v>
      </c>
      <c r="M197" t="s">
        <v>1235</v>
      </c>
      <c r="T197" t="s">
        <v>1235</v>
      </c>
      <c r="V197" t="s">
        <v>1235</v>
      </c>
      <c r="Y197" t="s">
        <v>1235</v>
      </c>
      <c r="Z197" t="s">
        <v>1235</v>
      </c>
      <c r="AA197" t="s">
        <v>1235</v>
      </c>
      <c r="AK197" t="s">
        <v>1235</v>
      </c>
      <c r="AN197" s="14"/>
    </row>
    <row r="198" spans="1:40" ht="48" x14ac:dyDescent="0.2">
      <c r="A198" s="142" t="s">
        <v>2240</v>
      </c>
      <c r="B198" s="205" t="s">
        <v>2239</v>
      </c>
      <c r="C198" t="s">
        <v>2238</v>
      </c>
      <c r="E198" t="s">
        <v>1235</v>
      </c>
      <c r="F198" s="4" t="str">
        <f>IF(AND(ISTEXT("https://github.com/GRY-Code/MM4ID"),"https://github.com/GRY-Code/MM4ID"&lt;&gt;""), HYPERLINK("https://github.com/GRY-Code/MM4ID", "Link"),"-")</f>
        <v>Link</v>
      </c>
      <c r="G198" s="7">
        <v>2024</v>
      </c>
      <c r="H198" s="133">
        <v>2024</v>
      </c>
      <c r="I198" s="133">
        <v>2024</v>
      </c>
      <c r="L198" t="s">
        <v>1235</v>
      </c>
      <c r="T198" t="s">
        <v>1235</v>
      </c>
      <c r="AM198" t="s">
        <v>1235</v>
      </c>
      <c r="AN198" s="14"/>
    </row>
    <row r="199" spans="1:40" ht="144" x14ac:dyDescent="0.2">
      <c r="A199" s="142" t="s">
        <v>2242</v>
      </c>
      <c r="B199" s="205" t="s">
        <v>2243</v>
      </c>
      <c r="C199" t="s">
        <v>2241</v>
      </c>
      <c r="F199" s="4" t="str">
        <f>IF(AND(ISTEXT(""),""&lt;&gt;""), HYPERLINK("", "Link"),"-")</f>
        <v>-</v>
      </c>
      <c r="G199" s="7">
        <v>2024</v>
      </c>
      <c r="H199" s="133"/>
      <c r="I199" s="133"/>
      <c r="L199" t="s">
        <v>1235</v>
      </c>
      <c r="M199" t="s">
        <v>1235</v>
      </c>
      <c r="T199" t="s">
        <v>1235</v>
      </c>
      <c r="V199" t="s">
        <v>1235</v>
      </c>
      <c r="AD199" t="s">
        <v>1235</v>
      </c>
      <c r="AN199" s="14"/>
    </row>
    <row r="200" spans="1:40" ht="144" x14ac:dyDescent="0.2">
      <c r="A200" s="145" t="s">
        <v>2245</v>
      </c>
      <c r="B200" s="205" t="s">
        <v>2244</v>
      </c>
      <c r="C200" s="8" t="s">
        <v>2246</v>
      </c>
      <c r="F200" s="4" t="str">
        <f>IF(AND(ISTEXT(""),""&lt;&gt;""), HYPERLINK("", "Link"),"-")</f>
        <v>-</v>
      </c>
      <c r="G200" s="7">
        <v>2024</v>
      </c>
      <c r="H200" s="133"/>
      <c r="I200" s="133"/>
      <c r="L200" t="s">
        <v>1235</v>
      </c>
      <c r="M200" t="s">
        <v>1235</v>
      </c>
      <c r="U200" t="s">
        <v>1235</v>
      </c>
      <c r="V200" t="s">
        <v>1235</v>
      </c>
      <c r="AG200" t="s">
        <v>1235</v>
      </c>
      <c r="AN200" s="14"/>
    </row>
    <row r="201" spans="1:40" ht="64" x14ac:dyDescent="0.2">
      <c r="A201" s="142" t="s">
        <v>2248</v>
      </c>
      <c r="B201" s="205" t="s">
        <v>2249</v>
      </c>
      <c r="C201" s="8" t="s">
        <v>2250</v>
      </c>
      <c r="F201" s="4" t="str">
        <f>IF(AND(ISTEXT(""),""&lt;&gt;""), HYPERLINK("", "Link"),"-")</f>
        <v>-</v>
      </c>
      <c r="G201" s="7">
        <v>2024</v>
      </c>
      <c r="H201" s="133"/>
      <c r="I201" s="133"/>
      <c r="L201" t="s">
        <v>1235</v>
      </c>
      <c r="S201" t="s">
        <v>1235</v>
      </c>
      <c r="U201" t="s">
        <v>1235</v>
      </c>
      <c r="W201" t="s">
        <v>1235</v>
      </c>
      <c r="X201" t="s">
        <v>1235</v>
      </c>
      <c r="AC201" t="s">
        <v>1235</v>
      </c>
      <c r="AN201" s="14"/>
    </row>
    <row r="202" spans="1:40" ht="96" x14ac:dyDescent="0.2">
      <c r="A202" s="142" t="s">
        <v>2251</v>
      </c>
      <c r="B202" s="205" t="s">
        <v>2254</v>
      </c>
      <c r="C202" t="s">
        <v>2253</v>
      </c>
      <c r="F202" s="4" t="str">
        <f>IF(AND(ISTEXT(""),""&lt;&gt;""), HYPERLINK("", "Link"),"-")</f>
        <v>-</v>
      </c>
      <c r="G202" s="7">
        <v>2024</v>
      </c>
      <c r="H202" s="133"/>
      <c r="I202" s="133"/>
      <c r="L202" t="s">
        <v>1235</v>
      </c>
      <c r="M202" t="s">
        <v>1235</v>
      </c>
      <c r="T202" t="s">
        <v>1235</v>
      </c>
      <c r="V202" t="s">
        <v>1235</v>
      </c>
      <c r="W202" t="s">
        <v>1235</v>
      </c>
      <c r="AM202" t="s">
        <v>1235</v>
      </c>
      <c r="AN202" s="14"/>
    </row>
    <row r="203" spans="1:40" ht="32" x14ac:dyDescent="0.2">
      <c r="A203" s="142" t="s">
        <v>2256</v>
      </c>
      <c r="B203" s="205" t="s">
        <v>2255</v>
      </c>
      <c r="C203" s="8" t="s">
        <v>2257</v>
      </c>
      <c r="E203" t="s">
        <v>1235</v>
      </c>
      <c r="F203" s="4" t="str">
        <f>IF(AND(ISTEXT("https://github.com/Messi-Q/MuFuzz"),"https://github.com/Messi-Q/MuFuzz"&lt;&gt;""), HYPERLINK("https://github.com/Messi-Q/MuFuzz", "Link"),"-")</f>
        <v>Link</v>
      </c>
      <c r="G203" s="7">
        <v>2024</v>
      </c>
      <c r="H203" s="133">
        <v>2024</v>
      </c>
      <c r="I203" s="133">
        <v>2024</v>
      </c>
      <c r="J203" t="s">
        <v>1622</v>
      </c>
      <c r="L203" t="s">
        <v>1235</v>
      </c>
      <c r="M203" t="s">
        <v>1235</v>
      </c>
      <c r="U203" t="s">
        <v>1235</v>
      </c>
      <c r="W203" t="s">
        <v>1235</v>
      </c>
      <c r="X203" t="s">
        <v>1235</v>
      </c>
      <c r="Y203" t="s">
        <v>1235</v>
      </c>
      <c r="AA203" t="s">
        <v>1235</v>
      </c>
      <c r="AG203" t="s">
        <v>1235</v>
      </c>
      <c r="AJ203" t="s">
        <v>1235</v>
      </c>
      <c r="AN203" s="14"/>
    </row>
    <row r="204" spans="1:40" ht="32" x14ac:dyDescent="0.2">
      <c r="A204" s="142" t="s">
        <v>2259</v>
      </c>
      <c r="B204" s="205" t="s">
        <v>2258</v>
      </c>
      <c r="C204" s="8" t="s">
        <v>2260</v>
      </c>
      <c r="E204" t="s">
        <v>1235</v>
      </c>
      <c r="F204" s="4" t="str">
        <f>IF(AND(ISTEXT("https://github.com/giacomofi/Smart-Contracts-Bipartite-Graph-Generator"),"https://github.com/giacomofi/Smart-Contracts-Bipartite-Graph-Generator"&lt;&gt;""), HYPERLINK("https://github.com/giacomofi/Smart-Contracts-Bipartite-Graph-Generator", "Link"),"-")</f>
        <v>Link</v>
      </c>
      <c r="G204" s="7">
        <v>2024</v>
      </c>
      <c r="H204" s="133">
        <v>2024</v>
      </c>
      <c r="I204" s="133">
        <v>2024</v>
      </c>
      <c r="J204" t="s">
        <v>1576</v>
      </c>
      <c r="L204" t="s">
        <v>1235</v>
      </c>
      <c r="S204" t="s">
        <v>1235</v>
      </c>
      <c r="T204" t="s">
        <v>1235</v>
      </c>
      <c r="V204" t="s">
        <v>1235</v>
      </c>
      <c r="X204" t="s">
        <v>1235</v>
      </c>
      <c r="Z204" t="s">
        <v>1235</v>
      </c>
      <c r="AN204" s="14"/>
    </row>
    <row r="205" spans="1:40" ht="48" x14ac:dyDescent="0.2">
      <c r="A205" s="142" t="s">
        <v>2261</v>
      </c>
      <c r="B205" s="205" t="s">
        <v>2262</v>
      </c>
      <c r="C205" s="8" t="s">
        <v>2263</v>
      </c>
      <c r="F205" s="4" t="str">
        <f>IF(AND(ISTEXT(""),""&lt;&gt;""), HYPERLINK("", "Link"),"-")</f>
        <v>-</v>
      </c>
      <c r="G205" s="7">
        <v>2024</v>
      </c>
      <c r="L205" t="s">
        <v>1235</v>
      </c>
      <c r="M205" t="s">
        <v>1235</v>
      </c>
      <c r="U205" t="s">
        <v>1235</v>
      </c>
      <c r="AD205" t="s">
        <v>1235</v>
      </c>
      <c r="AE205" t="s">
        <v>1235</v>
      </c>
      <c r="AI205" t="s">
        <v>1235</v>
      </c>
      <c r="AN205" s="14"/>
    </row>
    <row r="206" spans="1:40" ht="48" x14ac:dyDescent="0.2">
      <c r="A206" s="142" t="s">
        <v>2265</v>
      </c>
      <c r="B206" s="205" t="s">
        <v>2264</v>
      </c>
      <c r="C206" t="s">
        <v>2266</v>
      </c>
      <c r="E206" t="s">
        <v>1235</v>
      </c>
      <c r="F206" s="4" t="str">
        <f>IF(AND(ISTEXT("https://github.com/columbia/SmartInv"),"https://github.com/columbia/SmartInv"&lt;&gt;""), HYPERLINK("https://github.com/columbia/SmartInv", "Link"),"-")</f>
        <v>Link</v>
      </c>
      <c r="G206" s="7">
        <v>2024</v>
      </c>
      <c r="H206" s="133">
        <v>2024</v>
      </c>
      <c r="I206" s="133">
        <v>2024</v>
      </c>
      <c r="L206" t="s">
        <v>1235</v>
      </c>
      <c r="M206" t="s">
        <v>1235</v>
      </c>
      <c r="N206" t="s">
        <v>1235</v>
      </c>
      <c r="T206" t="s">
        <v>1235</v>
      </c>
      <c r="AE206" t="s">
        <v>1235</v>
      </c>
      <c r="AM206" t="s">
        <v>1235</v>
      </c>
      <c r="AN206" s="14"/>
    </row>
    <row r="207" spans="1:40" ht="32" x14ac:dyDescent="0.2">
      <c r="A207" s="142" t="s">
        <v>2268</v>
      </c>
      <c r="B207" s="205" t="s">
        <v>2269</v>
      </c>
      <c r="C207" s="8" t="s">
        <v>2267</v>
      </c>
      <c r="F207" s="4" t="str">
        <f t="shared" ref="F207:F214" si="11">IF(AND(ISTEXT(""),""&lt;&gt;""), HYPERLINK("", "Link"),"-")</f>
        <v>-</v>
      </c>
      <c r="G207" s="7">
        <v>2024</v>
      </c>
      <c r="H207" s="133"/>
      <c r="I207" s="133"/>
      <c r="L207" t="s">
        <v>1235</v>
      </c>
      <c r="M207" t="s">
        <v>1235</v>
      </c>
      <c r="N207" t="s">
        <v>1235</v>
      </c>
      <c r="Q207" t="s">
        <v>1235</v>
      </c>
      <c r="U207" t="s">
        <v>1235</v>
      </c>
      <c r="AN207" s="14"/>
    </row>
    <row r="208" spans="1:40" ht="48" x14ac:dyDescent="0.2">
      <c r="A208" s="142" t="s">
        <v>2271</v>
      </c>
      <c r="B208" s="205" t="s">
        <v>2272</v>
      </c>
      <c r="C208" s="8" t="s">
        <v>2270</v>
      </c>
      <c r="F208" s="4" t="str">
        <f t="shared" si="11"/>
        <v>-</v>
      </c>
      <c r="G208" s="7">
        <v>2024</v>
      </c>
      <c r="H208" s="133"/>
      <c r="I208" s="133"/>
      <c r="L208" t="s">
        <v>1235</v>
      </c>
      <c r="M208" t="s">
        <v>1235</v>
      </c>
      <c r="T208" t="s">
        <v>1235</v>
      </c>
      <c r="AM208" t="s">
        <v>1235</v>
      </c>
      <c r="AN208" s="14"/>
    </row>
    <row r="209" spans="1:40" ht="48" x14ac:dyDescent="0.2">
      <c r="A209" s="142" t="s">
        <v>2275</v>
      </c>
      <c r="B209" s="205" t="s">
        <v>2274</v>
      </c>
      <c r="C209" s="8" t="s">
        <v>2273</v>
      </c>
      <c r="F209" s="4" t="str">
        <f t="shared" si="11"/>
        <v>-</v>
      </c>
      <c r="G209" s="7">
        <v>2024</v>
      </c>
      <c r="H209" s="133"/>
      <c r="I209" s="133"/>
      <c r="K209" t="s">
        <v>1235</v>
      </c>
      <c r="M209" t="s">
        <v>1235</v>
      </c>
      <c r="T209" t="s">
        <v>1235</v>
      </c>
      <c r="AM209" t="s">
        <v>1235</v>
      </c>
      <c r="AN209" s="14"/>
    </row>
    <row r="210" spans="1:40" ht="48" x14ac:dyDescent="0.2">
      <c r="A210" s="142" t="s">
        <v>2277</v>
      </c>
      <c r="B210" s="205" t="s">
        <v>2278</v>
      </c>
      <c r="C210" s="8" t="s">
        <v>2276</v>
      </c>
      <c r="F210" s="4" t="str">
        <f t="shared" si="11"/>
        <v>-</v>
      </c>
      <c r="G210" s="7">
        <v>2024</v>
      </c>
      <c r="H210" s="133"/>
      <c r="I210" s="133"/>
      <c r="L210" t="s">
        <v>1235</v>
      </c>
      <c r="M210" t="s">
        <v>1235</v>
      </c>
      <c r="T210" t="s">
        <v>1235</v>
      </c>
      <c r="V210" t="s">
        <v>1235</v>
      </c>
      <c r="AM210" t="s">
        <v>1235</v>
      </c>
      <c r="AN210" s="14"/>
    </row>
    <row r="211" spans="1:40" ht="80" x14ac:dyDescent="0.2">
      <c r="A211" s="142" t="s">
        <v>2280</v>
      </c>
      <c r="B211" s="205" t="s">
        <v>2281</v>
      </c>
      <c r="C211" t="s">
        <v>2279</v>
      </c>
      <c r="F211" s="4" t="str">
        <f t="shared" si="11"/>
        <v>-</v>
      </c>
      <c r="G211" s="7">
        <v>2024</v>
      </c>
      <c r="H211" s="133"/>
      <c r="I211" s="133"/>
      <c r="L211" t="s">
        <v>1235</v>
      </c>
      <c r="M211" t="s">
        <v>1235</v>
      </c>
      <c r="T211" t="s">
        <v>1235</v>
      </c>
      <c r="AM211" t="s">
        <v>1235</v>
      </c>
      <c r="AN211" s="14"/>
    </row>
    <row r="212" spans="1:40" ht="48" x14ac:dyDescent="0.2">
      <c r="A212" s="142" t="s">
        <v>2283</v>
      </c>
      <c r="B212" s="205" t="s">
        <v>2284</v>
      </c>
      <c r="C212" s="8" t="s">
        <v>2282</v>
      </c>
      <c r="F212" s="4" t="str">
        <f t="shared" si="11"/>
        <v>-</v>
      </c>
      <c r="G212" s="7">
        <v>2024</v>
      </c>
      <c r="H212" s="133"/>
      <c r="I212" s="133"/>
      <c r="L212" t="s">
        <v>1235</v>
      </c>
      <c r="M212" t="s">
        <v>1235</v>
      </c>
      <c r="T212" t="s">
        <v>1235</v>
      </c>
      <c r="AM212" t="s">
        <v>1235</v>
      </c>
      <c r="AN212" s="14"/>
    </row>
    <row r="213" spans="1:40" ht="32" x14ac:dyDescent="0.2">
      <c r="A213" s="142" t="s">
        <v>2287</v>
      </c>
      <c r="B213" s="205" t="s">
        <v>2286</v>
      </c>
      <c r="C213" t="s">
        <v>2285</v>
      </c>
      <c r="F213" s="4" t="str">
        <f t="shared" si="11"/>
        <v>-</v>
      </c>
      <c r="G213" s="7">
        <v>2023</v>
      </c>
      <c r="H213" s="133"/>
      <c r="I213" s="133"/>
      <c r="L213" t="s">
        <v>2288</v>
      </c>
      <c r="M213" s="41" t="s">
        <v>1235</v>
      </c>
      <c r="T213" s="41" t="s">
        <v>1235</v>
      </c>
      <c r="W213" s="41" t="s">
        <v>1235</v>
      </c>
      <c r="AD213" s="41" t="s">
        <v>1235</v>
      </c>
      <c r="AK213" s="41" t="s">
        <v>1235</v>
      </c>
      <c r="AN213" s="14"/>
    </row>
    <row r="214" spans="1:40" ht="64" x14ac:dyDescent="0.2">
      <c r="A214" s="142" t="s">
        <v>2291</v>
      </c>
      <c r="B214" s="205" t="s">
        <v>2292</v>
      </c>
      <c r="C214" t="s">
        <v>2290</v>
      </c>
      <c r="F214" s="4" t="str">
        <f t="shared" si="11"/>
        <v>-</v>
      </c>
      <c r="G214" s="7">
        <v>2024</v>
      </c>
      <c r="L214" t="s">
        <v>1235</v>
      </c>
      <c r="O214" s="41" t="s">
        <v>1235</v>
      </c>
      <c r="T214" s="41" t="s">
        <v>1235</v>
      </c>
      <c r="X214" s="41" t="s">
        <v>1235</v>
      </c>
      <c r="AM214" s="41" t="s">
        <v>1235</v>
      </c>
      <c r="AN214" s="14"/>
    </row>
    <row r="215" spans="1:40" ht="64" x14ac:dyDescent="0.2">
      <c r="A215" s="142" t="s">
        <v>2295</v>
      </c>
      <c r="B215" s="205" t="s">
        <v>2294</v>
      </c>
      <c r="C215" t="s">
        <v>2293</v>
      </c>
      <c r="E215" t="s">
        <v>1235</v>
      </c>
      <c r="F215" s="4" t="str">
        <f>IF(AND(ISTEXT("https://github.com/Tourneso/DeepFusion"),"https://github.com/Tourneso/DeepFusion"&lt;&gt;""), HYPERLINK("https://github.com/Tourneso/DeepFusion", "Link"),"-")</f>
        <v>Link</v>
      </c>
      <c r="G215" s="7">
        <v>2024</v>
      </c>
      <c r="L215" t="s">
        <v>1235</v>
      </c>
      <c r="M215" t="s">
        <v>1235</v>
      </c>
      <c r="T215" t="s">
        <v>1235</v>
      </c>
      <c r="V215" t="s">
        <v>1235</v>
      </c>
      <c r="X215" t="s">
        <v>1235</v>
      </c>
      <c r="AM215" t="s">
        <v>1235</v>
      </c>
      <c r="AN215" s="14"/>
    </row>
    <row r="216" spans="1:40" ht="48" x14ac:dyDescent="0.2">
      <c r="A216" s="142" t="s">
        <v>2298</v>
      </c>
      <c r="B216" s="205" t="s">
        <v>2297</v>
      </c>
      <c r="C216" s="8" t="s">
        <v>2296</v>
      </c>
      <c r="E216" t="s">
        <v>1235</v>
      </c>
      <c r="F216" s="4" t="str">
        <f>IF(AND(ISTEXT("https://github.com/Wang-Yi-chen/ContractGNN"),"https://github.com/Wang-Yi-chen/ContractGNN"&lt;&gt;""), HYPERLINK("https://github.com/Wang-Yi-chen/ContractGNN", "Link"),"-")</f>
        <v>Link</v>
      </c>
      <c r="G216" s="7">
        <v>2024</v>
      </c>
      <c r="L216" t="s">
        <v>1235</v>
      </c>
      <c r="M216" t="s">
        <v>1235</v>
      </c>
      <c r="T216" t="s">
        <v>1235</v>
      </c>
      <c r="V216" t="s">
        <v>1235</v>
      </c>
      <c r="AM216" t="s">
        <v>1235</v>
      </c>
      <c r="AN216" s="14"/>
    </row>
    <row r="217" spans="1:40" ht="64" x14ac:dyDescent="0.2">
      <c r="A217" s="142" t="s">
        <v>1871</v>
      </c>
      <c r="B217" s="205" t="s">
        <v>2300</v>
      </c>
      <c r="C217" s="8" t="s">
        <v>2299</v>
      </c>
      <c r="F217" s="4" t="str">
        <f>IF(AND(ISTEXT(""),""&lt;&gt;""), HYPERLINK("", "Link"),"-")</f>
        <v>-</v>
      </c>
      <c r="G217" s="7">
        <v>2023</v>
      </c>
      <c r="L217" t="s">
        <v>1235</v>
      </c>
      <c r="T217" t="s">
        <v>1235</v>
      </c>
      <c r="W217" t="s">
        <v>1235</v>
      </c>
      <c r="X217" t="s">
        <v>1235</v>
      </c>
      <c r="AM217" t="s">
        <v>1235</v>
      </c>
      <c r="AN217" s="14"/>
    </row>
    <row r="218" spans="1:40" ht="96" x14ac:dyDescent="0.2">
      <c r="A218" s="142" t="s">
        <v>2303</v>
      </c>
      <c r="B218" s="205" t="s">
        <v>2302</v>
      </c>
      <c r="C218" s="8" t="s">
        <v>2301</v>
      </c>
      <c r="F218" s="4" t="str">
        <f>IF(AND(ISTEXT(""),""&lt;&gt;""), HYPERLINK("", "Link"),"-")</f>
        <v>-</v>
      </c>
      <c r="G218" s="7">
        <v>2024</v>
      </c>
      <c r="L218" t="s">
        <v>1235</v>
      </c>
      <c r="M218" t="s">
        <v>1235</v>
      </c>
      <c r="T218" t="s">
        <v>1235</v>
      </c>
      <c r="U218" t="s">
        <v>1235</v>
      </c>
      <c r="V218" t="s">
        <v>1235</v>
      </c>
      <c r="AG218" t="s">
        <v>1235</v>
      </c>
      <c r="AN218" s="14"/>
    </row>
    <row r="219" spans="1:40" ht="32" x14ac:dyDescent="0.2">
      <c r="A219" s="142" t="s">
        <v>2306</v>
      </c>
      <c r="B219" s="205" t="s">
        <v>2305</v>
      </c>
      <c r="C219" t="s">
        <v>2304</v>
      </c>
      <c r="F219" s="4" t="str">
        <f>IF(AND(ISTEXT(""),""&lt;&gt;""), HYPERLINK("", "Link"),"-")</f>
        <v>-</v>
      </c>
      <c r="G219" s="7">
        <v>2024</v>
      </c>
      <c r="L219" t="s">
        <v>1235</v>
      </c>
      <c r="M219" t="s">
        <v>1235</v>
      </c>
      <c r="T219" t="s">
        <v>1235</v>
      </c>
      <c r="AM219" t="s">
        <v>1235</v>
      </c>
      <c r="AN219" s="14"/>
    </row>
    <row r="220" spans="1:40" ht="64" x14ac:dyDescent="0.2">
      <c r="A220" s="142" t="s">
        <v>2315</v>
      </c>
      <c r="B220" s="205" t="s">
        <v>2314</v>
      </c>
      <c r="C220" t="s">
        <v>950</v>
      </c>
      <c r="E220" t="s">
        <v>1235</v>
      </c>
      <c r="F220" s="4" t="str">
        <f>IF(AND(ISTEXT("https://github.com/Jiachi-Chen/DefectChecker/"),"https://github.com/Jiachi-Chen/DefectChecker/"&lt;&gt;""), HYPERLINK("https://github.com/Jiachi-Chen/DefectChecker/", "Link"),"-")</f>
        <v>Link</v>
      </c>
      <c r="G220" s="7">
        <v>2021</v>
      </c>
      <c r="H220" s="5">
        <v>2021</v>
      </c>
      <c r="I220" s="5">
        <v>2021</v>
      </c>
      <c r="J220" t="s">
        <v>2316</v>
      </c>
      <c r="K220" t="s">
        <v>1235</v>
      </c>
      <c r="M220" t="s">
        <v>1235</v>
      </c>
      <c r="T220" t="s">
        <v>1235</v>
      </c>
      <c r="V220" t="s">
        <v>1235</v>
      </c>
      <c r="AC220" t="s">
        <v>1235</v>
      </c>
      <c r="AN220" s="14"/>
    </row>
    <row r="221" spans="1:40" ht="48" x14ac:dyDescent="0.2">
      <c r="A221" s="142" t="s">
        <v>2396</v>
      </c>
      <c r="B221" s="205" t="s">
        <v>2397</v>
      </c>
      <c r="C221" s="8" t="s">
        <v>2393</v>
      </c>
      <c r="E221" t="s">
        <v>1235</v>
      </c>
      <c r="F221" s="4" t="str">
        <f>IF(AND(ISTEXT("https://github.com/VPRLab/SoMo"),"https://github.com/VPRLab/SoMo"&lt;&gt;""), HYPERLINK("https://github.com/VPRLab/SoMo", "Link"),"-")</f>
        <v>Link</v>
      </c>
      <c r="G221" s="7">
        <v>2023</v>
      </c>
      <c r="H221" s="133">
        <v>2023</v>
      </c>
      <c r="I221" s="133">
        <v>2023</v>
      </c>
      <c r="J221" t="s">
        <v>1576</v>
      </c>
      <c r="L221" t="s">
        <v>1235</v>
      </c>
      <c r="M221" t="s">
        <v>1235</v>
      </c>
      <c r="T221" t="s">
        <v>1235</v>
      </c>
      <c r="V221" t="s">
        <v>1235</v>
      </c>
      <c r="AM221" t="s">
        <v>1235</v>
      </c>
      <c r="AN221" s="14" t="s">
        <v>1235</v>
      </c>
    </row>
    <row r="222" spans="1:40" ht="64" x14ac:dyDescent="0.2">
      <c r="A222" s="142" t="s">
        <v>2791</v>
      </c>
      <c r="B222" s="205" t="s">
        <v>2792</v>
      </c>
      <c r="C222" t="s">
        <v>2790</v>
      </c>
      <c r="E222" t="s">
        <v>1235</v>
      </c>
      <c r="F222" s="4" t="str">
        <f>IF(AND(ISTEXT("https://github.com/GerardoIuliano/MuSe"),"https://github.com/GerardoIuliano/MuSe"&lt;&gt;""), HYPERLINK("https://github.com/GerardoIuliano/MuSe", "Link"),"-")</f>
        <v>Link</v>
      </c>
      <c r="G222" s="9">
        <v>2025</v>
      </c>
      <c r="H222" s="9">
        <v>2025</v>
      </c>
      <c r="I222" s="9">
        <v>2025</v>
      </c>
      <c r="J222" t="s">
        <v>1721</v>
      </c>
      <c r="L222" t="s">
        <v>1235</v>
      </c>
      <c r="S222" t="s">
        <v>1235</v>
      </c>
      <c r="T222" t="s">
        <v>1235</v>
      </c>
      <c r="X222" t="s">
        <v>1235</v>
      </c>
      <c r="AK222" t="s">
        <v>1235</v>
      </c>
      <c r="AN222" s="14"/>
    </row>
    <row r="223" spans="1:40" ht="49" thickBot="1" x14ac:dyDescent="0.25">
      <c r="A223" s="146" t="s">
        <v>2797</v>
      </c>
      <c r="B223" s="208" t="s">
        <v>2799</v>
      </c>
      <c r="C223" s="15" t="s">
        <v>2798</v>
      </c>
      <c r="D223" s="148"/>
      <c r="E223" s="15"/>
      <c r="F223" s="4" t="str">
        <f>IF(AND(ISTEXT(""),""&lt;&gt;""), HYPERLINK("", "Link"),"-")</f>
        <v>-</v>
      </c>
      <c r="G223" s="147">
        <v>2022</v>
      </c>
      <c r="H223" s="40"/>
      <c r="I223" s="15"/>
      <c r="J223" s="15"/>
      <c r="K223" s="15"/>
      <c r="L223" s="15" t="s">
        <v>2819</v>
      </c>
      <c r="M223" s="15" t="s">
        <v>1235</v>
      </c>
      <c r="N223" s="15"/>
      <c r="O223" s="15"/>
      <c r="P223" s="15"/>
      <c r="Q223" s="15"/>
      <c r="R223" s="15"/>
      <c r="S223" s="15"/>
      <c r="T223" s="15" t="s">
        <v>1235</v>
      </c>
      <c r="U223" s="15" t="s">
        <v>1235</v>
      </c>
      <c r="V223" s="15"/>
      <c r="W223" s="15"/>
      <c r="X223" s="15"/>
      <c r="Y223" s="15"/>
      <c r="Z223" s="15"/>
      <c r="AA223" s="15"/>
      <c r="AB223" s="15"/>
      <c r="AC223" s="15"/>
      <c r="AD223" s="15"/>
      <c r="AE223" s="15"/>
      <c r="AF223" s="15"/>
      <c r="AG223" s="15"/>
      <c r="AH223" s="15"/>
      <c r="AI223" s="15"/>
      <c r="AJ223" s="15"/>
      <c r="AK223" s="15" t="s">
        <v>1235</v>
      </c>
      <c r="AL223" s="15"/>
      <c r="AM223" s="15"/>
      <c r="AN223" s="16"/>
    </row>
  </sheetData>
  <mergeCells count="5">
    <mergeCell ref="AC1:AN1"/>
    <mergeCell ref="K1:L1"/>
    <mergeCell ref="M1:S1"/>
    <mergeCell ref="T1:U1"/>
    <mergeCell ref="V1:AB1"/>
  </mergeCell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92E-9620-8B4B-AEB7-08881DE59776}">
  <dimension ref="A1:HO1048522"/>
  <sheetViews>
    <sheetView topLeftCell="B1" zoomScale="82" zoomScaleNormal="85" workbookViewId="0">
      <pane ySplit="3" topLeftCell="A136" activePane="bottomLeft" state="frozen"/>
      <selection pane="bottomLeft" activeCell="J182" sqref="J182"/>
    </sheetView>
  </sheetViews>
  <sheetFormatPr baseColWidth="10" defaultColWidth="8.83203125" defaultRowHeight="15" x14ac:dyDescent="0.2"/>
  <cols>
    <col min="1" max="1" width="36" style="6" customWidth="1"/>
    <col min="2" max="2" width="17.83203125" style="6" customWidth="1"/>
    <col min="3" max="3" width="21" style="6" customWidth="1"/>
    <col min="4" max="4" width="12.83203125" style="6" customWidth="1"/>
    <col min="5" max="5" width="16.83203125" style="6" bestFit="1" customWidth="1"/>
    <col min="6" max="6" width="16.83203125" style="6" customWidth="1"/>
    <col min="7" max="7" width="19.1640625" style="215" customWidth="1"/>
    <col min="8" max="12" width="11.33203125" customWidth="1"/>
    <col min="13" max="13" width="22.33203125" customWidth="1"/>
    <col min="14" max="14" width="24.5" customWidth="1"/>
    <col min="15" max="15" width="14.1640625" customWidth="1"/>
    <col min="16" max="16" width="23.33203125" customWidth="1"/>
    <col min="17" max="17" width="22.83203125" customWidth="1"/>
    <col min="18" max="18" width="24.5" customWidth="1"/>
    <col min="19" max="19" width="23.33203125" bestFit="1" customWidth="1"/>
    <col min="20" max="20" width="15" bestFit="1" customWidth="1"/>
    <col min="21" max="21" width="23.5" bestFit="1" customWidth="1"/>
    <col min="22" max="22" width="22.1640625" customWidth="1"/>
    <col min="23" max="23" width="19.83203125" bestFit="1" customWidth="1"/>
    <col min="24" max="24" width="15.5" customWidth="1"/>
    <col min="25" max="25" width="23.33203125" style="215" customWidth="1"/>
    <col min="26" max="26" width="23" customWidth="1"/>
    <col min="27" max="27" width="25.33203125" customWidth="1"/>
    <col min="28" max="28" width="22.1640625" customWidth="1"/>
    <col min="29" max="29" width="32" customWidth="1"/>
    <col min="30" max="33" width="19.5" customWidth="1"/>
    <col min="34" max="34" width="29.83203125" customWidth="1"/>
    <col min="35" max="35" width="29" customWidth="1"/>
    <col min="36" max="36" width="33.5" customWidth="1"/>
    <col min="37" max="37" width="19" customWidth="1"/>
    <col min="38" max="38" width="15.5" customWidth="1"/>
    <col min="39" max="39" width="32.83203125" customWidth="1"/>
    <col min="40" max="40" width="36" customWidth="1"/>
    <col min="42" max="42" width="28.5" bestFit="1" customWidth="1"/>
    <col min="43" max="43" width="25.33203125" bestFit="1" customWidth="1"/>
    <col min="44" max="44" width="27.33203125" bestFit="1" customWidth="1"/>
    <col min="45" max="45" width="21" bestFit="1" customWidth="1"/>
    <col min="46" max="46" width="20.5" style="215" bestFit="1" customWidth="1"/>
    <col min="47" max="47" width="41.5" customWidth="1"/>
    <col min="48" max="48" width="13.5" customWidth="1"/>
    <col min="49" max="49" width="13.5" bestFit="1" customWidth="1"/>
    <col min="50" max="50" width="15.33203125" bestFit="1" customWidth="1"/>
    <col min="51" max="51" width="22.33203125" customWidth="1"/>
    <col min="52" max="52" width="26.33203125" customWidth="1"/>
    <col min="53" max="53" width="26.1640625" customWidth="1"/>
    <col min="54" max="54" width="29.5" customWidth="1"/>
    <col min="55" max="55" width="22.5" customWidth="1"/>
    <col min="56" max="56" width="29.1640625" bestFit="1" customWidth="1"/>
    <col min="57" max="57" width="8.83203125" style="215"/>
    <col min="64" max="64" width="24.5" customWidth="1"/>
    <col min="65" max="65" width="35.5" customWidth="1"/>
    <col min="66" max="66" width="25.33203125" bestFit="1" customWidth="1"/>
    <col min="67" max="67" width="15.5" customWidth="1"/>
    <col min="69" max="69" width="8.83203125" style="215"/>
    <col min="72" max="72" width="18" customWidth="1"/>
    <col min="73" max="73" width="32.5" bestFit="1" customWidth="1"/>
    <col min="74" max="74" width="29" bestFit="1" customWidth="1"/>
    <col min="76" max="76" width="30.1640625" bestFit="1" customWidth="1"/>
    <col min="77" max="77" width="14.6640625" bestFit="1" customWidth="1"/>
    <col min="78" max="78" width="15.1640625" bestFit="1" customWidth="1"/>
    <col min="79" max="79" width="18.33203125" bestFit="1" customWidth="1"/>
    <col min="80" max="80" width="10" customWidth="1"/>
    <col min="81" max="81" width="43.6640625" customWidth="1"/>
    <col min="82" max="82" width="35.33203125" bestFit="1" customWidth="1"/>
    <col min="83" max="83" width="18.6640625" bestFit="1" customWidth="1"/>
    <col min="84" max="84" width="17.5" bestFit="1" customWidth="1"/>
    <col min="85" max="85" width="14.6640625" bestFit="1" customWidth="1"/>
    <col min="86" max="86" width="27.6640625" customWidth="1"/>
    <col min="87" max="87" width="28.83203125" customWidth="1"/>
    <col min="88" max="88" width="27.1640625" customWidth="1"/>
    <col min="89" max="89" width="23.5" style="215" customWidth="1"/>
    <col min="93" max="93" width="29.5" bestFit="1" customWidth="1"/>
    <col min="94" max="94" width="55.6640625" customWidth="1"/>
    <col min="95" max="95" width="24.33203125" bestFit="1" customWidth="1"/>
    <col min="96" max="96" width="28.83203125" bestFit="1" customWidth="1"/>
    <col min="97" max="97" width="28.83203125" style="46" customWidth="1"/>
    <col min="98" max="98" width="25.6640625" bestFit="1" customWidth="1"/>
    <col min="99" max="99" width="40.1640625" bestFit="1" customWidth="1"/>
    <col min="100" max="100" width="29.33203125" bestFit="1" customWidth="1"/>
    <col min="101" max="101" width="44.1640625" style="215" bestFit="1" customWidth="1"/>
    <col min="102" max="102" width="15" bestFit="1" customWidth="1"/>
    <col min="103" max="103" width="14" customWidth="1"/>
    <col min="104" max="104" width="18.1640625" bestFit="1" customWidth="1"/>
    <col min="105" max="105" width="10.6640625" bestFit="1" customWidth="1"/>
    <col min="106" max="106" width="16.83203125" bestFit="1" customWidth="1"/>
    <col min="107" max="107" width="22.1640625" bestFit="1" customWidth="1"/>
    <col min="108" max="108" width="22.83203125" customWidth="1"/>
    <col min="109" max="109" width="13" bestFit="1" customWidth="1"/>
    <col min="110" max="110" width="14.1640625" bestFit="1" customWidth="1"/>
    <col min="111" max="111" width="24.33203125" customWidth="1"/>
    <col min="112" max="112" width="15.1640625" customWidth="1"/>
    <col min="113" max="113" width="30.6640625" bestFit="1" customWidth="1"/>
    <col min="114" max="114" width="12.1640625" bestFit="1" customWidth="1"/>
    <col min="115" max="115" width="31.33203125" customWidth="1"/>
    <col min="117" max="117" width="13" bestFit="1" customWidth="1"/>
    <col min="118" max="118" width="13.6640625" bestFit="1" customWidth="1"/>
    <col min="119" max="119" width="9.5" customWidth="1"/>
    <col min="120" max="120" width="12.33203125" customWidth="1"/>
    <col min="121" max="121" width="17.33203125" customWidth="1"/>
    <col min="123" max="123" width="15.83203125" customWidth="1"/>
    <col min="124" max="124" width="39" customWidth="1"/>
    <col min="125" max="126" width="17.83203125" customWidth="1"/>
    <col min="127" max="127" width="25.6640625" customWidth="1"/>
    <col min="128" max="131" width="18.5" customWidth="1"/>
    <col min="132" max="132" width="22.5" customWidth="1"/>
    <col min="133" max="133" width="20.33203125" customWidth="1"/>
    <col min="134" max="134" width="23.1640625" customWidth="1"/>
    <col min="135" max="135" width="23" customWidth="1"/>
    <col min="136" max="136" width="30.33203125" customWidth="1"/>
    <col min="137" max="137" width="16" bestFit="1" customWidth="1"/>
    <col min="138" max="138" width="12.33203125" bestFit="1" customWidth="1"/>
    <col min="139" max="139" width="11.6640625" bestFit="1" customWidth="1"/>
    <col min="140" max="140" width="14.6640625" customWidth="1"/>
    <col min="141" max="141" width="24" bestFit="1" customWidth="1"/>
    <col min="142" max="142" width="26.83203125" style="215" bestFit="1" customWidth="1"/>
    <col min="143" max="143" width="22.1640625" bestFit="1" customWidth="1"/>
    <col min="144" max="144" width="20.33203125" bestFit="1" customWidth="1"/>
    <col min="147" max="147" width="18.83203125" bestFit="1" customWidth="1"/>
    <col min="148" max="148" width="19.6640625" customWidth="1"/>
    <col min="149" max="149" width="13.1640625" bestFit="1" customWidth="1"/>
    <col min="150" max="150" width="12.33203125" customWidth="1"/>
    <col min="151" max="151" width="30.6640625" customWidth="1"/>
    <col min="152" max="152" width="22.33203125" bestFit="1" customWidth="1"/>
    <col min="153" max="153" width="19.83203125" style="215" bestFit="1" customWidth="1"/>
    <col min="154" max="154" width="17.33203125" bestFit="1" customWidth="1"/>
    <col min="155" max="155" width="19.33203125" bestFit="1" customWidth="1"/>
    <col min="157" max="157" width="40.5" style="215" bestFit="1" customWidth="1"/>
    <col min="158" max="158" width="18.1640625" bestFit="1" customWidth="1"/>
    <col min="159" max="159" width="17.6640625" bestFit="1" customWidth="1"/>
    <col min="160" max="160" width="16.5" bestFit="1" customWidth="1"/>
    <col min="161" max="161" width="15.83203125" bestFit="1" customWidth="1"/>
    <col min="164" max="164" width="13.1640625" bestFit="1" customWidth="1"/>
    <col min="165" max="165" width="13.5" style="215" customWidth="1"/>
    <col min="166" max="166" width="25.5" customWidth="1"/>
    <col min="167" max="167" width="20.5" customWidth="1"/>
    <col min="169" max="169" width="18.33203125" customWidth="1"/>
    <col min="170" max="170" width="27.33203125" customWidth="1"/>
    <col min="171" max="171" width="13.33203125" bestFit="1" customWidth="1"/>
    <col min="172" max="174" width="31.33203125" customWidth="1"/>
    <col min="175" max="175" width="18.5" customWidth="1"/>
    <col min="176" max="176" width="18.5" style="215" customWidth="1"/>
    <col min="177" max="177" width="19.83203125" customWidth="1"/>
    <col min="178" max="178" width="24.1640625" customWidth="1"/>
    <col min="179" max="179" width="25.1640625" customWidth="1"/>
    <col min="180" max="180" width="14" bestFit="1" customWidth="1"/>
    <col min="181" max="181" width="25.1640625" bestFit="1" customWidth="1"/>
    <col min="182" max="182" width="16.33203125" style="215" bestFit="1" customWidth="1"/>
    <col min="184" max="184" width="24.33203125" bestFit="1" customWidth="1"/>
    <col min="185" max="185" width="18.6640625" bestFit="1" customWidth="1"/>
    <col min="186" max="186" width="27.33203125" bestFit="1" customWidth="1"/>
    <col min="187" max="187" width="25.1640625" bestFit="1" customWidth="1"/>
    <col min="188" max="188" width="26.33203125" bestFit="1" customWidth="1"/>
    <col min="189" max="189" width="20.83203125" bestFit="1" customWidth="1"/>
    <col min="190" max="190" width="19.83203125" bestFit="1" customWidth="1"/>
    <col min="191" max="191" width="18.5" bestFit="1" customWidth="1"/>
    <col min="192" max="192" width="19.33203125" bestFit="1" customWidth="1"/>
    <col min="193" max="193" width="17" bestFit="1" customWidth="1"/>
    <col min="194" max="194" width="19.33203125" bestFit="1" customWidth="1"/>
    <col min="195" max="195" width="22" bestFit="1" customWidth="1"/>
    <col min="196" max="196" width="15.1640625" bestFit="1" customWidth="1"/>
    <col min="197" max="197" width="14.83203125" bestFit="1" customWidth="1"/>
    <col min="198" max="198" width="31.33203125" bestFit="1" customWidth="1"/>
    <col min="199" max="199" width="15.6640625" bestFit="1" customWidth="1"/>
    <col min="200" max="200" width="10.5" bestFit="1" customWidth="1"/>
    <col min="201" max="201" width="17.33203125" bestFit="1" customWidth="1"/>
    <col min="202" max="202" width="12.83203125" bestFit="1" customWidth="1"/>
    <col min="203" max="203" width="14.33203125" bestFit="1" customWidth="1"/>
    <col min="204" max="204" width="20.33203125" bestFit="1" customWidth="1"/>
    <col min="205" max="205" width="23" bestFit="1" customWidth="1"/>
    <col min="206" max="206" width="34.33203125" bestFit="1" customWidth="1"/>
    <col min="207" max="210" width="34.33203125" customWidth="1"/>
    <col min="211" max="211" width="17" bestFit="1" customWidth="1"/>
    <col min="212" max="212" width="25" bestFit="1" customWidth="1"/>
    <col min="213" max="213" width="20.6640625" bestFit="1" customWidth="1"/>
    <col min="214" max="214" width="18.33203125" bestFit="1" customWidth="1"/>
    <col min="215" max="215" width="13.5" bestFit="1" customWidth="1"/>
    <col min="216" max="216" width="14" bestFit="1" customWidth="1"/>
    <col min="217" max="219" width="14" customWidth="1"/>
    <col min="220" max="220" width="13.5" bestFit="1" customWidth="1"/>
    <col min="221" max="222" width="13.5" customWidth="1"/>
    <col min="223" max="223" width="19.5" bestFit="1" customWidth="1"/>
    <col min="224" max="224" width="19.33203125" customWidth="1"/>
  </cols>
  <sheetData>
    <row r="1" spans="1:198" s="43" customFormat="1" ht="38" customHeight="1" x14ac:dyDescent="0.2">
      <c r="A1" s="56" t="s">
        <v>2008</v>
      </c>
      <c r="B1" s="57" t="str">
        <f>"Fully  Mapped: "&amp;COUNTIF(F4:F166,"Mapped")</f>
        <v>Fully  Mapped: 114</v>
      </c>
      <c r="C1" s="58" t="str">
        <f>"Partially Mapped: "&amp;COUNTIF(F4:F166,"Partial")</f>
        <v>Partially Mapped: 49</v>
      </c>
      <c r="D1" s="59" t="str">
        <f>"Unmapped: "&amp;219-COUNTIF(F4:F166,"Mapped")-COUNTIF(F4:F166,"Partial")</f>
        <v>Unmapped: 56</v>
      </c>
      <c r="E1" s="60"/>
      <c r="F1" s="60"/>
      <c r="G1" s="210" t="s">
        <v>2679</v>
      </c>
      <c r="H1" s="61" t="s">
        <v>1356</v>
      </c>
      <c r="I1" s="61" t="s">
        <v>2779</v>
      </c>
      <c r="J1" s="61" t="s">
        <v>2780</v>
      </c>
      <c r="K1" s="61" t="s">
        <v>2781</v>
      </c>
      <c r="L1" s="61" t="s">
        <v>2782</v>
      </c>
      <c r="M1" s="61" t="s">
        <v>2680</v>
      </c>
      <c r="N1" s="61" t="s">
        <v>2747</v>
      </c>
      <c r="O1" s="61"/>
      <c r="P1" s="61" t="s">
        <v>65</v>
      </c>
      <c r="Q1" s="61" t="s">
        <v>2748</v>
      </c>
      <c r="R1" s="61" t="s">
        <v>1396</v>
      </c>
      <c r="S1" s="61"/>
      <c r="T1" s="61"/>
      <c r="U1" s="61"/>
      <c r="V1" s="61" t="s">
        <v>2695</v>
      </c>
      <c r="W1" s="61" t="s">
        <v>1407</v>
      </c>
      <c r="X1" s="61"/>
      <c r="Y1" s="210" t="s">
        <v>104</v>
      </c>
      <c r="Z1" s="61" t="s">
        <v>2681</v>
      </c>
      <c r="AA1" s="61"/>
      <c r="AB1" s="61" t="s">
        <v>1375</v>
      </c>
      <c r="AC1" s="61" t="s">
        <v>2682</v>
      </c>
      <c r="AD1" s="61" t="s">
        <v>1381</v>
      </c>
      <c r="AE1" s="61"/>
      <c r="AF1" s="61"/>
      <c r="AG1" s="61"/>
      <c r="AH1" s="61" t="s">
        <v>2749</v>
      </c>
      <c r="AI1" s="61"/>
      <c r="AJ1" s="61" t="s">
        <v>1386</v>
      </c>
      <c r="AK1" s="61" t="s">
        <v>2770</v>
      </c>
      <c r="AL1" s="61"/>
      <c r="AM1" s="61"/>
      <c r="AN1" s="61" t="s">
        <v>2686</v>
      </c>
      <c r="AO1" s="61"/>
      <c r="AP1" s="61" t="s">
        <v>2687</v>
      </c>
      <c r="AQ1" s="61" t="s">
        <v>2688</v>
      </c>
      <c r="AR1" s="61" t="s">
        <v>2689</v>
      </c>
      <c r="AS1" s="61" t="s">
        <v>2337</v>
      </c>
      <c r="AT1" s="210" t="s">
        <v>2813</v>
      </c>
      <c r="AU1" s="61" t="s">
        <v>190</v>
      </c>
      <c r="AV1" s="61" t="s">
        <v>2320</v>
      </c>
      <c r="AW1" s="61" t="s">
        <v>2690</v>
      </c>
      <c r="AX1" s="62" t="s">
        <v>2815</v>
      </c>
      <c r="AY1" s="61" t="s">
        <v>238</v>
      </c>
      <c r="AZ1" s="61" t="s">
        <v>1404</v>
      </c>
      <c r="BA1" s="61"/>
      <c r="BB1" s="61" t="s">
        <v>2692</v>
      </c>
      <c r="BC1" s="61" t="s">
        <v>2814</v>
      </c>
      <c r="BD1" s="61" t="s">
        <v>2694</v>
      </c>
      <c r="BE1" s="210" t="s">
        <v>369</v>
      </c>
      <c r="BF1" s="61" t="s">
        <v>2697</v>
      </c>
      <c r="BG1" s="61"/>
      <c r="BH1" s="61" t="s">
        <v>2754</v>
      </c>
      <c r="BI1" s="61" t="s">
        <v>2698</v>
      </c>
      <c r="BJ1" s="61" t="s">
        <v>1438</v>
      </c>
      <c r="BK1" s="61" t="s">
        <v>2699</v>
      </c>
      <c r="BL1" s="61"/>
      <c r="BM1" s="61"/>
      <c r="BN1" s="63"/>
      <c r="BO1" s="61" t="s">
        <v>2889</v>
      </c>
      <c r="BP1" s="61" t="s">
        <v>2902</v>
      </c>
      <c r="BQ1" s="216"/>
      <c r="BR1" s="61" t="s">
        <v>2771</v>
      </c>
      <c r="BS1" s="61"/>
      <c r="BT1" s="61" t="s">
        <v>2755</v>
      </c>
      <c r="BU1" s="61" t="s">
        <v>2756</v>
      </c>
      <c r="BV1" s="61"/>
      <c r="BW1" s="61" t="s">
        <v>2759</v>
      </c>
      <c r="BX1" s="61" t="s">
        <v>1446</v>
      </c>
      <c r="BY1" s="61" t="s">
        <v>2761</v>
      </c>
      <c r="BZ1" s="63" t="s">
        <v>2700</v>
      </c>
      <c r="CA1" s="63"/>
      <c r="CB1" s="61" t="s">
        <v>1456</v>
      </c>
      <c r="CC1" s="61" t="s">
        <v>2701</v>
      </c>
      <c r="CD1" s="63" t="s">
        <v>2762</v>
      </c>
      <c r="CE1" s="61" t="s">
        <v>2702</v>
      </c>
      <c r="CF1" s="61"/>
      <c r="CG1" s="61" t="s">
        <v>2703</v>
      </c>
      <c r="CH1" s="61"/>
      <c r="CI1" s="61"/>
      <c r="CJ1" s="61" t="s">
        <v>365</v>
      </c>
      <c r="CK1" s="210" t="s">
        <v>1471</v>
      </c>
      <c r="CL1" s="61"/>
      <c r="CM1" s="61"/>
      <c r="CN1" s="61"/>
      <c r="CO1" s="61" t="s">
        <v>2360</v>
      </c>
      <c r="CP1" s="61" t="s">
        <v>541</v>
      </c>
      <c r="CQ1" s="61"/>
      <c r="CR1" s="61" t="s">
        <v>2678</v>
      </c>
      <c r="CS1" s="61"/>
      <c r="CT1" s="61" t="s">
        <v>556</v>
      </c>
      <c r="CU1" s="61" t="s">
        <v>2361</v>
      </c>
      <c r="CV1" s="61" t="s">
        <v>2752</v>
      </c>
      <c r="CW1" s="210" t="s">
        <v>2743</v>
      </c>
      <c r="CX1" s="61" t="s">
        <v>2710</v>
      </c>
      <c r="CY1" s="61"/>
      <c r="CZ1" s="61" t="s">
        <v>2711</v>
      </c>
      <c r="DA1" s="61" t="s">
        <v>2784</v>
      </c>
      <c r="DB1" s="61" t="s">
        <v>2764</v>
      </c>
      <c r="DC1" s="61" t="s">
        <v>2712</v>
      </c>
      <c r="DD1" s="61"/>
      <c r="DE1" s="61" t="s">
        <v>2713</v>
      </c>
      <c r="DF1" s="61" t="s">
        <v>1495</v>
      </c>
      <c r="DG1" s="61"/>
      <c r="DH1" s="61"/>
      <c r="DI1" s="61"/>
      <c r="DJ1" s="61" t="s">
        <v>1496</v>
      </c>
      <c r="DK1" s="61" t="s">
        <v>2717</v>
      </c>
      <c r="DL1" s="61" t="s">
        <v>1505</v>
      </c>
      <c r="DM1" s="61" t="s">
        <v>2744</v>
      </c>
      <c r="DN1" s="61" t="s">
        <v>2718</v>
      </c>
      <c r="DO1" s="61" t="s">
        <v>685</v>
      </c>
      <c r="DP1" s="64"/>
      <c r="DQ1" s="61"/>
      <c r="DR1" s="61" t="s">
        <v>2346</v>
      </c>
      <c r="DS1" s="61" t="s">
        <v>2341</v>
      </c>
      <c r="DT1" s="61" t="s">
        <v>2723</v>
      </c>
      <c r="DU1" s="61"/>
      <c r="DV1" s="61"/>
      <c r="DW1" s="61"/>
      <c r="DX1" s="61"/>
      <c r="DY1" s="61" t="s">
        <v>1508</v>
      </c>
      <c r="DZ1" s="61"/>
      <c r="EA1" s="61"/>
      <c r="EB1" s="61" t="s">
        <v>1414</v>
      </c>
      <c r="EC1" s="61" t="s">
        <v>2693</v>
      </c>
      <c r="ED1" s="61"/>
      <c r="EE1" s="63"/>
      <c r="EF1" s="61"/>
      <c r="EG1" s="61"/>
      <c r="EH1" s="63"/>
      <c r="EI1" s="61"/>
      <c r="EJ1" s="61"/>
      <c r="EK1" s="61" t="s">
        <v>343</v>
      </c>
      <c r="EL1" s="210" t="s">
        <v>1517</v>
      </c>
      <c r="EM1" s="61" t="s">
        <v>1519</v>
      </c>
      <c r="EN1" s="61" t="s">
        <v>2733</v>
      </c>
      <c r="EO1" s="61" t="s">
        <v>2734</v>
      </c>
      <c r="EP1" s="61" t="s">
        <v>2735</v>
      </c>
      <c r="EQ1" s="61"/>
      <c r="ER1" s="61" t="s">
        <v>1525</v>
      </c>
      <c r="ES1" s="61"/>
      <c r="ET1" s="61"/>
      <c r="EU1" s="61"/>
      <c r="EV1" s="61"/>
      <c r="EW1" s="210" t="s">
        <v>2738</v>
      </c>
      <c r="EX1" s="61" t="s">
        <v>2677</v>
      </c>
      <c r="EY1" s="61" t="s">
        <v>2740</v>
      </c>
      <c r="EZ1" s="61"/>
      <c r="FA1" s="216"/>
      <c r="FB1" s="63"/>
      <c r="FC1" s="63"/>
      <c r="FD1" s="63"/>
      <c r="FE1" s="63"/>
      <c r="FF1" s="63"/>
      <c r="FG1" s="63"/>
      <c r="FH1" s="63"/>
      <c r="FI1" s="210" t="s">
        <v>2775</v>
      </c>
      <c r="FJ1" s="61"/>
      <c r="FK1" s="61"/>
      <c r="FL1" s="63"/>
      <c r="FM1" s="63"/>
      <c r="FN1" s="63"/>
      <c r="FO1" s="63"/>
      <c r="FP1" s="63"/>
      <c r="FQ1" s="63"/>
      <c r="FR1" s="63"/>
      <c r="FS1" s="63"/>
      <c r="FT1" s="210"/>
      <c r="FU1" s="61" t="s">
        <v>1487</v>
      </c>
      <c r="FV1" s="63"/>
      <c r="FW1" s="63"/>
      <c r="FX1" s="63"/>
      <c r="FY1" s="61" t="s">
        <v>2765</v>
      </c>
      <c r="FZ1" s="216"/>
      <c r="GA1" s="63"/>
      <c r="GB1" s="63"/>
      <c r="GC1" s="63"/>
      <c r="GD1" s="63"/>
      <c r="GE1" s="63"/>
      <c r="GF1" s="63"/>
      <c r="GG1" s="63"/>
      <c r="GH1" s="63"/>
      <c r="GI1" s="63"/>
      <c r="GJ1" s="63"/>
      <c r="GK1" s="63"/>
      <c r="GL1" s="63"/>
      <c r="GM1" s="63"/>
      <c r="GN1" s="63"/>
      <c r="GO1" s="63"/>
      <c r="GP1" s="65"/>
    </row>
    <row r="2" spans="1:198" s="44" customFormat="1" ht="71" customHeight="1" x14ac:dyDescent="0.2">
      <c r="A2" s="66"/>
      <c r="B2" s="67"/>
      <c r="C2" s="67"/>
      <c r="D2" s="67"/>
      <c r="E2" s="67"/>
      <c r="F2" s="67"/>
      <c r="G2" s="211" t="s">
        <v>31</v>
      </c>
      <c r="H2" s="68" t="s">
        <v>7</v>
      </c>
      <c r="I2" s="68" t="s">
        <v>2745</v>
      </c>
      <c r="J2" s="68" t="s">
        <v>2445</v>
      </c>
      <c r="K2" s="68" t="s">
        <v>2746</v>
      </c>
      <c r="L2" s="68" t="s">
        <v>2446</v>
      </c>
      <c r="M2" s="68" t="s">
        <v>43</v>
      </c>
      <c r="N2" s="68" t="s">
        <v>1359</v>
      </c>
      <c r="O2" s="68" t="s">
        <v>1362</v>
      </c>
      <c r="P2" s="68" t="s">
        <v>61</v>
      </c>
      <c r="Q2" s="68" t="s">
        <v>1365</v>
      </c>
      <c r="R2" s="68" t="s">
        <v>173</v>
      </c>
      <c r="S2" s="70" t="s">
        <v>2760</v>
      </c>
      <c r="T2" s="68" t="s">
        <v>2753</v>
      </c>
      <c r="U2" s="68" t="s">
        <v>715</v>
      </c>
      <c r="V2" s="68" t="s">
        <v>355</v>
      </c>
      <c r="W2" s="68" t="s">
        <v>1405</v>
      </c>
      <c r="X2" s="68" t="s">
        <v>291</v>
      </c>
      <c r="Y2" s="211" t="s">
        <v>107</v>
      </c>
      <c r="Z2" s="68" t="s">
        <v>92</v>
      </c>
      <c r="AA2" s="68" t="s">
        <v>114</v>
      </c>
      <c r="AB2" s="68" t="s">
        <v>113</v>
      </c>
      <c r="AC2" s="68" t="s">
        <v>1376</v>
      </c>
      <c r="AD2" s="68" t="s">
        <v>1379</v>
      </c>
      <c r="AE2" s="68" t="s">
        <v>2683</v>
      </c>
      <c r="AF2" s="68" t="s">
        <v>2684</v>
      </c>
      <c r="AG2" s="68" t="s">
        <v>2685</v>
      </c>
      <c r="AH2" s="68" t="s">
        <v>132</v>
      </c>
      <c r="AI2" s="68" t="s">
        <v>144</v>
      </c>
      <c r="AJ2" s="68" t="s">
        <v>147</v>
      </c>
      <c r="AK2" s="68" t="s">
        <v>165</v>
      </c>
      <c r="AL2" s="68" t="s">
        <v>1389</v>
      </c>
      <c r="AM2" s="68" t="s">
        <v>177</v>
      </c>
      <c r="AN2" s="68" t="s">
        <v>171</v>
      </c>
      <c r="AO2" s="68" t="s">
        <v>2447</v>
      </c>
      <c r="AP2" s="68" t="s">
        <v>2448</v>
      </c>
      <c r="AQ2" s="68" t="s">
        <v>2449</v>
      </c>
      <c r="AR2" s="68" t="s">
        <v>2450</v>
      </c>
      <c r="AS2" s="68" t="s">
        <v>2451</v>
      </c>
      <c r="AT2" s="211" t="s">
        <v>180</v>
      </c>
      <c r="AU2" s="68" t="s">
        <v>2750</v>
      </c>
      <c r="AV2" s="68" t="s">
        <v>2751</v>
      </c>
      <c r="AW2" s="68" t="s">
        <v>2452</v>
      </c>
      <c r="AX2" s="68" t="s">
        <v>220</v>
      </c>
      <c r="AY2" s="68" t="s">
        <v>237</v>
      </c>
      <c r="AZ2" s="68" t="s">
        <v>257</v>
      </c>
      <c r="BA2" s="68" t="s">
        <v>2691</v>
      </c>
      <c r="BB2" s="68" t="s">
        <v>1400</v>
      </c>
      <c r="BC2" s="68" t="s">
        <v>224</v>
      </c>
      <c r="BD2" s="68" t="s">
        <v>1422</v>
      </c>
      <c r="BE2" s="211" t="s">
        <v>368</v>
      </c>
      <c r="BF2" s="68" t="s">
        <v>373</v>
      </c>
      <c r="BG2" s="68" t="s">
        <v>377</v>
      </c>
      <c r="BH2" s="68" t="s">
        <v>1433</v>
      </c>
      <c r="BI2" s="68" t="s">
        <v>1436</v>
      </c>
      <c r="BJ2" s="68" t="s">
        <v>387</v>
      </c>
      <c r="BK2" s="68" t="s">
        <v>393</v>
      </c>
      <c r="BL2" s="69" t="s">
        <v>395</v>
      </c>
      <c r="BM2" s="68" t="s">
        <v>2420</v>
      </c>
      <c r="BN2" s="70" t="s">
        <v>2443</v>
      </c>
      <c r="BO2" s="68" t="s">
        <v>316</v>
      </c>
      <c r="BP2" s="68" t="s">
        <v>2887</v>
      </c>
      <c r="BQ2" s="211" t="s">
        <v>1441</v>
      </c>
      <c r="BR2" s="68" t="s">
        <v>398</v>
      </c>
      <c r="BS2" s="70" t="s">
        <v>442</v>
      </c>
      <c r="BT2" s="68" t="s">
        <v>1451</v>
      </c>
      <c r="BU2" s="68" t="s">
        <v>465</v>
      </c>
      <c r="BV2" s="68" t="s">
        <v>2757</v>
      </c>
      <c r="BW2" s="68" t="s">
        <v>2758</v>
      </c>
      <c r="BX2" s="68" t="s">
        <v>419</v>
      </c>
      <c r="BY2" s="68" t="s">
        <v>425</v>
      </c>
      <c r="BZ2" s="68" t="s">
        <v>426</v>
      </c>
      <c r="CA2" s="68" t="s">
        <v>2795</v>
      </c>
      <c r="CB2" s="68" t="s">
        <v>480</v>
      </c>
      <c r="CC2" s="68" t="s">
        <v>1457</v>
      </c>
      <c r="CD2" s="68" t="s">
        <v>1459</v>
      </c>
      <c r="CE2" s="68" t="s">
        <v>1461</v>
      </c>
      <c r="CF2" s="68" t="s">
        <v>1463</v>
      </c>
      <c r="CG2" s="68" t="s">
        <v>484</v>
      </c>
      <c r="CH2" s="70" t="s">
        <v>508</v>
      </c>
      <c r="CI2" s="70" t="s">
        <v>2763</v>
      </c>
      <c r="CJ2" s="68" t="s">
        <v>1425</v>
      </c>
      <c r="CK2" s="211" t="s">
        <v>511</v>
      </c>
      <c r="CL2" s="68" t="s">
        <v>2704</v>
      </c>
      <c r="CM2" s="68" t="s">
        <v>2705</v>
      </c>
      <c r="CN2" s="68" t="s">
        <v>1479</v>
      </c>
      <c r="CO2" s="68" t="s">
        <v>2706</v>
      </c>
      <c r="CP2" s="69" t="s">
        <v>2769</v>
      </c>
      <c r="CQ2" s="71" t="s">
        <v>2707</v>
      </c>
      <c r="CR2" s="68" t="s">
        <v>1476</v>
      </c>
      <c r="CS2" s="68" t="s">
        <v>2456</v>
      </c>
      <c r="CT2" s="68" t="s">
        <v>2708</v>
      </c>
      <c r="CU2" s="68" t="s">
        <v>2709</v>
      </c>
      <c r="CV2" s="68" t="s">
        <v>331</v>
      </c>
      <c r="CW2" s="211" t="s">
        <v>568</v>
      </c>
      <c r="CX2" s="68" t="s">
        <v>584</v>
      </c>
      <c r="CY2" s="68" t="s">
        <v>593</v>
      </c>
      <c r="CZ2" s="68" t="s">
        <v>597</v>
      </c>
      <c r="DA2" s="68" t="s">
        <v>616</v>
      </c>
      <c r="DB2" s="68" t="s">
        <v>630</v>
      </c>
      <c r="DC2" s="68" t="s">
        <v>623</v>
      </c>
      <c r="DD2" s="68" t="s">
        <v>1491</v>
      </c>
      <c r="DE2" s="68" t="s">
        <v>640</v>
      </c>
      <c r="DF2" s="68" t="s">
        <v>645</v>
      </c>
      <c r="DG2" s="68" t="s">
        <v>2714</v>
      </c>
      <c r="DH2" s="68" t="s">
        <v>2715</v>
      </c>
      <c r="DI2" s="68" t="s">
        <v>2716</v>
      </c>
      <c r="DJ2" s="68" t="s">
        <v>664</v>
      </c>
      <c r="DK2" s="68" t="s">
        <v>1498</v>
      </c>
      <c r="DL2" s="68" t="s">
        <v>1503</v>
      </c>
      <c r="DM2" s="68" t="s">
        <v>682</v>
      </c>
      <c r="DN2" s="68" t="s">
        <v>687</v>
      </c>
      <c r="DO2" s="68" t="s">
        <v>2719</v>
      </c>
      <c r="DP2" s="68" t="s">
        <v>2766</v>
      </c>
      <c r="DQ2" s="68" t="s">
        <v>2720</v>
      </c>
      <c r="DR2" s="68" t="s">
        <v>2721</v>
      </c>
      <c r="DS2" s="68" t="s">
        <v>2722</v>
      </c>
      <c r="DT2" s="70" t="s">
        <v>2767</v>
      </c>
      <c r="DU2" s="68" t="s">
        <v>2724</v>
      </c>
      <c r="DV2" s="68" t="s">
        <v>2725</v>
      </c>
      <c r="DW2" s="68" t="s">
        <v>2726</v>
      </c>
      <c r="DX2" s="68" t="s">
        <v>2727</v>
      </c>
      <c r="DY2" s="68" t="s">
        <v>701</v>
      </c>
      <c r="DZ2" s="68" t="s">
        <v>705</v>
      </c>
      <c r="EA2" s="68" t="s">
        <v>2728</v>
      </c>
      <c r="EB2" s="68" t="s">
        <v>304</v>
      </c>
      <c r="EC2" s="68" t="s">
        <v>1409</v>
      </c>
      <c r="ED2" s="68" t="s">
        <v>2729</v>
      </c>
      <c r="EE2" s="68" t="s">
        <v>2730</v>
      </c>
      <c r="EF2" s="68" t="s">
        <v>2731</v>
      </c>
      <c r="EG2" s="68" t="s">
        <v>1466</v>
      </c>
      <c r="EH2" s="68" t="s">
        <v>1528</v>
      </c>
      <c r="EI2" s="68" t="s">
        <v>39</v>
      </c>
      <c r="EJ2" s="68" t="s">
        <v>2696</v>
      </c>
      <c r="EK2" s="68" t="s">
        <v>334</v>
      </c>
      <c r="EL2" s="211" t="s">
        <v>721</v>
      </c>
      <c r="EM2" s="68" t="s">
        <v>2732</v>
      </c>
      <c r="EN2" s="68" t="s">
        <v>747</v>
      </c>
      <c r="EO2" s="68" t="s">
        <v>755</v>
      </c>
      <c r="EP2" s="68" t="s">
        <v>764</v>
      </c>
      <c r="EQ2" s="68" t="s">
        <v>2736</v>
      </c>
      <c r="ER2" s="68" t="s">
        <v>769</v>
      </c>
      <c r="ES2" s="68" t="s">
        <v>2737</v>
      </c>
      <c r="ET2" s="68" t="s">
        <v>2502</v>
      </c>
      <c r="EU2" s="68" t="s">
        <v>778</v>
      </c>
      <c r="EV2" s="68" t="s">
        <v>68</v>
      </c>
      <c r="EW2" s="211" t="s">
        <v>781</v>
      </c>
      <c r="EX2" s="68" t="s">
        <v>2739</v>
      </c>
      <c r="EY2" s="68" t="s">
        <v>814</v>
      </c>
      <c r="EZ2" s="68" t="s">
        <v>823</v>
      </c>
      <c r="FA2" s="219" t="s">
        <v>2476</v>
      </c>
      <c r="FB2" s="70" t="s">
        <v>2477</v>
      </c>
      <c r="FC2" s="70" t="s">
        <v>2478</v>
      </c>
      <c r="FD2" s="70" t="s">
        <v>2479</v>
      </c>
      <c r="FE2" s="70" t="s">
        <v>2480</v>
      </c>
      <c r="FF2" s="70" t="s">
        <v>2481</v>
      </c>
      <c r="FG2" s="70" t="s">
        <v>2482</v>
      </c>
      <c r="FH2" s="70" t="s">
        <v>2483</v>
      </c>
      <c r="FI2" s="211" t="s">
        <v>2772</v>
      </c>
      <c r="FJ2" s="68" t="s">
        <v>2773</v>
      </c>
      <c r="FK2" s="68" t="s">
        <v>2774</v>
      </c>
      <c r="FL2" s="70" t="s">
        <v>2484</v>
      </c>
      <c r="FM2" s="70" t="s">
        <v>2486</v>
      </c>
      <c r="FN2" s="70" t="s">
        <v>2776</v>
      </c>
      <c r="FO2" s="70" t="s">
        <v>2777</v>
      </c>
      <c r="FP2" s="70" t="s">
        <v>2778</v>
      </c>
      <c r="FQ2" s="70" t="s">
        <v>2485</v>
      </c>
      <c r="FR2" s="70" t="s">
        <v>2487</v>
      </c>
      <c r="FS2" s="70" t="s">
        <v>2488</v>
      </c>
      <c r="FT2" s="211" t="s">
        <v>2768</v>
      </c>
      <c r="FU2" s="68" t="s">
        <v>2741</v>
      </c>
      <c r="FV2" s="68" t="s">
        <v>2742</v>
      </c>
      <c r="FW2" s="68" t="s">
        <v>2490</v>
      </c>
      <c r="FX2" s="70" t="s">
        <v>2491</v>
      </c>
      <c r="FY2" s="68" t="s">
        <v>679</v>
      </c>
      <c r="FZ2" s="219" t="s">
        <v>2505</v>
      </c>
      <c r="GA2" s="70" t="s">
        <v>2506</v>
      </c>
      <c r="GB2" s="70" t="s">
        <v>2507</v>
      </c>
      <c r="GC2" s="70" t="s">
        <v>2508</v>
      </c>
      <c r="GD2" s="70" t="s">
        <v>2509</v>
      </c>
      <c r="GE2" s="70" t="s">
        <v>2510</v>
      </c>
      <c r="GF2" s="70" t="s">
        <v>2511</v>
      </c>
      <c r="GG2" s="70" t="s">
        <v>2512</v>
      </c>
      <c r="GH2" s="70" t="s">
        <v>2513</v>
      </c>
      <c r="GI2" s="70" t="s">
        <v>2514</v>
      </c>
      <c r="GJ2" s="70" t="s">
        <v>2515</v>
      </c>
      <c r="GK2" s="70" t="s">
        <v>2516</v>
      </c>
      <c r="GL2" s="70" t="s">
        <v>503</v>
      </c>
      <c r="GM2" s="70" t="s">
        <v>2517</v>
      </c>
      <c r="GN2" s="70" t="s">
        <v>2800</v>
      </c>
      <c r="GO2" s="70" t="s">
        <v>2801</v>
      </c>
      <c r="GP2" s="72" t="s">
        <v>2802</v>
      </c>
    </row>
    <row r="3" spans="1:198" s="11" customFormat="1" ht="16" x14ac:dyDescent="0.2">
      <c r="A3" s="90" t="s">
        <v>1539</v>
      </c>
      <c r="B3" s="87" t="s">
        <v>836</v>
      </c>
      <c r="C3" s="87" t="s">
        <v>2009</v>
      </c>
      <c r="D3" s="87" t="s">
        <v>2010</v>
      </c>
      <c r="E3" s="87" t="s">
        <v>1542</v>
      </c>
      <c r="F3" s="87" t="s">
        <v>2810</v>
      </c>
      <c r="G3" s="212" t="s">
        <v>6</v>
      </c>
      <c r="H3" s="87" t="s">
        <v>1354</v>
      </c>
      <c r="I3" s="85" t="s">
        <v>2399</v>
      </c>
      <c r="J3" s="85" t="s">
        <v>2400</v>
      </c>
      <c r="K3" s="85" t="s">
        <v>2401</v>
      </c>
      <c r="L3" s="85" t="s">
        <v>2402</v>
      </c>
      <c r="M3" s="87" t="s">
        <v>30</v>
      </c>
      <c r="N3" s="87" t="s">
        <v>1358</v>
      </c>
      <c r="O3" s="87" t="s">
        <v>1361</v>
      </c>
      <c r="P3" s="87" t="s">
        <v>42</v>
      </c>
      <c r="Q3" s="87" t="s">
        <v>60</v>
      </c>
      <c r="R3" s="88" t="s">
        <v>75</v>
      </c>
      <c r="S3" s="85" t="s">
        <v>2892</v>
      </c>
      <c r="T3" s="85" t="s">
        <v>2893</v>
      </c>
      <c r="U3" s="85" t="s">
        <v>2894</v>
      </c>
      <c r="V3" s="87" t="s">
        <v>2895</v>
      </c>
      <c r="W3" s="87" t="s">
        <v>2896</v>
      </c>
      <c r="X3" s="87" t="s">
        <v>2897</v>
      </c>
      <c r="Y3" s="212" t="s">
        <v>91</v>
      </c>
      <c r="Z3" s="87" t="s">
        <v>1369</v>
      </c>
      <c r="AA3" s="87" t="s">
        <v>1371</v>
      </c>
      <c r="AB3" s="87" t="s">
        <v>1373</v>
      </c>
      <c r="AC3" s="87" t="s">
        <v>120</v>
      </c>
      <c r="AD3" s="87" t="s">
        <v>1378</v>
      </c>
      <c r="AE3" s="85" t="s">
        <v>2404</v>
      </c>
      <c r="AF3" s="85" t="s">
        <v>2405</v>
      </c>
      <c r="AG3" s="85" t="s">
        <v>2406</v>
      </c>
      <c r="AH3" s="87" t="s">
        <v>131</v>
      </c>
      <c r="AI3" s="87" t="s">
        <v>1383</v>
      </c>
      <c r="AJ3" s="87" t="s">
        <v>146</v>
      </c>
      <c r="AK3" s="87" t="s">
        <v>161</v>
      </c>
      <c r="AL3" s="88" t="s">
        <v>1388</v>
      </c>
      <c r="AM3" s="88" t="s">
        <v>1391</v>
      </c>
      <c r="AN3" s="88" t="s">
        <v>1392</v>
      </c>
      <c r="AO3" s="86" t="s">
        <v>112</v>
      </c>
      <c r="AP3" s="86" t="s">
        <v>2407</v>
      </c>
      <c r="AQ3" s="86" t="s">
        <v>2408</v>
      </c>
      <c r="AR3" s="86" t="s">
        <v>2409</v>
      </c>
      <c r="AS3" s="86" t="s">
        <v>2410</v>
      </c>
      <c r="AT3" s="212" t="s">
        <v>179</v>
      </c>
      <c r="AU3" s="85" t="s">
        <v>1399</v>
      </c>
      <c r="AV3" s="85" t="s">
        <v>2411</v>
      </c>
      <c r="AW3" s="85" t="s">
        <v>2412</v>
      </c>
      <c r="AX3" s="87" t="s">
        <v>219</v>
      </c>
      <c r="AY3" s="87" t="s">
        <v>1402</v>
      </c>
      <c r="AZ3" s="87" t="s">
        <v>236</v>
      </c>
      <c r="BA3" s="85" t="s">
        <v>2403</v>
      </c>
      <c r="BB3" s="87" t="s">
        <v>2413</v>
      </c>
      <c r="BC3" s="85" t="s">
        <v>2898</v>
      </c>
      <c r="BD3" s="87" t="s">
        <v>2899</v>
      </c>
      <c r="BE3" s="212" t="s">
        <v>290</v>
      </c>
      <c r="BF3" s="87" t="s">
        <v>303</v>
      </c>
      <c r="BG3" s="87" t="s">
        <v>315</v>
      </c>
      <c r="BH3" s="87" t="s">
        <v>1416</v>
      </c>
      <c r="BI3" s="87" t="s">
        <v>1418</v>
      </c>
      <c r="BJ3" s="87" t="s">
        <v>348</v>
      </c>
      <c r="BK3" s="87" t="s">
        <v>354</v>
      </c>
      <c r="BL3" s="87" t="s">
        <v>1424</v>
      </c>
      <c r="BM3" s="85" t="s">
        <v>1427</v>
      </c>
      <c r="BN3" s="87" t="s">
        <v>2414</v>
      </c>
      <c r="BO3" s="87" t="s">
        <v>2415</v>
      </c>
      <c r="BP3" s="87" t="s">
        <v>2903</v>
      </c>
      <c r="BQ3" s="217" t="s">
        <v>367</v>
      </c>
      <c r="BR3" s="85" t="s">
        <v>2907</v>
      </c>
      <c r="BS3" s="85" t="s">
        <v>372</v>
      </c>
      <c r="BT3" s="85" t="s">
        <v>2908</v>
      </c>
      <c r="BU3" s="85" t="s">
        <v>2909</v>
      </c>
      <c r="BV3" s="85" t="s">
        <v>2910</v>
      </c>
      <c r="BW3" s="85" t="s">
        <v>2911</v>
      </c>
      <c r="BX3" s="85" t="s">
        <v>2912</v>
      </c>
      <c r="BY3" s="85" t="s">
        <v>2913</v>
      </c>
      <c r="BZ3" s="85" t="s">
        <v>2916</v>
      </c>
      <c r="CA3" s="85" t="s">
        <v>2974</v>
      </c>
      <c r="CB3" s="85" t="s">
        <v>376</v>
      </c>
      <c r="CC3" s="86" t="s">
        <v>1432</v>
      </c>
      <c r="CD3" s="86" t="s">
        <v>1435</v>
      </c>
      <c r="CE3" s="86" t="s">
        <v>2914</v>
      </c>
      <c r="CF3" s="86" t="s">
        <v>2915</v>
      </c>
      <c r="CG3" s="86" t="s">
        <v>2917</v>
      </c>
      <c r="CH3" s="86" t="s">
        <v>386</v>
      </c>
      <c r="CI3" s="86" t="s">
        <v>392</v>
      </c>
      <c r="CJ3" s="87" t="s">
        <v>1439</v>
      </c>
      <c r="CK3" s="212" t="s">
        <v>397</v>
      </c>
      <c r="CL3" s="85" t="s">
        <v>1443</v>
      </c>
      <c r="CM3" s="85" t="s">
        <v>2918</v>
      </c>
      <c r="CN3" s="87" t="s">
        <v>418</v>
      </c>
      <c r="CO3" s="87" t="s">
        <v>1447</v>
      </c>
      <c r="CP3" s="87" t="s">
        <v>1448</v>
      </c>
      <c r="CQ3" s="87" t="s">
        <v>2494</v>
      </c>
      <c r="CR3" s="87" t="s">
        <v>444</v>
      </c>
      <c r="CS3" s="85" t="s">
        <v>1450</v>
      </c>
      <c r="CT3" s="85" t="s">
        <v>1453</v>
      </c>
      <c r="CU3" s="85" t="s">
        <v>2319</v>
      </c>
      <c r="CV3" s="87" t="s">
        <v>464</v>
      </c>
      <c r="CW3" s="217" t="s">
        <v>510</v>
      </c>
      <c r="CX3" s="85" t="s">
        <v>537</v>
      </c>
      <c r="CY3" s="85" t="s">
        <v>548</v>
      </c>
      <c r="CZ3" s="85" t="s">
        <v>2919</v>
      </c>
      <c r="DA3" s="85" t="s">
        <v>2920</v>
      </c>
      <c r="DB3" s="86" t="s">
        <v>2970</v>
      </c>
      <c r="DC3" s="86" t="s">
        <v>2971</v>
      </c>
      <c r="DD3" s="86" t="s">
        <v>2972</v>
      </c>
      <c r="DE3" s="85" t="s">
        <v>2921</v>
      </c>
      <c r="DF3" s="85" t="s">
        <v>2922</v>
      </c>
      <c r="DG3" s="85" t="s">
        <v>2923</v>
      </c>
      <c r="DH3" s="85" t="s">
        <v>2924</v>
      </c>
      <c r="DI3" s="85" t="s">
        <v>2925</v>
      </c>
      <c r="DJ3" s="85" t="s">
        <v>2926</v>
      </c>
      <c r="DK3" s="85" t="s">
        <v>2927</v>
      </c>
      <c r="DL3" s="85" t="s">
        <v>2928</v>
      </c>
      <c r="DM3" s="85" t="s">
        <v>2929</v>
      </c>
      <c r="DN3" s="85" t="s">
        <v>2930</v>
      </c>
      <c r="DO3" s="85" t="s">
        <v>2931</v>
      </c>
      <c r="DP3" s="85" t="s">
        <v>2932</v>
      </c>
      <c r="DQ3" s="85" t="s">
        <v>2933</v>
      </c>
      <c r="DR3" s="85" t="s">
        <v>2934</v>
      </c>
      <c r="DS3" s="85" t="s">
        <v>2935</v>
      </c>
      <c r="DT3" s="85" t="s">
        <v>2936</v>
      </c>
      <c r="DU3" s="85" t="s">
        <v>2937</v>
      </c>
      <c r="DV3" s="85" t="s">
        <v>2938</v>
      </c>
      <c r="DW3" s="85" t="s">
        <v>2939</v>
      </c>
      <c r="DX3" s="85" t="s">
        <v>2940</v>
      </c>
      <c r="DY3" s="85" t="s">
        <v>2941</v>
      </c>
      <c r="DZ3" s="85" t="s">
        <v>2942</v>
      </c>
      <c r="EA3" s="85" t="s">
        <v>2943</v>
      </c>
      <c r="EB3" s="87" t="s">
        <v>2901</v>
      </c>
      <c r="EC3" s="87" t="s">
        <v>2900</v>
      </c>
      <c r="ED3" s="85" t="s">
        <v>2944</v>
      </c>
      <c r="EE3" s="85" t="s">
        <v>2945</v>
      </c>
      <c r="EF3" s="85" t="s">
        <v>2946</v>
      </c>
      <c r="EG3" s="86" t="s">
        <v>2973</v>
      </c>
      <c r="EH3" s="87" t="s">
        <v>2969</v>
      </c>
      <c r="EI3" s="87" t="s">
        <v>2905</v>
      </c>
      <c r="EJ3" s="85" t="s">
        <v>2906</v>
      </c>
      <c r="EK3" s="87" t="s">
        <v>2904</v>
      </c>
      <c r="EL3" s="212" t="s">
        <v>567</v>
      </c>
      <c r="EM3" s="87" t="s">
        <v>583</v>
      </c>
      <c r="EN3" s="87" t="s">
        <v>592</v>
      </c>
      <c r="EO3" s="87" t="s">
        <v>596</v>
      </c>
      <c r="EP3" s="87" t="s">
        <v>2947</v>
      </c>
      <c r="EQ3" s="85" t="s">
        <v>2948</v>
      </c>
      <c r="ER3" s="87" t="s">
        <v>602</v>
      </c>
      <c r="ES3" s="86" t="s">
        <v>2461</v>
      </c>
      <c r="ET3" s="86" t="s">
        <v>2462</v>
      </c>
      <c r="EU3" s="87" t="s">
        <v>615</v>
      </c>
      <c r="EV3" s="87" t="s">
        <v>639</v>
      </c>
      <c r="EW3" s="212" t="s">
        <v>720</v>
      </c>
      <c r="EX3" s="87" t="s">
        <v>733</v>
      </c>
      <c r="EY3" s="87" t="s">
        <v>746</v>
      </c>
      <c r="EZ3" s="85" t="s">
        <v>754</v>
      </c>
      <c r="FA3" s="212" t="s">
        <v>780</v>
      </c>
      <c r="FB3" s="87" t="s">
        <v>789</v>
      </c>
      <c r="FC3" s="87" t="s">
        <v>813</v>
      </c>
      <c r="FD3" s="87" t="s">
        <v>1532</v>
      </c>
      <c r="FE3" s="87" t="s">
        <v>2949</v>
      </c>
      <c r="FF3" s="87" t="s">
        <v>2950</v>
      </c>
      <c r="FG3" s="87" t="s">
        <v>2951</v>
      </c>
      <c r="FH3" s="87" t="s">
        <v>2952</v>
      </c>
      <c r="FI3" s="217" t="s">
        <v>2429</v>
      </c>
      <c r="FJ3" s="86" t="s">
        <v>2953</v>
      </c>
      <c r="FK3" s="86" t="s">
        <v>2954</v>
      </c>
      <c r="FL3" s="87" t="s">
        <v>2430</v>
      </c>
      <c r="FM3" s="87" t="s">
        <v>2431</v>
      </c>
      <c r="FN3" s="87" t="s">
        <v>2432</v>
      </c>
      <c r="FO3" s="87" t="s">
        <v>2433</v>
      </c>
      <c r="FP3" s="87" t="s">
        <v>2434</v>
      </c>
      <c r="FQ3" s="87" t="s">
        <v>2435</v>
      </c>
      <c r="FR3" s="87" t="s">
        <v>2436</v>
      </c>
      <c r="FS3" s="87" t="s">
        <v>2955</v>
      </c>
      <c r="FT3" s="217" t="s">
        <v>2375</v>
      </c>
      <c r="FU3" s="85" t="s">
        <v>2376</v>
      </c>
      <c r="FV3" s="85" t="s">
        <v>2377</v>
      </c>
      <c r="FW3" s="85" t="s">
        <v>2378</v>
      </c>
      <c r="FX3" s="85" t="s">
        <v>2379</v>
      </c>
      <c r="FY3" s="85" t="s">
        <v>2380</v>
      </c>
      <c r="FZ3" s="220" t="s">
        <v>2438</v>
      </c>
      <c r="GA3" s="88" t="s">
        <v>2441</v>
      </c>
      <c r="GB3" s="88" t="s">
        <v>2442</v>
      </c>
      <c r="GC3" s="88" t="s">
        <v>2444</v>
      </c>
      <c r="GD3" s="87" t="s">
        <v>2956</v>
      </c>
      <c r="GE3" s="87" t="s">
        <v>2957</v>
      </c>
      <c r="GF3" s="87" t="s">
        <v>2958</v>
      </c>
      <c r="GG3" s="87" t="s">
        <v>2959</v>
      </c>
      <c r="GH3" s="87" t="s">
        <v>2960</v>
      </c>
      <c r="GI3" s="87" t="s">
        <v>2961</v>
      </c>
      <c r="GJ3" s="87" t="s">
        <v>2962</v>
      </c>
      <c r="GK3" s="87" t="s">
        <v>2963</v>
      </c>
      <c r="GL3" s="87" t="s">
        <v>2964</v>
      </c>
      <c r="GM3" s="87" t="s">
        <v>2965</v>
      </c>
      <c r="GN3" s="87" t="s">
        <v>2966</v>
      </c>
      <c r="GO3" s="87" t="s">
        <v>2967</v>
      </c>
      <c r="GP3" s="89" t="s">
        <v>2968</v>
      </c>
    </row>
    <row r="4" spans="1:198" x14ac:dyDescent="0.2">
      <c r="A4" s="73" t="s">
        <v>1573</v>
      </c>
      <c r="B4" s="11" t="str">
        <f>IF(AND(ISTEXT("https://github.com/FISCO-BCOS/SCStudio"),"https://github.com/FISCO-BCOS/SCStudio"&lt;&gt;""), HYPERLINK("https://github.com/FISCO-BCOS/SCStudio", "Link"),"-")</f>
        <v>Link</v>
      </c>
      <c r="C4" s="11" t="s">
        <v>1235</v>
      </c>
      <c r="D4" s="11" t="s">
        <v>1235</v>
      </c>
      <c r="E4" s="11" t="s">
        <v>1235</v>
      </c>
      <c r="F4" s="11" t="s">
        <v>2811</v>
      </c>
      <c r="G4" s="213"/>
      <c r="H4" s="11"/>
      <c r="I4" s="11"/>
      <c r="J4" s="11"/>
      <c r="K4" s="11"/>
      <c r="L4" s="11"/>
      <c r="M4" s="11"/>
      <c r="N4" s="11"/>
      <c r="O4" s="11"/>
      <c r="P4" s="11"/>
      <c r="Q4" s="11"/>
      <c r="R4" s="11"/>
      <c r="S4" s="11"/>
      <c r="T4" s="11"/>
      <c r="U4" s="11"/>
      <c r="V4" s="11"/>
      <c r="W4" s="11" t="s">
        <v>1235</v>
      </c>
      <c r="X4" s="11"/>
      <c r="Y4" s="213"/>
      <c r="Z4" s="11" t="s">
        <v>1235</v>
      </c>
      <c r="AA4" s="11"/>
      <c r="AB4" s="11"/>
      <c r="AC4" s="11"/>
      <c r="AD4" s="11" t="s">
        <v>1235</v>
      </c>
      <c r="AE4" s="11"/>
      <c r="AF4" s="11"/>
      <c r="AG4" s="11"/>
      <c r="AH4" s="11"/>
      <c r="AI4" s="11"/>
      <c r="AJ4" s="11"/>
      <c r="AK4" s="11"/>
      <c r="AL4" s="11"/>
      <c r="AM4" s="11"/>
      <c r="AN4" s="11"/>
      <c r="AO4" s="11"/>
      <c r="AP4" s="11"/>
      <c r="AQ4" s="11"/>
      <c r="AR4" s="11"/>
      <c r="AS4" s="11"/>
      <c r="AT4" s="213" t="s">
        <v>1235</v>
      </c>
      <c r="AU4" s="11"/>
      <c r="AV4" s="11"/>
      <c r="AW4" s="11"/>
      <c r="AX4" s="11"/>
      <c r="AY4" s="11"/>
      <c r="AZ4" s="11"/>
      <c r="BA4" s="11"/>
      <c r="BB4" s="11"/>
      <c r="BC4" s="11"/>
      <c r="BD4" s="11"/>
      <c r="BE4" s="213"/>
      <c r="BF4" s="11"/>
      <c r="BG4" s="11"/>
      <c r="BH4" s="11"/>
      <c r="BI4" s="11"/>
      <c r="BJ4" s="11"/>
      <c r="BK4" s="11"/>
      <c r="BL4" s="11"/>
      <c r="BM4" s="11"/>
      <c r="BN4" s="11"/>
      <c r="BO4" s="11"/>
      <c r="BP4" s="11"/>
      <c r="BQ4" s="213"/>
      <c r="BR4" s="11"/>
      <c r="BS4" s="11"/>
      <c r="BT4" s="11"/>
      <c r="BU4" s="11"/>
      <c r="BV4" s="11"/>
      <c r="BW4" s="11"/>
      <c r="BX4" s="11"/>
      <c r="BY4" s="11"/>
      <c r="BZ4" s="11"/>
      <c r="CA4" s="195"/>
      <c r="CB4" s="11"/>
      <c r="CC4" s="11"/>
      <c r="CD4" s="11"/>
      <c r="CE4" s="11"/>
      <c r="CF4" s="11"/>
      <c r="CG4" s="11"/>
      <c r="CH4" s="11"/>
      <c r="CI4" s="11"/>
      <c r="CJ4" s="11"/>
      <c r="CK4" s="213" t="s">
        <v>1235</v>
      </c>
      <c r="CL4" s="11"/>
      <c r="CM4" s="11"/>
      <c r="CN4" s="11"/>
      <c r="CO4" s="11"/>
      <c r="CP4" s="11"/>
      <c r="CQ4" s="11"/>
      <c r="CR4" s="11"/>
      <c r="CS4" s="11"/>
      <c r="CT4" s="11"/>
      <c r="CU4" s="11"/>
      <c r="CV4" s="11"/>
      <c r="CW4" s="213"/>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213"/>
      <c r="EM4" s="11"/>
      <c r="EN4" s="11"/>
      <c r="EO4" s="11"/>
      <c r="EP4" s="11"/>
      <c r="EQ4" s="11"/>
      <c r="ER4" s="11"/>
      <c r="ES4" s="196"/>
      <c r="ET4" s="196"/>
      <c r="EU4" s="11"/>
      <c r="EV4" s="11"/>
      <c r="EW4" s="213"/>
      <c r="EX4" s="11"/>
      <c r="EY4" s="11"/>
      <c r="EZ4" s="11"/>
      <c r="FA4" s="213"/>
      <c r="FB4" s="11"/>
      <c r="FC4" s="11"/>
      <c r="FD4" s="11"/>
      <c r="FE4" s="11"/>
      <c r="FF4" s="11"/>
      <c r="FG4" s="11"/>
      <c r="FH4" s="11"/>
      <c r="FI4" s="213"/>
      <c r="FJ4" s="11"/>
      <c r="FK4" s="11"/>
      <c r="FL4" s="11"/>
      <c r="FM4" s="11"/>
      <c r="FN4" s="11"/>
      <c r="FO4" s="11"/>
      <c r="FP4" s="11"/>
      <c r="FQ4" s="11"/>
      <c r="FR4" s="11"/>
      <c r="FS4" s="11"/>
      <c r="FT4" s="213"/>
      <c r="FU4" s="11"/>
      <c r="FV4" s="11"/>
      <c r="FW4" s="11"/>
      <c r="FX4" s="11"/>
      <c r="FY4" s="11"/>
      <c r="FZ4" s="213"/>
      <c r="GA4" s="11"/>
      <c r="GB4" s="11"/>
      <c r="GC4" s="11"/>
      <c r="GD4" s="11"/>
      <c r="GE4" s="11"/>
      <c r="GF4" s="11"/>
      <c r="GG4" s="11"/>
      <c r="GH4" s="11"/>
      <c r="GI4" s="11"/>
      <c r="GJ4" s="11"/>
      <c r="GK4" s="11"/>
      <c r="GL4" s="11"/>
      <c r="GM4" s="11"/>
      <c r="GN4" s="11"/>
      <c r="GO4" s="11"/>
      <c r="GP4" s="152"/>
    </row>
    <row r="5" spans="1:198" x14ac:dyDescent="0.2">
      <c r="A5" s="74" t="s">
        <v>1577</v>
      </c>
      <c r="B5" s="11" t="str">
        <f>IF(AND(ISTEXT("https://smartscan.cs.ryerson.ca:4638/"),"https://smartscan.cs.ryerson.ca:4638/"&lt;&gt;""), HYPERLINK("https://smartscan.cs.ryerson.ca:4638/", "Link"),"-")</f>
        <v>Link</v>
      </c>
      <c r="C5" s="11" t="s">
        <v>1235</v>
      </c>
      <c r="D5" s="11" t="s">
        <v>1235</v>
      </c>
      <c r="E5" s="11" t="s">
        <v>1235</v>
      </c>
      <c r="F5" s="11" t="s">
        <v>2812</v>
      </c>
      <c r="G5" s="213"/>
      <c r="H5" s="11"/>
      <c r="I5" s="11"/>
      <c r="J5" s="11"/>
      <c r="K5" s="11"/>
      <c r="L5" s="11"/>
      <c r="M5" s="11"/>
      <c r="N5" s="11"/>
      <c r="O5" s="11"/>
      <c r="P5" s="11"/>
      <c r="Q5" s="11"/>
      <c r="R5" s="11"/>
      <c r="S5" s="11"/>
      <c r="T5" s="11"/>
      <c r="U5" s="11"/>
      <c r="V5" s="11"/>
      <c r="W5" s="11"/>
      <c r="X5" s="11"/>
      <c r="Y5" s="213"/>
      <c r="Z5" s="11"/>
      <c r="AA5" s="11"/>
      <c r="AB5" s="11"/>
      <c r="AC5" s="11"/>
      <c r="AD5" s="11"/>
      <c r="AE5" s="11"/>
      <c r="AF5" s="11"/>
      <c r="AG5" s="11"/>
      <c r="AH5" s="11"/>
      <c r="AI5" s="11"/>
      <c r="AJ5" s="11"/>
      <c r="AK5" s="11"/>
      <c r="AL5" s="11"/>
      <c r="AM5" s="11"/>
      <c r="AN5" s="11"/>
      <c r="AO5" s="11"/>
      <c r="AP5" s="11"/>
      <c r="AQ5" s="11"/>
      <c r="AR5" s="11"/>
      <c r="AS5" s="11"/>
      <c r="AT5" s="213"/>
      <c r="AU5" s="11"/>
      <c r="AV5" s="11"/>
      <c r="AW5" s="11"/>
      <c r="AX5" s="11" t="s">
        <v>1235</v>
      </c>
      <c r="AY5" s="11"/>
      <c r="AZ5" s="11"/>
      <c r="BA5" s="11"/>
      <c r="BB5" s="11"/>
      <c r="BC5" s="11"/>
      <c r="BD5" s="11"/>
      <c r="BE5" s="213"/>
      <c r="BF5" s="11"/>
      <c r="BG5" s="11"/>
      <c r="BH5" s="11"/>
      <c r="BI5" s="11"/>
      <c r="BJ5" s="11"/>
      <c r="BK5" s="11"/>
      <c r="BL5" s="11"/>
      <c r="BM5" s="11"/>
      <c r="BN5" s="11"/>
      <c r="BO5" s="11"/>
      <c r="BP5" s="11"/>
      <c r="BQ5" s="213"/>
      <c r="BR5" s="11"/>
      <c r="BS5" s="11"/>
      <c r="BT5" s="11"/>
      <c r="BU5" s="11"/>
      <c r="BV5" s="11"/>
      <c r="BW5" s="11"/>
      <c r="BX5" s="11"/>
      <c r="BY5" s="11"/>
      <c r="BZ5" s="11"/>
      <c r="CA5" s="195"/>
      <c r="CB5" s="11"/>
      <c r="CC5" s="11"/>
      <c r="CD5" s="11"/>
      <c r="CE5" s="11"/>
      <c r="CF5" s="11"/>
      <c r="CG5" s="11"/>
      <c r="CH5" s="11"/>
      <c r="CI5" s="11"/>
      <c r="CJ5" s="11"/>
      <c r="CK5" s="213"/>
      <c r="CL5" s="11"/>
      <c r="CM5" s="11"/>
      <c r="CN5" s="11"/>
      <c r="CO5" s="11"/>
      <c r="CP5" s="11"/>
      <c r="CQ5" s="11"/>
      <c r="CR5" s="11"/>
      <c r="CS5" s="11"/>
      <c r="CT5" s="11"/>
      <c r="CU5" s="11"/>
      <c r="CV5" s="11"/>
      <c r="CW5" s="213"/>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213"/>
      <c r="EM5" s="11"/>
      <c r="EN5" s="11"/>
      <c r="EO5" s="11"/>
      <c r="EP5" s="11"/>
      <c r="EQ5" s="11"/>
      <c r="ER5" s="11"/>
      <c r="ES5" s="11"/>
      <c r="ET5" s="11"/>
      <c r="EU5" s="11"/>
      <c r="EV5" s="11"/>
      <c r="EW5" s="213"/>
      <c r="EX5" s="11"/>
      <c r="EY5" s="11"/>
      <c r="EZ5" s="11"/>
      <c r="FA5" s="213"/>
      <c r="FB5" s="11"/>
      <c r="FC5" s="11"/>
      <c r="FD5" s="11"/>
      <c r="FE5" s="11"/>
      <c r="FF5" s="11"/>
      <c r="FG5" s="11"/>
      <c r="FH5" s="11"/>
      <c r="FI5" s="213"/>
      <c r="FJ5" s="11"/>
      <c r="FK5" s="11"/>
      <c r="FL5" s="11"/>
      <c r="FM5" s="11"/>
      <c r="FN5" s="11"/>
      <c r="FO5" s="11"/>
      <c r="FP5" s="11"/>
      <c r="FQ5" s="11"/>
      <c r="FR5" s="11"/>
      <c r="FS5" s="11"/>
      <c r="FT5" s="213"/>
      <c r="FU5" s="11"/>
      <c r="FV5" s="11"/>
      <c r="FW5" s="11"/>
      <c r="FX5" s="11"/>
      <c r="FY5" s="11"/>
      <c r="FZ5" s="213"/>
      <c r="GA5" s="11"/>
      <c r="GB5" s="11"/>
      <c r="GC5" s="11"/>
      <c r="GD5" s="11"/>
      <c r="GE5" s="11"/>
      <c r="GF5" s="11"/>
      <c r="GG5" s="11"/>
      <c r="GH5" s="11"/>
      <c r="GI5" s="11"/>
      <c r="GJ5" s="11"/>
      <c r="GK5" s="11"/>
      <c r="GL5" s="11"/>
      <c r="GM5" s="11"/>
      <c r="GN5" s="11"/>
      <c r="GO5" s="11"/>
      <c r="GP5" s="152"/>
    </row>
    <row r="6" spans="1:198" x14ac:dyDescent="0.2">
      <c r="A6" s="74" t="s">
        <v>1579</v>
      </c>
      <c r="B6" s="11" t="str">
        <f>IF(AND(ISTEXT("https://github.com/reentrancy/sGuard"),"https://github.com/reentrancy/sGuard"&lt;&gt;""), HYPERLINK("https://github.com/reentrancy/sGuard", "Link"),"-")</f>
        <v>Link</v>
      </c>
      <c r="C6" s="11" t="s">
        <v>1235</v>
      </c>
      <c r="D6" s="11" t="s">
        <v>1235</v>
      </c>
      <c r="E6" s="11" t="s">
        <v>1235</v>
      </c>
      <c r="F6" s="11" t="s">
        <v>2812</v>
      </c>
      <c r="G6" s="213"/>
      <c r="H6" s="11" t="s">
        <v>1235</v>
      </c>
      <c r="I6" s="11"/>
      <c r="J6" s="11"/>
      <c r="K6" s="11"/>
      <c r="L6" s="11"/>
      <c r="M6" s="11"/>
      <c r="N6" s="11"/>
      <c r="O6" s="11"/>
      <c r="P6" s="11"/>
      <c r="Q6" s="11"/>
      <c r="R6" s="11"/>
      <c r="S6" s="11"/>
      <c r="T6" s="11"/>
      <c r="U6" s="11"/>
      <c r="V6" s="11"/>
      <c r="W6" s="11"/>
      <c r="X6" s="11"/>
      <c r="Y6" s="213"/>
      <c r="Z6" s="11"/>
      <c r="AA6" s="11"/>
      <c r="AB6" s="11"/>
      <c r="AC6" s="11"/>
      <c r="AD6" s="11"/>
      <c r="AE6" s="11"/>
      <c r="AF6" s="11"/>
      <c r="AG6" s="11"/>
      <c r="AH6" s="11"/>
      <c r="AI6" s="11"/>
      <c r="AJ6" s="11"/>
      <c r="AK6" s="11"/>
      <c r="AL6" s="11"/>
      <c r="AM6" s="11"/>
      <c r="AN6" s="11"/>
      <c r="AO6" s="11"/>
      <c r="AP6" s="11"/>
      <c r="AQ6" s="11"/>
      <c r="AR6" s="11"/>
      <c r="AS6" s="11"/>
      <c r="AT6" s="213"/>
      <c r="AU6" s="11"/>
      <c r="AV6" s="11"/>
      <c r="AW6" s="11"/>
      <c r="AX6" s="11"/>
      <c r="AY6" s="11"/>
      <c r="AZ6" s="11"/>
      <c r="BA6" s="11"/>
      <c r="BB6" s="11"/>
      <c r="BC6" s="11"/>
      <c r="BD6" s="11"/>
      <c r="BE6" s="213"/>
      <c r="BF6" s="11"/>
      <c r="BG6" s="11"/>
      <c r="BH6" s="11"/>
      <c r="BI6" s="11"/>
      <c r="BJ6" s="11"/>
      <c r="BK6" s="11"/>
      <c r="BL6" s="11"/>
      <c r="BM6" s="11"/>
      <c r="BN6" s="11"/>
      <c r="BO6" s="11"/>
      <c r="BP6" s="11"/>
      <c r="BQ6" s="213"/>
      <c r="BR6" s="11" t="s">
        <v>1235</v>
      </c>
      <c r="BS6" s="11"/>
      <c r="BT6" s="11"/>
      <c r="BU6" s="11"/>
      <c r="BV6" s="11"/>
      <c r="BW6" s="11"/>
      <c r="BX6" s="11"/>
      <c r="BY6" s="11"/>
      <c r="BZ6" s="11"/>
      <c r="CA6" s="195"/>
      <c r="CB6" s="11"/>
      <c r="CC6" s="11"/>
      <c r="CD6" s="11"/>
      <c r="CE6" s="11"/>
      <c r="CF6" s="11"/>
      <c r="CG6" s="11"/>
      <c r="CH6" s="11"/>
      <c r="CI6" s="11"/>
      <c r="CJ6" s="11"/>
      <c r="CK6" s="213" t="s">
        <v>1235</v>
      </c>
      <c r="CL6" s="11"/>
      <c r="CM6" s="11"/>
      <c r="CN6" s="11"/>
      <c r="CO6" s="11"/>
      <c r="CP6" s="11"/>
      <c r="CQ6" s="11"/>
      <c r="CR6" s="11"/>
      <c r="CS6" s="11"/>
      <c r="CT6" s="11"/>
      <c r="CU6" s="11"/>
      <c r="CV6" s="11"/>
      <c r="CW6" s="213"/>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213"/>
      <c r="EM6" s="11"/>
      <c r="EN6" s="11"/>
      <c r="EO6" s="11"/>
      <c r="EP6" s="11"/>
      <c r="EQ6" s="11"/>
      <c r="ER6" s="11"/>
      <c r="ES6" s="11"/>
      <c r="ET6" s="11"/>
      <c r="EU6" s="11"/>
      <c r="EV6" s="11"/>
      <c r="EW6" s="213"/>
      <c r="EX6" s="11"/>
      <c r="EY6" s="11"/>
      <c r="EZ6" s="11"/>
      <c r="FA6" s="213"/>
      <c r="FB6" s="11"/>
      <c r="FC6" s="11"/>
      <c r="FD6" s="11"/>
      <c r="FE6" s="11"/>
      <c r="FF6" s="11"/>
      <c r="FG6" s="11"/>
      <c r="FH6" s="11"/>
      <c r="FI6" s="213"/>
      <c r="FJ6" s="11"/>
      <c r="FK6" s="11"/>
      <c r="FL6" s="11"/>
      <c r="FM6" s="11"/>
      <c r="FN6" s="11"/>
      <c r="FO6" s="11"/>
      <c r="FP6" s="11"/>
      <c r="FQ6" s="11"/>
      <c r="FR6" s="11"/>
      <c r="FS6" s="11"/>
      <c r="FT6" s="213"/>
      <c r="FU6" s="11"/>
      <c r="FV6" s="11"/>
      <c r="FW6" s="11"/>
      <c r="FX6" s="11"/>
      <c r="FY6" s="11"/>
      <c r="FZ6" s="213"/>
      <c r="GA6" s="11"/>
      <c r="GB6" s="11"/>
      <c r="GC6" s="11"/>
      <c r="GD6" s="11"/>
      <c r="GE6" s="11"/>
      <c r="GF6" s="11"/>
      <c r="GG6" s="11"/>
      <c r="GH6" s="11"/>
      <c r="GI6" s="11"/>
      <c r="GJ6" s="11"/>
      <c r="GK6" s="11"/>
      <c r="GL6" s="11"/>
      <c r="GM6" s="11"/>
      <c r="GN6" s="11"/>
      <c r="GO6" s="11"/>
      <c r="GP6" s="152"/>
    </row>
    <row r="7" spans="1:198" x14ac:dyDescent="0.2">
      <c r="A7" s="74" t="s">
        <v>1583</v>
      </c>
      <c r="B7" s="11" t="str">
        <f>IF(AND(ISTEXT("https://github.com/gongbell/wana"),"https://github.com/gongbell/wana"&lt;&gt;""), HYPERLINK("https://github.com/gongbell/wana", "Link"),"-")</f>
        <v>Link</v>
      </c>
      <c r="C7" s="11" t="s">
        <v>1235</v>
      </c>
      <c r="D7" s="11" t="s">
        <v>1235</v>
      </c>
      <c r="E7" s="11" t="s">
        <v>1235</v>
      </c>
      <c r="F7" s="11" t="s">
        <v>2812</v>
      </c>
      <c r="G7" s="213"/>
      <c r="H7" s="11"/>
      <c r="I7" s="11"/>
      <c r="J7" s="11"/>
      <c r="K7" s="11"/>
      <c r="L7" s="11"/>
      <c r="M7" s="11"/>
      <c r="N7" s="11"/>
      <c r="O7" s="11"/>
      <c r="P7" s="11"/>
      <c r="Q7" s="11" t="s">
        <v>1235</v>
      </c>
      <c r="R7" s="11"/>
      <c r="S7" s="11"/>
      <c r="T7" s="11"/>
      <c r="U7" s="11"/>
      <c r="V7" s="11"/>
      <c r="W7" s="11" t="s">
        <v>1235</v>
      </c>
      <c r="X7" s="11"/>
      <c r="Y7" s="213" t="s">
        <v>1235</v>
      </c>
      <c r="Z7" s="11"/>
      <c r="AA7" s="11"/>
      <c r="AB7" s="11"/>
      <c r="AC7" s="11"/>
      <c r="AD7" s="11"/>
      <c r="AE7" s="11"/>
      <c r="AF7" s="11"/>
      <c r="AG7" s="11"/>
      <c r="AH7" s="11"/>
      <c r="AI7" s="11"/>
      <c r="AJ7" s="11"/>
      <c r="AK7" s="11"/>
      <c r="AL7" s="11"/>
      <c r="AM7" s="11"/>
      <c r="AN7" s="11"/>
      <c r="AO7" s="11"/>
      <c r="AP7" s="11"/>
      <c r="AQ7" s="11"/>
      <c r="AR7" s="11"/>
      <c r="AS7" s="11"/>
      <c r="AT7" s="213" t="s">
        <v>1235</v>
      </c>
      <c r="AU7" s="11"/>
      <c r="AV7" s="11"/>
      <c r="AW7" s="11"/>
      <c r="AX7" s="11"/>
      <c r="AY7" s="11"/>
      <c r="AZ7" s="11"/>
      <c r="BA7" s="11"/>
      <c r="BB7" s="11"/>
      <c r="BC7" s="11"/>
      <c r="BD7" s="11"/>
      <c r="BE7" s="213"/>
      <c r="BF7" s="11"/>
      <c r="BG7" s="11"/>
      <c r="BH7" s="11"/>
      <c r="BI7" s="11"/>
      <c r="BJ7" s="11"/>
      <c r="BK7" s="11"/>
      <c r="BL7" s="11"/>
      <c r="BM7" s="11"/>
      <c r="BN7" s="11"/>
      <c r="BO7" s="11"/>
      <c r="BP7" s="11"/>
      <c r="BQ7" s="213"/>
      <c r="BR7" s="11"/>
      <c r="BS7" s="11"/>
      <c r="BT7" s="11"/>
      <c r="BU7" s="11"/>
      <c r="BV7" s="11"/>
      <c r="BW7" s="11"/>
      <c r="BX7" s="11"/>
      <c r="BY7" s="11"/>
      <c r="BZ7" s="11"/>
      <c r="CA7" s="195"/>
      <c r="CB7" s="11"/>
      <c r="CC7" s="11"/>
      <c r="CD7" s="11"/>
      <c r="CE7" s="11"/>
      <c r="CF7" s="11"/>
      <c r="CG7" s="11"/>
      <c r="CH7" s="11"/>
      <c r="CI7" s="11"/>
      <c r="CJ7" s="11"/>
      <c r="CK7" s="213"/>
      <c r="CL7" s="11"/>
      <c r="CM7" s="11"/>
      <c r="CN7" s="11"/>
      <c r="CO7" s="11"/>
      <c r="CP7" s="11"/>
      <c r="CQ7" s="11"/>
      <c r="CR7" s="11"/>
      <c r="CS7" s="11"/>
      <c r="CT7" s="11"/>
      <c r="CU7" s="11"/>
      <c r="CV7" s="11"/>
      <c r="CW7" s="213"/>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213"/>
      <c r="EM7" s="11"/>
      <c r="EN7" s="11"/>
      <c r="EO7" s="11"/>
      <c r="EP7" s="11"/>
      <c r="EQ7" s="11"/>
      <c r="ER7" s="11"/>
      <c r="ES7" s="11"/>
      <c r="ET7" s="11"/>
      <c r="EU7" s="11"/>
      <c r="EV7" s="11"/>
      <c r="EW7" s="213"/>
      <c r="EX7" s="11"/>
      <c r="EY7" s="11"/>
      <c r="EZ7" s="11"/>
      <c r="FA7" s="213"/>
      <c r="FB7" s="11"/>
      <c r="FC7" s="11"/>
      <c r="FD7" s="11"/>
      <c r="FE7" s="11"/>
      <c r="FF7" s="11"/>
      <c r="FG7" s="11"/>
      <c r="FH7" s="11"/>
      <c r="FI7" s="213"/>
      <c r="FJ7" s="11"/>
      <c r="FK7" s="11"/>
      <c r="FL7" s="11"/>
      <c r="FM7" s="11"/>
      <c r="FN7" s="11"/>
      <c r="FO7" s="11"/>
      <c r="FP7" s="11"/>
      <c r="FQ7" s="11"/>
      <c r="FR7" s="11"/>
      <c r="FS7" s="11"/>
      <c r="FT7" s="213"/>
      <c r="FU7" s="11"/>
      <c r="FV7" s="11"/>
      <c r="FW7" s="11"/>
      <c r="FX7" s="11"/>
      <c r="FY7" s="11"/>
      <c r="FZ7" s="213"/>
      <c r="GA7" s="11"/>
      <c r="GB7" s="11"/>
      <c r="GC7" s="11"/>
      <c r="GD7" s="11"/>
      <c r="GE7" s="11"/>
      <c r="GF7" s="11"/>
      <c r="GG7" s="11"/>
      <c r="GH7" s="11"/>
      <c r="GI7" s="11"/>
      <c r="GJ7" s="11"/>
      <c r="GK7" s="11"/>
      <c r="GL7" s="11"/>
      <c r="GM7" s="11"/>
      <c r="GN7" s="11"/>
      <c r="GO7" s="11"/>
      <c r="GP7" s="152"/>
    </row>
    <row r="8" spans="1:198" x14ac:dyDescent="0.2">
      <c r="A8" s="74" t="s">
        <v>1586</v>
      </c>
      <c r="B8" s="11" t="str">
        <f t="shared" ref="B8:B18" si="0">IF(AND(ISTEXT(""),""&lt;&gt;""), HYPERLINK("", "Link"),"-")</f>
        <v>-</v>
      </c>
      <c r="C8" s="11" t="s">
        <v>1235</v>
      </c>
      <c r="D8" s="11"/>
      <c r="E8" s="11"/>
      <c r="F8" s="11" t="s">
        <v>2812</v>
      </c>
      <c r="G8" s="213"/>
      <c r="H8" s="11"/>
      <c r="I8" s="11"/>
      <c r="J8" s="11"/>
      <c r="K8" s="11"/>
      <c r="L8" s="11"/>
      <c r="M8" s="11"/>
      <c r="N8" s="11"/>
      <c r="O8" s="11"/>
      <c r="P8" s="11"/>
      <c r="Q8" s="11" t="s">
        <v>1235</v>
      </c>
      <c r="R8" s="11"/>
      <c r="S8" s="11"/>
      <c r="T8" s="11"/>
      <c r="U8" s="11"/>
      <c r="V8" s="11"/>
      <c r="W8" s="11" t="s">
        <v>1235</v>
      </c>
      <c r="X8" s="11"/>
      <c r="Y8" s="213" t="s">
        <v>1235</v>
      </c>
      <c r="Z8" s="11"/>
      <c r="AA8" s="11"/>
      <c r="AB8" s="11"/>
      <c r="AC8" s="11"/>
      <c r="AD8" s="11"/>
      <c r="AE8" s="11"/>
      <c r="AF8" s="11"/>
      <c r="AG8" s="11"/>
      <c r="AH8" s="11"/>
      <c r="AI8" s="11"/>
      <c r="AJ8" s="11"/>
      <c r="AK8" s="11"/>
      <c r="AL8" s="11"/>
      <c r="AM8" s="11"/>
      <c r="AN8" s="11"/>
      <c r="AO8" s="11"/>
      <c r="AP8" s="11"/>
      <c r="AQ8" s="11"/>
      <c r="AR8" s="11"/>
      <c r="AS8" s="11"/>
      <c r="AT8" s="213"/>
      <c r="AU8" s="11"/>
      <c r="AV8" s="11"/>
      <c r="AW8" s="11"/>
      <c r="AX8" s="11"/>
      <c r="AY8" s="11" t="s">
        <v>1235</v>
      </c>
      <c r="AZ8" s="11"/>
      <c r="BA8" s="11"/>
      <c r="BB8" s="11"/>
      <c r="BC8" s="11"/>
      <c r="BD8" s="11"/>
      <c r="BE8" s="213"/>
      <c r="BF8" s="11"/>
      <c r="BG8" s="11"/>
      <c r="BH8" s="11"/>
      <c r="BI8" s="11"/>
      <c r="BJ8" s="11"/>
      <c r="BK8" s="11"/>
      <c r="BL8" s="11"/>
      <c r="BM8" s="11"/>
      <c r="BN8" s="11"/>
      <c r="BO8" s="11"/>
      <c r="BP8" s="11"/>
      <c r="BQ8" s="213"/>
      <c r="BR8" s="11"/>
      <c r="BS8" s="11"/>
      <c r="BT8" s="11"/>
      <c r="BU8" s="11"/>
      <c r="BV8" s="11"/>
      <c r="BW8" s="11"/>
      <c r="BX8" s="11"/>
      <c r="BY8" s="11"/>
      <c r="BZ8" s="11"/>
      <c r="CA8" s="195"/>
      <c r="CB8" s="11"/>
      <c r="CC8" s="11"/>
      <c r="CD8" s="11"/>
      <c r="CE8" s="11"/>
      <c r="CF8" s="11"/>
      <c r="CG8" s="11"/>
      <c r="CH8" s="11"/>
      <c r="CI8" s="11"/>
      <c r="CJ8" s="11"/>
      <c r="CK8" s="213"/>
      <c r="CL8" s="11"/>
      <c r="CM8" s="11"/>
      <c r="CN8" s="11"/>
      <c r="CO8" s="11"/>
      <c r="CP8" s="11"/>
      <c r="CQ8" s="11"/>
      <c r="CR8" s="11"/>
      <c r="CS8" s="11"/>
      <c r="CT8" s="11"/>
      <c r="CU8" s="11"/>
      <c r="CV8" s="11"/>
      <c r="CW8" s="213"/>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213"/>
      <c r="EM8" s="11"/>
      <c r="EN8" s="11"/>
      <c r="EO8" s="11"/>
      <c r="EP8" s="11"/>
      <c r="EQ8" s="11"/>
      <c r="ER8" s="11"/>
      <c r="ES8" s="11"/>
      <c r="ET8" s="11"/>
      <c r="EU8" s="11"/>
      <c r="EV8" s="11"/>
      <c r="EW8" s="213"/>
      <c r="EX8" s="11"/>
      <c r="EY8" s="11"/>
      <c r="EZ8" s="11"/>
      <c r="FA8" s="213"/>
      <c r="FB8" s="11"/>
      <c r="FC8" s="11"/>
      <c r="FD8" s="11"/>
      <c r="FE8" s="11"/>
      <c r="FF8" s="11"/>
      <c r="FG8" s="11"/>
      <c r="FH8" s="11"/>
      <c r="FI8" s="213"/>
      <c r="FJ8" s="11"/>
      <c r="FK8" s="11"/>
      <c r="FL8" s="11"/>
      <c r="FM8" s="11"/>
      <c r="FN8" s="11"/>
      <c r="FO8" s="11"/>
      <c r="FP8" s="11"/>
      <c r="FQ8" s="11"/>
      <c r="FR8" s="11"/>
      <c r="FS8" s="11"/>
      <c r="FT8" s="213"/>
      <c r="FU8" s="11"/>
      <c r="FV8" s="11"/>
      <c r="FW8" s="11"/>
      <c r="FX8" s="11"/>
      <c r="FY8" s="11"/>
      <c r="FZ8" s="213"/>
      <c r="GA8" s="11"/>
      <c r="GB8" s="11"/>
      <c r="GC8" s="11"/>
      <c r="GD8" s="11"/>
      <c r="GE8" s="11"/>
      <c r="GF8" s="11"/>
      <c r="GG8" s="11"/>
      <c r="GH8" s="11"/>
      <c r="GI8" s="11"/>
      <c r="GJ8" s="11"/>
      <c r="GK8" s="11"/>
      <c r="GL8" s="11"/>
      <c r="GM8" s="11"/>
      <c r="GN8" s="11"/>
      <c r="GO8" s="11"/>
      <c r="GP8" s="152"/>
    </row>
    <row r="9" spans="1:198" x14ac:dyDescent="0.2">
      <c r="A9" s="73" t="s">
        <v>1588</v>
      </c>
      <c r="B9" s="11" t="str">
        <f t="shared" si="0"/>
        <v>-</v>
      </c>
      <c r="C9" s="11" t="s">
        <v>1235</v>
      </c>
      <c r="D9" s="11"/>
      <c r="E9" s="11"/>
      <c r="F9" s="11" t="s">
        <v>2811</v>
      </c>
      <c r="G9" s="213"/>
      <c r="H9" s="11" t="s">
        <v>1235</v>
      </c>
      <c r="I9" s="11"/>
      <c r="J9" s="11"/>
      <c r="K9" s="11"/>
      <c r="L9" s="11"/>
      <c r="M9" s="11"/>
      <c r="N9" s="11"/>
      <c r="O9" s="11"/>
      <c r="P9" s="11"/>
      <c r="Q9" s="11"/>
      <c r="R9" s="11"/>
      <c r="S9" s="11"/>
      <c r="T9" s="11"/>
      <c r="U9" s="11"/>
      <c r="V9" s="11"/>
      <c r="W9" s="11"/>
      <c r="X9" s="11"/>
      <c r="Y9" s="213"/>
      <c r="Z9" s="11"/>
      <c r="AA9" s="11"/>
      <c r="AB9" s="11"/>
      <c r="AC9" s="11"/>
      <c r="AD9" s="11"/>
      <c r="AE9" s="11"/>
      <c r="AF9" s="11"/>
      <c r="AG9" s="11"/>
      <c r="AH9" s="11" t="s">
        <v>1235</v>
      </c>
      <c r="AI9" s="11"/>
      <c r="AJ9" s="11"/>
      <c r="AK9" s="11"/>
      <c r="AL9" s="11"/>
      <c r="AM9" s="11"/>
      <c r="AN9" s="11"/>
      <c r="AO9" s="11"/>
      <c r="AP9" s="11"/>
      <c r="AQ9" s="11"/>
      <c r="AR9" s="11"/>
      <c r="AS9" s="11"/>
      <c r="AT9" s="213" t="s">
        <v>1235</v>
      </c>
      <c r="AU9" s="11"/>
      <c r="AV9" s="11"/>
      <c r="AW9" s="11"/>
      <c r="AX9" s="11"/>
      <c r="AY9" s="11"/>
      <c r="AZ9" s="11"/>
      <c r="BA9" s="11"/>
      <c r="BB9" s="11"/>
      <c r="BC9" s="11"/>
      <c r="BD9" s="11"/>
      <c r="BE9" s="213"/>
      <c r="BF9" s="11"/>
      <c r="BG9" s="11"/>
      <c r="BH9" s="11"/>
      <c r="BI9" s="11"/>
      <c r="BJ9" s="11"/>
      <c r="BK9" s="11"/>
      <c r="BL9" s="11"/>
      <c r="BM9" s="11"/>
      <c r="BN9" s="11"/>
      <c r="BO9" s="11"/>
      <c r="BP9" s="11"/>
      <c r="BQ9" s="213"/>
      <c r="BR9" s="11"/>
      <c r="BS9" s="11"/>
      <c r="BT9" s="11"/>
      <c r="BU9" s="11"/>
      <c r="BV9" s="11"/>
      <c r="BW9" s="11"/>
      <c r="BX9" s="11"/>
      <c r="BY9" s="11"/>
      <c r="BZ9" s="11"/>
      <c r="CA9" s="195"/>
      <c r="CB9" s="11"/>
      <c r="CC9" s="11"/>
      <c r="CD9" s="11"/>
      <c r="CE9" s="11"/>
      <c r="CF9" s="11"/>
      <c r="CG9" s="11"/>
      <c r="CH9" s="11"/>
      <c r="CI9" s="11"/>
      <c r="CJ9" s="11"/>
      <c r="CK9" s="213" t="s">
        <v>1235</v>
      </c>
      <c r="CL9" s="11"/>
      <c r="CM9" s="11"/>
      <c r="CN9" s="11"/>
      <c r="CO9" s="11"/>
      <c r="CP9" s="11"/>
      <c r="CQ9" s="11"/>
      <c r="CR9" s="11"/>
      <c r="CS9" s="11"/>
      <c r="CT9" s="11"/>
      <c r="CU9" s="11"/>
      <c r="CV9" s="11"/>
      <c r="CW9" s="213"/>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213"/>
      <c r="EM9" s="11"/>
      <c r="EN9" s="11"/>
      <c r="EO9" s="11"/>
      <c r="EP9" s="11"/>
      <c r="EQ9" s="11"/>
      <c r="ER9" s="11"/>
      <c r="ES9" s="11"/>
      <c r="ET9" s="11"/>
      <c r="EU9" s="11"/>
      <c r="EV9" s="11"/>
      <c r="EW9" s="213"/>
      <c r="EX9" s="11"/>
      <c r="EY9" s="11"/>
      <c r="EZ9" s="11"/>
      <c r="FA9" s="213"/>
      <c r="FB9" s="11"/>
      <c r="FC9" s="11"/>
      <c r="FD9" s="11"/>
      <c r="FE9" s="11"/>
      <c r="FF9" s="11"/>
      <c r="FG9" s="11"/>
      <c r="FH9" s="11"/>
      <c r="FI9" s="213"/>
      <c r="FJ9" s="11"/>
      <c r="FK9" s="11"/>
      <c r="FL9" s="11"/>
      <c r="FM9" s="11"/>
      <c r="FN9" s="11"/>
      <c r="FO9" s="11"/>
      <c r="FP9" s="11"/>
      <c r="FQ9" s="11"/>
      <c r="FR9" s="11"/>
      <c r="FS9" s="11"/>
      <c r="FT9" s="213"/>
      <c r="FU9" s="11"/>
      <c r="FV9" s="11"/>
      <c r="FW9" s="11"/>
      <c r="FX9" s="11"/>
      <c r="FY9" s="11"/>
      <c r="FZ9" s="213"/>
      <c r="GA9" s="11"/>
      <c r="GB9" s="11"/>
      <c r="GC9" s="11"/>
      <c r="GD9" s="11"/>
      <c r="GE9" s="11"/>
      <c r="GF9" s="11"/>
      <c r="GG9" s="11"/>
      <c r="GH9" s="11"/>
      <c r="GI9" s="11"/>
      <c r="GJ9" s="11"/>
      <c r="GK9" s="11"/>
      <c r="GL9" s="11"/>
      <c r="GM9" s="11"/>
      <c r="GN9" s="11"/>
      <c r="GO9" s="11"/>
      <c r="GP9" s="152"/>
    </row>
    <row r="10" spans="1:198" x14ac:dyDescent="0.2">
      <c r="A10" s="74" t="s">
        <v>1590</v>
      </c>
      <c r="B10" s="11" t="str">
        <f t="shared" si="0"/>
        <v>-</v>
      </c>
      <c r="C10" s="11" t="s">
        <v>1235</v>
      </c>
      <c r="D10" s="11" t="s">
        <v>1235</v>
      </c>
      <c r="E10" s="11"/>
      <c r="F10" s="11" t="s">
        <v>2812</v>
      </c>
      <c r="G10" s="213"/>
      <c r="H10" s="11" t="s">
        <v>1235</v>
      </c>
      <c r="I10" s="11"/>
      <c r="J10" s="11"/>
      <c r="K10" s="11"/>
      <c r="L10" s="11"/>
      <c r="M10" s="11"/>
      <c r="N10" s="11"/>
      <c r="O10" s="11"/>
      <c r="P10" s="11"/>
      <c r="Q10" s="11" t="s">
        <v>1235</v>
      </c>
      <c r="R10" s="11"/>
      <c r="S10" s="11"/>
      <c r="T10" s="11"/>
      <c r="U10" s="11"/>
      <c r="V10" s="11"/>
      <c r="W10" s="11" t="s">
        <v>1235</v>
      </c>
      <c r="X10" s="11"/>
      <c r="Y10" s="213"/>
      <c r="Z10" s="11" t="s">
        <v>1235</v>
      </c>
      <c r="AA10" s="11" t="s">
        <v>1235</v>
      </c>
      <c r="AB10" s="11"/>
      <c r="AC10" s="11"/>
      <c r="AD10" s="11"/>
      <c r="AE10" s="11"/>
      <c r="AF10" s="11"/>
      <c r="AG10" s="11"/>
      <c r="AH10" s="11"/>
      <c r="AI10" s="11"/>
      <c r="AJ10" s="11"/>
      <c r="AK10" s="11"/>
      <c r="AL10" s="11"/>
      <c r="AM10" s="11"/>
      <c r="AN10" s="11"/>
      <c r="AO10" s="11"/>
      <c r="AP10" s="11"/>
      <c r="AQ10" s="11"/>
      <c r="AR10" s="11"/>
      <c r="AS10" s="11"/>
      <c r="AT10" s="213" t="s">
        <v>1235</v>
      </c>
      <c r="AU10" s="11"/>
      <c r="AV10" s="11"/>
      <c r="AW10" s="11"/>
      <c r="AX10" s="11"/>
      <c r="AY10" s="11" t="s">
        <v>1235</v>
      </c>
      <c r="AZ10" s="11"/>
      <c r="BA10" s="11"/>
      <c r="BB10" s="11"/>
      <c r="BC10" s="11"/>
      <c r="BD10" s="11"/>
      <c r="BE10" s="213"/>
      <c r="BF10" s="11"/>
      <c r="BG10" s="11"/>
      <c r="BH10" s="11"/>
      <c r="BI10" s="11"/>
      <c r="BJ10" s="11"/>
      <c r="BK10" s="11"/>
      <c r="BL10" s="11"/>
      <c r="BM10" s="11"/>
      <c r="BN10" s="11"/>
      <c r="BO10" s="11"/>
      <c r="BP10" s="11"/>
      <c r="BQ10" s="213"/>
      <c r="BR10" s="11"/>
      <c r="BS10" s="11"/>
      <c r="BT10" s="11"/>
      <c r="BU10" s="11"/>
      <c r="BV10" s="11"/>
      <c r="BW10" s="11"/>
      <c r="BX10" s="11"/>
      <c r="BY10" s="11"/>
      <c r="BZ10" s="11"/>
      <c r="CA10" s="195"/>
      <c r="CB10" s="11"/>
      <c r="CC10" s="11"/>
      <c r="CD10" s="11"/>
      <c r="CE10" s="11"/>
      <c r="CF10" s="11"/>
      <c r="CG10" s="11"/>
      <c r="CH10" s="11"/>
      <c r="CI10" s="11"/>
      <c r="CJ10" s="11"/>
      <c r="CK10" s="213"/>
      <c r="CL10" s="11"/>
      <c r="CM10" s="11"/>
      <c r="CN10" s="11"/>
      <c r="CO10" s="11"/>
      <c r="CP10" s="11"/>
      <c r="CQ10" s="11"/>
      <c r="CR10" s="11"/>
      <c r="CS10" s="11"/>
      <c r="CT10" s="11"/>
      <c r="CU10" s="11"/>
      <c r="CV10" s="11"/>
      <c r="CW10" s="213"/>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213"/>
      <c r="EM10" s="11"/>
      <c r="EN10" s="11"/>
      <c r="EO10" s="11"/>
      <c r="EP10" s="11"/>
      <c r="EQ10" s="11"/>
      <c r="ER10" s="11"/>
      <c r="ES10" s="11"/>
      <c r="ET10" s="11"/>
      <c r="EU10" s="11"/>
      <c r="EV10" s="11"/>
      <c r="EW10" s="213"/>
      <c r="EX10" s="11"/>
      <c r="EY10" s="11"/>
      <c r="EZ10" s="11"/>
      <c r="FA10" s="213"/>
      <c r="FB10" s="11"/>
      <c r="FC10" s="11"/>
      <c r="FD10" s="11"/>
      <c r="FE10" s="11"/>
      <c r="FF10" s="11"/>
      <c r="FG10" s="11"/>
      <c r="FH10" s="11"/>
      <c r="FI10" s="213"/>
      <c r="FJ10" s="11"/>
      <c r="FK10" s="11"/>
      <c r="FL10" s="11"/>
      <c r="FM10" s="11"/>
      <c r="FN10" s="11"/>
      <c r="FO10" s="11"/>
      <c r="FP10" s="11"/>
      <c r="FQ10" s="11"/>
      <c r="FR10" s="11"/>
      <c r="FS10" s="11"/>
      <c r="FT10" s="213"/>
      <c r="FU10" s="11"/>
      <c r="FV10" s="11"/>
      <c r="FW10" s="11"/>
      <c r="FX10" s="11"/>
      <c r="FY10" s="11"/>
      <c r="FZ10" s="213"/>
      <c r="GA10" s="11"/>
      <c r="GB10" s="11"/>
      <c r="GC10" s="11"/>
      <c r="GD10" s="11"/>
      <c r="GE10" s="11"/>
      <c r="GF10" s="11"/>
      <c r="GG10" s="11"/>
      <c r="GH10" s="11"/>
      <c r="GI10" s="11"/>
      <c r="GJ10" s="11"/>
      <c r="GK10" s="11"/>
      <c r="GL10" s="11"/>
      <c r="GM10" s="11"/>
      <c r="GN10" s="11"/>
      <c r="GO10" s="11"/>
      <c r="GP10" s="152"/>
    </row>
    <row r="11" spans="1:198" x14ac:dyDescent="0.2">
      <c r="A11" s="74" t="s">
        <v>1592</v>
      </c>
      <c r="B11" s="11" t="str">
        <f t="shared" si="0"/>
        <v>-</v>
      </c>
      <c r="C11" s="11" t="s">
        <v>1235</v>
      </c>
      <c r="D11" s="11" t="s">
        <v>1235</v>
      </c>
      <c r="E11" s="11"/>
      <c r="F11" s="11" t="s">
        <v>2812</v>
      </c>
      <c r="G11" s="213"/>
      <c r="H11" s="11"/>
      <c r="I11" s="11"/>
      <c r="J11" s="11"/>
      <c r="K11" s="11"/>
      <c r="L11" s="11"/>
      <c r="M11" s="11"/>
      <c r="N11" s="11"/>
      <c r="O11" s="11"/>
      <c r="P11" s="11"/>
      <c r="Q11" s="11"/>
      <c r="R11" s="11"/>
      <c r="S11" s="11"/>
      <c r="T11" s="11"/>
      <c r="U11" s="11"/>
      <c r="V11" s="11"/>
      <c r="W11" s="11"/>
      <c r="X11" s="11"/>
      <c r="Y11" s="213"/>
      <c r="Z11" s="11"/>
      <c r="AA11" s="11"/>
      <c r="AB11" s="11"/>
      <c r="AC11" s="11"/>
      <c r="AD11" s="11"/>
      <c r="AE11" s="11"/>
      <c r="AF11" s="11"/>
      <c r="AG11" s="11"/>
      <c r="AH11" s="11"/>
      <c r="AI11" s="11"/>
      <c r="AJ11" s="11"/>
      <c r="AK11" s="11"/>
      <c r="AL11" s="11"/>
      <c r="AM11" s="11"/>
      <c r="AN11" s="11"/>
      <c r="AO11" s="11"/>
      <c r="AP11" s="11"/>
      <c r="AQ11" s="11"/>
      <c r="AR11" s="11"/>
      <c r="AS11" s="11"/>
      <c r="AT11" s="213"/>
      <c r="AU11" s="11"/>
      <c r="AV11" s="11"/>
      <c r="AW11" s="11"/>
      <c r="AX11" s="11"/>
      <c r="AY11" s="11"/>
      <c r="AZ11" s="11"/>
      <c r="BA11" s="11"/>
      <c r="BB11" s="11"/>
      <c r="BC11" s="11"/>
      <c r="BD11" s="11"/>
      <c r="BE11" s="213"/>
      <c r="BF11" s="11"/>
      <c r="BG11" s="11"/>
      <c r="BH11" s="11"/>
      <c r="BI11" s="11"/>
      <c r="BJ11" s="11"/>
      <c r="BK11" s="11"/>
      <c r="BL11" s="11"/>
      <c r="BM11" s="11"/>
      <c r="BN11" s="11"/>
      <c r="BO11" s="11"/>
      <c r="BP11" s="11"/>
      <c r="BQ11" s="213"/>
      <c r="BR11" s="11"/>
      <c r="BS11" s="11"/>
      <c r="BT11" s="11"/>
      <c r="BU11" s="11"/>
      <c r="BV11" s="11"/>
      <c r="BW11" s="11"/>
      <c r="BX11" s="11"/>
      <c r="BY11" s="11"/>
      <c r="BZ11" s="11"/>
      <c r="CA11" s="195"/>
      <c r="CB11" s="11"/>
      <c r="CC11" s="11"/>
      <c r="CD11" s="11"/>
      <c r="CE11" s="11"/>
      <c r="CF11" s="11"/>
      <c r="CG11" s="11"/>
      <c r="CH11" s="11"/>
      <c r="CI11" s="11"/>
      <c r="CJ11" s="11"/>
      <c r="CK11" s="213"/>
      <c r="CL11" s="11"/>
      <c r="CM11" s="11"/>
      <c r="CN11" s="11"/>
      <c r="CO11" s="11"/>
      <c r="CP11" s="11"/>
      <c r="CQ11" s="11"/>
      <c r="CR11" s="11"/>
      <c r="CS11" s="11"/>
      <c r="CT11" s="11"/>
      <c r="CU11" s="11"/>
      <c r="CV11" s="11"/>
      <c r="CW11" s="213"/>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213"/>
      <c r="EM11" s="11"/>
      <c r="EN11" s="11"/>
      <c r="EO11" s="11"/>
      <c r="EP11" s="11" t="s">
        <v>1235</v>
      </c>
      <c r="EQ11" s="11"/>
      <c r="ER11" s="11"/>
      <c r="ES11" s="11"/>
      <c r="ET11" s="11"/>
      <c r="EU11" s="11"/>
      <c r="EV11" s="11"/>
      <c r="EW11" s="213"/>
      <c r="EX11" s="11"/>
      <c r="EY11" s="11"/>
      <c r="EZ11" s="11"/>
      <c r="FA11" s="213"/>
      <c r="FB11" s="11"/>
      <c r="FC11" s="11"/>
      <c r="FD11" s="11"/>
      <c r="FE11" s="11"/>
      <c r="FF11" s="11"/>
      <c r="FG11" s="11"/>
      <c r="FH11" s="11"/>
      <c r="FI11" s="213"/>
      <c r="FJ11" s="11"/>
      <c r="FK11" s="11"/>
      <c r="FL11" s="11"/>
      <c r="FM11" s="11"/>
      <c r="FN11" s="11"/>
      <c r="FO11" s="11"/>
      <c r="FP11" s="11"/>
      <c r="FQ11" s="11"/>
      <c r="FR11" s="11"/>
      <c r="FS11" s="11"/>
      <c r="FT11" s="213"/>
      <c r="FU11" s="11"/>
      <c r="FV11" s="11"/>
      <c r="FW11" s="11"/>
      <c r="FX11" s="11"/>
      <c r="FY11" s="11"/>
      <c r="FZ11" s="213"/>
      <c r="GA11" s="11"/>
      <c r="GB11" s="11"/>
      <c r="GC11" s="11"/>
      <c r="GD11" s="11"/>
      <c r="GE11" s="11"/>
      <c r="GF11" s="11"/>
      <c r="GG11" s="11"/>
      <c r="GH11" s="11"/>
      <c r="GI11" s="11"/>
      <c r="GJ11" s="11"/>
      <c r="GK11" s="11"/>
      <c r="GL11" s="11"/>
      <c r="GM11" s="11"/>
      <c r="GN11" s="11"/>
      <c r="GO11" s="11"/>
      <c r="GP11" s="152"/>
    </row>
    <row r="12" spans="1:198" x14ac:dyDescent="0.2">
      <c r="A12" s="74" t="s">
        <v>1594</v>
      </c>
      <c r="B12" s="11" t="str">
        <f t="shared" si="0"/>
        <v>-</v>
      </c>
      <c r="C12" s="11"/>
      <c r="D12" s="11" t="s">
        <v>1235</v>
      </c>
      <c r="E12" s="11"/>
      <c r="F12" s="11" t="s">
        <v>2812</v>
      </c>
      <c r="G12" s="213"/>
      <c r="H12" s="11" t="s">
        <v>1235</v>
      </c>
      <c r="I12" s="11"/>
      <c r="J12" s="11"/>
      <c r="K12" s="11"/>
      <c r="L12" s="11"/>
      <c r="M12" s="11"/>
      <c r="N12" s="11"/>
      <c r="O12" s="11"/>
      <c r="P12" s="11"/>
      <c r="Q12" s="11"/>
      <c r="R12" s="11"/>
      <c r="S12" s="11"/>
      <c r="T12" s="11"/>
      <c r="U12" s="11"/>
      <c r="V12" s="11"/>
      <c r="W12" s="11"/>
      <c r="X12" s="11"/>
      <c r="Y12" s="213"/>
      <c r="Z12" s="11"/>
      <c r="AA12" s="11"/>
      <c r="AB12" s="11"/>
      <c r="AC12" s="11"/>
      <c r="AD12" s="11"/>
      <c r="AE12" s="11"/>
      <c r="AF12" s="11"/>
      <c r="AG12" s="11"/>
      <c r="AH12" s="11"/>
      <c r="AI12" s="11"/>
      <c r="AJ12" s="11"/>
      <c r="AK12" s="11"/>
      <c r="AL12" s="11"/>
      <c r="AM12" s="11"/>
      <c r="AN12" s="11"/>
      <c r="AO12" s="11"/>
      <c r="AP12" s="11"/>
      <c r="AQ12" s="11"/>
      <c r="AR12" s="11"/>
      <c r="AS12" s="11"/>
      <c r="AT12" s="213"/>
      <c r="AU12" s="11"/>
      <c r="AV12" s="11"/>
      <c r="AW12" s="11"/>
      <c r="AX12" s="11"/>
      <c r="AY12" s="11"/>
      <c r="AZ12" s="11"/>
      <c r="BA12" s="11"/>
      <c r="BB12" s="11"/>
      <c r="BC12" s="11"/>
      <c r="BD12" s="11"/>
      <c r="BE12" s="213"/>
      <c r="BF12" s="11"/>
      <c r="BG12" s="11"/>
      <c r="BH12" s="11"/>
      <c r="BI12" s="11"/>
      <c r="BJ12" s="11"/>
      <c r="BK12" s="11"/>
      <c r="BL12" s="11"/>
      <c r="BM12" s="11"/>
      <c r="BN12" s="11"/>
      <c r="BO12" s="11"/>
      <c r="BP12" s="11"/>
      <c r="BQ12" s="213"/>
      <c r="BR12" s="11"/>
      <c r="BS12" s="11"/>
      <c r="BT12" s="11"/>
      <c r="BU12" s="11"/>
      <c r="BV12" s="11"/>
      <c r="BW12" s="11"/>
      <c r="BX12" s="11"/>
      <c r="BY12" s="11"/>
      <c r="BZ12" s="11"/>
      <c r="CA12" s="195"/>
      <c r="CB12" s="11"/>
      <c r="CC12" s="11"/>
      <c r="CD12" s="11"/>
      <c r="CE12" s="11"/>
      <c r="CF12" s="11"/>
      <c r="CG12" s="11"/>
      <c r="CH12" s="11"/>
      <c r="CI12" s="11"/>
      <c r="CJ12" s="11"/>
      <c r="CK12" s="213"/>
      <c r="CL12" s="11"/>
      <c r="CM12" s="11"/>
      <c r="CN12" s="11"/>
      <c r="CO12" s="11"/>
      <c r="CP12" s="11"/>
      <c r="CQ12" s="11"/>
      <c r="CR12" s="11"/>
      <c r="CS12" s="11"/>
      <c r="CT12" s="11"/>
      <c r="CU12" s="11"/>
      <c r="CV12" s="11"/>
      <c r="CW12" s="213"/>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213"/>
      <c r="EM12" s="11"/>
      <c r="EN12" s="11"/>
      <c r="EO12" s="11"/>
      <c r="EP12" s="11"/>
      <c r="EQ12" s="11"/>
      <c r="ER12" s="11"/>
      <c r="ES12" s="11"/>
      <c r="ET12" s="11"/>
      <c r="EU12" s="11"/>
      <c r="EV12" s="11"/>
      <c r="EW12" s="213"/>
      <c r="EX12" s="11"/>
      <c r="EY12" s="11"/>
      <c r="EZ12" s="11"/>
      <c r="FA12" s="213"/>
      <c r="FB12" s="11"/>
      <c r="FC12" s="11"/>
      <c r="FD12" s="11"/>
      <c r="FE12" s="11"/>
      <c r="FF12" s="11"/>
      <c r="FG12" s="11"/>
      <c r="FH12" s="11"/>
      <c r="FI12" s="213"/>
      <c r="FJ12" s="11"/>
      <c r="FK12" s="11"/>
      <c r="FL12" s="11"/>
      <c r="FM12" s="11"/>
      <c r="FN12" s="11"/>
      <c r="FO12" s="11"/>
      <c r="FP12" s="11"/>
      <c r="FQ12" s="11"/>
      <c r="FR12" s="11"/>
      <c r="FS12" s="11"/>
      <c r="FT12" s="213"/>
      <c r="FU12" s="11"/>
      <c r="FV12" s="11"/>
      <c r="FW12" s="11"/>
      <c r="FX12" s="11"/>
      <c r="FY12" s="11"/>
      <c r="FZ12" s="213"/>
      <c r="GA12" s="11"/>
      <c r="GB12" s="11"/>
      <c r="GC12" s="11"/>
      <c r="GD12" s="11"/>
      <c r="GE12" s="11"/>
      <c r="GF12" s="11"/>
      <c r="GG12" s="11"/>
      <c r="GH12" s="11"/>
      <c r="GI12" s="11"/>
      <c r="GJ12" s="11"/>
      <c r="GK12" s="11"/>
      <c r="GL12" s="11"/>
      <c r="GM12" s="11"/>
      <c r="GN12" s="11"/>
      <c r="GO12" s="11"/>
      <c r="GP12" s="152"/>
    </row>
    <row r="13" spans="1:198" x14ac:dyDescent="0.2">
      <c r="A13" s="74" t="s">
        <v>1596</v>
      </c>
      <c r="B13" s="11" t="str">
        <f t="shared" si="0"/>
        <v>-</v>
      </c>
      <c r="C13" s="11" t="s">
        <v>1235</v>
      </c>
      <c r="D13" s="11" t="s">
        <v>1235</v>
      </c>
      <c r="E13" s="11"/>
      <c r="F13" s="11" t="s">
        <v>2812</v>
      </c>
      <c r="G13" s="213" t="s">
        <v>1235</v>
      </c>
      <c r="H13" s="11" t="s">
        <v>1235</v>
      </c>
      <c r="I13" s="11"/>
      <c r="J13" s="11"/>
      <c r="K13" s="11"/>
      <c r="L13" s="11"/>
      <c r="M13" s="11"/>
      <c r="N13" s="11"/>
      <c r="O13" s="11"/>
      <c r="P13" s="11"/>
      <c r="Q13" s="11"/>
      <c r="R13" s="11"/>
      <c r="S13" s="11"/>
      <c r="T13" s="11"/>
      <c r="U13" s="11"/>
      <c r="V13" s="11"/>
      <c r="W13" s="11"/>
      <c r="X13" s="11"/>
      <c r="Y13" s="213"/>
      <c r="Z13" s="11"/>
      <c r="AA13" s="11"/>
      <c r="AB13" s="11"/>
      <c r="AC13" s="11"/>
      <c r="AD13" s="11"/>
      <c r="AE13" s="11"/>
      <c r="AF13" s="11"/>
      <c r="AG13" s="11"/>
      <c r="AH13" s="11"/>
      <c r="AI13" s="11"/>
      <c r="AJ13" s="11"/>
      <c r="AK13" s="11"/>
      <c r="AL13" s="11"/>
      <c r="AM13" s="11"/>
      <c r="AN13" s="11"/>
      <c r="AO13" s="11"/>
      <c r="AP13" s="11"/>
      <c r="AQ13" s="11"/>
      <c r="AR13" s="11"/>
      <c r="AS13" s="11"/>
      <c r="AT13" s="213"/>
      <c r="AU13" s="11"/>
      <c r="AV13" s="11"/>
      <c r="AW13" s="11"/>
      <c r="AX13" s="11"/>
      <c r="AY13" s="11"/>
      <c r="AZ13" s="11"/>
      <c r="BA13" s="11"/>
      <c r="BB13" s="11"/>
      <c r="BC13" s="11"/>
      <c r="BD13" s="11"/>
      <c r="BE13" s="213"/>
      <c r="BF13" s="11"/>
      <c r="BG13" s="11"/>
      <c r="BH13" s="11"/>
      <c r="BI13" s="11"/>
      <c r="BJ13" s="11"/>
      <c r="BK13" s="11"/>
      <c r="BL13" s="11"/>
      <c r="BM13" s="11"/>
      <c r="BN13" s="11"/>
      <c r="BO13" s="11"/>
      <c r="BP13" s="11"/>
      <c r="BQ13" s="213"/>
      <c r="BR13" s="11"/>
      <c r="BS13" s="11"/>
      <c r="BT13" s="11"/>
      <c r="BU13" s="11"/>
      <c r="BV13" s="11"/>
      <c r="BW13" s="11"/>
      <c r="BX13" s="11"/>
      <c r="BY13" s="11"/>
      <c r="BZ13" s="11"/>
      <c r="CA13" s="195"/>
      <c r="CB13" s="11"/>
      <c r="CC13" s="11"/>
      <c r="CD13" s="11"/>
      <c r="CE13" s="11"/>
      <c r="CF13" s="11"/>
      <c r="CG13" s="11"/>
      <c r="CH13" s="11"/>
      <c r="CI13" s="11"/>
      <c r="CJ13" s="11"/>
      <c r="CK13" s="213"/>
      <c r="CL13" s="11"/>
      <c r="CM13" s="11"/>
      <c r="CN13" s="11"/>
      <c r="CO13" s="11"/>
      <c r="CP13" s="11"/>
      <c r="CQ13" s="11"/>
      <c r="CR13" s="11"/>
      <c r="CS13" s="11"/>
      <c r="CT13" s="11"/>
      <c r="CU13" s="11"/>
      <c r="CV13" s="11"/>
      <c r="CW13" s="213" t="s">
        <v>1235</v>
      </c>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213"/>
      <c r="EM13" s="11"/>
      <c r="EN13" s="11"/>
      <c r="EO13" s="11"/>
      <c r="EP13" s="11"/>
      <c r="EQ13" s="11"/>
      <c r="ER13" s="11"/>
      <c r="ES13" s="11"/>
      <c r="ET13" s="11"/>
      <c r="EU13" s="11"/>
      <c r="EV13" s="11"/>
      <c r="EW13" s="213"/>
      <c r="EX13" s="11"/>
      <c r="EY13" s="11"/>
      <c r="EZ13" s="11"/>
      <c r="FA13" s="213"/>
      <c r="FB13" s="11"/>
      <c r="FC13" s="11"/>
      <c r="FD13" s="11"/>
      <c r="FE13" s="11"/>
      <c r="FF13" s="11"/>
      <c r="FG13" s="11"/>
      <c r="FH13" s="11"/>
      <c r="FI13" s="213"/>
      <c r="FJ13" s="11"/>
      <c r="FK13" s="11"/>
      <c r="FL13" s="11"/>
      <c r="FM13" s="11"/>
      <c r="FN13" s="11"/>
      <c r="FO13" s="11"/>
      <c r="FP13" s="11"/>
      <c r="FQ13" s="11"/>
      <c r="FR13" s="11"/>
      <c r="FS13" s="11"/>
      <c r="FT13" s="213"/>
      <c r="FU13" s="11"/>
      <c r="FV13" s="11"/>
      <c r="FW13" s="11"/>
      <c r="FX13" s="11"/>
      <c r="FY13" s="11"/>
      <c r="FZ13" s="213"/>
      <c r="GA13" s="11"/>
      <c r="GB13" s="11"/>
      <c r="GC13" s="11"/>
      <c r="GD13" s="11"/>
      <c r="GE13" s="11"/>
      <c r="GF13" s="11"/>
      <c r="GG13" s="11"/>
      <c r="GH13" s="11"/>
      <c r="GI13" s="11"/>
      <c r="GJ13" s="11"/>
      <c r="GK13" s="11"/>
      <c r="GL13" s="11"/>
      <c r="GM13" s="11"/>
      <c r="GN13" s="11"/>
      <c r="GO13" s="11"/>
      <c r="GP13" s="152"/>
    </row>
    <row r="14" spans="1:198" x14ac:dyDescent="0.2">
      <c r="A14" s="74" t="s">
        <v>1598</v>
      </c>
      <c r="B14" s="11" t="str">
        <f t="shared" si="0"/>
        <v>-</v>
      </c>
      <c r="C14" s="11" t="s">
        <v>1235</v>
      </c>
      <c r="D14" s="11"/>
      <c r="E14" s="11"/>
      <c r="F14" s="11" t="s">
        <v>2812</v>
      </c>
      <c r="G14" s="213"/>
      <c r="H14" s="11" t="s">
        <v>1235</v>
      </c>
      <c r="I14" s="11"/>
      <c r="J14" s="11"/>
      <c r="K14" s="11"/>
      <c r="L14" s="11"/>
      <c r="M14" s="11"/>
      <c r="N14" s="11"/>
      <c r="O14" s="11"/>
      <c r="P14" s="11"/>
      <c r="Q14" s="11"/>
      <c r="R14" s="11"/>
      <c r="S14" s="11"/>
      <c r="T14" s="11"/>
      <c r="U14" s="11"/>
      <c r="V14" s="11"/>
      <c r="W14" s="11"/>
      <c r="X14" s="11"/>
      <c r="Y14" s="213"/>
      <c r="Z14" s="11" t="s">
        <v>1235</v>
      </c>
      <c r="AA14" s="11"/>
      <c r="AB14" s="11"/>
      <c r="AC14" s="11"/>
      <c r="AD14" s="11"/>
      <c r="AE14" s="11"/>
      <c r="AF14" s="11"/>
      <c r="AG14" s="11"/>
      <c r="AH14" s="11"/>
      <c r="AI14" s="11"/>
      <c r="AJ14" s="11"/>
      <c r="AK14" s="11"/>
      <c r="AL14" s="11"/>
      <c r="AM14" s="11"/>
      <c r="AN14" s="11"/>
      <c r="AO14" s="11"/>
      <c r="AP14" s="11"/>
      <c r="AQ14" s="11"/>
      <c r="AR14" s="11"/>
      <c r="AS14" s="11"/>
      <c r="AT14" s="213"/>
      <c r="AU14" s="11"/>
      <c r="AV14" s="11"/>
      <c r="AW14" s="11"/>
      <c r="AX14" s="11"/>
      <c r="AY14" s="11"/>
      <c r="AZ14" s="11"/>
      <c r="BA14" s="11"/>
      <c r="BB14" s="11"/>
      <c r="BC14" s="11"/>
      <c r="BD14" s="11"/>
      <c r="BE14" s="213"/>
      <c r="BF14" s="11"/>
      <c r="BG14" s="11"/>
      <c r="BH14" s="11"/>
      <c r="BI14" s="11"/>
      <c r="BJ14" s="11"/>
      <c r="BK14" s="11"/>
      <c r="BL14" s="11"/>
      <c r="BM14" s="11"/>
      <c r="BN14" s="11"/>
      <c r="BO14" s="11"/>
      <c r="BP14" s="11"/>
      <c r="BQ14" s="213"/>
      <c r="BR14" s="11"/>
      <c r="BS14" s="11"/>
      <c r="BT14" s="11"/>
      <c r="BU14" s="11"/>
      <c r="BV14" s="11"/>
      <c r="BW14" s="11"/>
      <c r="BX14" s="11"/>
      <c r="BY14" s="11"/>
      <c r="BZ14" s="11"/>
      <c r="CA14" s="195"/>
      <c r="CB14" s="11"/>
      <c r="CC14" s="11"/>
      <c r="CD14" s="11"/>
      <c r="CE14" s="11"/>
      <c r="CF14" s="11"/>
      <c r="CG14" s="11"/>
      <c r="CH14" s="11"/>
      <c r="CI14" s="11"/>
      <c r="CJ14" s="11"/>
      <c r="CK14" s="213"/>
      <c r="CL14" s="11"/>
      <c r="CM14" s="11"/>
      <c r="CN14" s="11"/>
      <c r="CO14" s="11"/>
      <c r="CP14" s="11"/>
      <c r="CQ14" s="11"/>
      <c r="CR14" s="11"/>
      <c r="CS14" s="11"/>
      <c r="CT14" s="11"/>
      <c r="CU14" s="11"/>
      <c r="CV14" s="11"/>
      <c r="CW14" s="213"/>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213"/>
      <c r="EM14" s="11"/>
      <c r="EN14" s="11"/>
      <c r="EO14" s="11"/>
      <c r="EP14" s="11"/>
      <c r="EQ14" s="11"/>
      <c r="ER14" s="11"/>
      <c r="ES14" s="11"/>
      <c r="ET14" s="11"/>
      <c r="EU14" s="11"/>
      <c r="EV14" s="11"/>
      <c r="EW14" s="213"/>
      <c r="EX14" s="11"/>
      <c r="EY14" s="11"/>
      <c r="EZ14" s="11"/>
      <c r="FA14" s="213"/>
      <c r="FB14" s="11"/>
      <c r="FC14" s="11"/>
      <c r="FD14" s="11"/>
      <c r="FE14" s="11"/>
      <c r="FF14" s="11"/>
      <c r="FG14" s="11"/>
      <c r="FH14" s="11"/>
      <c r="FI14" s="213"/>
      <c r="FJ14" s="11"/>
      <c r="FK14" s="11"/>
      <c r="FL14" s="11"/>
      <c r="FM14" s="11"/>
      <c r="FN14" s="11"/>
      <c r="FO14" s="11"/>
      <c r="FP14" s="11"/>
      <c r="FQ14" s="11"/>
      <c r="FR14" s="11"/>
      <c r="FS14" s="11"/>
      <c r="FT14" s="213"/>
      <c r="FU14" s="11"/>
      <c r="FV14" s="11"/>
      <c r="FW14" s="11"/>
      <c r="FX14" s="11"/>
      <c r="FY14" s="11"/>
      <c r="FZ14" s="213"/>
      <c r="GA14" s="11"/>
      <c r="GB14" s="11"/>
      <c r="GC14" s="11"/>
      <c r="GD14" s="11"/>
      <c r="GE14" s="11"/>
      <c r="GF14" s="11"/>
      <c r="GG14" s="11"/>
      <c r="GH14" s="11"/>
      <c r="GI14" s="11"/>
      <c r="GJ14" s="11"/>
      <c r="GK14" s="11"/>
      <c r="GL14" s="11"/>
      <c r="GM14" s="11"/>
      <c r="GN14" s="11"/>
      <c r="GO14" s="11"/>
      <c r="GP14" s="152"/>
    </row>
    <row r="15" spans="1:198" x14ac:dyDescent="0.2">
      <c r="A15" s="74" t="s">
        <v>1600</v>
      </c>
      <c r="B15" s="11" t="str">
        <f t="shared" si="0"/>
        <v>-</v>
      </c>
      <c r="C15" s="11"/>
      <c r="D15" s="11" t="s">
        <v>1235</v>
      </c>
      <c r="E15" s="11"/>
      <c r="F15" s="11" t="s">
        <v>2812</v>
      </c>
      <c r="G15" s="213"/>
      <c r="H15" s="11" t="s">
        <v>1235</v>
      </c>
      <c r="I15" s="11"/>
      <c r="J15" s="11"/>
      <c r="K15" s="11"/>
      <c r="L15" s="11"/>
      <c r="M15" s="11"/>
      <c r="N15" s="11"/>
      <c r="O15" s="11"/>
      <c r="P15" s="11"/>
      <c r="Q15" s="11"/>
      <c r="R15" s="11"/>
      <c r="S15" s="11"/>
      <c r="T15" s="11"/>
      <c r="U15" s="11"/>
      <c r="V15" s="11"/>
      <c r="W15" s="11"/>
      <c r="X15" s="11"/>
      <c r="Y15" s="213"/>
      <c r="Z15" s="11"/>
      <c r="AA15" s="11"/>
      <c r="AB15" s="11"/>
      <c r="AC15" s="11"/>
      <c r="AD15" s="11"/>
      <c r="AE15" s="11"/>
      <c r="AF15" s="11"/>
      <c r="AG15" s="11"/>
      <c r="AH15" s="11"/>
      <c r="AI15" s="11"/>
      <c r="AJ15" s="11"/>
      <c r="AK15" s="11"/>
      <c r="AL15" s="11"/>
      <c r="AM15" s="11"/>
      <c r="AN15" s="11"/>
      <c r="AO15" s="11"/>
      <c r="AP15" s="11"/>
      <c r="AQ15" s="11"/>
      <c r="AR15" s="11"/>
      <c r="AS15" s="11"/>
      <c r="AT15" s="213"/>
      <c r="AU15" s="11"/>
      <c r="AV15" s="11"/>
      <c r="AW15" s="11"/>
      <c r="AX15" s="11"/>
      <c r="AY15" s="11"/>
      <c r="AZ15" s="11"/>
      <c r="BA15" s="11"/>
      <c r="BB15" s="11"/>
      <c r="BC15" s="11"/>
      <c r="BD15" s="11"/>
      <c r="BE15" s="213"/>
      <c r="BF15" s="11"/>
      <c r="BG15" s="11"/>
      <c r="BH15" s="11"/>
      <c r="BI15" s="11"/>
      <c r="BJ15" s="11"/>
      <c r="BK15" s="11"/>
      <c r="BL15" s="11"/>
      <c r="BM15" s="11"/>
      <c r="BN15" s="11"/>
      <c r="BO15" s="11"/>
      <c r="BP15" s="11"/>
      <c r="BQ15" s="213"/>
      <c r="BR15" s="11"/>
      <c r="BS15" s="11"/>
      <c r="BT15" s="11"/>
      <c r="BU15" s="11"/>
      <c r="BV15" s="11"/>
      <c r="BW15" s="11"/>
      <c r="BX15" s="11"/>
      <c r="BY15" s="11"/>
      <c r="BZ15" s="11"/>
      <c r="CA15" s="195"/>
      <c r="CB15" s="11"/>
      <c r="CC15" s="11"/>
      <c r="CD15" s="11"/>
      <c r="CE15" s="11"/>
      <c r="CF15" s="11"/>
      <c r="CG15" s="11"/>
      <c r="CH15" s="11"/>
      <c r="CI15" s="11"/>
      <c r="CJ15" s="11"/>
      <c r="CK15" s="213"/>
      <c r="CL15" s="11"/>
      <c r="CM15" s="11"/>
      <c r="CN15" s="11"/>
      <c r="CO15" s="11"/>
      <c r="CP15" s="11"/>
      <c r="CQ15" s="11"/>
      <c r="CR15" s="11"/>
      <c r="CS15" s="11"/>
      <c r="CT15" s="11"/>
      <c r="CU15" s="11"/>
      <c r="CV15" s="11"/>
      <c r="CW15" s="213"/>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213"/>
      <c r="EM15" s="11"/>
      <c r="EN15" s="11"/>
      <c r="EO15" s="11"/>
      <c r="EP15" s="11"/>
      <c r="EQ15" s="11"/>
      <c r="ER15" s="11"/>
      <c r="ES15" s="11"/>
      <c r="ET15" s="11"/>
      <c r="EU15" s="11"/>
      <c r="EV15" s="11"/>
      <c r="EW15" s="213"/>
      <c r="EX15" s="11"/>
      <c r="EY15" s="11"/>
      <c r="EZ15" s="11"/>
      <c r="FA15" s="213"/>
      <c r="FB15" s="11"/>
      <c r="FC15" s="11"/>
      <c r="FD15" s="11"/>
      <c r="FE15" s="11"/>
      <c r="FF15" s="11"/>
      <c r="FG15" s="11"/>
      <c r="FH15" s="11"/>
      <c r="FI15" s="213"/>
      <c r="FJ15" s="11"/>
      <c r="FK15" s="11"/>
      <c r="FL15" s="11"/>
      <c r="FM15" s="11"/>
      <c r="FN15" s="11"/>
      <c r="FO15" s="11"/>
      <c r="FP15" s="11"/>
      <c r="FQ15" s="11"/>
      <c r="FR15" s="11"/>
      <c r="FS15" s="11"/>
      <c r="FT15" s="213"/>
      <c r="FU15" s="11"/>
      <c r="FV15" s="11"/>
      <c r="FW15" s="11"/>
      <c r="FX15" s="11"/>
      <c r="FY15" s="11"/>
      <c r="FZ15" s="213"/>
      <c r="GA15" s="11"/>
      <c r="GB15" s="11"/>
      <c r="GC15" s="11"/>
      <c r="GD15" s="11"/>
      <c r="GE15" s="11"/>
      <c r="GF15" s="11"/>
      <c r="GG15" s="11"/>
      <c r="GH15" s="11"/>
      <c r="GI15" s="11"/>
      <c r="GJ15" s="11"/>
      <c r="GK15" s="11"/>
      <c r="GL15" s="11"/>
      <c r="GM15" s="11"/>
      <c r="GN15" s="11"/>
      <c r="GO15" s="11"/>
      <c r="GP15" s="152"/>
    </row>
    <row r="16" spans="1:198" x14ac:dyDescent="0.2">
      <c r="A16" s="74" t="s">
        <v>1602</v>
      </c>
      <c r="B16" s="11" t="str">
        <f t="shared" si="0"/>
        <v>-</v>
      </c>
      <c r="C16" s="11"/>
      <c r="D16" s="11" t="s">
        <v>1235</v>
      </c>
      <c r="E16" s="11"/>
      <c r="F16" s="11" t="s">
        <v>2812</v>
      </c>
      <c r="G16" s="213"/>
      <c r="H16" s="11" t="s">
        <v>1235</v>
      </c>
      <c r="I16" s="11"/>
      <c r="J16" s="11"/>
      <c r="K16" s="11"/>
      <c r="L16" s="11"/>
      <c r="M16" s="11"/>
      <c r="N16" s="11"/>
      <c r="O16" s="11"/>
      <c r="P16" s="11"/>
      <c r="Q16" s="11" t="s">
        <v>1235</v>
      </c>
      <c r="R16" s="11"/>
      <c r="S16" s="11"/>
      <c r="T16" s="11"/>
      <c r="U16" s="11"/>
      <c r="V16" s="11"/>
      <c r="W16" s="11" t="s">
        <v>1235</v>
      </c>
      <c r="X16" s="11"/>
      <c r="Y16" s="213"/>
      <c r="Z16" s="11" t="s">
        <v>1235</v>
      </c>
      <c r="AA16" s="11" t="s">
        <v>1235</v>
      </c>
      <c r="AB16" s="11"/>
      <c r="AC16" s="11"/>
      <c r="AD16" s="11"/>
      <c r="AE16" s="11"/>
      <c r="AF16" s="11"/>
      <c r="AG16" s="11"/>
      <c r="AH16" s="11"/>
      <c r="AI16" s="11"/>
      <c r="AJ16" s="11"/>
      <c r="AK16" s="11"/>
      <c r="AL16" s="11"/>
      <c r="AM16" s="11"/>
      <c r="AN16" s="11"/>
      <c r="AO16" s="11"/>
      <c r="AP16" s="11"/>
      <c r="AQ16" s="11"/>
      <c r="AR16" s="11"/>
      <c r="AS16" s="11"/>
      <c r="AT16" s="213" t="s">
        <v>1235</v>
      </c>
      <c r="AU16" s="11"/>
      <c r="AV16" s="11"/>
      <c r="AW16" s="11"/>
      <c r="AX16" s="11"/>
      <c r="AY16" s="11" t="s">
        <v>1235</v>
      </c>
      <c r="AZ16" s="11"/>
      <c r="BA16" s="11"/>
      <c r="BB16" s="11"/>
      <c r="BC16" s="11"/>
      <c r="BD16" s="11"/>
      <c r="BE16" s="213"/>
      <c r="BF16" s="11"/>
      <c r="BG16" s="11"/>
      <c r="BH16" s="11"/>
      <c r="BI16" s="11"/>
      <c r="BJ16" s="11"/>
      <c r="BK16" s="11"/>
      <c r="BL16" s="11"/>
      <c r="BM16" s="11"/>
      <c r="BN16" s="11"/>
      <c r="BO16" s="11"/>
      <c r="BP16" s="11"/>
      <c r="BQ16" s="213"/>
      <c r="BR16" s="11"/>
      <c r="BS16" s="11"/>
      <c r="BT16" s="11"/>
      <c r="BU16" s="11"/>
      <c r="BV16" s="11"/>
      <c r="BW16" s="11"/>
      <c r="BX16" s="11"/>
      <c r="BY16" s="11"/>
      <c r="BZ16" s="11"/>
      <c r="CA16" s="195"/>
      <c r="CB16" s="11"/>
      <c r="CC16" s="11"/>
      <c r="CD16" s="11"/>
      <c r="CE16" s="11"/>
      <c r="CF16" s="11"/>
      <c r="CG16" s="11"/>
      <c r="CH16" s="11"/>
      <c r="CI16" s="11"/>
      <c r="CJ16" s="11"/>
      <c r="CK16" s="213" t="s">
        <v>1235</v>
      </c>
      <c r="CL16" s="11"/>
      <c r="CM16" s="11"/>
      <c r="CN16" s="11"/>
      <c r="CO16" s="11"/>
      <c r="CP16" s="11"/>
      <c r="CQ16" s="11"/>
      <c r="CR16" s="11"/>
      <c r="CS16" s="11"/>
      <c r="CT16" s="11"/>
      <c r="CU16" s="11"/>
      <c r="CV16" s="11"/>
      <c r="CW16" s="213"/>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213"/>
      <c r="EM16" s="11"/>
      <c r="EN16" s="11"/>
      <c r="EO16" s="11"/>
      <c r="EP16" s="11"/>
      <c r="EQ16" s="11"/>
      <c r="ER16" s="11"/>
      <c r="ES16" s="11"/>
      <c r="ET16" s="11"/>
      <c r="EU16" s="11"/>
      <c r="EV16" s="11"/>
      <c r="EW16" s="213"/>
      <c r="EX16" s="11"/>
      <c r="EY16" s="11"/>
      <c r="EZ16" s="11"/>
      <c r="FA16" s="213"/>
      <c r="FB16" s="11"/>
      <c r="FC16" s="11"/>
      <c r="FD16" s="11"/>
      <c r="FE16" s="11"/>
      <c r="FF16" s="11"/>
      <c r="FG16" s="11"/>
      <c r="FH16" s="11"/>
      <c r="FI16" s="213"/>
      <c r="FJ16" s="11"/>
      <c r="FK16" s="11"/>
      <c r="FL16" s="11"/>
      <c r="FM16" s="11"/>
      <c r="FN16" s="11"/>
      <c r="FO16" s="11"/>
      <c r="FP16" s="11"/>
      <c r="FQ16" s="11"/>
      <c r="FR16" s="11"/>
      <c r="FS16" s="11"/>
      <c r="FT16" s="213"/>
      <c r="FU16" s="11"/>
      <c r="FV16" s="11"/>
      <c r="FW16" s="11"/>
      <c r="FX16" s="11"/>
      <c r="FY16" s="11"/>
      <c r="FZ16" s="213"/>
      <c r="GA16" s="11"/>
      <c r="GB16" s="11"/>
      <c r="GC16" s="11"/>
      <c r="GD16" s="11"/>
      <c r="GE16" s="11"/>
      <c r="GF16" s="11"/>
      <c r="GG16" s="11"/>
      <c r="GH16" s="11"/>
      <c r="GI16" s="11"/>
      <c r="GJ16" s="11"/>
      <c r="GK16" s="11"/>
      <c r="GL16" s="11"/>
      <c r="GM16" s="11"/>
      <c r="GN16" s="11"/>
      <c r="GO16" s="11"/>
      <c r="GP16" s="152"/>
    </row>
    <row r="17" spans="1:198" x14ac:dyDescent="0.2">
      <c r="A17" s="74" t="s">
        <v>1604</v>
      </c>
      <c r="B17" s="11" t="str">
        <f t="shared" si="0"/>
        <v>-</v>
      </c>
      <c r="C17" s="11" t="s">
        <v>1235</v>
      </c>
      <c r="D17" s="11"/>
      <c r="E17" s="11"/>
      <c r="F17" s="11" t="s">
        <v>2812</v>
      </c>
      <c r="G17" s="213"/>
      <c r="H17" s="11" t="s">
        <v>1235</v>
      </c>
      <c r="I17" s="11"/>
      <c r="J17" s="11"/>
      <c r="K17" s="11"/>
      <c r="L17" s="11"/>
      <c r="M17" s="11"/>
      <c r="N17" s="11"/>
      <c r="O17" s="11"/>
      <c r="P17" s="11"/>
      <c r="Q17" s="11"/>
      <c r="R17" s="11"/>
      <c r="S17" s="11"/>
      <c r="T17" s="11"/>
      <c r="U17" s="11"/>
      <c r="V17" s="11"/>
      <c r="W17" s="11"/>
      <c r="X17" s="11"/>
      <c r="Y17" s="213"/>
      <c r="Z17" s="11" t="s">
        <v>1235</v>
      </c>
      <c r="AA17" s="11"/>
      <c r="AB17" s="11"/>
      <c r="AC17" s="11" t="s">
        <v>1235</v>
      </c>
      <c r="AD17" s="11"/>
      <c r="AE17" s="11"/>
      <c r="AF17" s="11"/>
      <c r="AG17" s="11"/>
      <c r="AH17" s="11"/>
      <c r="AI17" s="11"/>
      <c r="AJ17" s="11"/>
      <c r="AK17" s="11"/>
      <c r="AL17" s="11"/>
      <c r="AM17" s="11"/>
      <c r="AN17" s="11"/>
      <c r="AO17" s="11"/>
      <c r="AP17" s="11"/>
      <c r="AQ17" s="11"/>
      <c r="AR17" s="11"/>
      <c r="AS17" s="11"/>
      <c r="AT17" s="213" t="s">
        <v>1235</v>
      </c>
      <c r="AU17" s="11"/>
      <c r="AV17" s="11"/>
      <c r="AW17" s="11"/>
      <c r="AX17" s="11"/>
      <c r="AY17" s="11"/>
      <c r="AZ17" s="11"/>
      <c r="BA17" s="11"/>
      <c r="BB17" s="11"/>
      <c r="BC17" s="11"/>
      <c r="BD17" s="11"/>
      <c r="BE17" s="213"/>
      <c r="BF17" s="11"/>
      <c r="BG17" s="11"/>
      <c r="BH17" s="11"/>
      <c r="BI17" s="11"/>
      <c r="BJ17" s="11"/>
      <c r="BK17" s="11"/>
      <c r="BL17" s="11"/>
      <c r="BM17" s="11"/>
      <c r="BN17" s="11"/>
      <c r="BO17" s="11"/>
      <c r="BP17" s="11"/>
      <c r="BQ17" s="213"/>
      <c r="BR17" s="11"/>
      <c r="BS17" s="11"/>
      <c r="BT17" s="11"/>
      <c r="BU17" s="11"/>
      <c r="BV17" s="11"/>
      <c r="BW17" s="11"/>
      <c r="BX17" s="11"/>
      <c r="BY17" s="11"/>
      <c r="BZ17" s="11"/>
      <c r="CA17" s="195"/>
      <c r="CB17" s="11"/>
      <c r="CC17" s="11"/>
      <c r="CD17" s="11"/>
      <c r="CE17" s="11"/>
      <c r="CF17" s="11"/>
      <c r="CG17" s="11"/>
      <c r="CH17" s="11"/>
      <c r="CI17" s="11"/>
      <c r="CJ17" s="11"/>
      <c r="CK17" s="213"/>
      <c r="CL17" s="11"/>
      <c r="CM17" s="11"/>
      <c r="CN17" s="11"/>
      <c r="CO17" s="11"/>
      <c r="CP17" s="11"/>
      <c r="CQ17" s="11"/>
      <c r="CR17" s="11"/>
      <c r="CS17" s="11"/>
      <c r="CT17" s="11"/>
      <c r="CU17" s="11"/>
      <c r="CV17" s="11"/>
      <c r="CW17" s="213"/>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213"/>
      <c r="EM17" s="11"/>
      <c r="EN17" s="11"/>
      <c r="EO17" s="11"/>
      <c r="EP17" s="11"/>
      <c r="EQ17" s="11"/>
      <c r="ER17" s="11"/>
      <c r="ES17" s="11"/>
      <c r="ET17" s="11"/>
      <c r="EU17" s="11"/>
      <c r="EV17" s="11"/>
      <c r="EW17" s="213"/>
      <c r="EX17" s="11"/>
      <c r="EY17" s="11"/>
      <c r="EZ17" s="11"/>
      <c r="FA17" s="213"/>
      <c r="FB17" s="11"/>
      <c r="FC17" s="11"/>
      <c r="FD17" s="11"/>
      <c r="FE17" s="11"/>
      <c r="FF17" s="11"/>
      <c r="FG17" s="11"/>
      <c r="FH17" s="11"/>
      <c r="FI17" s="213"/>
      <c r="FJ17" s="11"/>
      <c r="FK17" s="11"/>
      <c r="FL17" s="11"/>
      <c r="FM17" s="11"/>
      <c r="FN17" s="11"/>
      <c r="FO17" s="11"/>
      <c r="FP17" s="11"/>
      <c r="FQ17" s="11"/>
      <c r="FR17" s="11"/>
      <c r="FS17" s="11"/>
      <c r="FT17" s="213"/>
      <c r="FU17" s="11"/>
      <c r="FV17" s="11"/>
      <c r="FW17" s="11"/>
      <c r="FX17" s="11"/>
      <c r="FY17" s="11"/>
      <c r="FZ17" s="213"/>
      <c r="GA17" s="11"/>
      <c r="GB17" s="11"/>
      <c r="GC17" s="11"/>
      <c r="GD17" s="11"/>
      <c r="GE17" s="11"/>
      <c r="GF17" s="11"/>
      <c r="GG17" s="11"/>
      <c r="GH17" s="11"/>
      <c r="GI17" s="11"/>
      <c r="GJ17" s="11"/>
      <c r="GK17" s="11"/>
      <c r="GL17" s="11"/>
      <c r="GM17" s="11"/>
      <c r="GN17" s="11"/>
      <c r="GO17" s="11"/>
      <c r="GP17" s="152"/>
    </row>
    <row r="18" spans="1:198" x14ac:dyDescent="0.2">
      <c r="A18" s="73" t="s">
        <v>1606</v>
      </c>
      <c r="B18" s="11" t="str">
        <f t="shared" si="0"/>
        <v>-</v>
      </c>
      <c r="C18" s="11" t="s">
        <v>1235</v>
      </c>
      <c r="D18" s="11"/>
      <c r="E18" s="11"/>
      <c r="F18" s="11" t="s">
        <v>2811</v>
      </c>
      <c r="G18" s="213"/>
      <c r="H18" s="11" t="s">
        <v>1235</v>
      </c>
      <c r="I18" s="11"/>
      <c r="J18" s="11"/>
      <c r="K18" s="11"/>
      <c r="L18" s="11"/>
      <c r="M18" s="11"/>
      <c r="N18" s="11"/>
      <c r="O18" s="11"/>
      <c r="P18" s="11"/>
      <c r="Q18" s="11"/>
      <c r="R18" s="11"/>
      <c r="S18" s="11"/>
      <c r="T18" s="11"/>
      <c r="U18" s="11"/>
      <c r="V18" s="11"/>
      <c r="W18" s="11" t="s">
        <v>1235</v>
      </c>
      <c r="X18" s="11"/>
      <c r="Y18" s="213"/>
      <c r="Z18" s="11"/>
      <c r="AA18" s="11"/>
      <c r="AB18" s="11"/>
      <c r="AC18" s="11"/>
      <c r="AD18" s="11"/>
      <c r="AE18" s="11"/>
      <c r="AF18" s="11"/>
      <c r="AG18" s="11"/>
      <c r="AH18" s="11"/>
      <c r="AI18" s="11"/>
      <c r="AJ18" s="11"/>
      <c r="AK18" s="11"/>
      <c r="AL18" s="11"/>
      <c r="AM18" s="11"/>
      <c r="AN18" s="11"/>
      <c r="AO18" s="11"/>
      <c r="AP18" s="11"/>
      <c r="AQ18" s="11"/>
      <c r="AR18" s="11"/>
      <c r="AS18" s="11"/>
      <c r="AT18" s="213" t="s">
        <v>1235</v>
      </c>
      <c r="AU18" s="11"/>
      <c r="AV18" s="11"/>
      <c r="AW18" s="11"/>
      <c r="AX18" s="11"/>
      <c r="AY18" s="11"/>
      <c r="AZ18" s="11" t="s">
        <v>1235</v>
      </c>
      <c r="BA18" s="11"/>
      <c r="BB18" s="11"/>
      <c r="BC18" s="11"/>
      <c r="BD18" s="11"/>
      <c r="BE18" s="213"/>
      <c r="BF18" s="11"/>
      <c r="BG18" s="11"/>
      <c r="BH18" s="11"/>
      <c r="BI18" s="11" t="s">
        <v>1235</v>
      </c>
      <c r="BJ18" s="11"/>
      <c r="BK18" s="11"/>
      <c r="BL18" s="11"/>
      <c r="BM18" s="11"/>
      <c r="BN18" s="11"/>
      <c r="BO18" s="11"/>
      <c r="BP18" s="11" t="s">
        <v>1235</v>
      </c>
      <c r="BQ18" s="213"/>
      <c r="BR18" s="11" t="s">
        <v>1235</v>
      </c>
      <c r="BS18" s="11"/>
      <c r="BT18" s="11" t="s">
        <v>1235</v>
      </c>
      <c r="BU18" s="11"/>
      <c r="BV18" s="11"/>
      <c r="BW18" s="11"/>
      <c r="BX18" s="11"/>
      <c r="BY18" s="11"/>
      <c r="BZ18" s="11"/>
      <c r="CA18" s="195"/>
      <c r="CB18" s="11"/>
      <c r="CC18" s="11"/>
      <c r="CD18" s="11"/>
      <c r="CE18" s="11"/>
      <c r="CF18" s="11"/>
      <c r="CG18" s="11"/>
      <c r="CH18" s="11"/>
      <c r="CI18" s="11"/>
      <c r="CJ18" s="11"/>
      <c r="CK18" s="213" t="s">
        <v>1235</v>
      </c>
      <c r="CL18" s="11"/>
      <c r="CM18" s="11"/>
      <c r="CN18" s="11"/>
      <c r="CO18" s="11"/>
      <c r="CP18" s="11"/>
      <c r="CQ18" s="11"/>
      <c r="CR18" s="11"/>
      <c r="CS18" s="11"/>
      <c r="CT18" s="11"/>
      <c r="CU18" s="11"/>
      <c r="CV18" s="11"/>
      <c r="CW18" s="213"/>
      <c r="CX18" s="11"/>
      <c r="CY18" s="11"/>
      <c r="CZ18" s="11"/>
      <c r="DA18" s="11" t="s">
        <v>1235</v>
      </c>
      <c r="DB18" s="11"/>
      <c r="DC18" s="11"/>
      <c r="DD18" s="11"/>
      <c r="DE18" s="11"/>
      <c r="DF18" s="11" t="s">
        <v>1235</v>
      </c>
      <c r="DG18" s="11"/>
      <c r="DH18" s="11"/>
      <c r="DI18" s="11"/>
      <c r="DJ18" s="11"/>
      <c r="DK18" s="11"/>
      <c r="DL18" s="11"/>
      <c r="DM18" s="11" t="s">
        <v>1235</v>
      </c>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213"/>
      <c r="EM18" s="11"/>
      <c r="EN18" s="11" t="s">
        <v>1235</v>
      </c>
      <c r="EO18" s="11"/>
      <c r="EP18" s="11" t="s">
        <v>1235</v>
      </c>
      <c r="EQ18" s="11"/>
      <c r="ER18" s="11"/>
      <c r="ES18" s="11"/>
      <c r="ET18" s="11"/>
      <c r="EU18" s="11"/>
      <c r="EV18" s="11"/>
      <c r="EW18" s="213"/>
      <c r="EX18" s="11"/>
      <c r="EY18" s="11"/>
      <c r="EZ18" s="11"/>
      <c r="FA18" s="213"/>
      <c r="FB18" s="11"/>
      <c r="FC18" s="11"/>
      <c r="FD18" s="11"/>
      <c r="FE18" s="11"/>
      <c r="FF18" s="11"/>
      <c r="FG18" s="11"/>
      <c r="FH18" s="11"/>
      <c r="FI18" s="213"/>
      <c r="FJ18" s="11"/>
      <c r="FK18" s="11"/>
      <c r="FL18" s="11"/>
      <c r="FM18" s="11"/>
      <c r="FN18" s="11"/>
      <c r="FO18" s="11"/>
      <c r="FP18" s="11"/>
      <c r="FQ18" s="11"/>
      <c r="FR18" s="11"/>
      <c r="FS18" s="11"/>
      <c r="FT18" s="213"/>
      <c r="FU18" s="11"/>
      <c r="FV18" s="11"/>
      <c r="FW18" s="11"/>
      <c r="FX18" s="11"/>
      <c r="FY18" s="11"/>
      <c r="FZ18" s="213"/>
      <c r="GA18" s="11"/>
      <c r="GB18" s="11"/>
      <c r="GC18" s="11"/>
      <c r="GD18" s="11"/>
      <c r="GE18" s="11"/>
      <c r="GF18" s="11"/>
      <c r="GG18" s="11"/>
      <c r="GH18" s="11"/>
      <c r="GI18" s="11"/>
      <c r="GJ18" s="11"/>
      <c r="GK18" s="11"/>
      <c r="GL18" s="11"/>
      <c r="GM18" s="11"/>
      <c r="GN18" s="11"/>
      <c r="GO18" s="11"/>
      <c r="GP18" s="152"/>
    </row>
    <row r="19" spans="1:198" x14ac:dyDescent="0.2">
      <c r="A19" s="74" t="s">
        <v>1608</v>
      </c>
      <c r="B19" s="11" t="str">
        <f>IF(AND(ISTEXT("https://github.com/SeUniVr/EtherSolve/"),"https://github.com/SeUniVr/EtherSolve/"&lt;&gt;""), HYPERLINK("https://github.com/SeUniVr/EtherSolve/", "Link"),"-")</f>
        <v>Link</v>
      </c>
      <c r="C19" s="11" t="s">
        <v>1235</v>
      </c>
      <c r="D19" s="11"/>
      <c r="E19" s="11" t="s">
        <v>1235</v>
      </c>
      <c r="F19" s="11" t="s">
        <v>2812</v>
      </c>
      <c r="G19" s="213"/>
      <c r="H19" s="11" t="s">
        <v>1235</v>
      </c>
      <c r="I19" s="11"/>
      <c r="J19" s="11"/>
      <c r="K19" s="11"/>
      <c r="L19" s="11"/>
      <c r="M19" s="11"/>
      <c r="N19" s="11"/>
      <c r="O19" s="11"/>
      <c r="P19" s="11"/>
      <c r="Q19" s="11"/>
      <c r="R19" s="11"/>
      <c r="S19" s="11"/>
      <c r="T19" s="11"/>
      <c r="U19" s="11"/>
      <c r="V19" s="11"/>
      <c r="W19" s="11"/>
      <c r="X19" s="11"/>
      <c r="Y19" s="213"/>
      <c r="Z19" s="11"/>
      <c r="AA19" s="11"/>
      <c r="AB19" s="11"/>
      <c r="AC19" s="11"/>
      <c r="AD19" s="11"/>
      <c r="AE19" s="11"/>
      <c r="AF19" s="11"/>
      <c r="AG19" s="11"/>
      <c r="AH19" s="11"/>
      <c r="AI19" s="11"/>
      <c r="AJ19" s="11"/>
      <c r="AK19" s="11"/>
      <c r="AL19" s="11"/>
      <c r="AM19" s="11"/>
      <c r="AN19" s="11"/>
      <c r="AO19" s="11"/>
      <c r="AP19" s="11"/>
      <c r="AQ19" s="11"/>
      <c r="AR19" s="11"/>
      <c r="AS19" s="11"/>
      <c r="AT19" s="213"/>
      <c r="AU19" s="11"/>
      <c r="AV19" s="11"/>
      <c r="AW19" s="11"/>
      <c r="AX19" s="11"/>
      <c r="AY19" s="11"/>
      <c r="AZ19" s="11"/>
      <c r="BA19" s="11"/>
      <c r="BB19" s="11"/>
      <c r="BC19" s="11"/>
      <c r="BD19" s="11"/>
      <c r="BE19" s="213"/>
      <c r="BF19" s="11"/>
      <c r="BG19" s="11"/>
      <c r="BH19" s="11"/>
      <c r="BI19" s="11"/>
      <c r="BJ19" s="11"/>
      <c r="BK19" s="11"/>
      <c r="BL19" s="11"/>
      <c r="BM19" s="11"/>
      <c r="BN19" s="11"/>
      <c r="BO19" s="11"/>
      <c r="BP19" s="11"/>
      <c r="BQ19" s="213"/>
      <c r="BR19" s="11"/>
      <c r="BS19" s="11"/>
      <c r="BT19" s="11"/>
      <c r="BU19" s="11"/>
      <c r="BV19" s="11"/>
      <c r="BW19" s="11"/>
      <c r="BX19" s="11"/>
      <c r="BY19" s="11"/>
      <c r="BZ19" s="11"/>
      <c r="CA19" s="195"/>
      <c r="CB19" s="11"/>
      <c r="CC19" s="11"/>
      <c r="CD19" s="11"/>
      <c r="CE19" s="11"/>
      <c r="CF19" s="11"/>
      <c r="CG19" s="11"/>
      <c r="CH19" s="11"/>
      <c r="CI19" s="11"/>
      <c r="CJ19" s="11"/>
      <c r="CK19" s="213"/>
      <c r="CL19" s="11"/>
      <c r="CM19" s="11"/>
      <c r="CN19" s="11"/>
      <c r="CO19" s="11"/>
      <c r="CP19" s="11"/>
      <c r="CQ19" s="11"/>
      <c r="CR19" s="11"/>
      <c r="CS19" s="11"/>
      <c r="CT19" s="11"/>
      <c r="CU19" s="11"/>
      <c r="CV19" s="11"/>
      <c r="CW19" s="213"/>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213"/>
      <c r="EM19" s="11"/>
      <c r="EN19" s="11"/>
      <c r="EO19" s="11"/>
      <c r="EP19" s="11"/>
      <c r="EQ19" s="11"/>
      <c r="ER19" s="11"/>
      <c r="ES19" s="11"/>
      <c r="ET19" s="11"/>
      <c r="EU19" s="11"/>
      <c r="EV19" s="11"/>
      <c r="EW19" s="213"/>
      <c r="EX19" s="11"/>
      <c r="EY19" s="11"/>
      <c r="EZ19" s="11"/>
      <c r="FA19" s="213"/>
      <c r="FB19" s="11"/>
      <c r="FC19" s="11"/>
      <c r="FD19" s="11"/>
      <c r="FE19" s="11"/>
      <c r="FF19" s="11"/>
      <c r="FG19" s="11"/>
      <c r="FH19" s="11"/>
      <c r="FI19" s="213"/>
      <c r="FJ19" s="11"/>
      <c r="FK19" s="11"/>
      <c r="FL19" s="11"/>
      <c r="FM19" s="11"/>
      <c r="FN19" s="11"/>
      <c r="FO19" s="11"/>
      <c r="FP19" s="11"/>
      <c r="FQ19" s="11"/>
      <c r="FR19" s="11"/>
      <c r="FS19" s="11"/>
      <c r="FT19" s="213"/>
      <c r="FU19" s="11"/>
      <c r="FV19" s="11"/>
      <c r="FW19" s="11"/>
      <c r="FX19" s="11"/>
      <c r="FY19" s="11"/>
      <c r="FZ19" s="213"/>
      <c r="GA19" s="11"/>
      <c r="GB19" s="11"/>
      <c r="GC19" s="11"/>
      <c r="GD19" s="11"/>
      <c r="GE19" s="11"/>
      <c r="GF19" s="11"/>
      <c r="GG19" s="11"/>
      <c r="GH19" s="11"/>
      <c r="GI19" s="11"/>
      <c r="GJ19" s="11"/>
      <c r="GK19" s="11"/>
      <c r="GL19" s="11"/>
      <c r="GM19" s="11"/>
      <c r="GN19" s="11"/>
      <c r="GO19" s="11"/>
      <c r="GP19" s="152"/>
    </row>
    <row r="20" spans="1:198" x14ac:dyDescent="0.2">
      <c r="A20" s="73" t="s">
        <v>1612</v>
      </c>
      <c r="B20" s="11" t="str">
        <f>IF(AND(ISTEXT(""),""&lt;&gt;""), HYPERLINK("", "Link"),"-")</f>
        <v>-</v>
      </c>
      <c r="C20" s="11" t="s">
        <v>1235</v>
      </c>
      <c r="D20" s="11"/>
      <c r="E20" s="11"/>
      <c r="F20" s="11" t="s">
        <v>2811</v>
      </c>
      <c r="G20" s="213"/>
      <c r="H20" s="11"/>
      <c r="I20" s="11"/>
      <c r="J20" s="11"/>
      <c r="K20" s="11"/>
      <c r="L20" s="11"/>
      <c r="M20" s="11"/>
      <c r="N20" s="11"/>
      <c r="O20" s="11"/>
      <c r="P20" s="11"/>
      <c r="Q20" s="11"/>
      <c r="R20" s="11"/>
      <c r="S20" s="11"/>
      <c r="T20" s="11"/>
      <c r="U20" s="11"/>
      <c r="V20" s="11"/>
      <c r="W20" s="11"/>
      <c r="X20" s="11"/>
      <c r="Y20" s="213"/>
      <c r="Z20" s="11"/>
      <c r="AA20" s="11"/>
      <c r="AB20" s="11"/>
      <c r="AC20" s="11"/>
      <c r="AD20" s="11"/>
      <c r="AE20" s="11"/>
      <c r="AF20" s="11"/>
      <c r="AG20" s="11"/>
      <c r="AH20" s="11"/>
      <c r="AI20" s="11"/>
      <c r="AJ20" s="11"/>
      <c r="AK20" s="11"/>
      <c r="AL20" s="11"/>
      <c r="AM20" s="11"/>
      <c r="AN20" s="11"/>
      <c r="AO20" s="11"/>
      <c r="AP20" s="11"/>
      <c r="AQ20" s="11"/>
      <c r="AR20" s="11"/>
      <c r="AS20" s="11"/>
      <c r="AT20" s="213"/>
      <c r="AU20" s="11"/>
      <c r="AV20" s="11"/>
      <c r="AW20" s="11"/>
      <c r="AX20" s="11"/>
      <c r="AY20" s="11"/>
      <c r="AZ20" s="11"/>
      <c r="BA20" s="11"/>
      <c r="BB20" s="11"/>
      <c r="BC20" s="11"/>
      <c r="BD20" s="11"/>
      <c r="BE20" s="213" t="s">
        <v>1235</v>
      </c>
      <c r="BF20" s="11"/>
      <c r="BG20" s="11"/>
      <c r="BH20" s="11"/>
      <c r="BI20" s="11"/>
      <c r="BJ20" s="11"/>
      <c r="BK20" s="11"/>
      <c r="BL20" s="11"/>
      <c r="BM20" s="11"/>
      <c r="BN20" s="11"/>
      <c r="BO20" s="11"/>
      <c r="BP20" s="11"/>
      <c r="BQ20" s="213"/>
      <c r="BR20" s="11"/>
      <c r="BS20" s="11"/>
      <c r="BT20" s="11"/>
      <c r="BU20" s="11"/>
      <c r="BV20" s="11"/>
      <c r="BW20" s="11"/>
      <c r="BX20" s="11"/>
      <c r="BY20" s="11"/>
      <c r="BZ20" s="11"/>
      <c r="CA20" s="195"/>
      <c r="CB20" s="11"/>
      <c r="CC20" s="11"/>
      <c r="CD20" s="11"/>
      <c r="CE20" s="11"/>
      <c r="CF20" s="11"/>
      <c r="CG20" s="11"/>
      <c r="CH20" s="11"/>
      <c r="CI20" s="11"/>
      <c r="CJ20" s="11"/>
      <c r="CK20" s="213"/>
      <c r="CL20" s="11"/>
      <c r="CM20" s="11"/>
      <c r="CN20" s="11"/>
      <c r="CO20" s="11"/>
      <c r="CP20" s="11"/>
      <c r="CQ20" s="11"/>
      <c r="CR20" s="11"/>
      <c r="CS20" s="11"/>
      <c r="CT20" s="11"/>
      <c r="CU20" s="11"/>
      <c r="CV20" s="11"/>
      <c r="CW20" s="213"/>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213"/>
      <c r="EM20" s="11"/>
      <c r="EN20" s="11"/>
      <c r="EO20" s="11"/>
      <c r="EP20" s="11"/>
      <c r="EQ20" s="11"/>
      <c r="ER20" s="11"/>
      <c r="ES20" s="11"/>
      <c r="ET20" s="11"/>
      <c r="EU20" s="11"/>
      <c r="EV20" s="11"/>
      <c r="EW20" s="213"/>
      <c r="EX20" s="11"/>
      <c r="EY20" s="11"/>
      <c r="EZ20" s="11"/>
      <c r="FA20" s="213"/>
      <c r="FB20" s="11"/>
      <c r="FC20" s="11"/>
      <c r="FD20" s="11"/>
      <c r="FE20" s="11"/>
      <c r="FF20" s="11"/>
      <c r="FG20" s="11"/>
      <c r="FH20" s="11"/>
      <c r="FI20" s="213"/>
      <c r="FJ20" s="11"/>
      <c r="FK20" s="11"/>
      <c r="FL20" s="11"/>
      <c r="FM20" s="11"/>
      <c r="FN20" s="11"/>
      <c r="FO20" s="11"/>
      <c r="FP20" s="11"/>
      <c r="FQ20" s="11"/>
      <c r="FR20" s="11"/>
      <c r="FS20" s="11"/>
      <c r="FT20" s="213"/>
      <c r="FU20" s="11"/>
      <c r="FV20" s="11"/>
      <c r="FW20" s="11"/>
      <c r="FX20" s="11"/>
      <c r="FY20" s="11"/>
      <c r="FZ20" s="213"/>
      <c r="GA20" s="11"/>
      <c r="GB20" s="11"/>
      <c r="GC20" s="11"/>
      <c r="GD20" s="11"/>
      <c r="GE20" s="11"/>
      <c r="GF20" s="11"/>
      <c r="GG20" s="11"/>
      <c r="GH20" s="11"/>
      <c r="GI20" s="11"/>
      <c r="GJ20" s="11"/>
      <c r="GK20" s="11"/>
      <c r="GL20" s="11"/>
      <c r="GM20" s="11"/>
      <c r="GN20" s="11"/>
      <c r="GO20" s="11"/>
      <c r="GP20" s="152"/>
    </row>
    <row r="21" spans="1:198" x14ac:dyDescent="0.2">
      <c r="A21" s="74" t="s">
        <v>1614</v>
      </c>
      <c r="B21" s="11" t="str">
        <f>IF(AND(ISTEXT("https://github.com/MRdoulestar/DeeSCVHunter"),"https://github.com/MRdoulestar/DeeSCVHunter"&lt;&gt;""), HYPERLINK("https://github.com/MRdoulestar/DeeSCVHunter", "Link"),"-")</f>
        <v>Link</v>
      </c>
      <c r="C21" s="11" t="s">
        <v>1235</v>
      </c>
      <c r="D21" s="11"/>
      <c r="E21" s="11" t="s">
        <v>1235</v>
      </c>
      <c r="F21" s="11" t="s">
        <v>2812</v>
      </c>
      <c r="G21" s="213"/>
      <c r="H21" s="11" t="s">
        <v>1235</v>
      </c>
      <c r="I21" s="11"/>
      <c r="J21" s="11"/>
      <c r="K21" s="11"/>
      <c r="L21" s="11"/>
      <c r="M21" s="11"/>
      <c r="N21" s="11"/>
      <c r="O21" s="11"/>
      <c r="P21" s="11"/>
      <c r="Q21" s="11"/>
      <c r="R21" s="11"/>
      <c r="S21" s="11"/>
      <c r="T21" s="11"/>
      <c r="U21" s="11"/>
      <c r="V21" s="11"/>
      <c r="W21" s="11"/>
      <c r="X21" s="11"/>
      <c r="Y21" s="213"/>
      <c r="Z21" s="11" t="s">
        <v>1235</v>
      </c>
      <c r="AA21" s="11"/>
      <c r="AB21" s="11"/>
      <c r="AC21" s="11"/>
      <c r="AD21" s="11"/>
      <c r="AE21" s="11"/>
      <c r="AF21" s="11"/>
      <c r="AG21" s="11"/>
      <c r="AH21" s="11"/>
      <c r="AI21" s="11"/>
      <c r="AJ21" s="11"/>
      <c r="AK21" s="11"/>
      <c r="AL21" s="11"/>
      <c r="AM21" s="11"/>
      <c r="AN21" s="11"/>
      <c r="AO21" s="11"/>
      <c r="AP21" s="11"/>
      <c r="AQ21" s="11"/>
      <c r="AR21" s="11"/>
      <c r="AS21" s="11"/>
      <c r="AT21" s="213"/>
      <c r="AU21" s="11"/>
      <c r="AV21" s="11"/>
      <c r="AW21" s="11"/>
      <c r="AX21" s="11"/>
      <c r="AY21" s="11"/>
      <c r="AZ21" s="11"/>
      <c r="BA21" s="11"/>
      <c r="BB21" s="11"/>
      <c r="BC21" s="11"/>
      <c r="BD21" s="11"/>
      <c r="BE21" s="213"/>
      <c r="BF21" s="11"/>
      <c r="BG21" s="11"/>
      <c r="BH21" s="11"/>
      <c r="BI21" s="11"/>
      <c r="BJ21" s="11"/>
      <c r="BK21" s="11"/>
      <c r="BL21" s="11"/>
      <c r="BM21" s="11"/>
      <c r="BN21" s="11"/>
      <c r="BO21" s="11"/>
      <c r="BP21" s="11"/>
      <c r="BQ21" s="213"/>
      <c r="BR21" s="11"/>
      <c r="BS21" s="11"/>
      <c r="BT21" s="11"/>
      <c r="BU21" s="11"/>
      <c r="BV21" s="11"/>
      <c r="BW21" s="11"/>
      <c r="BX21" s="11"/>
      <c r="BY21" s="11"/>
      <c r="BZ21" s="11"/>
      <c r="CA21" s="195"/>
      <c r="CB21" s="11"/>
      <c r="CC21" s="11"/>
      <c r="CD21" s="11"/>
      <c r="CE21" s="11"/>
      <c r="CF21" s="11"/>
      <c r="CG21" s="11"/>
      <c r="CH21" s="11"/>
      <c r="CI21" s="11"/>
      <c r="CJ21" s="11"/>
      <c r="CK21" s="213"/>
      <c r="CL21" s="11"/>
      <c r="CM21" s="11"/>
      <c r="CN21" s="11"/>
      <c r="CO21" s="11"/>
      <c r="CP21" s="11"/>
      <c r="CQ21" s="11"/>
      <c r="CR21" s="11"/>
      <c r="CS21" s="11"/>
      <c r="CT21" s="11"/>
      <c r="CU21" s="11"/>
      <c r="CV21" s="11"/>
      <c r="CW21" s="213"/>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213"/>
      <c r="EM21" s="11"/>
      <c r="EN21" s="11"/>
      <c r="EO21" s="11"/>
      <c r="EP21" s="11"/>
      <c r="EQ21" s="11"/>
      <c r="ER21" s="11"/>
      <c r="ES21" s="11"/>
      <c r="ET21" s="11"/>
      <c r="EU21" s="11"/>
      <c r="EV21" s="11"/>
      <c r="EW21" s="213"/>
      <c r="EX21" s="11"/>
      <c r="EY21" s="11"/>
      <c r="EZ21" s="11"/>
      <c r="FA21" s="213"/>
      <c r="FB21" s="11"/>
      <c r="FC21" s="11"/>
      <c r="FD21" s="11"/>
      <c r="FE21" s="11"/>
      <c r="FF21" s="11"/>
      <c r="FG21" s="11"/>
      <c r="FH21" s="11"/>
      <c r="FI21" s="213"/>
      <c r="FJ21" s="11"/>
      <c r="FK21" s="11"/>
      <c r="FL21" s="11"/>
      <c r="FM21" s="11"/>
      <c r="FN21" s="11"/>
      <c r="FO21" s="11"/>
      <c r="FP21" s="11"/>
      <c r="FQ21" s="11"/>
      <c r="FR21" s="11"/>
      <c r="FS21" s="11"/>
      <c r="FT21" s="213"/>
      <c r="FU21" s="11"/>
      <c r="FV21" s="11"/>
      <c r="FW21" s="11"/>
      <c r="FX21" s="11"/>
      <c r="FY21" s="11"/>
      <c r="FZ21" s="213"/>
      <c r="GA21" s="11"/>
      <c r="GB21" s="11"/>
      <c r="GC21" s="11"/>
      <c r="GD21" s="11"/>
      <c r="GE21" s="11"/>
      <c r="GF21" s="11"/>
      <c r="GG21" s="11"/>
      <c r="GH21" s="11"/>
      <c r="GI21" s="11"/>
      <c r="GJ21" s="11"/>
      <c r="GK21" s="11"/>
      <c r="GL21" s="11"/>
      <c r="GM21" s="11"/>
      <c r="GN21" s="11"/>
      <c r="GO21" s="11"/>
      <c r="GP21" s="152"/>
    </row>
    <row r="22" spans="1:198" x14ac:dyDescent="0.2">
      <c r="A22" s="74" t="s">
        <v>1618</v>
      </c>
      <c r="B22" s="11" t="str">
        <f>IF(AND(ISTEXT("https://github.com/FISCO-BCOS/FISCO-BCOS"),"https://github.com/FISCO-BCOS/FISCO-BCOS"&lt;&gt;""), HYPERLINK("https://github.com/FISCO-BCOS/FISCO-BCOS", "Link"),"-")</f>
        <v>Link</v>
      </c>
      <c r="C22" s="11"/>
      <c r="D22" s="11" t="s">
        <v>1235</v>
      </c>
      <c r="E22" s="11" t="s">
        <v>1235</v>
      </c>
      <c r="F22" s="11" t="s">
        <v>2812</v>
      </c>
      <c r="G22" s="213"/>
      <c r="H22" s="11"/>
      <c r="I22" s="11"/>
      <c r="J22" s="11"/>
      <c r="K22" s="11"/>
      <c r="L22" s="11"/>
      <c r="M22" s="11"/>
      <c r="N22" s="11"/>
      <c r="O22" s="11"/>
      <c r="P22" s="11"/>
      <c r="Q22" s="11" t="s">
        <v>1235</v>
      </c>
      <c r="R22" s="11"/>
      <c r="S22" s="11"/>
      <c r="T22" s="11"/>
      <c r="U22" s="11"/>
      <c r="V22" s="11" t="s">
        <v>1235</v>
      </c>
      <c r="W22" s="11"/>
      <c r="X22" s="11"/>
      <c r="Y22" s="213"/>
      <c r="Z22" s="11" t="s">
        <v>1235</v>
      </c>
      <c r="AA22" s="11"/>
      <c r="AB22" s="11"/>
      <c r="AC22" s="11"/>
      <c r="AD22" s="11"/>
      <c r="AE22" s="11"/>
      <c r="AF22" s="11"/>
      <c r="AG22" s="11"/>
      <c r="AH22" s="11"/>
      <c r="AI22" s="11"/>
      <c r="AJ22" s="11"/>
      <c r="AK22" s="11"/>
      <c r="AL22" s="11"/>
      <c r="AM22" s="11"/>
      <c r="AN22" s="11"/>
      <c r="AO22" s="11"/>
      <c r="AP22" s="11"/>
      <c r="AQ22" s="11"/>
      <c r="AR22" s="11"/>
      <c r="AS22" s="11"/>
      <c r="AT22" s="213"/>
      <c r="AU22" s="11"/>
      <c r="AV22" s="11"/>
      <c r="AW22" s="11"/>
      <c r="AX22" s="11"/>
      <c r="AY22" s="11"/>
      <c r="AZ22" s="11"/>
      <c r="BA22" s="11"/>
      <c r="BB22" s="11"/>
      <c r="BC22" s="11"/>
      <c r="BD22" s="11"/>
      <c r="BE22" s="213"/>
      <c r="BF22" s="11"/>
      <c r="BG22" s="11"/>
      <c r="BH22" s="11"/>
      <c r="BI22" s="11"/>
      <c r="BJ22" s="11"/>
      <c r="BK22" s="11"/>
      <c r="BL22" s="11"/>
      <c r="BM22" s="11"/>
      <c r="BN22" s="11"/>
      <c r="BO22" s="11"/>
      <c r="BP22" s="11"/>
      <c r="BQ22" s="213"/>
      <c r="BR22" s="11"/>
      <c r="BS22" s="11"/>
      <c r="BT22" s="11"/>
      <c r="BU22" s="11"/>
      <c r="BV22" s="11"/>
      <c r="BW22" s="11"/>
      <c r="BX22" s="11"/>
      <c r="BY22" s="11"/>
      <c r="BZ22" s="11"/>
      <c r="CA22" s="195"/>
      <c r="CB22" s="11"/>
      <c r="CC22" s="11"/>
      <c r="CD22" s="11"/>
      <c r="CE22" s="11"/>
      <c r="CF22" s="11"/>
      <c r="CG22" s="11"/>
      <c r="CH22" s="11"/>
      <c r="CI22" s="11"/>
      <c r="CJ22" s="11"/>
      <c r="CK22" s="213" t="s">
        <v>1235</v>
      </c>
      <c r="CL22" s="11"/>
      <c r="CM22" s="11"/>
      <c r="CN22" s="11"/>
      <c r="CO22" s="11"/>
      <c r="CP22" s="11"/>
      <c r="CQ22" s="11"/>
      <c r="CR22" s="11"/>
      <c r="CS22" s="11"/>
      <c r="CT22" s="11"/>
      <c r="CU22" s="11"/>
      <c r="CV22" s="11"/>
      <c r="CW22" s="213"/>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213"/>
      <c r="EM22" s="11"/>
      <c r="EN22" s="11"/>
      <c r="EO22" s="11"/>
      <c r="EP22" s="11"/>
      <c r="EQ22" s="11"/>
      <c r="ER22" s="11"/>
      <c r="ES22" s="11"/>
      <c r="ET22" s="11"/>
      <c r="EU22" s="11"/>
      <c r="EV22" s="11"/>
      <c r="EW22" s="213"/>
      <c r="EX22" s="11"/>
      <c r="EY22" s="11"/>
      <c r="EZ22" s="11"/>
      <c r="FA22" s="213"/>
      <c r="FB22" s="11"/>
      <c r="FC22" s="11"/>
      <c r="FD22" s="11"/>
      <c r="FE22" s="11"/>
      <c r="FF22" s="11"/>
      <c r="FG22" s="11"/>
      <c r="FH22" s="11"/>
      <c r="FI22" s="213"/>
      <c r="FJ22" s="11"/>
      <c r="FK22" s="11"/>
      <c r="FL22" s="11"/>
      <c r="FM22" s="11"/>
      <c r="FN22" s="11"/>
      <c r="FO22" s="11"/>
      <c r="FP22" s="11"/>
      <c r="FQ22" s="11"/>
      <c r="FR22" s="11"/>
      <c r="FS22" s="11"/>
      <c r="FT22" s="213"/>
      <c r="FU22" s="11"/>
      <c r="FV22" s="11"/>
      <c r="FW22" s="11"/>
      <c r="FX22" s="11"/>
      <c r="FY22" s="11"/>
      <c r="FZ22" s="213"/>
      <c r="GA22" s="11"/>
      <c r="GB22" s="11"/>
      <c r="GC22" s="11"/>
      <c r="GD22" s="11"/>
      <c r="GE22" s="11"/>
      <c r="GF22" s="11"/>
      <c r="GG22" s="11"/>
      <c r="GH22" s="11"/>
      <c r="GI22" s="11"/>
      <c r="GJ22" s="11"/>
      <c r="GK22" s="11"/>
      <c r="GL22" s="11"/>
      <c r="GM22" s="11"/>
      <c r="GN22" s="11"/>
      <c r="GO22" s="11"/>
      <c r="GP22" s="152"/>
    </row>
    <row r="23" spans="1:198" x14ac:dyDescent="0.2">
      <c r="A23" s="74" t="s">
        <v>1623</v>
      </c>
      <c r="B23" s="11" t="str">
        <f>IF(AND(ISTEXT("https://github.com/fseclab-osaka/eth2vec"),"https://github.com/fseclab-osaka/eth2vec"&lt;&gt;""), HYPERLINK("https://github.com/fseclab-osaka/eth2vec", "Link"),"-")</f>
        <v>Link</v>
      </c>
      <c r="C23" s="11" t="s">
        <v>1235</v>
      </c>
      <c r="D23" s="11"/>
      <c r="E23" s="11" t="s">
        <v>1235</v>
      </c>
      <c r="F23" s="11" t="s">
        <v>2812</v>
      </c>
      <c r="G23" s="213"/>
      <c r="H23" s="11" t="s">
        <v>1235</v>
      </c>
      <c r="I23" s="11"/>
      <c r="J23" s="11"/>
      <c r="K23" s="11"/>
      <c r="L23" s="11"/>
      <c r="M23" s="11"/>
      <c r="N23" s="11"/>
      <c r="O23" s="11"/>
      <c r="P23" s="11"/>
      <c r="Q23" s="11"/>
      <c r="R23" s="11"/>
      <c r="S23" s="11"/>
      <c r="T23" s="11"/>
      <c r="U23" s="11"/>
      <c r="V23" s="11"/>
      <c r="W23" s="11"/>
      <c r="X23" s="11"/>
      <c r="Y23" s="213"/>
      <c r="Z23" s="11" t="s">
        <v>1235</v>
      </c>
      <c r="AA23" s="11"/>
      <c r="AB23" s="11"/>
      <c r="AC23" s="11"/>
      <c r="AD23" s="11"/>
      <c r="AE23" s="11"/>
      <c r="AF23" s="11"/>
      <c r="AG23" s="11"/>
      <c r="AH23" s="11"/>
      <c r="AI23" s="11"/>
      <c r="AJ23" s="11"/>
      <c r="AK23" s="11"/>
      <c r="AL23" s="11"/>
      <c r="AM23" s="11"/>
      <c r="AN23" s="11"/>
      <c r="AO23" s="11"/>
      <c r="AP23" s="11"/>
      <c r="AQ23" s="11"/>
      <c r="AR23" s="11"/>
      <c r="AS23" s="11"/>
      <c r="AT23" s="213"/>
      <c r="AU23" s="11"/>
      <c r="AV23" s="11"/>
      <c r="AW23" s="11"/>
      <c r="AX23" s="11"/>
      <c r="AY23" s="11"/>
      <c r="AZ23" s="11"/>
      <c r="BA23" s="11"/>
      <c r="BB23" s="11"/>
      <c r="BC23" s="11"/>
      <c r="BD23" s="11"/>
      <c r="BE23" s="213"/>
      <c r="BF23" s="11"/>
      <c r="BG23" s="11" t="s">
        <v>1235</v>
      </c>
      <c r="BH23" s="11"/>
      <c r="BI23" s="11"/>
      <c r="BJ23" s="11"/>
      <c r="BK23" s="11"/>
      <c r="BL23" s="11"/>
      <c r="BM23" s="11"/>
      <c r="BN23" s="11"/>
      <c r="BO23" s="11"/>
      <c r="BP23" s="11"/>
      <c r="BQ23" s="213"/>
      <c r="BR23" s="11"/>
      <c r="BS23" s="11"/>
      <c r="BT23" s="11"/>
      <c r="BU23" s="11"/>
      <c r="BV23" s="11"/>
      <c r="BW23" s="11"/>
      <c r="BX23" s="11" t="s">
        <v>1235</v>
      </c>
      <c r="BY23" s="11"/>
      <c r="BZ23" s="11"/>
      <c r="CA23" s="195"/>
      <c r="CB23" s="11"/>
      <c r="CC23" s="11"/>
      <c r="CD23" s="11"/>
      <c r="CE23" s="11"/>
      <c r="CF23" s="11"/>
      <c r="CG23" s="11"/>
      <c r="CH23" s="11"/>
      <c r="CI23" s="11"/>
      <c r="CJ23" s="11"/>
      <c r="CK23" s="213" t="s">
        <v>1235</v>
      </c>
      <c r="CL23" s="11"/>
      <c r="CM23" s="11"/>
      <c r="CN23" s="11"/>
      <c r="CO23" s="11"/>
      <c r="CP23" s="11"/>
      <c r="CQ23" s="11"/>
      <c r="CR23" s="11"/>
      <c r="CS23" s="11"/>
      <c r="CT23" s="11"/>
      <c r="CU23" s="11"/>
      <c r="CV23" s="11"/>
      <c r="CW23" s="213"/>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213"/>
      <c r="EM23" s="11"/>
      <c r="EN23" s="11"/>
      <c r="EO23" s="11"/>
      <c r="EP23" s="11" t="s">
        <v>1235</v>
      </c>
      <c r="EQ23" s="11"/>
      <c r="ER23" s="11"/>
      <c r="ES23" s="11"/>
      <c r="ET23" s="11"/>
      <c r="EU23" s="11"/>
      <c r="EV23" s="11"/>
      <c r="EW23" s="213"/>
      <c r="EX23" s="11"/>
      <c r="EY23" s="11"/>
      <c r="EZ23" s="11"/>
      <c r="FA23" s="213"/>
      <c r="FB23" s="11"/>
      <c r="FC23" s="11"/>
      <c r="FD23" s="11"/>
      <c r="FE23" s="11"/>
      <c r="FF23" s="11"/>
      <c r="FG23" s="11"/>
      <c r="FH23" s="11"/>
      <c r="FI23" s="213"/>
      <c r="FJ23" s="11"/>
      <c r="FK23" s="11"/>
      <c r="FL23" s="11"/>
      <c r="FM23" s="11"/>
      <c r="FN23" s="11"/>
      <c r="FO23" s="11"/>
      <c r="FP23" s="11"/>
      <c r="FQ23" s="11"/>
      <c r="FR23" s="11"/>
      <c r="FS23" s="11"/>
      <c r="FT23" s="213"/>
      <c r="FU23" s="11"/>
      <c r="FV23" s="11"/>
      <c r="FW23" s="11"/>
      <c r="FX23" s="11"/>
      <c r="FY23" s="11"/>
      <c r="FZ23" s="213"/>
      <c r="GA23" s="11"/>
      <c r="GB23" s="11"/>
      <c r="GC23" s="11"/>
      <c r="GD23" s="11"/>
      <c r="GE23" s="11"/>
      <c r="GF23" s="11"/>
      <c r="GG23" s="11"/>
      <c r="GH23" s="11"/>
      <c r="GI23" s="11"/>
      <c r="GJ23" s="11"/>
      <c r="GK23" s="11"/>
      <c r="GL23" s="11"/>
      <c r="GM23" s="11"/>
      <c r="GN23" s="11"/>
      <c r="GO23" s="11"/>
      <c r="GP23" s="152"/>
    </row>
    <row r="24" spans="1:198" x14ac:dyDescent="0.2">
      <c r="A24" s="74" t="s">
        <v>1626</v>
      </c>
      <c r="B24" s="11" t="str">
        <f>IF(AND(ISTEXT(""),""&lt;&gt;""), HYPERLINK("", "Link"),"-")</f>
        <v>-</v>
      </c>
      <c r="C24" s="11" t="s">
        <v>1235</v>
      </c>
      <c r="D24" s="11"/>
      <c r="E24" s="11"/>
      <c r="F24" s="11" t="s">
        <v>2812</v>
      </c>
      <c r="G24" s="213"/>
      <c r="H24" s="11" t="s">
        <v>1235</v>
      </c>
      <c r="I24" s="11"/>
      <c r="J24" s="11"/>
      <c r="K24" s="11"/>
      <c r="L24" s="11"/>
      <c r="M24" s="11"/>
      <c r="N24" s="11"/>
      <c r="O24" s="11"/>
      <c r="P24" s="11"/>
      <c r="Q24" s="11"/>
      <c r="R24" s="11"/>
      <c r="S24" s="11"/>
      <c r="T24" s="11"/>
      <c r="U24" s="11"/>
      <c r="V24" s="11"/>
      <c r="W24" s="11"/>
      <c r="X24" s="11"/>
      <c r="Y24" s="213"/>
      <c r="Z24" s="11"/>
      <c r="AA24" s="11"/>
      <c r="AB24" s="11"/>
      <c r="AC24" s="11"/>
      <c r="AD24" s="11"/>
      <c r="AE24" s="11"/>
      <c r="AF24" s="11"/>
      <c r="AG24" s="11"/>
      <c r="AH24" s="11"/>
      <c r="AI24" s="11"/>
      <c r="AJ24" s="11"/>
      <c r="AK24" s="11"/>
      <c r="AL24" s="11"/>
      <c r="AM24" s="11"/>
      <c r="AN24" s="11"/>
      <c r="AO24" s="11"/>
      <c r="AP24" s="11"/>
      <c r="AQ24" s="11"/>
      <c r="AR24" s="11"/>
      <c r="AS24" s="11"/>
      <c r="AT24" s="213"/>
      <c r="AU24" s="11"/>
      <c r="AV24" s="11"/>
      <c r="AW24" s="11"/>
      <c r="AX24" s="11"/>
      <c r="AY24" s="11"/>
      <c r="AZ24" s="11"/>
      <c r="BA24" s="11"/>
      <c r="BB24" s="11"/>
      <c r="BC24" s="11"/>
      <c r="BD24" s="11"/>
      <c r="BE24" s="213"/>
      <c r="BF24" s="11"/>
      <c r="BG24" s="11"/>
      <c r="BH24" s="11"/>
      <c r="BI24" s="11"/>
      <c r="BJ24" s="11"/>
      <c r="BK24" s="11"/>
      <c r="BL24" s="11"/>
      <c r="BM24" s="11"/>
      <c r="BN24" s="11"/>
      <c r="BO24" s="11"/>
      <c r="BP24" s="11"/>
      <c r="BQ24" s="213"/>
      <c r="BR24" s="11"/>
      <c r="BS24" s="11"/>
      <c r="BT24" s="11"/>
      <c r="BU24" s="11"/>
      <c r="BV24" s="11"/>
      <c r="BW24" s="11"/>
      <c r="BX24" s="11"/>
      <c r="BY24" s="11"/>
      <c r="BZ24" s="11"/>
      <c r="CA24" s="195"/>
      <c r="CB24" s="11"/>
      <c r="CC24" s="11"/>
      <c r="CD24" s="11"/>
      <c r="CE24" s="11"/>
      <c r="CF24" s="11"/>
      <c r="CG24" s="11"/>
      <c r="CH24" s="11"/>
      <c r="CI24" s="11"/>
      <c r="CJ24" s="11"/>
      <c r="CK24" s="213"/>
      <c r="CL24" s="11"/>
      <c r="CM24" s="11"/>
      <c r="CN24" s="11"/>
      <c r="CO24" s="11"/>
      <c r="CP24" s="11"/>
      <c r="CQ24" s="11"/>
      <c r="CR24" s="11"/>
      <c r="CS24" s="11"/>
      <c r="CT24" s="11"/>
      <c r="CU24" s="11"/>
      <c r="CV24" s="11"/>
      <c r="CW24" s="213"/>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213"/>
      <c r="EM24" s="11"/>
      <c r="EN24" s="11"/>
      <c r="EO24" s="11"/>
      <c r="EP24" s="11"/>
      <c r="EQ24" s="11"/>
      <c r="ER24" s="11"/>
      <c r="ES24" s="11"/>
      <c r="ET24" s="11"/>
      <c r="EU24" s="11"/>
      <c r="EV24" s="11"/>
      <c r="EW24" s="213"/>
      <c r="EX24" s="11"/>
      <c r="EY24" s="11"/>
      <c r="EZ24" s="11"/>
      <c r="FA24" s="213"/>
      <c r="FB24" s="11"/>
      <c r="FC24" s="11"/>
      <c r="FD24" s="11"/>
      <c r="FE24" s="11"/>
      <c r="FF24" s="11"/>
      <c r="FG24" s="11"/>
      <c r="FH24" s="11"/>
      <c r="FI24" s="213"/>
      <c r="FJ24" s="11"/>
      <c r="FK24" s="11"/>
      <c r="FL24" s="11"/>
      <c r="FM24" s="11"/>
      <c r="FN24" s="11"/>
      <c r="FO24" s="11"/>
      <c r="FP24" s="11"/>
      <c r="FQ24" s="11"/>
      <c r="FR24" s="11"/>
      <c r="FS24" s="11"/>
      <c r="FT24" s="213"/>
      <c r="FU24" s="11"/>
      <c r="FV24" s="11"/>
      <c r="FW24" s="11"/>
      <c r="FX24" s="11"/>
      <c r="FY24" s="11"/>
      <c r="FZ24" s="213"/>
      <c r="GA24" s="11"/>
      <c r="GB24" s="11"/>
      <c r="GC24" s="11"/>
      <c r="GD24" s="11"/>
      <c r="GE24" s="11"/>
      <c r="GF24" s="11"/>
      <c r="GG24" s="11"/>
      <c r="GH24" s="11"/>
      <c r="GI24" s="11"/>
      <c r="GJ24" s="11"/>
      <c r="GK24" s="11"/>
      <c r="GL24" s="11"/>
      <c r="GM24" s="11"/>
      <c r="GN24" s="11"/>
      <c r="GO24" s="11"/>
      <c r="GP24" s="152"/>
    </row>
    <row r="25" spans="1:198" x14ac:dyDescent="0.2">
      <c r="A25" s="73" t="s">
        <v>1632</v>
      </c>
      <c r="B25" s="11" t="str">
        <f>IF(AND(ISTEXT(""),""&lt;&gt;""), HYPERLINK("", "Link"),"-")</f>
        <v>-</v>
      </c>
      <c r="C25" s="11" t="s">
        <v>1235</v>
      </c>
      <c r="D25" s="11"/>
      <c r="E25" s="11"/>
      <c r="F25" s="11" t="s">
        <v>2811</v>
      </c>
      <c r="G25" s="213"/>
      <c r="H25" s="11" t="s">
        <v>1235</v>
      </c>
      <c r="I25" s="11"/>
      <c r="J25" s="11"/>
      <c r="K25" s="11"/>
      <c r="L25" s="11"/>
      <c r="M25" s="11"/>
      <c r="N25" s="11"/>
      <c r="O25" s="11"/>
      <c r="P25" s="11"/>
      <c r="Q25" s="11"/>
      <c r="R25" s="11"/>
      <c r="S25" s="11"/>
      <c r="T25" s="11"/>
      <c r="U25" s="11"/>
      <c r="V25" s="11"/>
      <c r="W25" s="11"/>
      <c r="X25" s="11"/>
      <c r="Y25" s="213"/>
      <c r="Z25" s="11" t="s">
        <v>1235</v>
      </c>
      <c r="AA25" s="11"/>
      <c r="AB25" s="11"/>
      <c r="AC25" s="11"/>
      <c r="AD25" s="11"/>
      <c r="AE25" s="11"/>
      <c r="AF25" s="11"/>
      <c r="AG25" s="11"/>
      <c r="AH25" s="11"/>
      <c r="AI25" s="11"/>
      <c r="AJ25" s="11"/>
      <c r="AK25" s="11"/>
      <c r="AL25" s="11"/>
      <c r="AM25" s="11"/>
      <c r="AN25" s="11"/>
      <c r="AO25" s="11"/>
      <c r="AP25" s="11"/>
      <c r="AQ25" s="11"/>
      <c r="AR25" s="11"/>
      <c r="AS25" s="11"/>
      <c r="AT25" s="213"/>
      <c r="AU25" s="11"/>
      <c r="AV25" s="11"/>
      <c r="AW25" s="11"/>
      <c r="AX25" s="11"/>
      <c r="AY25" s="11"/>
      <c r="AZ25" s="11"/>
      <c r="BA25" s="11"/>
      <c r="BB25" s="11"/>
      <c r="BC25" s="11"/>
      <c r="BD25" s="11"/>
      <c r="BE25" s="213"/>
      <c r="BF25" s="11"/>
      <c r="BG25" s="11"/>
      <c r="BH25" s="11"/>
      <c r="BI25" s="11"/>
      <c r="BJ25" s="11"/>
      <c r="BK25" s="11"/>
      <c r="BL25" s="11"/>
      <c r="BM25" s="11"/>
      <c r="BN25" s="11"/>
      <c r="BO25" s="11"/>
      <c r="BP25" s="11"/>
      <c r="BQ25" s="213"/>
      <c r="BR25" s="11"/>
      <c r="BS25" s="11"/>
      <c r="BT25" s="11"/>
      <c r="BU25" s="11"/>
      <c r="BV25" s="11"/>
      <c r="BW25" s="11"/>
      <c r="BX25" s="11"/>
      <c r="BY25" s="11"/>
      <c r="BZ25" s="11"/>
      <c r="CA25" s="195"/>
      <c r="CB25" s="11"/>
      <c r="CC25" s="11"/>
      <c r="CD25" s="11"/>
      <c r="CE25" s="11"/>
      <c r="CF25" s="11"/>
      <c r="CG25" s="11"/>
      <c r="CH25" s="11"/>
      <c r="CI25" s="11"/>
      <c r="CJ25" s="11"/>
      <c r="CK25" s="213"/>
      <c r="CL25" s="11"/>
      <c r="CM25" s="11"/>
      <c r="CN25" s="11"/>
      <c r="CO25" s="11"/>
      <c r="CP25" s="11"/>
      <c r="CQ25" s="11"/>
      <c r="CR25" s="11"/>
      <c r="CS25" s="11"/>
      <c r="CT25" s="11"/>
      <c r="CU25" s="11"/>
      <c r="CV25" s="11"/>
      <c r="CW25" s="213"/>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213"/>
      <c r="EM25" s="11"/>
      <c r="EN25" s="11"/>
      <c r="EO25" s="11"/>
      <c r="EP25" s="11"/>
      <c r="EQ25" s="11"/>
      <c r="ER25" s="11"/>
      <c r="ES25" s="11"/>
      <c r="ET25" s="11"/>
      <c r="EU25" s="11"/>
      <c r="EV25" s="11"/>
      <c r="EW25" s="213"/>
      <c r="EX25" s="11"/>
      <c r="EY25" s="11"/>
      <c r="EZ25" s="11"/>
      <c r="FA25" s="213"/>
      <c r="FB25" s="11"/>
      <c r="FC25" s="11"/>
      <c r="FD25" s="11"/>
      <c r="FE25" s="11"/>
      <c r="FF25" s="11"/>
      <c r="FG25" s="11"/>
      <c r="FH25" s="11"/>
      <c r="FI25" s="213"/>
      <c r="FJ25" s="11"/>
      <c r="FK25" s="11"/>
      <c r="FL25" s="11"/>
      <c r="FM25" s="11"/>
      <c r="FN25" s="11"/>
      <c r="FO25" s="11"/>
      <c r="FP25" s="11"/>
      <c r="FQ25" s="11"/>
      <c r="FR25" s="11"/>
      <c r="FS25" s="11"/>
      <c r="FT25" s="213"/>
      <c r="FU25" s="11"/>
      <c r="FV25" s="11"/>
      <c r="FW25" s="11"/>
      <c r="FX25" s="11"/>
      <c r="FY25" s="11"/>
      <c r="FZ25" s="213"/>
      <c r="GA25" s="11"/>
      <c r="GB25" s="11"/>
      <c r="GC25" s="11"/>
      <c r="GD25" s="11"/>
      <c r="GE25" s="11"/>
      <c r="GF25" s="11"/>
      <c r="GG25" s="11"/>
      <c r="GH25" s="11"/>
      <c r="GI25" s="11"/>
      <c r="GJ25" s="11"/>
      <c r="GK25" s="11"/>
      <c r="GL25" s="11"/>
      <c r="GM25" s="11"/>
      <c r="GN25" s="11"/>
      <c r="GO25" s="11"/>
      <c r="GP25" s="152"/>
    </row>
    <row r="26" spans="1:198" x14ac:dyDescent="0.2">
      <c r="A26" s="74" t="s">
        <v>1636</v>
      </c>
      <c r="B26" s="11" t="str">
        <f>IF(AND(ISTEXT(""),""&lt;&gt;""), HYPERLINK("", "Link"),"-")</f>
        <v>-</v>
      </c>
      <c r="C26" s="11" t="s">
        <v>1235</v>
      </c>
      <c r="D26" s="11"/>
      <c r="E26" s="11"/>
      <c r="F26" s="11" t="s">
        <v>2812</v>
      </c>
      <c r="G26" s="213"/>
      <c r="H26" s="11" t="s">
        <v>1235</v>
      </c>
      <c r="I26" s="11"/>
      <c r="J26" s="11"/>
      <c r="K26" s="11"/>
      <c r="L26" s="11"/>
      <c r="M26" s="11"/>
      <c r="N26" s="11"/>
      <c r="O26" s="11"/>
      <c r="P26" s="11"/>
      <c r="Q26" s="11"/>
      <c r="R26" s="11"/>
      <c r="S26" s="11"/>
      <c r="T26" s="11"/>
      <c r="U26" s="11"/>
      <c r="V26" s="11"/>
      <c r="W26" s="11"/>
      <c r="X26" s="11"/>
      <c r="Y26" s="213"/>
      <c r="Z26" s="11"/>
      <c r="AA26" s="11"/>
      <c r="AB26" s="11"/>
      <c r="AC26" s="11"/>
      <c r="AD26" s="11"/>
      <c r="AE26" s="11"/>
      <c r="AF26" s="11"/>
      <c r="AG26" s="11"/>
      <c r="AH26" s="11"/>
      <c r="AI26" s="11"/>
      <c r="AJ26" s="11"/>
      <c r="AK26" s="11"/>
      <c r="AL26" s="11"/>
      <c r="AM26" s="11"/>
      <c r="AN26" s="11"/>
      <c r="AO26" s="11"/>
      <c r="AP26" s="11"/>
      <c r="AQ26" s="11"/>
      <c r="AR26" s="11"/>
      <c r="AS26" s="11"/>
      <c r="AT26" s="213"/>
      <c r="AU26" s="11"/>
      <c r="AV26" s="11"/>
      <c r="AW26" s="11"/>
      <c r="AX26" s="11"/>
      <c r="AY26" s="11"/>
      <c r="AZ26" s="11"/>
      <c r="BA26" s="11"/>
      <c r="BB26" s="11"/>
      <c r="BC26" s="11"/>
      <c r="BD26" s="11"/>
      <c r="BE26" s="213"/>
      <c r="BF26" s="11"/>
      <c r="BG26" s="11"/>
      <c r="BH26" s="11"/>
      <c r="BI26" s="11"/>
      <c r="BJ26" s="11"/>
      <c r="BK26" s="11"/>
      <c r="BL26" s="11"/>
      <c r="BM26" s="11"/>
      <c r="BN26" s="11"/>
      <c r="BO26" s="11"/>
      <c r="BP26" s="11"/>
      <c r="BQ26" s="213"/>
      <c r="BR26" s="11"/>
      <c r="BS26" s="11"/>
      <c r="BT26" s="11"/>
      <c r="BU26" s="11"/>
      <c r="BV26" s="11"/>
      <c r="BW26" s="11"/>
      <c r="BX26" s="11"/>
      <c r="BY26" s="11"/>
      <c r="BZ26" s="11"/>
      <c r="CA26" s="195"/>
      <c r="CB26" s="11"/>
      <c r="CC26" s="11"/>
      <c r="CD26" s="11"/>
      <c r="CE26" s="11"/>
      <c r="CF26" s="11"/>
      <c r="CG26" s="11"/>
      <c r="CH26" s="11"/>
      <c r="CI26" s="11"/>
      <c r="CJ26" s="11"/>
      <c r="CK26" s="213"/>
      <c r="CL26" s="11"/>
      <c r="CM26" s="11"/>
      <c r="CN26" s="11"/>
      <c r="CO26" s="11"/>
      <c r="CP26" s="11"/>
      <c r="CQ26" s="11"/>
      <c r="CR26" s="11"/>
      <c r="CS26" s="11"/>
      <c r="CT26" s="11"/>
      <c r="CU26" s="11"/>
      <c r="CV26" s="11"/>
      <c r="CW26" s="213"/>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213"/>
      <c r="EM26" s="11"/>
      <c r="EN26" s="11"/>
      <c r="EO26" s="11"/>
      <c r="EP26" s="11"/>
      <c r="EQ26" s="11"/>
      <c r="ER26" s="11"/>
      <c r="ES26" s="11"/>
      <c r="ET26" s="11"/>
      <c r="EU26" s="11"/>
      <c r="EV26" s="11"/>
      <c r="EW26" s="213"/>
      <c r="EX26" s="11"/>
      <c r="EY26" s="11"/>
      <c r="EZ26" s="11"/>
      <c r="FA26" s="213"/>
      <c r="FB26" s="11"/>
      <c r="FC26" s="11"/>
      <c r="FD26" s="11"/>
      <c r="FE26" s="11"/>
      <c r="FF26" s="11"/>
      <c r="FG26" s="11"/>
      <c r="FH26" s="11"/>
      <c r="FI26" s="213"/>
      <c r="FJ26" s="11"/>
      <c r="FK26" s="11"/>
      <c r="FL26" s="11"/>
      <c r="FM26" s="11"/>
      <c r="FN26" s="11"/>
      <c r="FO26" s="11"/>
      <c r="FP26" s="11"/>
      <c r="FQ26" s="11"/>
      <c r="FR26" s="11"/>
      <c r="FS26" s="11"/>
      <c r="FT26" s="213"/>
      <c r="FU26" s="11"/>
      <c r="FV26" s="11"/>
      <c r="FW26" s="11"/>
      <c r="FX26" s="11"/>
      <c r="FY26" s="11"/>
      <c r="FZ26" s="213"/>
      <c r="GA26" s="11"/>
      <c r="GB26" s="11"/>
      <c r="GC26" s="11"/>
      <c r="GD26" s="11"/>
      <c r="GE26" s="11"/>
      <c r="GF26" s="11"/>
      <c r="GG26" s="11"/>
      <c r="GH26" s="11"/>
      <c r="GI26" s="11"/>
      <c r="GJ26" s="11"/>
      <c r="GK26" s="11"/>
      <c r="GL26" s="11"/>
      <c r="GM26" s="11"/>
      <c r="GN26" s="11"/>
      <c r="GO26" s="11"/>
      <c r="GP26" s="152"/>
    </row>
    <row r="27" spans="1:198" x14ac:dyDescent="0.2">
      <c r="A27" s="73" t="s">
        <v>1640</v>
      </c>
      <c r="B27" s="11" t="str">
        <f>IF(AND(ISTEXT("https://github.com/shomzy/EtherProv"),"https://github.com/shomzy/EtherProv"&lt;&gt;""), HYPERLINK("https://github.com/shomzy/EtherProv", "Link"),"-")</f>
        <v>Link</v>
      </c>
      <c r="C27" s="11" t="s">
        <v>1235</v>
      </c>
      <c r="D27" s="11" t="s">
        <v>1235</v>
      </c>
      <c r="E27" s="11" t="s">
        <v>1235</v>
      </c>
      <c r="F27" s="11" t="s">
        <v>2811</v>
      </c>
      <c r="G27" s="213"/>
      <c r="H27" s="11" t="s">
        <v>1235</v>
      </c>
      <c r="I27" s="11"/>
      <c r="J27" s="11"/>
      <c r="K27" s="11"/>
      <c r="L27" s="11"/>
      <c r="M27" s="11"/>
      <c r="N27" s="11"/>
      <c r="O27" s="11"/>
      <c r="P27" s="11"/>
      <c r="Q27" s="11"/>
      <c r="R27" s="11"/>
      <c r="S27" s="11"/>
      <c r="T27" s="11"/>
      <c r="U27" s="11"/>
      <c r="V27" s="11"/>
      <c r="W27" s="11"/>
      <c r="X27" s="11"/>
      <c r="Y27" s="213"/>
      <c r="Z27" s="11"/>
      <c r="AA27" s="11"/>
      <c r="AB27" s="11"/>
      <c r="AC27" s="11"/>
      <c r="AD27" s="11"/>
      <c r="AE27" s="11"/>
      <c r="AF27" s="11"/>
      <c r="AG27" s="11"/>
      <c r="AH27" s="11"/>
      <c r="AI27" s="11"/>
      <c r="AJ27" s="11"/>
      <c r="AK27" s="11"/>
      <c r="AL27" s="11"/>
      <c r="AM27" s="11"/>
      <c r="AN27" s="11"/>
      <c r="AO27" s="11"/>
      <c r="AP27" s="11"/>
      <c r="AQ27" s="11"/>
      <c r="AR27" s="11"/>
      <c r="AS27" s="11"/>
      <c r="AT27" s="213"/>
      <c r="AU27" s="11"/>
      <c r="AV27" s="11"/>
      <c r="AW27" s="11"/>
      <c r="AX27" s="11"/>
      <c r="AY27" s="11"/>
      <c r="AZ27" s="11"/>
      <c r="BA27" s="11"/>
      <c r="BB27" s="11"/>
      <c r="BC27" s="11"/>
      <c r="BD27" s="11"/>
      <c r="BE27" s="213"/>
      <c r="BF27" s="11"/>
      <c r="BG27" s="11"/>
      <c r="BH27" s="11"/>
      <c r="BI27" s="11"/>
      <c r="BJ27" s="11"/>
      <c r="BK27" s="11"/>
      <c r="BL27" s="11"/>
      <c r="BM27" s="11"/>
      <c r="BN27" s="11"/>
      <c r="BO27" s="11"/>
      <c r="BP27" s="11"/>
      <c r="BQ27" s="213"/>
      <c r="BR27" s="11"/>
      <c r="BS27" s="11"/>
      <c r="BT27" s="11"/>
      <c r="BU27" s="11"/>
      <c r="BV27" s="11"/>
      <c r="BW27" s="11"/>
      <c r="BX27" s="11" t="s">
        <v>1235</v>
      </c>
      <c r="BY27" s="11"/>
      <c r="BZ27" s="11"/>
      <c r="CA27" s="195"/>
      <c r="CB27" s="11"/>
      <c r="CC27" s="11"/>
      <c r="CD27" s="11"/>
      <c r="CE27" s="11"/>
      <c r="CF27" s="11"/>
      <c r="CG27" s="11"/>
      <c r="CH27" s="11"/>
      <c r="CI27" s="11"/>
      <c r="CJ27" s="11"/>
      <c r="CK27" s="213"/>
      <c r="CL27" s="11"/>
      <c r="CM27" s="11"/>
      <c r="CN27" s="11"/>
      <c r="CO27" s="11"/>
      <c r="CP27" s="11"/>
      <c r="CQ27" s="11"/>
      <c r="CR27" s="11"/>
      <c r="CS27" s="11"/>
      <c r="CT27" s="11"/>
      <c r="CU27" s="11"/>
      <c r="CV27" s="11"/>
      <c r="CW27" s="213"/>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213"/>
      <c r="EM27" s="11"/>
      <c r="EN27" s="11"/>
      <c r="EO27" s="11"/>
      <c r="EP27" s="11"/>
      <c r="EQ27" s="11"/>
      <c r="ER27" s="11"/>
      <c r="ES27" s="11"/>
      <c r="ET27" s="11"/>
      <c r="EU27" s="11"/>
      <c r="EV27" s="11"/>
      <c r="EW27" s="213"/>
      <c r="EX27" s="11"/>
      <c r="EY27" s="11"/>
      <c r="EZ27" s="11"/>
      <c r="FA27" s="213"/>
      <c r="FB27" s="11"/>
      <c r="FC27" s="11"/>
      <c r="FD27" s="11"/>
      <c r="FE27" s="11"/>
      <c r="FF27" s="11"/>
      <c r="FG27" s="11"/>
      <c r="FH27" s="11"/>
      <c r="FI27" s="213"/>
      <c r="FJ27" s="11"/>
      <c r="FK27" s="11"/>
      <c r="FL27" s="11"/>
      <c r="FM27" s="11"/>
      <c r="FN27" s="11"/>
      <c r="FO27" s="11"/>
      <c r="FP27" s="11"/>
      <c r="FQ27" s="11"/>
      <c r="FR27" s="11"/>
      <c r="FS27" s="11"/>
      <c r="FT27" s="213"/>
      <c r="FU27" s="11"/>
      <c r="FV27" s="11"/>
      <c r="FW27" s="11"/>
      <c r="FX27" s="11"/>
      <c r="FY27" s="11"/>
      <c r="FZ27" s="213"/>
      <c r="GA27" s="11"/>
      <c r="GB27" s="11"/>
      <c r="GC27" s="11"/>
      <c r="GD27" s="11"/>
      <c r="GE27" s="11"/>
      <c r="GF27" s="11"/>
      <c r="GG27" s="11"/>
      <c r="GH27" s="11"/>
      <c r="GI27" s="11"/>
      <c r="GJ27" s="11"/>
      <c r="GK27" s="11"/>
      <c r="GL27" s="11"/>
      <c r="GM27" s="11"/>
      <c r="GN27" s="11"/>
      <c r="GO27" s="11"/>
      <c r="GP27" s="152"/>
    </row>
    <row r="28" spans="1:198" x14ac:dyDescent="0.2">
      <c r="A28" s="74" t="s">
        <v>1643</v>
      </c>
      <c r="B28" s="11" t="str">
        <f>IF(AND(ISTEXT("https://github.com/chaoweilanmaohahaha/SmartGift"),"https://github.com/chaoweilanmaohahaha/SmartGift"&lt;&gt;""), HYPERLINK("https://github.com/chaoweilanmaohahaha/SmartGift", "Link"),"-")</f>
        <v>Link</v>
      </c>
      <c r="C28" s="11" t="s">
        <v>1235</v>
      </c>
      <c r="D28" s="11"/>
      <c r="E28" s="11" t="s">
        <v>1235</v>
      </c>
      <c r="F28" s="11" t="s">
        <v>2812</v>
      </c>
      <c r="G28" s="213"/>
      <c r="H28" s="11" t="s">
        <v>1235</v>
      </c>
      <c r="I28" s="11"/>
      <c r="J28" s="11"/>
      <c r="K28" s="11"/>
      <c r="L28" s="11"/>
      <c r="M28" s="11"/>
      <c r="N28" s="11"/>
      <c r="O28" s="11"/>
      <c r="P28" s="11"/>
      <c r="Q28" s="11" t="s">
        <v>1235</v>
      </c>
      <c r="R28" s="11"/>
      <c r="S28" s="11"/>
      <c r="T28" s="11"/>
      <c r="U28" s="11"/>
      <c r="V28" s="11"/>
      <c r="W28" s="11"/>
      <c r="X28" s="11"/>
      <c r="Y28" s="213"/>
      <c r="Z28" s="11" t="s">
        <v>1235</v>
      </c>
      <c r="AA28" s="11" t="s">
        <v>1235</v>
      </c>
      <c r="AB28" s="11"/>
      <c r="AC28" s="11"/>
      <c r="AD28" s="11"/>
      <c r="AE28" s="11"/>
      <c r="AF28" s="11"/>
      <c r="AG28" s="11"/>
      <c r="AH28" s="11"/>
      <c r="AI28" s="11"/>
      <c r="AJ28" s="11"/>
      <c r="AK28" s="11"/>
      <c r="AL28" s="11"/>
      <c r="AM28" s="11"/>
      <c r="AN28" s="11"/>
      <c r="AO28" s="11"/>
      <c r="AP28" s="11"/>
      <c r="AQ28" s="11"/>
      <c r="AR28" s="11"/>
      <c r="AS28" s="11"/>
      <c r="AT28" s="213" t="s">
        <v>1235</v>
      </c>
      <c r="AU28" s="11"/>
      <c r="AV28" s="11"/>
      <c r="AW28" s="11"/>
      <c r="AX28" s="11"/>
      <c r="AY28" s="11" t="s">
        <v>1235</v>
      </c>
      <c r="AZ28" s="11"/>
      <c r="BA28" s="11"/>
      <c r="BB28" s="11"/>
      <c r="BC28" s="11"/>
      <c r="BD28" s="11"/>
      <c r="BE28" s="213"/>
      <c r="BF28" s="11"/>
      <c r="BG28" s="11"/>
      <c r="BH28" s="11"/>
      <c r="BI28" s="11"/>
      <c r="BJ28" s="11"/>
      <c r="BK28" s="11"/>
      <c r="BL28" s="11"/>
      <c r="BM28" s="11"/>
      <c r="BN28" s="11"/>
      <c r="BO28" s="11"/>
      <c r="BP28" s="11"/>
      <c r="BQ28" s="213"/>
      <c r="BR28" s="11"/>
      <c r="BS28" s="11"/>
      <c r="BT28" s="11"/>
      <c r="BU28" s="11"/>
      <c r="BV28" s="11"/>
      <c r="BW28" s="11"/>
      <c r="BX28" s="11"/>
      <c r="BY28" s="11"/>
      <c r="BZ28" s="11"/>
      <c r="CA28" s="195"/>
      <c r="CB28" s="11"/>
      <c r="CC28" s="11"/>
      <c r="CD28" s="11"/>
      <c r="CE28" s="11"/>
      <c r="CF28" s="11"/>
      <c r="CG28" s="11"/>
      <c r="CH28" s="11"/>
      <c r="CI28" s="11"/>
      <c r="CJ28" s="11"/>
      <c r="CK28" s="213"/>
      <c r="CL28" s="11"/>
      <c r="CM28" s="11"/>
      <c r="CN28" s="11"/>
      <c r="CO28" s="11"/>
      <c r="CP28" s="11"/>
      <c r="CQ28" s="11"/>
      <c r="CR28" s="11"/>
      <c r="CS28" s="11"/>
      <c r="CT28" s="11"/>
      <c r="CU28" s="11"/>
      <c r="CV28" s="11"/>
      <c r="CW28" s="213"/>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213"/>
      <c r="EM28" s="11"/>
      <c r="EN28" s="11"/>
      <c r="EO28" s="11"/>
      <c r="EP28" s="11"/>
      <c r="EQ28" s="11"/>
      <c r="ER28" s="11"/>
      <c r="ES28" s="11"/>
      <c r="ET28" s="11"/>
      <c r="EU28" s="11"/>
      <c r="EV28" s="11"/>
      <c r="EW28" s="213"/>
      <c r="EX28" s="11"/>
      <c r="EY28" s="11"/>
      <c r="EZ28" s="11"/>
      <c r="FA28" s="213"/>
      <c r="FB28" s="11"/>
      <c r="FC28" s="11"/>
      <c r="FD28" s="11"/>
      <c r="FE28" s="11"/>
      <c r="FF28" s="11"/>
      <c r="FG28" s="11"/>
      <c r="FH28" s="11"/>
      <c r="FI28" s="213"/>
      <c r="FJ28" s="11"/>
      <c r="FK28" s="11"/>
      <c r="FL28" s="11"/>
      <c r="FM28" s="11"/>
      <c r="FN28" s="11"/>
      <c r="FO28" s="11"/>
      <c r="FP28" s="11"/>
      <c r="FQ28" s="11"/>
      <c r="FR28" s="11"/>
      <c r="FS28" s="11"/>
      <c r="FT28" s="213"/>
      <c r="FU28" s="11"/>
      <c r="FV28" s="11"/>
      <c r="FW28" s="11"/>
      <c r="FX28" s="11"/>
      <c r="FY28" s="11"/>
      <c r="FZ28" s="213"/>
      <c r="GA28" s="11"/>
      <c r="GB28" s="11"/>
      <c r="GC28" s="11"/>
      <c r="GD28" s="11"/>
      <c r="GE28" s="11"/>
      <c r="GF28" s="11"/>
      <c r="GG28" s="11"/>
      <c r="GH28" s="11"/>
      <c r="GI28" s="11"/>
      <c r="GJ28" s="11"/>
      <c r="GK28" s="11"/>
      <c r="GL28" s="11"/>
      <c r="GM28" s="11"/>
      <c r="GN28" s="11"/>
      <c r="GO28" s="11"/>
      <c r="GP28" s="152"/>
    </row>
    <row r="29" spans="1:198" x14ac:dyDescent="0.2">
      <c r="A29" s="74" t="s">
        <v>1646</v>
      </c>
      <c r="B29" s="11" t="str">
        <f>IF(AND(ISTEXT("https://github.com/Messi-Q/AMEVulDetector"),"https://github.com/Messi-Q/AMEVulDetector"&lt;&gt;""), HYPERLINK("https://github.com/Messi-Q/AMEVulDetector", "Link"),"-")</f>
        <v>Link</v>
      </c>
      <c r="C29" s="11" t="s">
        <v>1235</v>
      </c>
      <c r="D29" s="11"/>
      <c r="E29" s="11" t="s">
        <v>1235</v>
      </c>
      <c r="F29" s="11" t="s">
        <v>2812</v>
      </c>
      <c r="G29" s="213"/>
      <c r="H29" s="11" t="s">
        <v>1235</v>
      </c>
      <c r="I29" s="11"/>
      <c r="J29" s="11"/>
      <c r="K29" s="11"/>
      <c r="L29" s="11"/>
      <c r="M29" s="11"/>
      <c r="N29" s="11"/>
      <c r="O29" s="11"/>
      <c r="P29" s="11"/>
      <c r="Q29" s="11"/>
      <c r="R29" s="11"/>
      <c r="S29" s="11"/>
      <c r="T29" s="11"/>
      <c r="U29" s="11"/>
      <c r="V29" s="11"/>
      <c r="W29" s="11"/>
      <c r="X29" s="11"/>
      <c r="Y29" s="213"/>
      <c r="Z29" s="11" t="s">
        <v>1235</v>
      </c>
      <c r="AA29" s="11"/>
      <c r="AB29" s="11"/>
      <c r="AC29" s="11"/>
      <c r="AD29" s="11"/>
      <c r="AE29" s="11"/>
      <c r="AF29" s="11"/>
      <c r="AG29" s="11"/>
      <c r="AH29" s="11"/>
      <c r="AI29" s="11"/>
      <c r="AJ29" s="11"/>
      <c r="AK29" s="11"/>
      <c r="AL29" s="11"/>
      <c r="AM29" s="11"/>
      <c r="AN29" s="11"/>
      <c r="AO29" s="11"/>
      <c r="AP29" s="11"/>
      <c r="AQ29" s="11"/>
      <c r="AR29" s="11"/>
      <c r="AS29" s="11"/>
      <c r="AT29" s="213"/>
      <c r="AU29" s="11"/>
      <c r="AV29" s="11"/>
      <c r="AW29" s="11"/>
      <c r="AX29" s="11"/>
      <c r="AY29" s="11"/>
      <c r="AZ29" s="11"/>
      <c r="BA29" s="11"/>
      <c r="BB29" s="11"/>
      <c r="BC29" s="11"/>
      <c r="BD29" s="11"/>
      <c r="BE29" s="213"/>
      <c r="BF29" s="11"/>
      <c r="BG29" s="11"/>
      <c r="BH29" s="11"/>
      <c r="BI29" s="11"/>
      <c r="BJ29" s="11"/>
      <c r="BK29" s="11"/>
      <c r="BL29" s="11"/>
      <c r="BM29" s="11"/>
      <c r="BN29" s="11"/>
      <c r="BO29" s="11"/>
      <c r="BP29" s="11"/>
      <c r="BQ29" s="213"/>
      <c r="BR29" s="11"/>
      <c r="BS29" s="11"/>
      <c r="BT29" s="11"/>
      <c r="BU29" s="11"/>
      <c r="BV29" s="11"/>
      <c r="BW29" s="11"/>
      <c r="BX29" s="11"/>
      <c r="BY29" s="11"/>
      <c r="BZ29" s="11"/>
      <c r="CA29" s="195"/>
      <c r="CB29" s="11"/>
      <c r="CC29" s="11"/>
      <c r="CD29" s="11"/>
      <c r="CE29" s="11"/>
      <c r="CF29" s="11"/>
      <c r="CG29" s="11"/>
      <c r="CH29" s="11"/>
      <c r="CI29" s="11"/>
      <c r="CJ29" s="11"/>
      <c r="CK29" s="213"/>
      <c r="CL29" s="11"/>
      <c r="CM29" s="11"/>
      <c r="CN29" s="11"/>
      <c r="CO29" s="11"/>
      <c r="CP29" s="11"/>
      <c r="CQ29" s="11"/>
      <c r="CR29" s="11"/>
      <c r="CS29" s="11"/>
      <c r="CT29" s="11"/>
      <c r="CU29" s="11"/>
      <c r="CV29" s="11"/>
      <c r="CW29" s="213"/>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t="s">
        <v>1235</v>
      </c>
      <c r="EL29" s="213"/>
      <c r="EM29" s="11"/>
      <c r="EN29" s="11"/>
      <c r="EO29" s="11"/>
      <c r="EP29" s="11"/>
      <c r="EQ29" s="11"/>
      <c r="ER29" s="11"/>
      <c r="ES29" s="11"/>
      <c r="ET29" s="11"/>
      <c r="EU29" s="11"/>
      <c r="EV29" s="11"/>
      <c r="EW29" s="213"/>
      <c r="EX29" s="11"/>
      <c r="EY29" s="11"/>
      <c r="EZ29" s="11"/>
      <c r="FA29" s="213"/>
      <c r="FB29" s="11"/>
      <c r="FC29" s="11"/>
      <c r="FD29" s="11"/>
      <c r="FE29" s="11"/>
      <c r="FF29" s="11"/>
      <c r="FG29" s="11"/>
      <c r="FH29" s="11"/>
      <c r="FI29" s="213"/>
      <c r="FJ29" s="11"/>
      <c r="FK29" s="11"/>
      <c r="FL29" s="11"/>
      <c r="FM29" s="11"/>
      <c r="FN29" s="11"/>
      <c r="FO29" s="11"/>
      <c r="FP29" s="11"/>
      <c r="FQ29" s="11"/>
      <c r="FR29" s="11"/>
      <c r="FS29" s="11"/>
      <c r="FT29" s="213"/>
      <c r="FU29" s="11"/>
      <c r="FV29" s="11"/>
      <c r="FW29" s="11"/>
      <c r="FX29" s="11"/>
      <c r="FY29" s="11"/>
      <c r="FZ29" s="213"/>
      <c r="GA29" s="11"/>
      <c r="GB29" s="11"/>
      <c r="GC29" s="11"/>
      <c r="GD29" s="11"/>
      <c r="GE29" s="11"/>
      <c r="GF29" s="11"/>
      <c r="GG29" s="11"/>
      <c r="GH29" s="11"/>
      <c r="GI29" s="11"/>
      <c r="GJ29" s="11"/>
      <c r="GK29" s="11"/>
      <c r="GL29" s="11"/>
      <c r="GM29" s="11"/>
      <c r="GN29" s="11"/>
      <c r="GO29" s="11"/>
      <c r="GP29" s="152"/>
    </row>
    <row r="30" spans="1:198" x14ac:dyDescent="0.2">
      <c r="A30" s="73" t="s">
        <v>1647</v>
      </c>
      <c r="B30" s="11" t="str">
        <f>IF(AND(ISTEXT(""),""&lt;&gt;""), HYPERLINK("", "Link"),"-")</f>
        <v>-</v>
      </c>
      <c r="C30" s="11" t="s">
        <v>1235</v>
      </c>
      <c r="D30" s="11"/>
      <c r="E30" s="11"/>
      <c r="F30" s="11" t="s">
        <v>2811</v>
      </c>
      <c r="G30" s="213"/>
      <c r="H30" s="11"/>
      <c r="I30" s="11"/>
      <c r="J30" s="11"/>
      <c r="K30" s="11"/>
      <c r="L30" s="11"/>
      <c r="M30" s="11"/>
      <c r="N30" s="11"/>
      <c r="O30" s="11"/>
      <c r="P30" s="11"/>
      <c r="Q30" s="11"/>
      <c r="R30" s="11"/>
      <c r="S30" s="11"/>
      <c r="T30" s="11"/>
      <c r="U30" s="11"/>
      <c r="V30" s="11"/>
      <c r="W30" s="11"/>
      <c r="X30" s="11"/>
      <c r="Y30" s="213"/>
      <c r="Z30" s="11" t="s">
        <v>1235</v>
      </c>
      <c r="AA30" s="11"/>
      <c r="AB30" s="11"/>
      <c r="AC30" s="11"/>
      <c r="AD30" s="11"/>
      <c r="AE30" s="11"/>
      <c r="AF30" s="11"/>
      <c r="AG30" s="11"/>
      <c r="AH30" s="11"/>
      <c r="AI30" s="11"/>
      <c r="AJ30" s="11"/>
      <c r="AK30" s="11"/>
      <c r="AL30" s="11"/>
      <c r="AM30" s="11"/>
      <c r="AN30" s="11"/>
      <c r="AO30" s="11"/>
      <c r="AP30" s="11"/>
      <c r="AQ30" s="11"/>
      <c r="AR30" s="11"/>
      <c r="AS30" s="11"/>
      <c r="AT30" s="213" t="s">
        <v>1235</v>
      </c>
      <c r="AU30" s="11"/>
      <c r="AV30" s="11"/>
      <c r="AW30" s="11"/>
      <c r="AX30" s="11"/>
      <c r="AY30" s="11"/>
      <c r="AZ30" s="11" t="s">
        <v>1235</v>
      </c>
      <c r="BA30" s="11"/>
      <c r="BB30" s="11"/>
      <c r="BC30" s="11"/>
      <c r="BD30" s="11"/>
      <c r="BE30" s="213"/>
      <c r="BF30" s="11"/>
      <c r="BG30" s="11"/>
      <c r="BH30" s="11"/>
      <c r="BI30" s="11"/>
      <c r="BJ30" s="11"/>
      <c r="BK30" s="11"/>
      <c r="BL30" s="11"/>
      <c r="BM30" s="11"/>
      <c r="BN30" s="11"/>
      <c r="BO30" s="11"/>
      <c r="BP30" s="11"/>
      <c r="BQ30" s="213"/>
      <c r="BR30" s="11"/>
      <c r="BS30" s="11"/>
      <c r="BT30" s="11"/>
      <c r="BU30" s="11"/>
      <c r="BV30" s="11"/>
      <c r="BW30" s="11"/>
      <c r="BX30" s="11"/>
      <c r="BY30" s="11"/>
      <c r="BZ30" s="11"/>
      <c r="CA30" s="195"/>
      <c r="CB30" s="11"/>
      <c r="CC30" s="11"/>
      <c r="CD30" s="11"/>
      <c r="CE30" s="11"/>
      <c r="CF30" s="11"/>
      <c r="CG30" s="11"/>
      <c r="CH30" s="11"/>
      <c r="CI30" s="11"/>
      <c r="CJ30" s="11"/>
      <c r="CK30" s="213"/>
      <c r="CL30" s="11"/>
      <c r="CM30" s="11"/>
      <c r="CN30" s="11"/>
      <c r="CO30" s="11"/>
      <c r="CP30" s="11"/>
      <c r="CQ30" s="11"/>
      <c r="CR30" s="11"/>
      <c r="CS30" s="11"/>
      <c r="CT30" s="11"/>
      <c r="CU30" s="11"/>
      <c r="CV30" s="11"/>
      <c r="CW30" s="213"/>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213"/>
      <c r="EM30" s="11"/>
      <c r="EN30" s="11"/>
      <c r="EO30" s="11"/>
      <c r="EP30" s="11"/>
      <c r="EQ30" s="11"/>
      <c r="ER30" s="11"/>
      <c r="ES30" s="11"/>
      <c r="ET30" s="11"/>
      <c r="EU30" s="11"/>
      <c r="EV30" s="11"/>
      <c r="EW30" s="213"/>
      <c r="EX30" s="11"/>
      <c r="EY30" s="11"/>
      <c r="EZ30" s="11"/>
      <c r="FA30" s="213"/>
      <c r="FB30" s="11"/>
      <c r="FC30" s="11"/>
      <c r="FD30" s="11"/>
      <c r="FE30" s="11"/>
      <c r="FF30" s="11"/>
      <c r="FG30" s="11"/>
      <c r="FH30" s="11"/>
      <c r="FI30" s="213"/>
      <c r="FJ30" s="11"/>
      <c r="FK30" s="11"/>
      <c r="FL30" s="11"/>
      <c r="FM30" s="11"/>
      <c r="FN30" s="11"/>
      <c r="FO30" s="11"/>
      <c r="FP30" s="11"/>
      <c r="FQ30" s="11"/>
      <c r="FR30" s="11"/>
      <c r="FS30" s="11"/>
      <c r="FT30" s="213"/>
      <c r="FU30" s="11"/>
      <c r="FV30" s="11"/>
      <c r="FW30" s="11"/>
      <c r="FX30" s="11"/>
      <c r="FY30" s="11"/>
      <c r="FZ30" s="213"/>
      <c r="GA30" s="11"/>
      <c r="GB30" s="11"/>
      <c r="GC30" s="11"/>
      <c r="GD30" s="11"/>
      <c r="GE30" s="11"/>
      <c r="GF30" s="11"/>
      <c r="GG30" s="11"/>
      <c r="GH30" s="11"/>
      <c r="GI30" s="11"/>
      <c r="GJ30" s="11"/>
      <c r="GK30" s="11"/>
      <c r="GL30" s="11"/>
      <c r="GM30" s="11"/>
      <c r="GN30" s="11"/>
      <c r="GO30" s="11"/>
      <c r="GP30" s="152"/>
    </row>
    <row r="31" spans="1:198" x14ac:dyDescent="0.2">
      <c r="A31" s="73" t="s">
        <v>1649</v>
      </c>
      <c r="B31" s="11" t="str">
        <f>IF(AND(ISTEXT(""),""&lt;&gt;""), HYPERLINK("", "Link"),"-")</f>
        <v>-</v>
      </c>
      <c r="C31" s="11" t="s">
        <v>1235</v>
      </c>
      <c r="D31" s="11"/>
      <c r="E31" s="11"/>
      <c r="F31" s="11" t="s">
        <v>2811</v>
      </c>
      <c r="G31" s="213"/>
      <c r="H31" s="11" t="s">
        <v>1235</v>
      </c>
      <c r="I31" s="11"/>
      <c r="J31" s="11"/>
      <c r="K31" s="11"/>
      <c r="L31" s="11"/>
      <c r="M31" s="11"/>
      <c r="N31" s="11"/>
      <c r="O31" s="11"/>
      <c r="P31" s="11"/>
      <c r="Q31" s="11"/>
      <c r="R31" s="11"/>
      <c r="S31" s="11"/>
      <c r="T31" s="11"/>
      <c r="U31" s="11"/>
      <c r="V31" s="11"/>
      <c r="W31" s="11"/>
      <c r="X31" s="11"/>
      <c r="Y31" s="213"/>
      <c r="Z31" s="11"/>
      <c r="AA31" s="11"/>
      <c r="AB31" s="11"/>
      <c r="AC31" s="11"/>
      <c r="AD31" s="11" t="s">
        <v>1235</v>
      </c>
      <c r="AE31" s="11"/>
      <c r="AF31" s="11"/>
      <c r="AG31" s="11"/>
      <c r="AH31" s="11" t="s">
        <v>1235</v>
      </c>
      <c r="AI31" s="11"/>
      <c r="AJ31" s="11"/>
      <c r="AK31" s="11"/>
      <c r="AL31" s="11"/>
      <c r="AM31" s="11"/>
      <c r="AN31" s="11"/>
      <c r="AO31" s="11"/>
      <c r="AP31" s="11"/>
      <c r="AQ31" s="11"/>
      <c r="AR31" s="11"/>
      <c r="AS31" s="11"/>
      <c r="AT31" s="213" t="s">
        <v>1235</v>
      </c>
      <c r="AU31" s="11"/>
      <c r="AV31" s="11"/>
      <c r="AW31" s="11"/>
      <c r="AX31" s="11"/>
      <c r="AY31" s="11"/>
      <c r="AZ31" s="11"/>
      <c r="BA31" s="11"/>
      <c r="BB31" s="11"/>
      <c r="BC31" s="11"/>
      <c r="BD31" s="11"/>
      <c r="BE31" s="213"/>
      <c r="BF31" s="11"/>
      <c r="BG31" s="11"/>
      <c r="BH31" s="11"/>
      <c r="BI31" s="11"/>
      <c r="BJ31" s="11"/>
      <c r="BK31" s="11"/>
      <c r="BL31" s="11"/>
      <c r="BM31" s="11"/>
      <c r="BN31" s="11"/>
      <c r="BO31" s="11"/>
      <c r="BP31" s="11"/>
      <c r="BQ31" s="213"/>
      <c r="BR31" s="11"/>
      <c r="BS31" s="11"/>
      <c r="BT31" s="11"/>
      <c r="BU31" s="11"/>
      <c r="BV31" s="11"/>
      <c r="BW31" s="11"/>
      <c r="BX31" s="11"/>
      <c r="BY31" s="11"/>
      <c r="BZ31" s="11"/>
      <c r="CA31" s="195"/>
      <c r="CB31" s="11"/>
      <c r="CC31" s="11"/>
      <c r="CD31" s="11"/>
      <c r="CE31" s="11"/>
      <c r="CF31" s="11"/>
      <c r="CG31" s="11"/>
      <c r="CH31" s="11"/>
      <c r="CI31" s="11"/>
      <c r="CJ31" s="11"/>
      <c r="CK31" s="213"/>
      <c r="CL31" s="11"/>
      <c r="CM31" s="11"/>
      <c r="CN31" s="11"/>
      <c r="CO31" s="11"/>
      <c r="CP31" s="11"/>
      <c r="CQ31" s="11"/>
      <c r="CR31" s="11"/>
      <c r="CS31" s="11"/>
      <c r="CT31" s="11"/>
      <c r="CU31" s="11"/>
      <c r="CV31" s="11"/>
      <c r="CW31" s="213"/>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213" t="s">
        <v>1235</v>
      </c>
      <c r="EM31" s="11"/>
      <c r="EN31" s="11"/>
      <c r="EO31" s="11"/>
      <c r="EP31" s="11"/>
      <c r="EQ31" s="11"/>
      <c r="ER31" s="11"/>
      <c r="ES31" s="11"/>
      <c r="ET31" s="11"/>
      <c r="EU31" s="11"/>
      <c r="EV31" s="11"/>
      <c r="EW31" s="213"/>
      <c r="EX31" s="11"/>
      <c r="EY31" s="11"/>
      <c r="EZ31" s="11"/>
      <c r="FA31" s="213"/>
      <c r="FB31" s="11"/>
      <c r="FC31" s="11"/>
      <c r="FD31" s="11"/>
      <c r="FE31" s="11"/>
      <c r="FF31" s="11"/>
      <c r="FG31" s="11"/>
      <c r="FH31" s="11"/>
      <c r="FI31" s="213"/>
      <c r="FJ31" s="11"/>
      <c r="FK31" s="11"/>
      <c r="FL31" s="11"/>
      <c r="FM31" s="11"/>
      <c r="FN31" s="11"/>
      <c r="FO31" s="11"/>
      <c r="FP31" s="11"/>
      <c r="FQ31" s="11"/>
      <c r="FR31" s="11"/>
      <c r="FS31" s="11"/>
      <c r="FT31" s="213"/>
      <c r="FU31" s="11"/>
      <c r="FV31" s="11"/>
      <c r="FW31" s="11"/>
      <c r="FX31" s="11"/>
      <c r="FY31" s="11"/>
      <c r="FZ31" s="213"/>
      <c r="GA31" s="11"/>
      <c r="GB31" s="11"/>
      <c r="GC31" s="11"/>
      <c r="GD31" s="11"/>
      <c r="GE31" s="11"/>
      <c r="GF31" s="11"/>
      <c r="GG31" s="11"/>
      <c r="GH31" s="11"/>
      <c r="GI31" s="11"/>
      <c r="GJ31" s="11"/>
      <c r="GK31" s="11"/>
      <c r="GL31" s="11"/>
      <c r="GM31" s="11"/>
      <c r="GN31" s="11"/>
      <c r="GO31" s="11"/>
      <c r="GP31" s="152"/>
    </row>
    <row r="32" spans="1:198" x14ac:dyDescent="0.2">
      <c r="A32" s="74" t="s">
        <v>1651</v>
      </c>
      <c r="B32" s="11" t="str">
        <f>IF(AND(ISTEXT("https://github.com/Messi-Q/GPSCVulDetector"),"https://github.com/Messi-Q/GPSCVulDetector"&lt;&gt;""), HYPERLINK("https://github.com/Messi-Q/GPSCVulDetector", "Link"),"-")</f>
        <v>Link</v>
      </c>
      <c r="C32" s="11" t="s">
        <v>1235</v>
      </c>
      <c r="D32" s="11"/>
      <c r="E32" s="11" t="s">
        <v>1235</v>
      </c>
      <c r="F32" s="11" t="s">
        <v>2812</v>
      </c>
      <c r="G32" s="213"/>
      <c r="H32" s="11" t="s">
        <v>1235</v>
      </c>
      <c r="I32" s="11"/>
      <c r="J32" s="11"/>
      <c r="K32" s="11"/>
      <c r="L32" s="11"/>
      <c r="M32" s="11"/>
      <c r="N32" s="11"/>
      <c r="O32" s="11"/>
      <c r="P32" s="11"/>
      <c r="Q32" s="11"/>
      <c r="R32" s="11"/>
      <c r="S32" s="11"/>
      <c r="T32" s="11"/>
      <c r="U32" s="11"/>
      <c r="V32" s="11"/>
      <c r="W32" s="11"/>
      <c r="X32" s="11"/>
      <c r="Y32" s="213"/>
      <c r="Z32" s="11" t="s">
        <v>1235</v>
      </c>
      <c r="AA32" s="11"/>
      <c r="AB32" s="11"/>
      <c r="AC32" s="11"/>
      <c r="AD32" s="11"/>
      <c r="AE32" s="11"/>
      <c r="AF32" s="11"/>
      <c r="AG32" s="11"/>
      <c r="AH32" s="11"/>
      <c r="AI32" s="11"/>
      <c r="AJ32" s="11"/>
      <c r="AK32" s="11"/>
      <c r="AL32" s="11"/>
      <c r="AM32" s="11"/>
      <c r="AN32" s="11"/>
      <c r="AO32" s="11"/>
      <c r="AP32" s="11"/>
      <c r="AQ32" s="11"/>
      <c r="AR32" s="11"/>
      <c r="AS32" s="11"/>
      <c r="AT32" s="213"/>
      <c r="AU32" s="11"/>
      <c r="AV32" s="11"/>
      <c r="AW32" s="11"/>
      <c r="AX32" s="11"/>
      <c r="AY32" s="11"/>
      <c r="AZ32" s="11"/>
      <c r="BA32" s="11"/>
      <c r="BB32" s="11"/>
      <c r="BC32" s="11"/>
      <c r="BD32" s="11"/>
      <c r="BE32" s="213"/>
      <c r="BF32" s="11"/>
      <c r="BG32" s="11"/>
      <c r="BH32" s="11"/>
      <c r="BI32" s="11"/>
      <c r="BJ32" s="11"/>
      <c r="BK32" s="11"/>
      <c r="BL32" s="11"/>
      <c r="BM32" s="11"/>
      <c r="BN32" s="11"/>
      <c r="BO32" s="11"/>
      <c r="BP32" s="11"/>
      <c r="BQ32" s="213"/>
      <c r="BR32" s="11"/>
      <c r="BS32" s="11"/>
      <c r="BT32" s="11"/>
      <c r="BU32" s="11"/>
      <c r="BV32" s="11"/>
      <c r="BW32" s="11"/>
      <c r="BX32" s="11"/>
      <c r="BY32" s="11"/>
      <c r="BZ32" s="11"/>
      <c r="CA32" s="195"/>
      <c r="CB32" s="11"/>
      <c r="CC32" s="11"/>
      <c r="CD32" s="11"/>
      <c r="CE32" s="11"/>
      <c r="CF32" s="11"/>
      <c r="CG32" s="11"/>
      <c r="CH32" s="11"/>
      <c r="CI32" s="11"/>
      <c r="CJ32" s="11"/>
      <c r="CK32" s="213"/>
      <c r="CL32" s="11"/>
      <c r="CM32" s="11"/>
      <c r="CN32" s="11"/>
      <c r="CO32" s="11"/>
      <c r="CP32" s="11"/>
      <c r="CQ32" s="11"/>
      <c r="CR32" s="11"/>
      <c r="CS32" s="11"/>
      <c r="CT32" s="11"/>
      <c r="CU32" s="11"/>
      <c r="CV32" s="11"/>
      <c r="CW32" s="213"/>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t="s">
        <v>1235</v>
      </c>
      <c r="EL32" s="213"/>
      <c r="EM32" s="11"/>
      <c r="EN32" s="11"/>
      <c r="EO32" s="11"/>
      <c r="EP32" s="11"/>
      <c r="EQ32" s="11"/>
      <c r="ER32" s="11"/>
      <c r="ES32" s="11"/>
      <c r="ET32" s="11"/>
      <c r="EU32" s="11"/>
      <c r="EV32" s="11"/>
      <c r="EW32" s="213"/>
      <c r="EX32" s="11"/>
      <c r="EY32" s="11"/>
      <c r="EZ32" s="11"/>
      <c r="FA32" s="213"/>
      <c r="FB32" s="11"/>
      <c r="FC32" s="11"/>
      <c r="FD32" s="11"/>
      <c r="FE32" s="11"/>
      <c r="FF32" s="11"/>
      <c r="FG32" s="11"/>
      <c r="FH32" s="11"/>
      <c r="FI32" s="213"/>
      <c r="FJ32" s="11"/>
      <c r="FK32" s="11"/>
      <c r="FL32" s="11"/>
      <c r="FM32" s="11"/>
      <c r="FN32" s="11"/>
      <c r="FO32" s="11"/>
      <c r="FP32" s="11"/>
      <c r="FQ32" s="11"/>
      <c r="FR32" s="11"/>
      <c r="FS32" s="11"/>
      <c r="FT32" s="213"/>
      <c r="FU32" s="11"/>
      <c r="FV32" s="11"/>
      <c r="FW32" s="11"/>
      <c r="FX32" s="11"/>
      <c r="FY32" s="11"/>
      <c r="FZ32" s="213"/>
      <c r="GA32" s="11"/>
      <c r="GB32" s="11"/>
      <c r="GC32" s="11"/>
      <c r="GD32" s="11"/>
      <c r="GE32" s="11"/>
      <c r="GF32" s="11"/>
      <c r="GG32" s="11"/>
      <c r="GH32" s="11"/>
      <c r="GI32" s="11"/>
      <c r="GJ32" s="11"/>
      <c r="GK32" s="11"/>
      <c r="GL32" s="11"/>
      <c r="GM32" s="11"/>
      <c r="GN32" s="11"/>
      <c r="GO32" s="11"/>
      <c r="GP32" s="152"/>
    </row>
    <row r="33" spans="1:198" x14ac:dyDescent="0.2">
      <c r="A33" s="73" t="s">
        <v>2011</v>
      </c>
      <c r="B33" s="11" t="str">
        <f t="shared" ref="B33:B38" si="1">IF(AND(ISTEXT(""),""&lt;&gt;""), HYPERLINK("", "Link"),"-")</f>
        <v>-</v>
      </c>
      <c r="C33" s="11" t="s">
        <v>1235</v>
      </c>
      <c r="D33" s="11"/>
      <c r="E33" s="11"/>
      <c r="F33" s="11" t="s">
        <v>2811</v>
      </c>
      <c r="G33" s="213"/>
      <c r="H33" s="11" t="s">
        <v>1235</v>
      </c>
      <c r="I33" s="11"/>
      <c r="J33" s="11"/>
      <c r="K33" s="11"/>
      <c r="L33" s="11"/>
      <c r="M33" s="11"/>
      <c r="N33" s="11"/>
      <c r="O33" s="11"/>
      <c r="P33" s="11"/>
      <c r="Q33" s="11"/>
      <c r="R33" s="11"/>
      <c r="S33" s="11"/>
      <c r="T33" s="11"/>
      <c r="U33" s="11"/>
      <c r="V33" s="11"/>
      <c r="W33" s="11"/>
      <c r="X33" s="11"/>
      <c r="Y33" s="213"/>
      <c r="Z33" s="11"/>
      <c r="AA33" s="11"/>
      <c r="AB33" s="11"/>
      <c r="AC33" s="11"/>
      <c r="AD33" s="11"/>
      <c r="AE33" s="11"/>
      <c r="AF33" s="11"/>
      <c r="AG33" s="11"/>
      <c r="AH33" s="11" t="s">
        <v>1235</v>
      </c>
      <c r="AI33" s="11"/>
      <c r="AJ33" s="11"/>
      <c r="AK33" s="11"/>
      <c r="AL33" s="11"/>
      <c r="AM33" s="11"/>
      <c r="AN33" s="11"/>
      <c r="AO33" s="11"/>
      <c r="AP33" s="11"/>
      <c r="AQ33" s="11"/>
      <c r="AR33" s="11"/>
      <c r="AS33" s="11"/>
      <c r="AT33" s="213" t="s">
        <v>1235</v>
      </c>
      <c r="AU33" s="11"/>
      <c r="AV33" s="11"/>
      <c r="AW33" s="11"/>
      <c r="AX33" s="11"/>
      <c r="AY33" s="11"/>
      <c r="AZ33" s="11"/>
      <c r="BA33" s="11"/>
      <c r="BB33" s="11"/>
      <c r="BC33" s="11"/>
      <c r="BD33" s="11"/>
      <c r="BE33" s="213"/>
      <c r="BF33" s="11"/>
      <c r="BG33" s="11"/>
      <c r="BH33" s="11"/>
      <c r="BI33" s="11"/>
      <c r="BJ33" s="11"/>
      <c r="BK33" s="11"/>
      <c r="BL33" s="11"/>
      <c r="BM33" s="11"/>
      <c r="BN33" s="11"/>
      <c r="BO33" s="11"/>
      <c r="BP33" s="11"/>
      <c r="BQ33" s="213"/>
      <c r="BR33" s="11"/>
      <c r="BS33" s="11"/>
      <c r="BT33" s="11"/>
      <c r="BU33" s="11"/>
      <c r="BV33" s="11"/>
      <c r="BW33" s="11"/>
      <c r="BX33" s="11"/>
      <c r="BY33" s="11"/>
      <c r="BZ33" s="11"/>
      <c r="CA33" s="195"/>
      <c r="CB33" s="11"/>
      <c r="CC33" s="11"/>
      <c r="CD33" s="11"/>
      <c r="CE33" s="11"/>
      <c r="CF33" s="11"/>
      <c r="CG33" s="11"/>
      <c r="CH33" s="11"/>
      <c r="CI33" s="11"/>
      <c r="CJ33" s="11"/>
      <c r="CK33" s="213" t="s">
        <v>1235</v>
      </c>
      <c r="CL33" s="11"/>
      <c r="CM33" s="11"/>
      <c r="CN33" s="11"/>
      <c r="CO33" s="11"/>
      <c r="CP33" s="11"/>
      <c r="CQ33" s="11"/>
      <c r="CR33" s="11"/>
      <c r="CS33" s="11"/>
      <c r="CT33" s="11"/>
      <c r="CU33" s="11"/>
      <c r="CV33" s="11"/>
      <c r="CW33" s="213"/>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213"/>
      <c r="EM33" s="11"/>
      <c r="EN33" s="11"/>
      <c r="EO33" s="11"/>
      <c r="EP33" s="11"/>
      <c r="EQ33" s="11"/>
      <c r="ER33" s="11"/>
      <c r="ES33" s="11"/>
      <c r="ET33" s="11"/>
      <c r="EU33" s="11"/>
      <c r="EV33" s="11"/>
      <c r="EW33" s="213"/>
      <c r="EX33" s="11"/>
      <c r="EY33" s="11"/>
      <c r="EZ33" s="11"/>
      <c r="FA33" s="213"/>
      <c r="FB33" s="11"/>
      <c r="FC33" s="11"/>
      <c r="FD33" s="11"/>
      <c r="FE33" s="11"/>
      <c r="FF33" s="11"/>
      <c r="FG33" s="11"/>
      <c r="FH33" s="11"/>
      <c r="FI33" s="213"/>
      <c r="FJ33" s="11"/>
      <c r="FK33" s="11"/>
      <c r="FL33" s="11"/>
      <c r="FM33" s="11"/>
      <c r="FN33" s="11"/>
      <c r="FO33" s="11"/>
      <c r="FP33" s="11"/>
      <c r="FQ33" s="11"/>
      <c r="FR33" s="11"/>
      <c r="FS33" s="11"/>
      <c r="FT33" s="213"/>
      <c r="FU33" s="11"/>
      <c r="FV33" s="11"/>
      <c r="FW33" s="11"/>
      <c r="FX33" s="11"/>
      <c r="FY33" s="11"/>
      <c r="FZ33" s="213"/>
      <c r="GA33" s="11"/>
      <c r="GB33" s="11"/>
      <c r="GC33" s="11"/>
      <c r="GD33" s="11"/>
      <c r="GE33" s="11"/>
      <c r="GF33" s="11"/>
      <c r="GG33" s="11"/>
      <c r="GH33" s="11"/>
      <c r="GI33" s="11"/>
      <c r="GJ33" s="11"/>
      <c r="GK33" s="11"/>
      <c r="GL33" s="11"/>
      <c r="GM33" s="11"/>
      <c r="GN33" s="11"/>
      <c r="GO33" s="11"/>
      <c r="GP33" s="152"/>
    </row>
    <row r="34" spans="1:198" x14ac:dyDescent="0.2">
      <c r="A34" s="74" t="s">
        <v>1653</v>
      </c>
      <c r="B34" s="11" t="str">
        <f t="shared" si="1"/>
        <v>-</v>
      </c>
      <c r="C34" s="11" t="s">
        <v>1235</v>
      </c>
      <c r="D34" s="11"/>
      <c r="E34" s="11"/>
      <c r="F34" s="11" t="s">
        <v>2812</v>
      </c>
      <c r="G34" s="213"/>
      <c r="H34" s="11" t="s">
        <v>1235</v>
      </c>
      <c r="I34" s="11"/>
      <c r="J34" s="11"/>
      <c r="K34" s="11"/>
      <c r="L34" s="11"/>
      <c r="M34" s="11"/>
      <c r="N34" s="11"/>
      <c r="O34" s="11"/>
      <c r="P34" s="11"/>
      <c r="Q34" s="11"/>
      <c r="R34" s="11"/>
      <c r="S34" s="11"/>
      <c r="T34" s="11"/>
      <c r="U34" s="11"/>
      <c r="V34" s="11"/>
      <c r="W34" s="11"/>
      <c r="X34" s="11"/>
      <c r="Y34" s="213"/>
      <c r="Z34" s="11" t="s">
        <v>1235</v>
      </c>
      <c r="AA34" s="11"/>
      <c r="AB34" s="11"/>
      <c r="AC34" s="11"/>
      <c r="AD34" s="11"/>
      <c r="AE34" s="11"/>
      <c r="AF34" s="11"/>
      <c r="AG34" s="11"/>
      <c r="AH34" s="11"/>
      <c r="AI34" s="11"/>
      <c r="AJ34" s="11"/>
      <c r="AK34" s="11"/>
      <c r="AL34" s="11"/>
      <c r="AM34" s="11"/>
      <c r="AN34" s="11"/>
      <c r="AO34" s="11"/>
      <c r="AP34" s="11"/>
      <c r="AQ34" s="11"/>
      <c r="AR34" s="11"/>
      <c r="AS34" s="11"/>
      <c r="AT34" s="213"/>
      <c r="AU34" s="11"/>
      <c r="AV34" s="11"/>
      <c r="AW34" s="11"/>
      <c r="AX34" s="11"/>
      <c r="AY34" s="11"/>
      <c r="AZ34" s="11"/>
      <c r="BA34" s="11"/>
      <c r="BB34" s="11"/>
      <c r="BC34" s="11"/>
      <c r="BD34" s="11"/>
      <c r="BE34" s="213"/>
      <c r="BF34" s="11"/>
      <c r="BG34" s="11"/>
      <c r="BH34" s="11"/>
      <c r="BI34" s="11"/>
      <c r="BJ34" s="11"/>
      <c r="BK34" s="11"/>
      <c r="BL34" s="11"/>
      <c r="BM34" s="11"/>
      <c r="BN34" s="11"/>
      <c r="BO34" s="11"/>
      <c r="BP34" s="11"/>
      <c r="BQ34" s="213"/>
      <c r="BR34" s="11" t="s">
        <v>1235</v>
      </c>
      <c r="BS34" s="11"/>
      <c r="BT34" s="11" t="s">
        <v>1235</v>
      </c>
      <c r="BU34" s="11"/>
      <c r="BV34" s="11"/>
      <c r="BW34" s="11"/>
      <c r="BX34" s="11"/>
      <c r="BY34" s="11"/>
      <c r="BZ34" s="11"/>
      <c r="CA34" s="195"/>
      <c r="CB34" s="11"/>
      <c r="CC34" s="11"/>
      <c r="CD34" s="11"/>
      <c r="CE34" s="11"/>
      <c r="CF34" s="11"/>
      <c r="CG34" s="11"/>
      <c r="CH34" s="11"/>
      <c r="CI34" s="11"/>
      <c r="CJ34" s="11"/>
      <c r="CK34" s="213" t="s">
        <v>1235</v>
      </c>
      <c r="CL34" s="11"/>
      <c r="CM34" s="11"/>
      <c r="CN34" s="11"/>
      <c r="CO34" s="11"/>
      <c r="CP34" s="11"/>
      <c r="CQ34" s="11"/>
      <c r="CR34" s="11"/>
      <c r="CS34" s="11"/>
      <c r="CT34" s="11"/>
      <c r="CU34" s="11"/>
      <c r="CV34" s="11"/>
      <c r="CW34" s="213"/>
      <c r="CX34" s="11"/>
      <c r="CY34" s="11"/>
      <c r="CZ34" s="11"/>
      <c r="DA34" s="11"/>
      <c r="DB34" s="11"/>
      <c r="DC34" s="11"/>
      <c r="DD34" s="11"/>
      <c r="DE34" s="11"/>
      <c r="DF34" s="11"/>
      <c r="DG34" s="11"/>
      <c r="DH34" s="11"/>
      <c r="DI34" s="11"/>
      <c r="DJ34" s="11"/>
      <c r="DK34" s="11"/>
      <c r="DL34" s="11"/>
      <c r="DM34" s="11" t="s">
        <v>1235</v>
      </c>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213"/>
      <c r="EM34" s="11" t="s">
        <v>1235</v>
      </c>
      <c r="EN34" s="11"/>
      <c r="EO34" s="11"/>
      <c r="EP34" s="11"/>
      <c r="EQ34" s="11"/>
      <c r="ER34" s="11"/>
      <c r="ES34" s="11"/>
      <c r="ET34" s="11"/>
      <c r="EU34" s="11"/>
      <c r="EV34" s="11"/>
      <c r="EW34" s="213"/>
      <c r="EX34" s="11"/>
      <c r="EY34" s="11"/>
      <c r="EZ34" s="11"/>
      <c r="FA34" s="213"/>
      <c r="FB34" s="11"/>
      <c r="FC34" s="11"/>
      <c r="FD34" s="11"/>
      <c r="FE34" s="11"/>
      <c r="FF34" s="11"/>
      <c r="FG34" s="11"/>
      <c r="FH34" s="11"/>
      <c r="FI34" s="213"/>
      <c r="FJ34" s="11"/>
      <c r="FK34" s="11"/>
      <c r="FL34" s="11"/>
      <c r="FM34" s="11"/>
      <c r="FN34" s="11"/>
      <c r="FO34" s="11"/>
      <c r="FP34" s="11"/>
      <c r="FQ34" s="11"/>
      <c r="FR34" s="11"/>
      <c r="FS34" s="11"/>
      <c r="FT34" s="213"/>
      <c r="FU34" s="11"/>
      <c r="FV34" s="11"/>
      <c r="FW34" s="11"/>
      <c r="FX34" s="11"/>
      <c r="FY34" s="11"/>
      <c r="FZ34" s="213"/>
      <c r="GA34" s="11"/>
      <c r="GB34" s="11"/>
      <c r="GC34" s="11"/>
      <c r="GD34" s="11"/>
      <c r="GE34" s="11"/>
      <c r="GF34" s="11"/>
      <c r="GG34" s="11"/>
      <c r="GH34" s="11"/>
      <c r="GI34" s="11"/>
      <c r="GJ34" s="11"/>
      <c r="GK34" s="11"/>
      <c r="GL34" s="11"/>
      <c r="GM34" s="11"/>
      <c r="GN34" s="11"/>
      <c r="GO34" s="11"/>
      <c r="GP34" s="152"/>
    </row>
    <row r="35" spans="1:198" x14ac:dyDescent="0.2">
      <c r="A35" s="74" t="s">
        <v>1655</v>
      </c>
      <c r="B35" s="11" t="str">
        <f t="shared" si="1"/>
        <v>-</v>
      </c>
      <c r="C35" s="11" t="s">
        <v>1235</v>
      </c>
      <c r="D35" s="11"/>
      <c r="E35" s="11"/>
      <c r="F35" s="11" t="s">
        <v>2812</v>
      </c>
      <c r="G35" s="213"/>
      <c r="H35" s="11" t="s">
        <v>1235</v>
      </c>
      <c r="I35" s="11"/>
      <c r="J35" s="11"/>
      <c r="K35" s="11"/>
      <c r="L35" s="11"/>
      <c r="M35" s="11"/>
      <c r="N35" s="11"/>
      <c r="O35" s="11"/>
      <c r="P35" s="11"/>
      <c r="Q35" s="11"/>
      <c r="R35" s="11"/>
      <c r="S35" s="11"/>
      <c r="T35" s="11"/>
      <c r="U35" s="11"/>
      <c r="V35" s="11"/>
      <c r="W35" s="11"/>
      <c r="X35" s="11"/>
      <c r="Y35" s="213"/>
      <c r="Z35" s="11"/>
      <c r="AA35" s="11"/>
      <c r="AB35" s="11"/>
      <c r="AC35" s="11"/>
      <c r="AD35" s="11"/>
      <c r="AE35" s="11"/>
      <c r="AF35" s="11"/>
      <c r="AG35" s="11"/>
      <c r="AH35" s="11"/>
      <c r="AI35" s="11"/>
      <c r="AJ35" s="11"/>
      <c r="AK35" s="11"/>
      <c r="AL35" s="11"/>
      <c r="AM35" s="11"/>
      <c r="AN35" s="11"/>
      <c r="AO35" s="11"/>
      <c r="AP35" s="11"/>
      <c r="AQ35" s="11"/>
      <c r="AR35" s="11"/>
      <c r="AS35" s="11"/>
      <c r="AT35" s="213"/>
      <c r="AU35" s="11"/>
      <c r="AV35" s="11"/>
      <c r="AW35" s="11"/>
      <c r="AX35" s="11"/>
      <c r="AY35" s="11"/>
      <c r="AZ35" s="11"/>
      <c r="BA35" s="11"/>
      <c r="BB35" s="11"/>
      <c r="BC35" s="11"/>
      <c r="BD35" s="11"/>
      <c r="BE35" s="213"/>
      <c r="BF35" s="11"/>
      <c r="BG35" s="11"/>
      <c r="BH35" s="11"/>
      <c r="BI35" s="11"/>
      <c r="BJ35" s="11"/>
      <c r="BK35" s="11"/>
      <c r="BL35" s="11"/>
      <c r="BM35" s="11"/>
      <c r="BN35" s="11"/>
      <c r="BO35" s="11"/>
      <c r="BP35" s="11"/>
      <c r="BQ35" s="213"/>
      <c r="BR35" s="11"/>
      <c r="BS35" s="11"/>
      <c r="BT35" s="11"/>
      <c r="BU35" s="11"/>
      <c r="BV35" s="11"/>
      <c r="BW35" s="11"/>
      <c r="BX35" s="11"/>
      <c r="BY35" s="11"/>
      <c r="BZ35" s="11"/>
      <c r="CA35" s="195"/>
      <c r="CB35" s="11"/>
      <c r="CC35" s="11"/>
      <c r="CD35" s="11"/>
      <c r="CE35" s="11"/>
      <c r="CF35" s="11"/>
      <c r="CG35" s="11"/>
      <c r="CH35" s="11"/>
      <c r="CI35" s="11"/>
      <c r="CJ35" s="11"/>
      <c r="CK35" s="213"/>
      <c r="CL35" s="11"/>
      <c r="CM35" s="11"/>
      <c r="CN35" s="11"/>
      <c r="CO35" s="11"/>
      <c r="CP35" s="11"/>
      <c r="CQ35" s="11"/>
      <c r="CR35" s="11"/>
      <c r="CS35" s="11"/>
      <c r="CT35" s="11"/>
      <c r="CU35" s="11"/>
      <c r="CV35" s="11"/>
      <c r="CW35" s="213"/>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213"/>
      <c r="EM35" s="11"/>
      <c r="EN35" s="11"/>
      <c r="EO35" s="11"/>
      <c r="EP35" s="11"/>
      <c r="EQ35" s="11"/>
      <c r="ER35" s="11"/>
      <c r="ES35" s="11"/>
      <c r="ET35" s="11"/>
      <c r="EU35" s="11"/>
      <c r="EV35" s="11"/>
      <c r="EW35" s="213"/>
      <c r="EX35" s="11"/>
      <c r="EY35" s="11"/>
      <c r="EZ35" s="11"/>
      <c r="FA35" s="213"/>
      <c r="FB35" s="11"/>
      <c r="FC35" s="11"/>
      <c r="FD35" s="11"/>
      <c r="FE35" s="11"/>
      <c r="FF35" s="11"/>
      <c r="FG35" s="11"/>
      <c r="FH35" s="11"/>
      <c r="FI35" s="213"/>
      <c r="FJ35" s="11"/>
      <c r="FK35" s="11"/>
      <c r="FL35" s="11"/>
      <c r="FM35" s="11"/>
      <c r="FN35" s="11"/>
      <c r="FO35" s="11"/>
      <c r="FP35" s="11"/>
      <c r="FQ35" s="11"/>
      <c r="FR35" s="11"/>
      <c r="FS35" s="11"/>
      <c r="FT35" s="213"/>
      <c r="FU35" s="11"/>
      <c r="FV35" s="11"/>
      <c r="FW35" s="11"/>
      <c r="FX35" s="11"/>
      <c r="FY35" s="11"/>
      <c r="FZ35" s="213"/>
      <c r="GA35" s="11"/>
      <c r="GB35" s="11"/>
      <c r="GC35" s="11"/>
      <c r="GD35" s="11"/>
      <c r="GE35" s="11"/>
      <c r="GF35" s="11"/>
      <c r="GG35" s="11"/>
      <c r="GH35" s="11"/>
      <c r="GI35" s="11"/>
      <c r="GJ35" s="11"/>
      <c r="GK35" s="11"/>
      <c r="GL35" s="11"/>
      <c r="GM35" s="11"/>
      <c r="GN35" s="11"/>
      <c r="GO35" s="11"/>
      <c r="GP35" s="152"/>
    </row>
    <row r="36" spans="1:198" x14ac:dyDescent="0.2">
      <c r="A36" s="74" t="s">
        <v>1657</v>
      </c>
      <c r="B36" s="11" t="str">
        <f t="shared" si="1"/>
        <v>-</v>
      </c>
      <c r="C36" s="11" t="s">
        <v>1235</v>
      </c>
      <c r="D36" s="11"/>
      <c r="E36" s="11"/>
      <c r="F36" s="11" t="s">
        <v>2812</v>
      </c>
      <c r="G36" s="213"/>
      <c r="H36" s="11" t="s">
        <v>1235</v>
      </c>
      <c r="I36" s="11"/>
      <c r="J36" s="11"/>
      <c r="K36" s="11"/>
      <c r="L36" s="11"/>
      <c r="M36" s="11"/>
      <c r="N36" s="11"/>
      <c r="O36" s="11"/>
      <c r="P36" s="11"/>
      <c r="Q36" s="11"/>
      <c r="R36" s="11"/>
      <c r="S36" s="11"/>
      <c r="T36" s="11"/>
      <c r="U36" s="11"/>
      <c r="V36" s="11"/>
      <c r="W36" s="11"/>
      <c r="X36" s="11"/>
      <c r="Y36" s="213"/>
      <c r="Z36" s="11"/>
      <c r="AA36" s="11"/>
      <c r="AB36" s="11"/>
      <c r="AC36" s="11"/>
      <c r="AD36" s="11"/>
      <c r="AE36" s="11"/>
      <c r="AF36" s="11"/>
      <c r="AG36" s="11"/>
      <c r="AH36" s="11"/>
      <c r="AI36" s="11"/>
      <c r="AJ36" s="11"/>
      <c r="AK36" s="11"/>
      <c r="AL36" s="11"/>
      <c r="AM36" s="11"/>
      <c r="AN36" s="11"/>
      <c r="AO36" s="11"/>
      <c r="AP36" s="11"/>
      <c r="AQ36" s="11"/>
      <c r="AR36" s="11"/>
      <c r="AS36" s="11"/>
      <c r="AT36" s="213"/>
      <c r="AU36" s="11"/>
      <c r="AV36" s="11"/>
      <c r="AW36" s="11"/>
      <c r="AX36" s="11"/>
      <c r="AY36" s="11"/>
      <c r="AZ36" s="11"/>
      <c r="BA36" s="11"/>
      <c r="BB36" s="11"/>
      <c r="BC36" s="11"/>
      <c r="BD36" s="11"/>
      <c r="BE36" s="213"/>
      <c r="BF36" s="11"/>
      <c r="BG36" s="11"/>
      <c r="BH36" s="11"/>
      <c r="BI36" s="11"/>
      <c r="BJ36" s="11"/>
      <c r="BK36" s="11"/>
      <c r="BL36" s="11"/>
      <c r="BM36" s="11"/>
      <c r="BN36" s="11"/>
      <c r="BO36" s="11"/>
      <c r="BP36" s="11"/>
      <c r="BQ36" s="213"/>
      <c r="BR36" s="11"/>
      <c r="BS36" s="11"/>
      <c r="BT36" s="11"/>
      <c r="BU36" s="11"/>
      <c r="BV36" s="11"/>
      <c r="BW36" s="11"/>
      <c r="BX36" s="11"/>
      <c r="BY36" s="11"/>
      <c r="BZ36" s="11"/>
      <c r="CA36" s="195"/>
      <c r="CB36" s="11"/>
      <c r="CC36" s="11"/>
      <c r="CD36" s="11"/>
      <c r="CE36" s="11"/>
      <c r="CF36" s="11"/>
      <c r="CG36" s="11"/>
      <c r="CH36" s="11"/>
      <c r="CI36" s="11"/>
      <c r="CJ36" s="11"/>
      <c r="CK36" s="213"/>
      <c r="CL36" s="11"/>
      <c r="CM36" s="11"/>
      <c r="CN36" s="11"/>
      <c r="CO36" s="11"/>
      <c r="CP36" s="11"/>
      <c r="CQ36" s="11"/>
      <c r="CR36" s="11"/>
      <c r="CS36" s="11"/>
      <c r="CT36" s="11"/>
      <c r="CU36" s="11"/>
      <c r="CV36" s="11"/>
      <c r="CW36" s="213"/>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213"/>
      <c r="EM36" s="11"/>
      <c r="EN36" s="11"/>
      <c r="EO36" s="11"/>
      <c r="EP36" s="11"/>
      <c r="EQ36" s="11"/>
      <c r="ER36" s="11"/>
      <c r="ES36" s="11"/>
      <c r="ET36" s="11"/>
      <c r="EU36" s="11"/>
      <c r="EV36" s="11"/>
      <c r="EW36" s="213"/>
      <c r="EX36" s="11"/>
      <c r="EY36" s="11"/>
      <c r="EZ36" s="11"/>
      <c r="FA36" s="213"/>
      <c r="FB36" s="11"/>
      <c r="FC36" s="11"/>
      <c r="FD36" s="11"/>
      <c r="FE36" s="11"/>
      <c r="FF36" s="11"/>
      <c r="FG36" s="11"/>
      <c r="FH36" s="11"/>
      <c r="FI36" s="213"/>
      <c r="FJ36" s="11"/>
      <c r="FK36" s="11"/>
      <c r="FL36" s="11"/>
      <c r="FM36" s="11"/>
      <c r="FN36" s="11"/>
      <c r="FO36" s="11"/>
      <c r="FP36" s="11"/>
      <c r="FQ36" s="11"/>
      <c r="FR36" s="11"/>
      <c r="FS36" s="11"/>
      <c r="FT36" s="213"/>
      <c r="FU36" s="11"/>
      <c r="FV36" s="11"/>
      <c r="FW36" s="11"/>
      <c r="FX36" s="11"/>
      <c r="FY36" s="11"/>
      <c r="FZ36" s="213"/>
      <c r="GA36" s="11"/>
      <c r="GB36" s="11"/>
      <c r="GC36" s="11"/>
      <c r="GD36" s="11"/>
      <c r="GE36" s="11"/>
      <c r="GF36" s="11"/>
      <c r="GG36" s="11"/>
      <c r="GH36" s="11"/>
      <c r="GI36" s="11"/>
      <c r="GJ36" s="11"/>
      <c r="GK36" s="11"/>
      <c r="GL36" s="11"/>
      <c r="GM36" s="11"/>
      <c r="GN36" s="11"/>
      <c r="GO36" s="11"/>
      <c r="GP36" s="152"/>
    </row>
    <row r="37" spans="1:198" x14ac:dyDescent="0.2">
      <c r="A37" s="74" t="s">
        <v>1659</v>
      </c>
      <c r="B37" s="11" t="str">
        <f t="shared" si="1"/>
        <v>-</v>
      </c>
      <c r="C37" s="11" t="s">
        <v>1235</v>
      </c>
      <c r="D37" s="11" t="s">
        <v>1235</v>
      </c>
      <c r="E37" s="11"/>
      <c r="F37" s="11" t="s">
        <v>2812</v>
      </c>
      <c r="G37" s="213"/>
      <c r="H37" s="11" t="s">
        <v>1235</v>
      </c>
      <c r="I37" s="11"/>
      <c r="J37" s="11"/>
      <c r="K37" s="11"/>
      <c r="L37" s="11"/>
      <c r="M37" s="11"/>
      <c r="N37" s="11"/>
      <c r="O37" s="11"/>
      <c r="P37" s="11"/>
      <c r="Q37" s="11" t="s">
        <v>1235</v>
      </c>
      <c r="R37" s="11"/>
      <c r="S37" s="11"/>
      <c r="T37" s="11"/>
      <c r="U37" s="11"/>
      <c r="V37" s="11"/>
      <c r="W37" s="11"/>
      <c r="X37" s="11"/>
      <c r="Y37" s="213" t="s">
        <v>1235</v>
      </c>
      <c r="Z37" s="11"/>
      <c r="AA37" s="11"/>
      <c r="AB37" s="11"/>
      <c r="AC37" s="11" t="s">
        <v>1235</v>
      </c>
      <c r="AD37" s="11"/>
      <c r="AE37" s="11"/>
      <c r="AF37" s="11"/>
      <c r="AG37" s="11"/>
      <c r="AH37" s="11"/>
      <c r="AI37" s="11"/>
      <c r="AJ37" s="11"/>
      <c r="AK37" s="11"/>
      <c r="AL37" s="11"/>
      <c r="AM37" s="11"/>
      <c r="AN37" s="11"/>
      <c r="AO37" s="11"/>
      <c r="AP37" s="11"/>
      <c r="AQ37" s="11"/>
      <c r="AR37" s="11"/>
      <c r="AS37" s="11"/>
      <c r="AT37" s="213" t="s">
        <v>1235</v>
      </c>
      <c r="AU37" s="11"/>
      <c r="AV37" s="11"/>
      <c r="AW37" s="11"/>
      <c r="AX37" s="11"/>
      <c r="AY37" s="11"/>
      <c r="AZ37" s="11"/>
      <c r="BA37" s="11"/>
      <c r="BB37" s="11"/>
      <c r="BC37" s="11"/>
      <c r="BD37" s="11"/>
      <c r="BE37" s="213"/>
      <c r="BF37" s="11"/>
      <c r="BG37" s="11"/>
      <c r="BH37" s="11"/>
      <c r="BI37" s="11"/>
      <c r="BJ37" s="11"/>
      <c r="BK37" s="11"/>
      <c r="BL37" s="11"/>
      <c r="BM37" s="11"/>
      <c r="BN37" s="11"/>
      <c r="BO37" s="11"/>
      <c r="BP37" s="11"/>
      <c r="BQ37" s="213"/>
      <c r="BR37" s="11"/>
      <c r="BS37" s="11"/>
      <c r="BT37" s="11" t="s">
        <v>1235</v>
      </c>
      <c r="BU37" s="11"/>
      <c r="BV37" s="11"/>
      <c r="BW37" s="11"/>
      <c r="BX37" s="11"/>
      <c r="BY37" s="11"/>
      <c r="BZ37" s="11"/>
      <c r="CA37" s="195"/>
      <c r="CB37" s="11"/>
      <c r="CC37" s="11"/>
      <c r="CD37" s="11"/>
      <c r="CE37" s="11"/>
      <c r="CF37" s="11"/>
      <c r="CG37" s="11"/>
      <c r="CH37" s="11"/>
      <c r="CI37" s="11"/>
      <c r="CJ37" s="11"/>
      <c r="CK37" s="213" t="s">
        <v>1235</v>
      </c>
      <c r="CL37" s="11"/>
      <c r="CM37" s="11"/>
      <c r="CN37" s="11"/>
      <c r="CO37" s="11"/>
      <c r="CP37" s="11"/>
      <c r="CQ37" s="11"/>
      <c r="CR37" s="11"/>
      <c r="CS37" s="11"/>
      <c r="CT37" s="11"/>
      <c r="CU37" s="11"/>
      <c r="CV37" s="11"/>
      <c r="CW37" s="213"/>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213"/>
      <c r="EM37" s="11"/>
      <c r="EN37" s="11"/>
      <c r="EO37" s="11"/>
      <c r="EP37" s="11"/>
      <c r="EQ37" s="11"/>
      <c r="ER37" s="11"/>
      <c r="ES37" s="11"/>
      <c r="ET37" s="11"/>
      <c r="EU37" s="11"/>
      <c r="EV37" s="11"/>
      <c r="EW37" s="213"/>
      <c r="EX37" s="11"/>
      <c r="EY37" s="11"/>
      <c r="EZ37" s="11"/>
      <c r="FA37" s="213"/>
      <c r="FB37" s="11"/>
      <c r="FC37" s="11"/>
      <c r="FD37" s="11"/>
      <c r="FE37" s="11"/>
      <c r="FF37" s="11"/>
      <c r="FG37" s="11"/>
      <c r="FH37" s="11"/>
      <c r="FI37" s="213"/>
      <c r="FJ37" s="11"/>
      <c r="FK37" s="11"/>
      <c r="FL37" s="11"/>
      <c r="FM37" s="11"/>
      <c r="FN37" s="11"/>
      <c r="FO37" s="11"/>
      <c r="FP37" s="11"/>
      <c r="FQ37" s="11"/>
      <c r="FR37" s="11"/>
      <c r="FS37" s="11"/>
      <c r="FT37" s="213"/>
      <c r="FU37" s="11"/>
      <c r="FV37" s="11"/>
      <c r="FW37" s="11"/>
      <c r="FX37" s="11"/>
      <c r="FY37" s="11"/>
      <c r="FZ37" s="213"/>
      <c r="GA37" s="11"/>
      <c r="GB37" s="11"/>
      <c r="GC37" s="11"/>
      <c r="GD37" s="11"/>
      <c r="GE37" s="11"/>
      <c r="GF37" s="11"/>
      <c r="GG37" s="11"/>
      <c r="GH37" s="11"/>
      <c r="GI37" s="11"/>
      <c r="GJ37" s="11"/>
      <c r="GK37" s="11"/>
      <c r="GL37" s="11"/>
      <c r="GM37" s="11"/>
      <c r="GN37" s="11"/>
      <c r="GO37" s="11"/>
      <c r="GP37" s="152"/>
    </row>
    <row r="38" spans="1:198" x14ac:dyDescent="0.2">
      <c r="A38" s="74" t="s">
        <v>1662</v>
      </c>
      <c r="B38" s="11" t="str">
        <f t="shared" si="1"/>
        <v>-</v>
      </c>
      <c r="C38" s="11" t="s">
        <v>1235</v>
      </c>
      <c r="D38" s="11"/>
      <c r="E38" s="11"/>
      <c r="F38" s="11" t="s">
        <v>2812</v>
      </c>
      <c r="G38" s="213"/>
      <c r="H38" s="11" t="s">
        <v>1235</v>
      </c>
      <c r="I38" s="11"/>
      <c r="J38" s="11"/>
      <c r="K38" s="11"/>
      <c r="L38" s="11"/>
      <c r="M38" s="11"/>
      <c r="N38" s="11"/>
      <c r="O38" s="11"/>
      <c r="P38" s="11"/>
      <c r="Q38" s="11"/>
      <c r="R38" s="11"/>
      <c r="S38" s="11"/>
      <c r="T38" s="11"/>
      <c r="U38" s="11"/>
      <c r="V38" s="11"/>
      <c r="W38" s="11"/>
      <c r="X38" s="11"/>
      <c r="Y38" s="213"/>
      <c r="Z38" s="11" t="s">
        <v>1235</v>
      </c>
      <c r="AA38" s="11"/>
      <c r="AB38" s="11"/>
      <c r="AC38" s="11"/>
      <c r="AD38" s="11"/>
      <c r="AE38" s="11"/>
      <c r="AF38" s="11"/>
      <c r="AG38" s="11"/>
      <c r="AH38" s="11"/>
      <c r="AI38" s="11"/>
      <c r="AJ38" s="11"/>
      <c r="AK38" s="11"/>
      <c r="AL38" s="11"/>
      <c r="AM38" s="11"/>
      <c r="AN38" s="11"/>
      <c r="AO38" s="11"/>
      <c r="AP38" s="11"/>
      <c r="AQ38" s="11"/>
      <c r="AR38" s="11"/>
      <c r="AS38" s="11"/>
      <c r="AT38" s="213"/>
      <c r="AU38" s="11"/>
      <c r="AV38" s="11"/>
      <c r="AW38" s="11"/>
      <c r="AX38" s="11"/>
      <c r="AY38" s="11"/>
      <c r="AZ38" s="11"/>
      <c r="BA38" s="11"/>
      <c r="BB38" s="11"/>
      <c r="BC38" s="11"/>
      <c r="BD38" s="11"/>
      <c r="BE38" s="213"/>
      <c r="BF38" s="11"/>
      <c r="BG38" s="11"/>
      <c r="BH38" s="11"/>
      <c r="BI38" s="11"/>
      <c r="BJ38" s="11"/>
      <c r="BK38" s="11"/>
      <c r="BL38" s="11"/>
      <c r="BM38" s="11"/>
      <c r="BN38" s="11"/>
      <c r="BO38" s="11"/>
      <c r="BP38" s="11"/>
      <c r="BQ38" s="213"/>
      <c r="BR38" s="11"/>
      <c r="BS38" s="11"/>
      <c r="BT38" s="11"/>
      <c r="BU38" s="11"/>
      <c r="BV38" s="11"/>
      <c r="BW38" s="11"/>
      <c r="BX38" s="11"/>
      <c r="BY38" s="11"/>
      <c r="BZ38" s="11"/>
      <c r="CA38" s="195"/>
      <c r="CB38" s="11"/>
      <c r="CC38" s="11"/>
      <c r="CD38" s="11"/>
      <c r="CE38" s="11"/>
      <c r="CF38" s="11"/>
      <c r="CG38" s="11"/>
      <c r="CH38" s="11"/>
      <c r="CI38" s="11"/>
      <c r="CJ38" s="11"/>
      <c r="CK38" s="213"/>
      <c r="CL38" s="11"/>
      <c r="CM38" s="11"/>
      <c r="CN38" s="11"/>
      <c r="CO38" s="11"/>
      <c r="CP38" s="11"/>
      <c r="CQ38" s="11"/>
      <c r="CR38" s="11"/>
      <c r="CS38" s="11"/>
      <c r="CT38" s="11"/>
      <c r="CU38" s="11"/>
      <c r="CV38" s="11"/>
      <c r="CW38" s="213"/>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213"/>
      <c r="EM38" s="11"/>
      <c r="EN38" s="11"/>
      <c r="EO38" s="11"/>
      <c r="EP38" s="11"/>
      <c r="EQ38" s="11"/>
      <c r="ER38" s="11"/>
      <c r="ES38" s="11"/>
      <c r="ET38" s="11"/>
      <c r="EU38" s="11"/>
      <c r="EV38" s="11"/>
      <c r="EW38" s="213"/>
      <c r="EX38" s="11"/>
      <c r="EY38" s="11"/>
      <c r="EZ38" s="11"/>
      <c r="FA38" s="213"/>
      <c r="FB38" s="11"/>
      <c r="FC38" s="11"/>
      <c r="FD38" s="11"/>
      <c r="FE38" s="11"/>
      <c r="FF38" s="11"/>
      <c r="FG38" s="11"/>
      <c r="FH38" s="11"/>
      <c r="FI38" s="213"/>
      <c r="FJ38" s="11"/>
      <c r="FK38" s="11"/>
      <c r="FL38" s="11"/>
      <c r="FM38" s="11"/>
      <c r="FN38" s="11"/>
      <c r="FO38" s="11"/>
      <c r="FP38" s="11"/>
      <c r="FQ38" s="11"/>
      <c r="FR38" s="11"/>
      <c r="FS38" s="11"/>
      <c r="FT38" s="213"/>
      <c r="FU38" s="11"/>
      <c r="FV38" s="11"/>
      <c r="FW38" s="11"/>
      <c r="FX38" s="11"/>
      <c r="FY38" s="11"/>
      <c r="FZ38" s="213"/>
      <c r="GA38" s="11"/>
      <c r="GB38" s="11"/>
      <c r="GC38" s="11"/>
      <c r="GD38" s="11"/>
      <c r="GE38" s="11"/>
      <c r="GF38" s="11"/>
      <c r="GG38" s="11"/>
      <c r="GH38" s="11"/>
      <c r="GI38" s="11"/>
      <c r="GJ38" s="11"/>
      <c r="GK38" s="11"/>
      <c r="GL38" s="11"/>
      <c r="GM38" s="11"/>
      <c r="GN38" s="11"/>
      <c r="GO38" s="11"/>
      <c r="GP38" s="152"/>
    </row>
    <row r="39" spans="1:198" x14ac:dyDescent="0.2">
      <c r="A39" s="74" t="s">
        <v>1668</v>
      </c>
      <c r="B39" s="11" t="str">
        <f>IF(AND(ISTEXT("https://github.com/EVMFuzzer/EVMFuzzer"),"https://github.com/EVMFuzzer/EVMFuzzer"&lt;&gt;""), HYPERLINK("https://github.com/EVMFuzzer/EVMFuzzer", "Link"),"-")</f>
        <v>Link</v>
      </c>
      <c r="C39" s="11"/>
      <c r="D39" s="11" t="s">
        <v>1235</v>
      </c>
      <c r="E39" s="11" t="s">
        <v>1235</v>
      </c>
      <c r="F39" s="11" t="s">
        <v>2812</v>
      </c>
      <c r="G39" s="213"/>
      <c r="H39" s="11" t="s">
        <v>1235</v>
      </c>
      <c r="I39" s="11"/>
      <c r="J39" s="11"/>
      <c r="K39" s="11"/>
      <c r="L39" s="11"/>
      <c r="M39" s="11"/>
      <c r="N39" s="11"/>
      <c r="O39" s="11"/>
      <c r="P39" s="11"/>
      <c r="Q39" s="11" t="s">
        <v>1235</v>
      </c>
      <c r="R39" s="11"/>
      <c r="S39" s="11"/>
      <c r="T39" s="11"/>
      <c r="U39" s="11"/>
      <c r="V39" s="11"/>
      <c r="W39" s="11"/>
      <c r="X39" s="11"/>
      <c r="Y39" s="213"/>
      <c r="Z39" s="11"/>
      <c r="AA39" s="11"/>
      <c r="AB39" s="11"/>
      <c r="AC39" s="11"/>
      <c r="AD39" s="11"/>
      <c r="AE39" s="11"/>
      <c r="AF39" s="11"/>
      <c r="AG39" s="11"/>
      <c r="AH39" s="11"/>
      <c r="AI39" s="11"/>
      <c r="AJ39" s="11"/>
      <c r="AK39" s="11"/>
      <c r="AL39" s="11"/>
      <c r="AM39" s="11"/>
      <c r="AN39" s="11"/>
      <c r="AO39" s="11"/>
      <c r="AP39" s="11"/>
      <c r="AQ39" s="11"/>
      <c r="AR39" s="11"/>
      <c r="AS39" s="11"/>
      <c r="AT39" s="213" t="s">
        <v>1235</v>
      </c>
      <c r="AU39" s="11"/>
      <c r="AV39" s="11"/>
      <c r="AW39" s="11"/>
      <c r="AX39" s="11"/>
      <c r="AY39" s="11"/>
      <c r="AZ39" s="11"/>
      <c r="BA39" s="11"/>
      <c r="BB39" s="11"/>
      <c r="BC39" s="11"/>
      <c r="BD39" s="11"/>
      <c r="BE39" s="213"/>
      <c r="BF39" s="11"/>
      <c r="BG39" s="11"/>
      <c r="BH39" s="11"/>
      <c r="BI39" s="11"/>
      <c r="BJ39" s="11"/>
      <c r="BK39" s="11"/>
      <c r="BL39" s="11"/>
      <c r="BM39" s="11"/>
      <c r="BN39" s="11"/>
      <c r="BO39" s="11" t="s">
        <v>1235</v>
      </c>
      <c r="BP39" s="11"/>
      <c r="BQ39" s="213"/>
      <c r="BR39" s="11"/>
      <c r="BS39" s="11"/>
      <c r="BT39" s="11"/>
      <c r="BU39" s="11"/>
      <c r="BV39" s="11"/>
      <c r="BW39" s="11"/>
      <c r="BX39" s="11"/>
      <c r="BY39" s="11"/>
      <c r="BZ39" s="11"/>
      <c r="CA39" s="195"/>
      <c r="CB39" s="11"/>
      <c r="CC39" s="11"/>
      <c r="CD39" s="11"/>
      <c r="CE39" s="11"/>
      <c r="CF39" s="11"/>
      <c r="CG39" s="11"/>
      <c r="CH39" s="11"/>
      <c r="CI39" s="11"/>
      <c r="CJ39" s="11"/>
      <c r="CK39" s="213" t="s">
        <v>1235</v>
      </c>
      <c r="CL39" s="11"/>
      <c r="CM39" s="11"/>
      <c r="CN39" s="11"/>
      <c r="CO39" s="11"/>
      <c r="CP39" s="11"/>
      <c r="CQ39" s="11"/>
      <c r="CR39" s="11"/>
      <c r="CS39" s="11"/>
      <c r="CT39" s="11"/>
      <c r="CU39" s="11"/>
      <c r="CV39" s="11"/>
      <c r="CW39" s="213"/>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213"/>
      <c r="EM39" s="11"/>
      <c r="EN39" s="11"/>
      <c r="EO39" s="11"/>
      <c r="EP39" s="11"/>
      <c r="EQ39" s="11"/>
      <c r="ER39" s="11"/>
      <c r="ES39" s="11"/>
      <c r="ET39" s="11"/>
      <c r="EU39" s="11"/>
      <c r="EV39" s="11"/>
      <c r="EW39" s="213"/>
      <c r="EX39" s="11"/>
      <c r="EY39" s="11"/>
      <c r="EZ39" s="11"/>
      <c r="FA39" s="213"/>
      <c r="FB39" s="11"/>
      <c r="FC39" s="11"/>
      <c r="FD39" s="11"/>
      <c r="FE39" s="11"/>
      <c r="FF39" s="11"/>
      <c r="FG39" s="11"/>
      <c r="FH39" s="11"/>
      <c r="FI39" s="213"/>
      <c r="FJ39" s="11"/>
      <c r="FK39" s="11"/>
      <c r="FL39" s="11"/>
      <c r="FM39" s="11"/>
      <c r="FN39" s="11"/>
      <c r="FO39" s="11"/>
      <c r="FP39" s="11"/>
      <c r="FQ39" s="11"/>
      <c r="FR39" s="11"/>
      <c r="FS39" s="11"/>
      <c r="FT39" s="213"/>
      <c r="FU39" s="11"/>
      <c r="FV39" s="11"/>
      <c r="FW39" s="11"/>
      <c r="FX39" s="11"/>
      <c r="FY39" s="11"/>
      <c r="FZ39" s="213"/>
      <c r="GA39" s="11"/>
      <c r="GB39" s="11"/>
      <c r="GC39" s="11"/>
      <c r="GD39" s="11"/>
      <c r="GE39" s="11"/>
      <c r="GF39" s="11"/>
      <c r="GG39" s="11"/>
      <c r="GH39" s="11"/>
      <c r="GI39" s="11"/>
      <c r="GJ39" s="11"/>
      <c r="GK39" s="11"/>
      <c r="GL39" s="11"/>
      <c r="GM39" s="11"/>
      <c r="GN39" s="11"/>
      <c r="GO39" s="11"/>
      <c r="GP39" s="152"/>
    </row>
    <row r="40" spans="1:198" x14ac:dyDescent="0.2">
      <c r="A40" s="74" t="s">
        <v>1671</v>
      </c>
      <c r="B40" s="11" t="str">
        <f>IF(AND(ISTEXT(""),""&lt;&gt;""), HYPERLINK("", "Link"),"-")</f>
        <v>-</v>
      </c>
      <c r="C40" s="11" t="s">
        <v>1235</v>
      </c>
      <c r="D40" s="11"/>
      <c r="E40" s="11"/>
      <c r="F40" s="11" t="s">
        <v>2812</v>
      </c>
      <c r="G40" s="213"/>
      <c r="H40" s="11" t="s">
        <v>1235</v>
      </c>
      <c r="I40" s="11"/>
      <c r="J40" s="11"/>
      <c r="K40" s="11"/>
      <c r="L40" s="11"/>
      <c r="M40" s="11"/>
      <c r="N40" s="11"/>
      <c r="O40" s="11"/>
      <c r="P40" s="11"/>
      <c r="Q40" s="11"/>
      <c r="R40" s="11"/>
      <c r="S40" s="11"/>
      <c r="T40" s="11"/>
      <c r="U40" s="11"/>
      <c r="V40" s="11"/>
      <c r="W40" s="11"/>
      <c r="X40" s="11"/>
      <c r="Y40" s="213"/>
      <c r="Z40" s="11" t="s">
        <v>1235</v>
      </c>
      <c r="AA40" s="11"/>
      <c r="AB40" s="11"/>
      <c r="AC40" s="11"/>
      <c r="AD40" s="11"/>
      <c r="AE40" s="11"/>
      <c r="AF40" s="11"/>
      <c r="AG40" s="11"/>
      <c r="AH40" s="11"/>
      <c r="AI40" s="11"/>
      <c r="AJ40" s="11"/>
      <c r="AK40" s="11"/>
      <c r="AL40" s="11"/>
      <c r="AM40" s="11"/>
      <c r="AN40" s="11"/>
      <c r="AO40" s="11"/>
      <c r="AP40" s="11"/>
      <c r="AQ40" s="11"/>
      <c r="AR40" s="11"/>
      <c r="AS40" s="11"/>
      <c r="AT40" s="213" t="s">
        <v>1235</v>
      </c>
      <c r="AU40" s="11"/>
      <c r="AV40" s="11"/>
      <c r="AW40" s="11"/>
      <c r="AX40" s="11"/>
      <c r="AY40" s="11"/>
      <c r="AZ40" s="11"/>
      <c r="BA40" s="11"/>
      <c r="BB40" s="11"/>
      <c r="BC40" s="11"/>
      <c r="BD40" s="11"/>
      <c r="BE40" s="213"/>
      <c r="BF40" s="11"/>
      <c r="BG40" s="11"/>
      <c r="BH40" s="11"/>
      <c r="BI40" s="11"/>
      <c r="BJ40" s="11"/>
      <c r="BK40" s="11"/>
      <c r="BL40" s="11"/>
      <c r="BM40" s="11"/>
      <c r="BN40" s="11"/>
      <c r="BO40" s="11"/>
      <c r="BP40" s="11"/>
      <c r="BQ40" s="213"/>
      <c r="BR40" s="11" t="s">
        <v>1235</v>
      </c>
      <c r="BS40" s="11"/>
      <c r="BT40" s="11"/>
      <c r="BU40" s="11"/>
      <c r="BV40" s="11"/>
      <c r="BW40" s="11"/>
      <c r="BX40" s="11"/>
      <c r="BY40" s="11"/>
      <c r="BZ40" s="11"/>
      <c r="CA40" s="195"/>
      <c r="CB40" s="11"/>
      <c r="CC40" s="11"/>
      <c r="CD40" s="11"/>
      <c r="CE40" s="11"/>
      <c r="CF40" s="11"/>
      <c r="CG40" s="11"/>
      <c r="CH40" s="11"/>
      <c r="CI40" s="11"/>
      <c r="CJ40" s="11"/>
      <c r="CK40" s="213"/>
      <c r="CL40" s="11"/>
      <c r="CM40" s="11"/>
      <c r="CN40" s="11"/>
      <c r="CO40" s="11"/>
      <c r="CP40" s="11"/>
      <c r="CQ40" s="11"/>
      <c r="CR40" s="11"/>
      <c r="CS40" s="11"/>
      <c r="CT40" s="11"/>
      <c r="CU40" s="11"/>
      <c r="CV40" s="11"/>
      <c r="CW40" s="213"/>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213"/>
      <c r="EM40" s="11"/>
      <c r="EN40" s="11"/>
      <c r="EO40" s="11"/>
      <c r="EP40" s="11"/>
      <c r="EQ40" s="11"/>
      <c r="ER40" s="11"/>
      <c r="ES40" s="11"/>
      <c r="ET40" s="11"/>
      <c r="EU40" s="11"/>
      <c r="EV40" s="11"/>
      <c r="EW40" s="213"/>
      <c r="EX40" s="11"/>
      <c r="EY40" s="11"/>
      <c r="EZ40" s="11"/>
      <c r="FA40" s="213"/>
      <c r="FB40" s="11"/>
      <c r="FC40" s="11"/>
      <c r="FD40" s="11"/>
      <c r="FE40" s="11"/>
      <c r="FF40" s="11"/>
      <c r="FG40" s="11"/>
      <c r="FH40" s="11"/>
      <c r="FI40" s="213"/>
      <c r="FJ40" s="11"/>
      <c r="FK40" s="11"/>
      <c r="FL40" s="11"/>
      <c r="FM40" s="11"/>
      <c r="FN40" s="11"/>
      <c r="FO40" s="11"/>
      <c r="FP40" s="11"/>
      <c r="FQ40" s="11"/>
      <c r="FR40" s="11"/>
      <c r="FS40" s="11"/>
      <c r="FT40" s="213"/>
      <c r="FU40" s="11"/>
      <c r="FV40" s="11"/>
      <c r="FW40" s="11"/>
      <c r="FX40" s="11"/>
      <c r="FY40" s="11"/>
      <c r="FZ40" s="213"/>
      <c r="GA40" s="11"/>
      <c r="GB40" s="11"/>
      <c r="GC40" s="11"/>
      <c r="GD40" s="11"/>
      <c r="GE40" s="11"/>
      <c r="GF40" s="11"/>
      <c r="GG40" s="11"/>
      <c r="GH40" s="11"/>
      <c r="GI40" s="11"/>
      <c r="GJ40" s="11"/>
      <c r="GK40" s="11"/>
      <c r="GL40" s="11"/>
      <c r="GM40" s="11"/>
      <c r="GN40" s="11"/>
      <c r="GO40" s="11"/>
      <c r="GP40" s="152"/>
    </row>
    <row r="41" spans="1:198" x14ac:dyDescent="0.2">
      <c r="A41" s="73" t="s">
        <v>1673</v>
      </c>
      <c r="B41" s="11" t="str">
        <f>IF(AND(ISTEXT("https://github.com/uni-due-syssec/evmpatch-developer-study"),"https://github.com/uni-due-syssec/evmpatch-developer-study"&lt;&gt;""), HYPERLINK("https://github.com/uni-due-syssec/evmpatch-developer-study", "Link"),"-")</f>
        <v>Link</v>
      </c>
      <c r="C41" s="11" t="s">
        <v>1235</v>
      </c>
      <c r="D41" s="11" t="s">
        <v>1235</v>
      </c>
      <c r="E41" s="11" t="s">
        <v>1235</v>
      </c>
      <c r="F41" s="11" t="s">
        <v>2811</v>
      </c>
      <c r="G41" s="213"/>
      <c r="H41" s="11"/>
      <c r="I41" s="11"/>
      <c r="J41" s="11"/>
      <c r="K41" s="11"/>
      <c r="L41" s="11"/>
      <c r="M41" s="11"/>
      <c r="N41" s="11"/>
      <c r="O41" s="11"/>
      <c r="P41" s="11"/>
      <c r="Q41" s="11"/>
      <c r="R41" s="11"/>
      <c r="S41" s="11"/>
      <c r="T41" s="11"/>
      <c r="U41" s="11"/>
      <c r="V41" s="11"/>
      <c r="W41" s="11"/>
      <c r="X41" s="11"/>
      <c r="Y41" s="213"/>
      <c r="Z41" s="11"/>
      <c r="AA41" s="11"/>
      <c r="AB41" s="11"/>
      <c r="AC41" s="11"/>
      <c r="AD41" s="11"/>
      <c r="AE41" s="11"/>
      <c r="AF41" s="11"/>
      <c r="AG41" s="11"/>
      <c r="AH41" s="11"/>
      <c r="AI41" s="11"/>
      <c r="AJ41" s="11"/>
      <c r="AK41" s="11"/>
      <c r="AL41" s="11"/>
      <c r="AM41" s="11"/>
      <c r="AN41" s="11"/>
      <c r="AO41" s="11"/>
      <c r="AP41" s="11"/>
      <c r="AQ41" s="11"/>
      <c r="AR41" s="11"/>
      <c r="AS41" s="11"/>
      <c r="AT41" s="213" t="s">
        <v>1235</v>
      </c>
      <c r="AU41" s="11"/>
      <c r="AV41" s="11"/>
      <c r="AW41" s="11"/>
      <c r="AX41" s="11"/>
      <c r="AY41" s="11"/>
      <c r="AZ41" s="11"/>
      <c r="BA41" s="11"/>
      <c r="BB41" s="11"/>
      <c r="BC41" s="11"/>
      <c r="BD41" s="11"/>
      <c r="BE41" s="213"/>
      <c r="BF41" s="11"/>
      <c r="BG41" s="11"/>
      <c r="BH41" s="11"/>
      <c r="BI41" s="11"/>
      <c r="BJ41" s="11"/>
      <c r="BK41" s="11"/>
      <c r="BL41" s="11"/>
      <c r="BM41" s="11"/>
      <c r="BN41" s="11"/>
      <c r="BO41" s="11"/>
      <c r="BP41" s="11"/>
      <c r="BQ41" s="213"/>
      <c r="BR41" s="11"/>
      <c r="BS41" s="11"/>
      <c r="BT41" s="11"/>
      <c r="BU41" s="11"/>
      <c r="BV41" s="11"/>
      <c r="BW41" s="11"/>
      <c r="BX41" s="11"/>
      <c r="BY41" s="11"/>
      <c r="BZ41" s="11"/>
      <c r="CA41" s="195"/>
      <c r="CB41" s="11"/>
      <c r="CC41" s="11"/>
      <c r="CD41" s="11"/>
      <c r="CE41" s="11"/>
      <c r="CF41" s="11"/>
      <c r="CG41" s="11"/>
      <c r="CH41" s="11"/>
      <c r="CI41" s="11"/>
      <c r="CJ41" s="11"/>
      <c r="CK41" s="213" t="s">
        <v>1235</v>
      </c>
      <c r="CL41" s="11"/>
      <c r="CM41" s="11"/>
      <c r="CN41" s="11"/>
      <c r="CO41" s="11"/>
      <c r="CP41" s="11"/>
      <c r="CQ41" s="11"/>
      <c r="CR41" s="11"/>
      <c r="CS41" s="11"/>
      <c r="CT41" s="11"/>
      <c r="CU41" s="11"/>
      <c r="CV41" s="11"/>
      <c r="CW41" s="213"/>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213"/>
      <c r="EM41" s="11"/>
      <c r="EN41" s="11"/>
      <c r="EO41" s="11"/>
      <c r="EP41" s="11"/>
      <c r="EQ41" s="11"/>
      <c r="ER41" s="11"/>
      <c r="ES41" s="11"/>
      <c r="ET41" s="11"/>
      <c r="EU41" s="11"/>
      <c r="EV41" s="11"/>
      <c r="EW41" s="213"/>
      <c r="EX41" s="11"/>
      <c r="EY41" s="11"/>
      <c r="EZ41" s="11"/>
      <c r="FA41" s="213"/>
      <c r="FB41" s="11"/>
      <c r="FC41" s="11"/>
      <c r="FD41" s="11"/>
      <c r="FE41" s="11"/>
      <c r="FF41" s="11"/>
      <c r="FG41" s="11"/>
      <c r="FH41" s="11"/>
      <c r="FI41" s="213"/>
      <c r="FJ41" s="11"/>
      <c r="FK41" s="11"/>
      <c r="FL41" s="11"/>
      <c r="FM41" s="11"/>
      <c r="FN41" s="11"/>
      <c r="FO41" s="11"/>
      <c r="FP41" s="11"/>
      <c r="FQ41" s="11"/>
      <c r="FR41" s="11"/>
      <c r="FS41" s="11"/>
      <c r="FT41" s="213"/>
      <c r="FU41" s="11"/>
      <c r="FV41" s="11"/>
      <c r="FW41" s="11"/>
      <c r="FX41" s="11"/>
      <c r="FY41" s="11"/>
      <c r="FZ41" s="213"/>
      <c r="GA41" s="11"/>
      <c r="GB41" s="11"/>
      <c r="GC41" s="11"/>
      <c r="GD41" s="11"/>
      <c r="GE41" s="11"/>
      <c r="GF41" s="11"/>
      <c r="GG41" s="11"/>
      <c r="GH41" s="11"/>
      <c r="GI41" s="11"/>
      <c r="GJ41" s="11"/>
      <c r="GK41" s="11"/>
      <c r="GL41" s="11"/>
      <c r="GM41" s="11"/>
      <c r="GN41" s="11"/>
      <c r="GO41" s="11"/>
      <c r="GP41" s="152"/>
    </row>
    <row r="42" spans="1:198" x14ac:dyDescent="0.2">
      <c r="A42" s="73" t="s">
        <v>1677</v>
      </c>
      <c r="B42" s="11" t="str">
        <f>IF(AND(ISTEXT("https://github.com/s00ne/SmartConDetect"),"https://github.com/s00ne/SmartConDetect"&lt;&gt;""), HYPERLINK("https://github.com/s00ne/SmartConDetect", "Link"),"-")</f>
        <v>Link</v>
      </c>
      <c r="C42" s="11" t="s">
        <v>1235</v>
      </c>
      <c r="D42" s="11"/>
      <c r="E42" s="11" t="s">
        <v>1235</v>
      </c>
      <c r="F42" s="11" t="s">
        <v>2811</v>
      </c>
      <c r="G42" s="213"/>
      <c r="H42" s="11"/>
      <c r="I42" s="11"/>
      <c r="J42" s="11"/>
      <c r="K42" s="11"/>
      <c r="L42" s="11"/>
      <c r="M42" s="11" t="s">
        <v>1235</v>
      </c>
      <c r="N42" s="11"/>
      <c r="O42" s="11"/>
      <c r="P42" s="11"/>
      <c r="Q42" s="11"/>
      <c r="R42" s="11"/>
      <c r="S42" s="11"/>
      <c r="T42" s="11"/>
      <c r="U42" s="11"/>
      <c r="V42" s="11" t="s">
        <v>1235</v>
      </c>
      <c r="W42" s="11" t="s">
        <v>1235</v>
      </c>
      <c r="X42" s="11"/>
      <c r="Y42" s="213"/>
      <c r="Z42" s="11"/>
      <c r="AA42" s="11"/>
      <c r="AB42" s="11"/>
      <c r="AC42" s="11"/>
      <c r="AD42" s="11"/>
      <c r="AE42" s="11"/>
      <c r="AF42" s="11"/>
      <c r="AG42" s="11"/>
      <c r="AH42" s="11"/>
      <c r="AI42" s="11"/>
      <c r="AJ42" s="11" t="s">
        <v>1235</v>
      </c>
      <c r="AK42" s="11"/>
      <c r="AL42" s="11"/>
      <c r="AM42" s="11"/>
      <c r="AN42" s="11"/>
      <c r="AO42" s="11"/>
      <c r="AP42" s="11"/>
      <c r="AQ42" s="11"/>
      <c r="AR42" s="11"/>
      <c r="AS42" s="11"/>
      <c r="AT42" s="213" t="s">
        <v>1235</v>
      </c>
      <c r="AU42" s="11"/>
      <c r="AV42" s="11"/>
      <c r="AW42" s="11"/>
      <c r="AX42" s="11"/>
      <c r="AY42" s="11"/>
      <c r="AZ42" s="11" t="s">
        <v>1235</v>
      </c>
      <c r="BA42" s="11"/>
      <c r="BB42" s="11"/>
      <c r="BC42" s="11"/>
      <c r="BD42" s="11"/>
      <c r="BE42" s="213"/>
      <c r="BF42" s="11"/>
      <c r="BG42" s="11"/>
      <c r="BH42" s="11"/>
      <c r="BI42" s="11"/>
      <c r="BJ42" s="11"/>
      <c r="BK42" s="11"/>
      <c r="BL42" s="11"/>
      <c r="BM42" s="11"/>
      <c r="BN42" s="11"/>
      <c r="BO42" s="11"/>
      <c r="BP42" s="11" t="s">
        <v>1235</v>
      </c>
      <c r="BQ42" s="213"/>
      <c r="BR42" s="11"/>
      <c r="BS42" s="11"/>
      <c r="BT42" s="11"/>
      <c r="BU42" s="11"/>
      <c r="BV42" s="11"/>
      <c r="BW42" s="11"/>
      <c r="BX42" s="11"/>
      <c r="BY42" s="11"/>
      <c r="BZ42" s="11" t="s">
        <v>1235</v>
      </c>
      <c r="CA42" s="195"/>
      <c r="CB42" s="11"/>
      <c r="CC42" s="11"/>
      <c r="CD42" s="11"/>
      <c r="CE42" s="11"/>
      <c r="CF42" s="11"/>
      <c r="CG42" s="11"/>
      <c r="CH42" s="11"/>
      <c r="CI42" s="11"/>
      <c r="CJ42" s="11"/>
      <c r="CK42" s="213"/>
      <c r="CL42" s="11"/>
      <c r="CM42" s="11"/>
      <c r="CN42" s="11"/>
      <c r="CO42" s="11"/>
      <c r="CP42" s="11"/>
      <c r="CQ42" s="11"/>
      <c r="CR42" s="11"/>
      <c r="CS42" s="11"/>
      <c r="CT42" s="11"/>
      <c r="CU42" s="11"/>
      <c r="CV42" s="11" t="s">
        <v>1235</v>
      </c>
      <c r="CW42" s="213"/>
      <c r="CX42" s="11"/>
      <c r="CY42" s="11"/>
      <c r="CZ42" s="11"/>
      <c r="DA42" s="11" t="s">
        <v>1235</v>
      </c>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t="s">
        <v>1235</v>
      </c>
      <c r="EB42" s="11"/>
      <c r="EC42" s="11"/>
      <c r="ED42" s="11"/>
      <c r="EE42" s="11"/>
      <c r="EF42" s="11"/>
      <c r="EG42" s="11"/>
      <c r="EH42" s="11"/>
      <c r="EI42" s="11"/>
      <c r="EJ42" s="11"/>
      <c r="EK42" s="11"/>
      <c r="EL42" s="213"/>
      <c r="EM42" s="11" t="s">
        <v>1235</v>
      </c>
      <c r="EN42" s="11"/>
      <c r="EO42" s="11"/>
      <c r="EP42" s="11" t="s">
        <v>1235</v>
      </c>
      <c r="EQ42" s="11"/>
      <c r="ER42" s="11"/>
      <c r="ES42" s="11"/>
      <c r="ET42" s="11"/>
      <c r="EU42" s="11"/>
      <c r="EV42" s="11" t="s">
        <v>1235</v>
      </c>
      <c r="EW42" s="213"/>
      <c r="EX42" s="11"/>
      <c r="EY42" s="11"/>
      <c r="EZ42" s="11"/>
      <c r="FA42" s="213"/>
      <c r="FB42" s="11"/>
      <c r="FC42" s="11"/>
      <c r="FD42" s="11"/>
      <c r="FE42" s="11"/>
      <c r="FF42" s="11"/>
      <c r="FG42" s="11"/>
      <c r="FH42" s="11"/>
      <c r="FI42" s="213"/>
      <c r="FJ42" s="11"/>
      <c r="FK42" s="11"/>
      <c r="FL42" s="11"/>
      <c r="FM42" s="11"/>
      <c r="FN42" s="11"/>
      <c r="FO42" s="11"/>
      <c r="FP42" s="11"/>
      <c r="FQ42" s="11"/>
      <c r="FR42" s="11"/>
      <c r="FS42" s="11"/>
      <c r="FT42" s="213"/>
      <c r="FU42" s="11"/>
      <c r="FV42" s="11"/>
      <c r="FW42" s="11"/>
      <c r="FX42" s="11"/>
      <c r="FY42" s="11"/>
      <c r="FZ42" s="213"/>
      <c r="GA42" s="11"/>
      <c r="GB42" s="11"/>
      <c r="GC42" s="11"/>
      <c r="GD42" s="11"/>
      <c r="GE42" s="11"/>
      <c r="GF42" s="11"/>
      <c r="GG42" s="11"/>
      <c r="GH42" s="11"/>
      <c r="GI42" s="11"/>
      <c r="GJ42" s="11"/>
      <c r="GK42" s="11"/>
      <c r="GL42" s="11"/>
      <c r="GM42" s="11"/>
      <c r="GN42" s="11"/>
      <c r="GO42" s="11"/>
      <c r="GP42" s="152"/>
    </row>
    <row r="43" spans="1:198" x14ac:dyDescent="0.2">
      <c r="A43" s="74" t="s">
        <v>1679</v>
      </c>
      <c r="B43" s="11" t="str">
        <f>IF(AND(ISTEXT("https://github.com/ToolmanInside/xfuzz_tool "),"https://github.com/ToolmanInside/xfuzz_tool "&lt;&gt;""), HYPERLINK("https://github.com/ToolmanInside/xfuzz_tool ", "Link"),"-")</f>
        <v>Link</v>
      </c>
      <c r="C43" s="11" t="s">
        <v>1235</v>
      </c>
      <c r="D43" s="11" t="s">
        <v>1235</v>
      </c>
      <c r="E43" s="11" t="s">
        <v>1235</v>
      </c>
      <c r="F43" s="11" t="s">
        <v>2812</v>
      </c>
      <c r="G43" s="213"/>
      <c r="H43" s="11" t="s">
        <v>1235</v>
      </c>
      <c r="I43" s="11"/>
      <c r="J43" s="11"/>
      <c r="K43" s="11"/>
      <c r="L43" s="11"/>
      <c r="M43" s="11"/>
      <c r="N43" s="11"/>
      <c r="O43" s="11"/>
      <c r="P43" s="11"/>
      <c r="Q43" s="11" t="s">
        <v>1235</v>
      </c>
      <c r="R43" s="11"/>
      <c r="S43" s="11"/>
      <c r="T43" s="11"/>
      <c r="U43" s="11"/>
      <c r="V43" s="11"/>
      <c r="W43" s="11"/>
      <c r="X43" s="11"/>
      <c r="Y43" s="213"/>
      <c r="Z43" s="11"/>
      <c r="AA43" s="11"/>
      <c r="AB43" s="11"/>
      <c r="AC43" s="11"/>
      <c r="AD43" s="11"/>
      <c r="AE43" s="11"/>
      <c r="AF43" s="11"/>
      <c r="AG43" s="11"/>
      <c r="AH43" s="11"/>
      <c r="AI43" s="11"/>
      <c r="AJ43" s="11"/>
      <c r="AK43" s="11"/>
      <c r="AL43" s="11"/>
      <c r="AM43" s="11"/>
      <c r="AN43" s="11"/>
      <c r="AO43" s="11"/>
      <c r="AP43" s="11"/>
      <c r="AQ43" s="11"/>
      <c r="AR43" s="11"/>
      <c r="AS43" s="11"/>
      <c r="AT43" s="213"/>
      <c r="AU43" s="11"/>
      <c r="AV43" s="11"/>
      <c r="AW43" s="11"/>
      <c r="AX43" s="11"/>
      <c r="AY43" s="11"/>
      <c r="AZ43" s="11"/>
      <c r="BA43" s="11"/>
      <c r="BB43" s="11"/>
      <c r="BC43" s="11"/>
      <c r="BD43" s="11"/>
      <c r="BE43" s="213"/>
      <c r="BF43" s="11"/>
      <c r="BG43" s="11"/>
      <c r="BH43" s="11"/>
      <c r="BI43" s="11"/>
      <c r="BJ43" s="11"/>
      <c r="BK43" s="11"/>
      <c r="BL43" s="11"/>
      <c r="BM43" s="11"/>
      <c r="BN43" s="11"/>
      <c r="BO43" s="11"/>
      <c r="BP43" s="11"/>
      <c r="BQ43" s="213"/>
      <c r="BR43" s="11" t="s">
        <v>1235</v>
      </c>
      <c r="BS43" s="11"/>
      <c r="BT43" s="11"/>
      <c r="BU43" s="11"/>
      <c r="BV43" s="11"/>
      <c r="BW43" s="11"/>
      <c r="BX43" s="11"/>
      <c r="BY43" s="11"/>
      <c r="BZ43" s="11"/>
      <c r="CA43" s="195"/>
      <c r="CB43" s="11"/>
      <c r="CC43" s="11"/>
      <c r="CD43" s="11"/>
      <c r="CE43" s="11"/>
      <c r="CF43" s="11"/>
      <c r="CG43" s="11"/>
      <c r="CH43" s="11"/>
      <c r="CI43" s="11"/>
      <c r="CJ43" s="11"/>
      <c r="CK43" s="213"/>
      <c r="CL43" s="11"/>
      <c r="CM43" s="11"/>
      <c r="CN43" s="11"/>
      <c r="CO43" s="11"/>
      <c r="CP43" s="11"/>
      <c r="CQ43" s="11"/>
      <c r="CR43" s="11"/>
      <c r="CS43" s="11"/>
      <c r="CT43" s="11"/>
      <c r="CU43" s="11"/>
      <c r="CV43" s="11"/>
      <c r="CW43" s="213"/>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213"/>
      <c r="EM43" s="11"/>
      <c r="EN43" s="11"/>
      <c r="EO43" s="11"/>
      <c r="EP43" s="11"/>
      <c r="EQ43" s="11"/>
      <c r="ER43" s="11"/>
      <c r="ES43" s="11"/>
      <c r="ET43" s="11"/>
      <c r="EU43" s="11"/>
      <c r="EV43" s="11"/>
      <c r="EW43" s="213"/>
      <c r="EX43" s="11"/>
      <c r="EY43" s="11"/>
      <c r="EZ43" s="11"/>
      <c r="FA43" s="213"/>
      <c r="FB43" s="11"/>
      <c r="FC43" s="11"/>
      <c r="FD43" s="11"/>
      <c r="FE43" s="11"/>
      <c r="FF43" s="11"/>
      <c r="FG43" s="11"/>
      <c r="FH43" s="11"/>
      <c r="FI43" s="213"/>
      <c r="FJ43" s="11"/>
      <c r="FK43" s="11"/>
      <c r="FL43" s="11"/>
      <c r="FM43" s="11"/>
      <c r="FN43" s="11"/>
      <c r="FO43" s="11"/>
      <c r="FP43" s="11"/>
      <c r="FQ43" s="11"/>
      <c r="FR43" s="11"/>
      <c r="FS43" s="11"/>
      <c r="FT43" s="213"/>
      <c r="FU43" s="11"/>
      <c r="FV43" s="11"/>
      <c r="FW43" s="11"/>
      <c r="FX43" s="11"/>
      <c r="FY43" s="11"/>
      <c r="FZ43" s="213"/>
      <c r="GA43" s="11"/>
      <c r="GB43" s="11"/>
      <c r="GC43" s="11"/>
      <c r="GD43" s="11"/>
      <c r="GE43" s="11"/>
      <c r="GF43" s="11"/>
      <c r="GG43" s="11"/>
      <c r="GH43" s="11"/>
      <c r="GI43" s="11"/>
      <c r="GJ43" s="11"/>
      <c r="GK43" s="11"/>
      <c r="GL43" s="11"/>
      <c r="GM43" s="11"/>
      <c r="GN43" s="11"/>
      <c r="GO43" s="11"/>
      <c r="GP43" s="152"/>
    </row>
    <row r="44" spans="1:198" x14ac:dyDescent="0.2">
      <c r="A44" s="74" t="s">
        <v>1682</v>
      </c>
      <c r="B44" s="11" t="str">
        <f>IF(AND(ISTEXT("https://github.com/Demonhero0/rlf"),"https://github.com/Demonhero0/rlf"&lt;&gt;""), HYPERLINK("https://github.com/Demonhero0/rlf", "Link"),"-")</f>
        <v>Link</v>
      </c>
      <c r="C44" s="11"/>
      <c r="D44" s="11" t="s">
        <v>1235</v>
      </c>
      <c r="E44" s="11" t="s">
        <v>1235</v>
      </c>
      <c r="F44" s="11" t="s">
        <v>2812</v>
      </c>
      <c r="G44" s="213"/>
      <c r="H44" s="11"/>
      <c r="I44" s="11"/>
      <c r="J44" s="11"/>
      <c r="K44" s="11"/>
      <c r="L44" s="11"/>
      <c r="M44" s="11"/>
      <c r="N44" s="11"/>
      <c r="O44" s="11"/>
      <c r="P44" s="11"/>
      <c r="Q44" s="11" t="s">
        <v>1235</v>
      </c>
      <c r="R44" s="11"/>
      <c r="S44" s="11"/>
      <c r="T44" s="11"/>
      <c r="U44" s="11"/>
      <c r="V44" s="11"/>
      <c r="W44" s="11" t="s">
        <v>1235</v>
      </c>
      <c r="X44" s="11"/>
      <c r="Y44" s="213" t="s">
        <v>1235</v>
      </c>
      <c r="Z44" s="11"/>
      <c r="AA44" s="11"/>
      <c r="AB44" s="11"/>
      <c r="AC44" s="11"/>
      <c r="AD44" s="11"/>
      <c r="AE44" s="11"/>
      <c r="AF44" s="11"/>
      <c r="AG44" s="11"/>
      <c r="AH44" s="11"/>
      <c r="AI44" s="11"/>
      <c r="AJ44" s="11"/>
      <c r="AK44" s="11"/>
      <c r="AL44" s="11"/>
      <c r="AM44" s="11"/>
      <c r="AN44" s="11"/>
      <c r="AO44" s="11"/>
      <c r="AP44" s="11"/>
      <c r="AQ44" s="11"/>
      <c r="AR44" s="11"/>
      <c r="AS44" s="11"/>
      <c r="AT44" s="213" t="s">
        <v>1235</v>
      </c>
      <c r="AU44" s="11"/>
      <c r="AV44" s="11"/>
      <c r="AW44" s="11"/>
      <c r="AX44" s="11"/>
      <c r="AY44" s="11"/>
      <c r="AZ44" s="11"/>
      <c r="BA44" s="11"/>
      <c r="BB44" s="11"/>
      <c r="BC44" s="11"/>
      <c r="BD44" s="11"/>
      <c r="BE44" s="213"/>
      <c r="BF44" s="11"/>
      <c r="BG44" s="11"/>
      <c r="BH44" s="11"/>
      <c r="BI44" s="11"/>
      <c r="BJ44" s="11"/>
      <c r="BK44" s="11"/>
      <c r="BL44" s="11"/>
      <c r="BM44" s="11"/>
      <c r="BN44" s="11"/>
      <c r="BO44" s="11"/>
      <c r="BP44" s="11"/>
      <c r="BQ44" s="213"/>
      <c r="BR44" s="11"/>
      <c r="BS44" s="11"/>
      <c r="BT44" s="11" t="s">
        <v>1235</v>
      </c>
      <c r="BU44" s="11" t="s">
        <v>1235</v>
      </c>
      <c r="BV44" s="11"/>
      <c r="BW44" s="11"/>
      <c r="BX44" s="11"/>
      <c r="BY44" s="11"/>
      <c r="BZ44" s="11"/>
      <c r="CA44" s="195"/>
      <c r="CB44" s="11"/>
      <c r="CC44" s="11"/>
      <c r="CD44" s="11"/>
      <c r="CE44" s="11"/>
      <c r="CF44" s="11"/>
      <c r="CG44" s="11"/>
      <c r="CH44" s="11"/>
      <c r="CI44" s="11"/>
      <c r="CJ44" s="11"/>
      <c r="CK44" s="213"/>
      <c r="CL44" s="11"/>
      <c r="CM44" s="11"/>
      <c r="CN44" s="11"/>
      <c r="CO44" s="11"/>
      <c r="CP44" s="11"/>
      <c r="CQ44" s="11"/>
      <c r="CR44" s="11"/>
      <c r="CS44" s="11"/>
      <c r="CT44" s="11"/>
      <c r="CU44" s="11"/>
      <c r="CV44" s="11"/>
      <c r="CW44" s="213"/>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213"/>
      <c r="EM44" s="11"/>
      <c r="EN44" s="11"/>
      <c r="EO44" s="11"/>
      <c r="EP44" s="11"/>
      <c r="EQ44" s="11"/>
      <c r="ER44" s="11"/>
      <c r="ES44" s="11"/>
      <c r="ET44" s="11"/>
      <c r="EU44" s="11"/>
      <c r="EV44" s="11"/>
      <c r="EW44" s="213"/>
      <c r="EX44" s="11"/>
      <c r="EY44" s="11"/>
      <c r="EZ44" s="11"/>
      <c r="FA44" s="213"/>
      <c r="FB44" s="11"/>
      <c r="FC44" s="11"/>
      <c r="FD44" s="11"/>
      <c r="FE44" s="11"/>
      <c r="FF44" s="11"/>
      <c r="FG44" s="11"/>
      <c r="FH44" s="11"/>
      <c r="FI44" s="213"/>
      <c r="FJ44" s="11"/>
      <c r="FK44" s="11"/>
      <c r="FL44" s="11"/>
      <c r="FM44" s="11"/>
      <c r="FN44" s="11"/>
      <c r="FO44" s="11"/>
      <c r="FP44" s="11"/>
      <c r="FQ44" s="11"/>
      <c r="FR44" s="11"/>
      <c r="FS44" s="11"/>
      <c r="FT44" s="213"/>
      <c r="FU44" s="11"/>
      <c r="FV44" s="11"/>
      <c r="FW44" s="11"/>
      <c r="FX44" s="11"/>
      <c r="FY44" s="11"/>
      <c r="FZ44" s="213"/>
      <c r="GA44" s="11"/>
      <c r="GB44" s="11"/>
      <c r="GC44" s="11"/>
      <c r="GD44" s="11"/>
      <c r="GE44" s="11"/>
      <c r="GF44" s="11"/>
      <c r="GG44" s="11"/>
      <c r="GH44" s="11"/>
      <c r="GI44" s="11"/>
      <c r="GJ44" s="11"/>
      <c r="GK44" s="11"/>
      <c r="GL44" s="11"/>
      <c r="GM44" s="11"/>
      <c r="GN44" s="11"/>
      <c r="GO44" s="11"/>
      <c r="GP44" s="152"/>
    </row>
    <row r="45" spans="1:198" x14ac:dyDescent="0.2">
      <c r="A45" s="74" t="s">
        <v>1685</v>
      </c>
      <c r="B45" s="11" t="str">
        <f>IF(AND(ISTEXT("https://github.com/Messi-Q/IR-Fuzz"),"https://github.com/Messi-Q/IR-Fuzz"&lt;&gt;""), HYPERLINK("https://github.com/Messi-Q/IR-Fuzz", "Link"),"-")</f>
        <v>Link</v>
      </c>
      <c r="C45" s="11"/>
      <c r="D45" s="11" t="s">
        <v>1235</v>
      </c>
      <c r="E45" s="11" t="s">
        <v>1235</v>
      </c>
      <c r="F45" s="11" t="s">
        <v>2812</v>
      </c>
      <c r="G45" s="213"/>
      <c r="H45" s="11" t="s">
        <v>1235</v>
      </c>
      <c r="I45" s="11"/>
      <c r="J45" s="11"/>
      <c r="K45" s="11"/>
      <c r="L45" s="11"/>
      <c r="M45" s="11" t="s">
        <v>1235</v>
      </c>
      <c r="N45" s="11"/>
      <c r="O45" s="11"/>
      <c r="P45" s="11"/>
      <c r="Q45" s="11" t="s">
        <v>1235</v>
      </c>
      <c r="R45" s="11"/>
      <c r="S45" s="11"/>
      <c r="T45" s="11"/>
      <c r="U45" s="11"/>
      <c r="V45" s="11"/>
      <c r="W45" s="11" t="s">
        <v>1235</v>
      </c>
      <c r="X45" s="11"/>
      <c r="Y45" s="213"/>
      <c r="Z45" s="11" t="s">
        <v>1235</v>
      </c>
      <c r="AA45" s="11" t="s">
        <v>1235</v>
      </c>
      <c r="AB45" s="11"/>
      <c r="AC45" s="11"/>
      <c r="AD45" s="11"/>
      <c r="AE45" s="11"/>
      <c r="AF45" s="11"/>
      <c r="AG45" s="11"/>
      <c r="AH45" s="11"/>
      <c r="AI45" s="11"/>
      <c r="AJ45" s="11"/>
      <c r="AK45" s="11"/>
      <c r="AL45" s="11"/>
      <c r="AM45" s="11"/>
      <c r="AN45" s="11"/>
      <c r="AO45" s="11"/>
      <c r="AP45" s="11"/>
      <c r="AQ45" s="11"/>
      <c r="AR45" s="11"/>
      <c r="AS45" s="11"/>
      <c r="AT45" s="213" t="s">
        <v>1235</v>
      </c>
      <c r="AU45" s="11"/>
      <c r="AV45" s="11"/>
      <c r="AW45" s="11"/>
      <c r="AX45" s="11"/>
      <c r="AY45" s="11"/>
      <c r="AZ45" s="11"/>
      <c r="BA45" s="11"/>
      <c r="BB45" s="11"/>
      <c r="BC45" s="11"/>
      <c r="BD45" s="11"/>
      <c r="BE45" s="213"/>
      <c r="BF45" s="11"/>
      <c r="BG45" s="11"/>
      <c r="BH45" s="11"/>
      <c r="BI45" s="11"/>
      <c r="BJ45" s="11"/>
      <c r="BK45" s="11"/>
      <c r="BL45" s="11"/>
      <c r="BM45" s="11"/>
      <c r="BN45" s="11"/>
      <c r="BO45" s="11"/>
      <c r="BP45" s="11"/>
      <c r="BQ45" s="213"/>
      <c r="BR45" s="11"/>
      <c r="BS45" s="11"/>
      <c r="BT45" s="11"/>
      <c r="BU45" s="11"/>
      <c r="BV45" s="11"/>
      <c r="BW45" s="11"/>
      <c r="BX45" s="11"/>
      <c r="BY45" s="11"/>
      <c r="BZ45" s="11"/>
      <c r="CA45" s="195"/>
      <c r="CB45" s="11"/>
      <c r="CC45" s="11"/>
      <c r="CD45" s="11"/>
      <c r="CE45" s="11"/>
      <c r="CF45" s="11"/>
      <c r="CG45" s="11"/>
      <c r="CH45" s="11"/>
      <c r="CI45" s="11"/>
      <c r="CJ45" s="11"/>
      <c r="CK45" s="213" t="s">
        <v>1235</v>
      </c>
      <c r="CL45" s="11"/>
      <c r="CM45" s="11"/>
      <c r="CN45" s="11"/>
      <c r="CO45" s="11"/>
      <c r="CP45" s="11"/>
      <c r="CQ45" s="11"/>
      <c r="CR45" s="11"/>
      <c r="CS45" s="11"/>
      <c r="CT45" s="11"/>
      <c r="CU45" s="11"/>
      <c r="CV45" s="11"/>
      <c r="CW45" s="213"/>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213"/>
      <c r="EM45" s="11"/>
      <c r="EN45" s="11"/>
      <c r="EO45" s="11"/>
      <c r="EP45" s="11"/>
      <c r="EQ45" s="11"/>
      <c r="ER45" s="11"/>
      <c r="ES45" s="11"/>
      <c r="ET45" s="11"/>
      <c r="EU45" s="11"/>
      <c r="EV45" s="11"/>
      <c r="EW45" s="213"/>
      <c r="EX45" s="11"/>
      <c r="EY45" s="11"/>
      <c r="EZ45" s="11"/>
      <c r="FA45" s="213"/>
      <c r="FB45" s="11"/>
      <c r="FC45" s="11"/>
      <c r="FD45" s="11"/>
      <c r="FE45" s="11"/>
      <c r="FF45" s="11"/>
      <c r="FG45" s="11"/>
      <c r="FH45" s="11"/>
      <c r="FI45" s="213"/>
      <c r="FJ45" s="11"/>
      <c r="FK45" s="11"/>
      <c r="FL45" s="11"/>
      <c r="FM45" s="11"/>
      <c r="FN45" s="11"/>
      <c r="FO45" s="11"/>
      <c r="FP45" s="11"/>
      <c r="FQ45" s="11"/>
      <c r="FR45" s="11"/>
      <c r="FS45" s="11"/>
      <c r="FT45" s="213"/>
      <c r="FU45" s="11"/>
      <c r="FV45" s="11"/>
      <c r="FW45" s="11"/>
      <c r="FX45" s="11"/>
      <c r="FY45" s="11"/>
      <c r="FZ45" s="213"/>
      <c r="GA45" s="11"/>
      <c r="GB45" s="11"/>
      <c r="GC45" s="11"/>
      <c r="GD45" s="11"/>
      <c r="GE45" s="11"/>
      <c r="GF45" s="11"/>
      <c r="GG45" s="11"/>
      <c r="GH45" s="11"/>
      <c r="GI45" s="11"/>
      <c r="GJ45" s="11"/>
      <c r="GK45" s="11"/>
      <c r="GL45" s="11"/>
      <c r="GM45" s="11"/>
      <c r="GN45" s="11"/>
      <c r="GO45" s="11"/>
      <c r="GP45" s="152"/>
    </row>
    <row r="46" spans="1:198" x14ac:dyDescent="0.2">
      <c r="A46" s="73" t="s">
        <v>1688</v>
      </c>
      <c r="B46" s="11" t="str">
        <f>IF(AND(ISTEXT("https://github.com/fuzzland/ityfuzz"),"https://github.com/fuzzland/ityfuzz"&lt;&gt;""), HYPERLINK("https://github.com/fuzzland/ityfuzz", "Link"),"-")</f>
        <v>Link</v>
      </c>
      <c r="C46" s="11"/>
      <c r="D46" s="11" t="s">
        <v>1235</v>
      </c>
      <c r="E46" s="11" t="s">
        <v>1235</v>
      </c>
      <c r="F46" s="11" t="s">
        <v>2811</v>
      </c>
      <c r="G46" s="213"/>
      <c r="H46" s="11" t="s">
        <v>1235</v>
      </c>
      <c r="I46" s="11"/>
      <c r="J46" s="11"/>
      <c r="K46" s="11"/>
      <c r="L46" s="11"/>
      <c r="M46" s="11"/>
      <c r="N46" s="11"/>
      <c r="O46" s="11"/>
      <c r="P46" s="11"/>
      <c r="Q46" s="11"/>
      <c r="R46" s="11"/>
      <c r="S46" s="11"/>
      <c r="T46" s="11"/>
      <c r="U46" s="11"/>
      <c r="V46" s="11"/>
      <c r="W46" s="11"/>
      <c r="X46" s="11"/>
      <c r="Y46" s="213"/>
      <c r="Z46" s="11" t="s">
        <v>1235</v>
      </c>
      <c r="AA46" s="11"/>
      <c r="AB46" s="11"/>
      <c r="AC46" s="11"/>
      <c r="AD46" s="11"/>
      <c r="AE46" s="11"/>
      <c r="AF46" s="11"/>
      <c r="AG46" s="11"/>
      <c r="AH46" s="11"/>
      <c r="AI46" s="11"/>
      <c r="AJ46" s="11"/>
      <c r="AK46" s="11"/>
      <c r="AL46" s="11"/>
      <c r="AM46" s="11"/>
      <c r="AN46" s="11"/>
      <c r="AO46" s="11"/>
      <c r="AP46" s="11"/>
      <c r="AQ46" s="11"/>
      <c r="AR46" s="11"/>
      <c r="AS46" s="11"/>
      <c r="AT46" s="213"/>
      <c r="AU46" s="11"/>
      <c r="AV46" s="11"/>
      <c r="AW46" s="11"/>
      <c r="AX46" s="11"/>
      <c r="AY46" s="11"/>
      <c r="AZ46" s="11"/>
      <c r="BA46" s="11"/>
      <c r="BB46" s="11"/>
      <c r="BC46" s="11"/>
      <c r="BD46" s="11"/>
      <c r="BE46" s="213"/>
      <c r="BF46" s="11"/>
      <c r="BG46" s="11"/>
      <c r="BH46" s="11"/>
      <c r="BI46" s="11"/>
      <c r="BJ46" s="11"/>
      <c r="BK46" s="11"/>
      <c r="BL46" s="11"/>
      <c r="BM46" s="11"/>
      <c r="BN46" s="11"/>
      <c r="BO46" s="11"/>
      <c r="BP46" s="11"/>
      <c r="BQ46" s="213"/>
      <c r="BR46" s="11"/>
      <c r="BS46" s="11"/>
      <c r="BT46" s="11"/>
      <c r="BU46" s="11"/>
      <c r="BV46" s="11"/>
      <c r="BW46" s="11"/>
      <c r="BX46" s="11"/>
      <c r="BY46" s="11"/>
      <c r="BZ46" s="11"/>
      <c r="CA46" s="195"/>
      <c r="CB46" s="11"/>
      <c r="CC46" s="11"/>
      <c r="CD46" s="11"/>
      <c r="CE46" s="11"/>
      <c r="CF46" s="11"/>
      <c r="CG46" s="11"/>
      <c r="CH46" s="11"/>
      <c r="CI46" s="11"/>
      <c r="CJ46" s="11"/>
      <c r="CK46" s="213"/>
      <c r="CL46" s="11"/>
      <c r="CM46" s="11"/>
      <c r="CN46" s="11"/>
      <c r="CO46" s="11"/>
      <c r="CP46" s="11"/>
      <c r="CQ46" s="11"/>
      <c r="CR46" s="11"/>
      <c r="CS46" s="11"/>
      <c r="CT46" s="11"/>
      <c r="CU46" s="11"/>
      <c r="CV46" s="11"/>
      <c r="CW46" s="213"/>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213"/>
      <c r="EM46" s="11"/>
      <c r="EN46" s="11"/>
      <c r="EO46" s="11"/>
      <c r="EP46" s="11"/>
      <c r="EQ46" s="11"/>
      <c r="ER46" s="11"/>
      <c r="ES46" s="11"/>
      <c r="ET46" s="11"/>
      <c r="EU46" s="11"/>
      <c r="EV46" s="11"/>
      <c r="EW46" s="213"/>
      <c r="EX46" s="11"/>
      <c r="EY46" s="11"/>
      <c r="EZ46" s="11"/>
      <c r="FA46" s="213"/>
      <c r="FB46" s="11"/>
      <c r="FC46" s="11"/>
      <c r="FD46" s="11"/>
      <c r="FE46" s="11"/>
      <c r="FF46" s="11"/>
      <c r="FG46" s="11"/>
      <c r="FH46" s="11"/>
      <c r="FI46" s="213"/>
      <c r="FJ46" s="11"/>
      <c r="FK46" s="11"/>
      <c r="FL46" s="11"/>
      <c r="FM46" s="11"/>
      <c r="FN46" s="11"/>
      <c r="FO46" s="11"/>
      <c r="FP46" s="11"/>
      <c r="FQ46" s="11"/>
      <c r="FR46" s="11"/>
      <c r="FS46" s="11"/>
      <c r="FT46" s="213"/>
      <c r="FU46" s="11"/>
      <c r="FV46" s="11"/>
      <c r="FW46" s="11"/>
      <c r="FX46" s="11"/>
      <c r="FY46" s="11"/>
      <c r="FZ46" s="213"/>
      <c r="GA46" s="11"/>
      <c r="GB46" s="11"/>
      <c r="GC46" s="11"/>
      <c r="GD46" s="11"/>
      <c r="GE46" s="11"/>
      <c r="GF46" s="11"/>
      <c r="GG46" s="11"/>
      <c r="GH46" s="11"/>
      <c r="GI46" s="11"/>
      <c r="GJ46" s="11"/>
      <c r="GK46" s="11"/>
      <c r="GL46" s="11"/>
      <c r="GM46" s="11"/>
      <c r="GN46" s="11"/>
      <c r="GO46" s="11"/>
      <c r="GP46" s="152"/>
    </row>
    <row r="47" spans="1:198" x14ac:dyDescent="0.2">
      <c r="A47" s="75" t="s">
        <v>1693</v>
      </c>
      <c r="B47" s="11" t="str">
        <f>IF(AND(ISTEXT("https://github.com/wesleyjtann/Safe-SmartContracts"),"https://github.com/wesleyjtann/Safe-SmartContracts"&lt;&gt;""), HYPERLINK("https://github.com/wesleyjtann/Safe-SmartContracts", "Link"),"-")</f>
        <v>Link</v>
      </c>
      <c r="C47" s="11" t="s">
        <v>1235</v>
      </c>
      <c r="D47" s="11"/>
      <c r="E47" s="11" t="s">
        <v>1235</v>
      </c>
      <c r="F47" s="11" t="s">
        <v>2812</v>
      </c>
      <c r="G47" s="213"/>
      <c r="H47" s="11"/>
      <c r="I47" s="11"/>
      <c r="J47" s="11"/>
      <c r="K47" s="11"/>
      <c r="L47" s="11"/>
      <c r="M47" s="11"/>
      <c r="N47" s="11"/>
      <c r="O47" s="11"/>
      <c r="P47" s="11"/>
      <c r="Q47" s="11"/>
      <c r="R47" s="11"/>
      <c r="S47" s="11"/>
      <c r="T47" s="11"/>
      <c r="U47" s="11"/>
      <c r="V47" s="11"/>
      <c r="W47" s="11" t="s">
        <v>1235</v>
      </c>
      <c r="X47" s="11"/>
      <c r="Y47" s="213"/>
      <c r="Z47" s="11"/>
      <c r="AA47" s="11"/>
      <c r="AB47" s="11"/>
      <c r="AC47" s="11"/>
      <c r="AD47" s="11"/>
      <c r="AE47" s="11"/>
      <c r="AF47" s="11"/>
      <c r="AG47" s="11"/>
      <c r="AH47" s="11"/>
      <c r="AI47" s="11"/>
      <c r="AJ47" s="11"/>
      <c r="AK47" s="11"/>
      <c r="AL47" s="11"/>
      <c r="AM47" s="11"/>
      <c r="AN47" s="11"/>
      <c r="AO47" s="11"/>
      <c r="AP47" s="11"/>
      <c r="AQ47" s="11"/>
      <c r="AR47" s="11"/>
      <c r="AS47" s="11"/>
      <c r="AT47" s="213"/>
      <c r="AU47" s="11"/>
      <c r="AV47" s="11"/>
      <c r="AW47" s="11"/>
      <c r="AX47" s="11"/>
      <c r="AY47" s="11"/>
      <c r="AZ47" s="11"/>
      <c r="BA47" s="11"/>
      <c r="BB47" s="11"/>
      <c r="BC47" s="11"/>
      <c r="BD47" s="11"/>
      <c r="BE47" s="213"/>
      <c r="BF47" s="11"/>
      <c r="BG47" s="11"/>
      <c r="BH47" s="11"/>
      <c r="BI47" s="11"/>
      <c r="BJ47" s="11"/>
      <c r="BK47" s="11"/>
      <c r="BL47" s="11"/>
      <c r="BM47" s="11"/>
      <c r="BN47" s="11"/>
      <c r="BO47" s="11"/>
      <c r="BP47" s="11"/>
      <c r="BQ47" s="213" t="s">
        <v>1235</v>
      </c>
      <c r="BR47" s="11"/>
      <c r="BS47" s="11"/>
      <c r="BT47" s="11" t="s">
        <v>1235</v>
      </c>
      <c r="BU47" s="11"/>
      <c r="BV47" s="11"/>
      <c r="BW47" s="11"/>
      <c r="BX47" s="11"/>
      <c r="BY47" s="11"/>
      <c r="BZ47" s="11"/>
      <c r="CA47" s="195"/>
      <c r="CB47" s="11"/>
      <c r="CC47" s="11"/>
      <c r="CD47" s="11"/>
      <c r="CE47" s="11"/>
      <c r="CF47" s="11"/>
      <c r="CG47" s="11"/>
      <c r="CH47" s="11"/>
      <c r="CI47" s="11"/>
      <c r="CJ47" s="11"/>
      <c r="CK47" s="213"/>
      <c r="CL47" s="11"/>
      <c r="CM47" s="11"/>
      <c r="CN47" s="11"/>
      <c r="CO47" s="11"/>
      <c r="CP47" s="11"/>
      <c r="CQ47" s="11"/>
      <c r="CR47" s="11"/>
      <c r="CS47" s="11"/>
      <c r="CT47" s="11"/>
      <c r="CU47" s="11"/>
      <c r="CV47" s="11"/>
      <c r="CW47" s="213"/>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213"/>
      <c r="EM47" s="11"/>
      <c r="EN47" s="11"/>
      <c r="EO47" s="11"/>
      <c r="EP47" s="11"/>
      <c r="EQ47" s="11"/>
      <c r="ER47" s="11"/>
      <c r="ES47" s="11"/>
      <c r="ET47" s="11"/>
      <c r="EU47" s="11"/>
      <c r="EV47" s="11"/>
      <c r="EW47" s="213"/>
      <c r="EX47" s="11"/>
      <c r="EY47" s="11"/>
      <c r="EZ47" s="11"/>
      <c r="FA47" s="213"/>
      <c r="FB47" s="11"/>
      <c r="FC47" s="11"/>
      <c r="FD47" s="11"/>
      <c r="FE47" s="11"/>
      <c r="FF47" s="11"/>
      <c r="FG47" s="11"/>
      <c r="FH47" s="11"/>
      <c r="FI47" s="213"/>
      <c r="FJ47" s="11"/>
      <c r="FK47" s="11"/>
      <c r="FL47" s="11"/>
      <c r="FM47" s="11"/>
      <c r="FN47" s="11"/>
      <c r="FO47" s="11"/>
      <c r="FP47" s="11"/>
      <c r="FQ47" s="11"/>
      <c r="FR47" s="11"/>
      <c r="FS47" s="11"/>
      <c r="FT47" s="213"/>
      <c r="FU47" s="11"/>
      <c r="FV47" s="11"/>
      <c r="FW47" s="11"/>
      <c r="FX47" s="11"/>
      <c r="FY47" s="11"/>
      <c r="FZ47" s="213"/>
      <c r="GA47" s="11"/>
      <c r="GB47" s="11"/>
      <c r="GC47" s="11"/>
      <c r="GD47" s="11"/>
      <c r="GE47" s="11"/>
      <c r="GF47" s="11"/>
      <c r="GG47" s="11"/>
      <c r="GH47" s="11"/>
      <c r="GI47" s="11"/>
      <c r="GJ47" s="11"/>
      <c r="GK47" s="11"/>
      <c r="GL47" s="11"/>
      <c r="GM47" s="11"/>
      <c r="GN47" s="11"/>
      <c r="GO47" s="11"/>
      <c r="GP47" s="152"/>
    </row>
    <row r="48" spans="1:198" x14ac:dyDescent="0.2">
      <c r="A48" s="74" t="s">
        <v>2012</v>
      </c>
      <c r="B48" s="11" t="str">
        <f>IF(AND(ISTEXT("https://github.com/Messi-Q/ReChecker"),"https://github.com/Messi-Q/ReChecker"&lt;&gt;""), HYPERLINK("https://github.com/Messi-Q/ReChecker", "Link"),"-")</f>
        <v>Link</v>
      </c>
      <c r="C48" s="11" t="s">
        <v>1235</v>
      </c>
      <c r="D48" s="11"/>
      <c r="E48" s="11" t="s">
        <v>1235</v>
      </c>
      <c r="F48" s="11" t="s">
        <v>2812</v>
      </c>
      <c r="G48" s="213"/>
      <c r="H48" s="11" t="s">
        <v>1235</v>
      </c>
      <c r="I48" s="11"/>
      <c r="J48" s="11"/>
      <c r="K48" s="11"/>
      <c r="L48" s="11"/>
      <c r="M48" s="11"/>
      <c r="N48" s="11"/>
      <c r="O48" s="11"/>
      <c r="P48" s="11"/>
      <c r="Q48" s="11"/>
      <c r="R48" s="11"/>
      <c r="S48" s="11"/>
      <c r="T48" s="11"/>
      <c r="U48" s="11"/>
      <c r="V48" s="11"/>
      <c r="W48" s="11"/>
      <c r="X48" s="11"/>
      <c r="Y48" s="213"/>
      <c r="Z48" s="11"/>
      <c r="AA48" s="11"/>
      <c r="AB48" s="11"/>
      <c r="AC48" s="11"/>
      <c r="AD48" s="11"/>
      <c r="AE48" s="11"/>
      <c r="AF48" s="11"/>
      <c r="AG48" s="11"/>
      <c r="AH48" s="11"/>
      <c r="AI48" s="11"/>
      <c r="AJ48" s="11"/>
      <c r="AK48" s="11"/>
      <c r="AL48" s="11"/>
      <c r="AM48" s="11"/>
      <c r="AN48" s="11"/>
      <c r="AO48" s="11"/>
      <c r="AP48" s="11"/>
      <c r="AQ48" s="11"/>
      <c r="AR48" s="11"/>
      <c r="AS48" s="11"/>
      <c r="AT48" s="213"/>
      <c r="AU48" s="11"/>
      <c r="AV48" s="11"/>
      <c r="AW48" s="11"/>
      <c r="AX48" s="11"/>
      <c r="AY48" s="11"/>
      <c r="AZ48" s="11"/>
      <c r="BA48" s="11"/>
      <c r="BB48" s="11"/>
      <c r="BC48" s="11"/>
      <c r="BD48" s="11"/>
      <c r="BE48" s="213"/>
      <c r="BF48" s="11"/>
      <c r="BG48" s="11"/>
      <c r="BH48" s="11"/>
      <c r="BI48" s="11"/>
      <c r="BJ48" s="11"/>
      <c r="BK48" s="11"/>
      <c r="BL48" s="11"/>
      <c r="BM48" s="11"/>
      <c r="BN48" s="11"/>
      <c r="BO48" s="11"/>
      <c r="BP48" s="11"/>
      <c r="BQ48" s="213"/>
      <c r="BR48" s="11"/>
      <c r="BS48" s="11"/>
      <c r="BT48" s="11"/>
      <c r="BU48" s="11"/>
      <c r="BV48" s="11"/>
      <c r="BW48" s="11"/>
      <c r="BX48" s="11"/>
      <c r="BY48" s="11"/>
      <c r="BZ48" s="11"/>
      <c r="CA48" s="195"/>
      <c r="CB48" s="11"/>
      <c r="CC48" s="11"/>
      <c r="CD48" s="11"/>
      <c r="CE48" s="11"/>
      <c r="CF48" s="11"/>
      <c r="CG48" s="11"/>
      <c r="CH48" s="11"/>
      <c r="CI48" s="11"/>
      <c r="CJ48" s="11"/>
      <c r="CK48" s="213"/>
      <c r="CL48" s="11"/>
      <c r="CM48" s="11"/>
      <c r="CN48" s="11"/>
      <c r="CO48" s="11"/>
      <c r="CP48" s="11"/>
      <c r="CQ48" s="11"/>
      <c r="CR48" s="11"/>
      <c r="CS48" s="11"/>
      <c r="CT48" s="11"/>
      <c r="CU48" s="11"/>
      <c r="CV48" s="11"/>
      <c r="CW48" s="213"/>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213"/>
      <c r="EM48" s="11"/>
      <c r="EN48" s="11"/>
      <c r="EO48" s="11"/>
      <c r="EP48" s="11"/>
      <c r="EQ48" s="11"/>
      <c r="ER48" s="11"/>
      <c r="ES48" s="11"/>
      <c r="ET48" s="11"/>
      <c r="EU48" s="11"/>
      <c r="EV48" s="11"/>
      <c r="EW48" s="213"/>
      <c r="EX48" s="11"/>
      <c r="EY48" s="11"/>
      <c r="EZ48" s="11"/>
      <c r="FA48" s="213"/>
      <c r="FB48" s="11"/>
      <c r="FC48" s="11"/>
      <c r="FD48" s="11"/>
      <c r="FE48" s="11"/>
      <c r="FF48" s="11"/>
      <c r="FG48" s="11"/>
      <c r="FH48" s="11"/>
      <c r="FI48" s="213"/>
      <c r="FJ48" s="11"/>
      <c r="FK48" s="11"/>
      <c r="FL48" s="11"/>
      <c r="FM48" s="11"/>
      <c r="FN48" s="11"/>
      <c r="FO48" s="11"/>
      <c r="FP48" s="11"/>
      <c r="FQ48" s="11"/>
      <c r="FR48" s="11"/>
      <c r="FS48" s="11"/>
      <c r="FT48" s="213"/>
      <c r="FU48" s="11"/>
      <c r="FV48" s="11"/>
      <c r="FW48" s="11"/>
      <c r="FX48" s="11"/>
      <c r="FY48" s="11"/>
      <c r="FZ48" s="213"/>
      <c r="GA48" s="11"/>
      <c r="GB48" s="11"/>
      <c r="GC48" s="11"/>
      <c r="GD48" s="11"/>
      <c r="GE48" s="11"/>
      <c r="GF48" s="11"/>
      <c r="GG48" s="11"/>
      <c r="GH48" s="11"/>
      <c r="GI48" s="11"/>
      <c r="GJ48" s="11"/>
      <c r="GK48" s="11"/>
      <c r="GL48" s="11"/>
      <c r="GM48" s="11"/>
      <c r="GN48" s="11"/>
      <c r="GO48" s="11"/>
      <c r="GP48" s="152"/>
    </row>
    <row r="49" spans="1:198" x14ac:dyDescent="0.2">
      <c r="A49" s="73" t="s">
        <v>1702</v>
      </c>
      <c r="B49" s="11" t="str">
        <f>IF(AND(ISTEXT(""),""&lt;&gt;""), HYPERLINK("", "Link"),"-")</f>
        <v>-</v>
      </c>
      <c r="C49" s="11" t="s">
        <v>1235</v>
      </c>
      <c r="D49" s="11"/>
      <c r="E49" s="11"/>
      <c r="F49" s="11" t="s">
        <v>2811</v>
      </c>
      <c r="G49" s="213"/>
      <c r="H49" s="11" t="s">
        <v>1235</v>
      </c>
      <c r="I49" s="11"/>
      <c r="J49" s="11"/>
      <c r="K49" s="11"/>
      <c r="L49" s="11"/>
      <c r="M49" s="11"/>
      <c r="N49" s="11"/>
      <c r="O49" s="11"/>
      <c r="P49" s="11"/>
      <c r="Q49" s="11"/>
      <c r="R49" s="11"/>
      <c r="S49" s="11"/>
      <c r="T49" s="11"/>
      <c r="U49" s="11"/>
      <c r="V49" s="11"/>
      <c r="W49" s="11"/>
      <c r="X49" s="11"/>
      <c r="Y49" s="213"/>
      <c r="Z49" s="11"/>
      <c r="AA49" s="11"/>
      <c r="AB49" s="11"/>
      <c r="AC49" s="11" t="s">
        <v>1235</v>
      </c>
      <c r="AD49" s="11"/>
      <c r="AE49" s="11"/>
      <c r="AF49" s="11"/>
      <c r="AG49" s="11"/>
      <c r="AH49" s="11"/>
      <c r="AI49" s="11"/>
      <c r="AJ49" s="11"/>
      <c r="AK49" s="11"/>
      <c r="AL49" s="11"/>
      <c r="AM49" s="11"/>
      <c r="AN49" s="11"/>
      <c r="AO49" s="11"/>
      <c r="AP49" s="11"/>
      <c r="AQ49" s="11"/>
      <c r="AR49" s="11"/>
      <c r="AS49" s="11"/>
      <c r="AT49" s="213"/>
      <c r="AU49" s="11"/>
      <c r="AV49" s="11"/>
      <c r="AW49" s="11"/>
      <c r="AX49" s="11"/>
      <c r="AY49" s="11"/>
      <c r="AZ49" s="11"/>
      <c r="BA49" s="11"/>
      <c r="BB49" s="11"/>
      <c r="BC49" s="11"/>
      <c r="BD49" s="11"/>
      <c r="BE49" s="213"/>
      <c r="BF49" s="11"/>
      <c r="BG49" s="11"/>
      <c r="BH49" s="11"/>
      <c r="BI49" s="11"/>
      <c r="BJ49" s="11"/>
      <c r="BK49" s="11"/>
      <c r="BL49" s="11"/>
      <c r="BM49" s="11"/>
      <c r="BN49" s="11"/>
      <c r="BO49" s="11"/>
      <c r="BP49" s="11"/>
      <c r="BQ49" s="213"/>
      <c r="BR49" s="11"/>
      <c r="BS49" s="11"/>
      <c r="BT49" s="11"/>
      <c r="BU49" s="11" t="s">
        <v>1235</v>
      </c>
      <c r="BV49" s="11"/>
      <c r="BW49" s="11"/>
      <c r="BX49" s="11"/>
      <c r="BY49" s="11"/>
      <c r="BZ49" s="11"/>
      <c r="CA49" s="195"/>
      <c r="CB49" s="11"/>
      <c r="CC49" s="11"/>
      <c r="CD49" s="11"/>
      <c r="CE49" s="11"/>
      <c r="CF49" s="11"/>
      <c r="CG49" s="11"/>
      <c r="CH49" s="11"/>
      <c r="CI49" s="11"/>
      <c r="CJ49" s="11"/>
      <c r="CK49" s="213"/>
      <c r="CL49" s="11"/>
      <c r="CM49" s="11"/>
      <c r="CN49" s="11"/>
      <c r="CO49" s="11"/>
      <c r="CP49" s="11"/>
      <c r="CQ49" s="11"/>
      <c r="CR49" s="11"/>
      <c r="CS49" s="11"/>
      <c r="CT49" s="11"/>
      <c r="CU49" s="11"/>
      <c r="CV49" s="11"/>
      <c r="CW49" s="213"/>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213"/>
      <c r="EM49" s="11"/>
      <c r="EN49" s="11"/>
      <c r="EO49" s="11"/>
      <c r="EP49" s="11"/>
      <c r="EQ49" s="11"/>
      <c r="ER49" s="11"/>
      <c r="ES49" s="11"/>
      <c r="ET49" s="11"/>
      <c r="EU49" s="11"/>
      <c r="EV49" s="11"/>
      <c r="EW49" s="213"/>
      <c r="EX49" s="11"/>
      <c r="EY49" s="11"/>
      <c r="EZ49" s="11"/>
      <c r="FA49" s="213"/>
      <c r="FB49" s="11"/>
      <c r="FC49" s="11"/>
      <c r="FD49" s="11"/>
      <c r="FE49" s="11"/>
      <c r="FF49" s="11"/>
      <c r="FG49" s="11"/>
      <c r="FH49" s="11"/>
      <c r="FI49" s="213"/>
      <c r="FJ49" s="11"/>
      <c r="FK49" s="11"/>
      <c r="FL49" s="11"/>
      <c r="FM49" s="11"/>
      <c r="FN49" s="11"/>
      <c r="FO49" s="11"/>
      <c r="FP49" s="11"/>
      <c r="FQ49" s="11"/>
      <c r="FR49" s="11"/>
      <c r="FS49" s="11"/>
      <c r="FT49" s="213"/>
      <c r="FU49" s="11"/>
      <c r="FV49" s="11"/>
      <c r="FW49" s="11"/>
      <c r="FX49" s="11"/>
      <c r="FY49" s="11"/>
      <c r="FZ49" s="213"/>
      <c r="GA49" s="11"/>
      <c r="GB49" s="11"/>
      <c r="GC49" s="11"/>
      <c r="GD49" s="11"/>
      <c r="GE49" s="11"/>
      <c r="GF49" s="11"/>
      <c r="GG49" s="11"/>
      <c r="GH49" s="11"/>
      <c r="GI49" s="11"/>
      <c r="GJ49" s="11"/>
      <c r="GK49" s="11"/>
      <c r="GL49" s="11"/>
      <c r="GM49" s="11"/>
      <c r="GN49" s="11"/>
      <c r="GO49" s="11"/>
      <c r="GP49" s="152"/>
    </row>
    <row r="50" spans="1:198" x14ac:dyDescent="0.2">
      <c r="A50" s="74" t="s">
        <v>1705</v>
      </c>
      <c r="B50" s="11" t="str">
        <f>IF(AND(ISTEXT(""),""&lt;&gt;""), HYPERLINK("", "Link"),"-")</f>
        <v>-</v>
      </c>
      <c r="C50" s="11" t="s">
        <v>1235</v>
      </c>
      <c r="D50" s="11"/>
      <c r="E50" s="11"/>
      <c r="F50" s="11" t="s">
        <v>2812</v>
      </c>
      <c r="G50" s="213"/>
      <c r="H50" s="11" t="s">
        <v>1235</v>
      </c>
      <c r="I50" s="11"/>
      <c r="J50" s="11"/>
      <c r="K50" s="11"/>
      <c r="L50" s="11"/>
      <c r="M50" s="11"/>
      <c r="N50" s="11"/>
      <c r="O50" s="11"/>
      <c r="P50" s="11"/>
      <c r="Q50" s="11"/>
      <c r="R50" s="11"/>
      <c r="S50" s="11"/>
      <c r="T50" s="11"/>
      <c r="U50" s="11"/>
      <c r="V50" s="11"/>
      <c r="W50" s="11"/>
      <c r="X50" s="11"/>
      <c r="Y50" s="213"/>
      <c r="Z50" s="11"/>
      <c r="AA50" s="11"/>
      <c r="AB50" s="11"/>
      <c r="AC50" s="11"/>
      <c r="AD50" s="11"/>
      <c r="AE50" s="11"/>
      <c r="AF50" s="11"/>
      <c r="AG50" s="11"/>
      <c r="AH50" s="11"/>
      <c r="AI50" s="11"/>
      <c r="AJ50" s="11"/>
      <c r="AK50" s="11"/>
      <c r="AL50" s="11"/>
      <c r="AM50" s="11"/>
      <c r="AN50" s="11"/>
      <c r="AO50" s="11"/>
      <c r="AP50" s="11"/>
      <c r="AQ50" s="11"/>
      <c r="AR50" s="11"/>
      <c r="AS50" s="11"/>
      <c r="AT50" s="213"/>
      <c r="AU50" s="11"/>
      <c r="AV50" s="11"/>
      <c r="AW50" s="11"/>
      <c r="AX50" s="11"/>
      <c r="AY50" s="11"/>
      <c r="AZ50" s="11"/>
      <c r="BA50" s="11"/>
      <c r="BB50" s="11"/>
      <c r="BC50" s="11"/>
      <c r="BD50" s="11"/>
      <c r="BE50" s="213"/>
      <c r="BF50" s="11"/>
      <c r="BG50" s="11"/>
      <c r="BH50" s="11"/>
      <c r="BI50" s="11"/>
      <c r="BJ50" s="11"/>
      <c r="BK50" s="11"/>
      <c r="BL50" s="11"/>
      <c r="BM50" s="11"/>
      <c r="BN50" s="11"/>
      <c r="BO50" s="11"/>
      <c r="BP50" s="11"/>
      <c r="BQ50" s="213"/>
      <c r="BR50" s="11"/>
      <c r="BS50" s="11"/>
      <c r="BT50" s="11"/>
      <c r="BU50" s="11"/>
      <c r="BV50" s="11"/>
      <c r="BW50" s="11"/>
      <c r="BX50" s="11"/>
      <c r="BY50" s="11"/>
      <c r="BZ50" s="11"/>
      <c r="CA50" s="195"/>
      <c r="CB50" s="11"/>
      <c r="CC50" s="11"/>
      <c r="CD50" s="11"/>
      <c r="CE50" s="11"/>
      <c r="CF50" s="11"/>
      <c r="CG50" s="11"/>
      <c r="CH50" s="11"/>
      <c r="CI50" s="11"/>
      <c r="CJ50" s="11"/>
      <c r="CK50" s="213" t="s">
        <v>1235</v>
      </c>
      <c r="CL50" s="11"/>
      <c r="CM50" s="11"/>
      <c r="CN50" s="11"/>
      <c r="CO50" s="11"/>
      <c r="CP50" s="11"/>
      <c r="CQ50" s="11"/>
      <c r="CR50" s="11"/>
      <c r="CS50" s="11"/>
      <c r="CT50" s="11"/>
      <c r="CU50" s="11"/>
      <c r="CV50" s="11"/>
      <c r="CW50" s="213"/>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213"/>
      <c r="EM50" s="11"/>
      <c r="EN50" s="11"/>
      <c r="EO50" s="11"/>
      <c r="EP50" s="11"/>
      <c r="EQ50" s="11"/>
      <c r="ER50" s="11"/>
      <c r="ES50" s="11"/>
      <c r="ET50" s="11"/>
      <c r="EU50" s="11"/>
      <c r="EV50" s="11"/>
      <c r="EW50" s="213"/>
      <c r="EX50" s="11"/>
      <c r="EY50" s="11"/>
      <c r="EZ50" s="11"/>
      <c r="FA50" s="213"/>
      <c r="FB50" s="11"/>
      <c r="FC50" s="11"/>
      <c r="FD50" s="11"/>
      <c r="FE50" s="11"/>
      <c r="FF50" s="11"/>
      <c r="FG50" s="11"/>
      <c r="FH50" s="11"/>
      <c r="FI50" s="213"/>
      <c r="FJ50" s="11"/>
      <c r="FK50" s="11"/>
      <c r="FL50" s="11"/>
      <c r="FM50" s="11"/>
      <c r="FN50" s="11"/>
      <c r="FO50" s="11"/>
      <c r="FP50" s="11"/>
      <c r="FQ50" s="11"/>
      <c r="FR50" s="11"/>
      <c r="FS50" s="11"/>
      <c r="FT50" s="213"/>
      <c r="FU50" s="11"/>
      <c r="FV50" s="11"/>
      <c r="FW50" s="11"/>
      <c r="FX50" s="11"/>
      <c r="FY50" s="11"/>
      <c r="FZ50" s="213"/>
      <c r="GA50" s="11"/>
      <c r="GB50" s="11"/>
      <c r="GC50" s="11"/>
      <c r="GD50" s="11"/>
      <c r="GE50" s="11"/>
      <c r="GF50" s="11"/>
      <c r="GG50" s="11"/>
      <c r="GH50" s="11"/>
      <c r="GI50" s="11"/>
      <c r="GJ50" s="11"/>
      <c r="GK50" s="11"/>
      <c r="GL50" s="11"/>
      <c r="GM50" s="11"/>
      <c r="GN50" s="11"/>
      <c r="GO50" s="11"/>
      <c r="GP50" s="152"/>
    </row>
    <row r="51" spans="1:198" x14ac:dyDescent="0.2">
      <c r="A51" s="73" t="s">
        <v>914</v>
      </c>
      <c r="B51" s="11" t="str">
        <f>IF(AND(ISTEXT(""),""&lt;&gt;""), HYPERLINK("", "Link"),"-")</f>
        <v>-</v>
      </c>
      <c r="C51" s="11" t="s">
        <v>1235</v>
      </c>
      <c r="D51" s="11"/>
      <c r="E51" s="11"/>
      <c r="F51" s="11" t="s">
        <v>2811</v>
      </c>
      <c r="G51" s="213"/>
      <c r="H51" s="11" t="s">
        <v>1235</v>
      </c>
      <c r="I51" s="11"/>
      <c r="J51" s="11"/>
      <c r="K51" s="11"/>
      <c r="L51" s="11"/>
      <c r="M51" s="11"/>
      <c r="N51" s="11"/>
      <c r="O51" s="11"/>
      <c r="P51" s="11"/>
      <c r="Q51" s="11"/>
      <c r="R51" s="11"/>
      <c r="S51" s="11"/>
      <c r="T51" s="11"/>
      <c r="U51" s="11"/>
      <c r="V51" s="11"/>
      <c r="W51" s="11"/>
      <c r="X51" s="11"/>
      <c r="Y51" s="213"/>
      <c r="Z51" s="11"/>
      <c r="AA51" s="11"/>
      <c r="AB51" s="11"/>
      <c r="AC51" s="11"/>
      <c r="AD51" s="11"/>
      <c r="AE51" s="11"/>
      <c r="AF51" s="11"/>
      <c r="AG51" s="11"/>
      <c r="AH51" s="11"/>
      <c r="AI51" s="11"/>
      <c r="AJ51" s="11"/>
      <c r="AK51" s="11"/>
      <c r="AL51" s="11"/>
      <c r="AM51" s="11"/>
      <c r="AN51" s="11"/>
      <c r="AO51" s="11"/>
      <c r="AP51" s="11"/>
      <c r="AQ51" s="11"/>
      <c r="AR51" s="11"/>
      <c r="AS51" s="11"/>
      <c r="AT51" s="213"/>
      <c r="AU51" s="11"/>
      <c r="AV51" s="11"/>
      <c r="AW51" s="11"/>
      <c r="AX51" s="11"/>
      <c r="AY51" s="11"/>
      <c r="AZ51" s="11"/>
      <c r="BA51" s="11"/>
      <c r="BB51" s="11"/>
      <c r="BC51" s="11"/>
      <c r="BD51" s="11"/>
      <c r="BE51" s="213"/>
      <c r="BF51" s="11"/>
      <c r="BG51" s="11"/>
      <c r="BH51" s="11"/>
      <c r="BI51" s="11"/>
      <c r="BJ51" s="11"/>
      <c r="BK51" s="11"/>
      <c r="BL51" s="11"/>
      <c r="BM51" s="11"/>
      <c r="BN51" s="11"/>
      <c r="BO51" s="11"/>
      <c r="BP51" s="11"/>
      <c r="BQ51" s="213"/>
      <c r="BR51" s="11" t="s">
        <v>1235</v>
      </c>
      <c r="BS51" s="11"/>
      <c r="BT51" s="11"/>
      <c r="BU51" s="11"/>
      <c r="BV51" s="11"/>
      <c r="BW51" s="11"/>
      <c r="BX51" s="11"/>
      <c r="BY51" s="11"/>
      <c r="BZ51" s="11"/>
      <c r="CA51" s="195"/>
      <c r="CB51" s="11"/>
      <c r="CC51" s="11"/>
      <c r="CD51" s="11"/>
      <c r="CE51" s="11"/>
      <c r="CF51" s="11"/>
      <c r="CG51" s="11"/>
      <c r="CH51" s="11"/>
      <c r="CI51" s="11"/>
      <c r="CJ51" s="11"/>
      <c r="CK51" s="213"/>
      <c r="CL51" s="11"/>
      <c r="CM51" s="11"/>
      <c r="CN51" s="11"/>
      <c r="CO51" s="11"/>
      <c r="CP51" s="11"/>
      <c r="CQ51" s="11"/>
      <c r="CR51" s="11"/>
      <c r="CS51" s="11"/>
      <c r="CT51" s="11"/>
      <c r="CU51" s="11"/>
      <c r="CV51" s="11"/>
      <c r="CW51" s="213"/>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213"/>
      <c r="EM51" s="11"/>
      <c r="EN51" s="11"/>
      <c r="EO51" s="11"/>
      <c r="EP51" s="11"/>
      <c r="EQ51" s="11"/>
      <c r="ER51" s="11"/>
      <c r="ES51" s="11"/>
      <c r="ET51" s="11"/>
      <c r="EU51" s="11"/>
      <c r="EV51" s="11"/>
      <c r="EW51" s="213"/>
      <c r="EX51" s="11"/>
      <c r="EY51" s="11"/>
      <c r="EZ51" s="11"/>
      <c r="FA51" s="213"/>
      <c r="FB51" s="11"/>
      <c r="FC51" s="11"/>
      <c r="FD51" s="11"/>
      <c r="FE51" s="11"/>
      <c r="FF51" s="11"/>
      <c r="FG51" s="11"/>
      <c r="FH51" s="11"/>
      <c r="FI51" s="213"/>
      <c r="FJ51" s="11"/>
      <c r="FK51" s="11"/>
      <c r="FL51" s="11"/>
      <c r="FM51" s="11"/>
      <c r="FN51" s="11"/>
      <c r="FO51" s="11"/>
      <c r="FP51" s="11"/>
      <c r="FQ51" s="11"/>
      <c r="FR51" s="11"/>
      <c r="FS51" s="11"/>
      <c r="FT51" s="213"/>
      <c r="FU51" s="11"/>
      <c r="FV51" s="11"/>
      <c r="FW51" s="11"/>
      <c r="FX51" s="11"/>
      <c r="FY51" s="11"/>
      <c r="FZ51" s="213"/>
      <c r="GA51" s="11"/>
      <c r="GB51" s="11"/>
      <c r="GC51" s="11"/>
      <c r="GD51" s="11"/>
      <c r="GE51" s="11"/>
      <c r="GF51" s="11"/>
      <c r="GG51" s="11"/>
      <c r="GH51" s="11"/>
      <c r="GI51" s="11"/>
      <c r="GJ51" s="11"/>
      <c r="GK51" s="11"/>
      <c r="GL51" s="11"/>
      <c r="GM51" s="11"/>
      <c r="GN51" s="11"/>
      <c r="GO51" s="11"/>
      <c r="GP51" s="152"/>
    </row>
    <row r="52" spans="1:198" x14ac:dyDescent="0.2">
      <c r="A52" s="74" t="s">
        <v>1714</v>
      </c>
      <c r="B52" s="11" t="str">
        <f>IF(AND(ISTEXT("https://github.com/SmartContractTools/SmartFast/tree/main"),"https://github.com/SmartContractTools/SmartFast/tree/main"&lt;&gt;""), HYPERLINK("https://github.com/SmartContractTools/SmartFast/tree/main", "Link"),"-")</f>
        <v>Link</v>
      </c>
      <c r="C52" s="11" t="s">
        <v>1235</v>
      </c>
      <c r="D52" s="11"/>
      <c r="E52" s="11" t="s">
        <v>1235</v>
      </c>
      <c r="F52" s="11" t="s">
        <v>2812</v>
      </c>
      <c r="G52" s="213"/>
      <c r="H52" s="11" t="s">
        <v>1235</v>
      </c>
      <c r="I52" s="11"/>
      <c r="J52" s="11"/>
      <c r="K52" s="11"/>
      <c r="L52" s="11"/>
      <c r="M52" s="11"/>
      <c r="N52" s="11"/>
      <c r="O52" s="11"/>
      <c r="P52" s="11"/>
      <c r="Q52" s="11"/>
      <c r="R52" s="11"/>
      <c r="S52" s="11"/>
      <c r="T52" s="11"/>
      <c r="U52" s="11"/>
      <c r="V52" s="11"/>
      <c r="W52" s="11" t="s">
        <v>1235</v>
      </c>
      <c r="X52" s="11"/>
      <c r="Y52" s="213" t="s">
        <v>1235</v>
      </c>
      <c r="Z52" s="11" t="s">
        <v>1235</v>
      </c>
      <c r="AA52" s="11"/>
      <c r="AB52" s="11"/>
      <c r="AC52" s="11"/>
      <c r="AD52" s="11"/>
      <c r="AE52" s="11"/>
      <c r="AF52" s="11"/>
      <c r="AG52" s="11"/>
      <c r="AH52" s="11"/>
      <c r="AI52" s="11"/>
      <c r="AJ52" s="11"/>
      <c r="AK52" s="11"/>
      <c r="AL52" s="11"/>
      <c r="AM52" s="11"/>
      <c r="AN52" s="11"/>
      <c r="AO52" s="11"/>
      <c r="AP52" s="11"/>
      <c r="AQ52" s="11"/>
      <c r="AR52" s="11"/>
      <c r="AS52" s="11"/>
      <c r="AT52" s="213"/>
      <c r="AU52" s="11"/>
      <c r="AV52" s="11"/>
      <c r="AW52" s="11"/>
      <c r="AX52" s="11"/>
      <c r="AY52" s="11"/>
      <c r="AZ52" s="11"/>
      <c r="BA52" s="11"/>
      <c r="BB52" s="11"/>
      <c r="BC52" s="11"/>
      <c r="BD52" s="11"/>
      <c r="BE52" s="213"/>
      <c r="BF52" s="11"/>
      <c r="BG52" s="11"/>
      <c r="BH52" s="11"/>
      <c r="BI52" s="11"/>
      <c r="BJ52" s="11"/>
      <c r="BK52" s="11"/>
      <c r="BL52" s="11"/>
      <c r="BM52" s="11"/>
      <c r="BN52" s="11"/>
      <c r="BO52" s="11"/>
      <c r="BP52" s="11"/>
      <c r="BQ52" s="213"/>
      <c r="BR52" s="11"/>
      <c r="BS52" s="11"/>
      <c r="BT52" s="11"/>
      <c r="BU52" s="11"/>
      <c r="BV52" s="11"/>
      <c r="BW52" s="11"/>
      <c r="BX52" s="11"/>
      <c r="BY52" s="11"/>
      <c r="BZ52" s="11"/>
      <c r="CA52" s="195"/>
      <c r="CB52" s="11"/>
      <c r="CC52" s="11"/>
      <c r="CD52" s="11"/>
      <c r="CE52" s="11"/>
      <c r="CF52" s="11"/>
      <c r="CG52" s="11"/>
      <c r="CH52" s="11"/>
      <c r="CI52" s="11"/>
      <c r="CJ52" s="11"/>
      <c r="CK52" s="213"/>
      <c r="CL52" s="11"/>
      <c r="CM52" s="11"/>
      <c r="CN52" s="11"/>
      <c r="CO52" s="11"/>
      <c r="CP52" s="11"/>
      <c r="CQ52" s="11"/>
      <c r="CR52" s="11"/>
      <c r="CS52" s="11"/>
      <c r="CT52" s="11"/>
      <c r="CU52" s="11"/>
      <c r="CV52" s="11"/>
      <c r="CW52" s="213"/>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213"/>
      <c r="EM52" s="11"/>
      <c r="EN52" s="11"/>
      <c r="EO52" s="11"/>
      <c r="EP52" s="11"/>
      <c r="EQ52" s="11"/>
      <c r="ER52" s="11"/>
      <c r="ES52" s="11"/>
      <c r="ET52" s="11"/>
      <c r="EU52" s="11"/>
      <c r="EV52" s="11" t="s">
        <v>1235</v>
      </c>
      <c r="EW52" s="213"/>
      <c r="EX52" s="11"/>
      <c r="EY52" s="11"/>
      <c r="EZ52" s="11"/>
      <c r="FA52" s="213"/>
      <c r="FB52" s="11"/>
      <c r="FC52" s="11"/>
      <c r="FD52" s="11"/>
      <c r="FE52" s="11"/>
      <c r="FF52" s="11"/>
      <c r="FG52" s="11"/>
      <c r="FH52" s="11"/>
      <c r="FI52" s="213"/>
      <c r="FJ52" s="11"/>
      <c r="FK52" s="11"/>
      <c r="FL52" s="11"/>
      <c r="FM52" s="11"/>
      <c r="FN52" s="11"/>
      <c r="FO52" s="11"/>
      <c r="FP52" s="11"/>
      <c r="FQ52" s="11"/>
      <c r="FR52" s="11"/>
      <c r="FS52" s="11"/>
      <c r="FT52" s="213"/>
      <c r="FU52" s="11"/>
      <c r="FV52" s="11"/>
      <c r="FW52" s="11"/>
      <c r="FX52" s="11"/>
      <c r="FY52" s="11"/>
      <c r="FZ52" s="213"/>
      <c r="GA52" s="11"/>
      <c r="GB52" s="11"/>
      <c r="GC52" s="11"/>
      <c r="GD52" s="11"/>
      <c r="GE52" s="11"/>
      <c r="GF52" s="11"/>
      <c r="GG52" s="11"/>
      <c r="GH52" s="11"/>
      <c r="GI52" s="11"/>
      <c r="GJ52" s="11"/>
      <c r="GK52" s="11"/>
      <c r="GL52" s="11"/>
      <c r="GM52" s="11"/>
      <c r="GN52" s="11"/>
      <c r="GO52" s="11"/>
      <c r="GP52" s="152"/>
    </row>
    <row r="53" spans="1:198" x14ac:dyDescent="0.2">
      <c r="A53" s="74" t="s">
        <v>1716</v>
      </c>
      <c r="B53" s="11" t="str">
        <f>IF(AND(ISTEXT(""),""&lt;&gt;""), HYPERLINK("", "Link"),"-")</f>
        <v>-</v>
      </c>
      <c r="C53" s="11" t="s">
        <v>1235</v>
      </c>
      <c r="D53" s="11"/>
      <c r="E53" s="11"/>
      <c r="F53" s="11" t="s">
        <v>2812</v>
      </c>
      <c r="G53" s="213"/>
      <c r="H53" s="11"/>
      <c r="I53" s="11"/>
      <c r="J53" s="11"/>
      <c r="K53" s="11"/>
      <c r="L53" s="11"/>
      <c r="M53" s="11"/>
      <c r="N53" s="11"/>
      <c r="O53" s="11"/>
      <c r="P53" s="11"/>
      <c r="Q53" s="11"/>
      <c r="R53" s="11"/>
      <c r="S53" s="11"/>
      <c r="T53" s="11"/>
      <c r="U53" s="11"/>
      <c r="V53" s="11"/>
      <c r="W53" s="11"/>
      <c r="X53" s="11"/>
      <c r="Y53" s="213"/>
      <c r="Z53" s="11" t="s">
        <v>1235</v>
      </c>
      <c r="AA53" s="11"/>
      <c r="AB53" s="11"/>
      <c r="AC53" s="11"/>
      <c r="AD53" s="11"/>
      <c r="AE53" s="11"/>
      <c r="AF53" s="11"/>
      <c r="AG53" s="11"/>
      <c r="AH53" s="11"/>
      <c r="AI53" s="11"/>
      <c r="AJ53" s="11"/>
      <c r="AK53" s="11"/>
      <c r="AL53" s="11"/>
      <c r="AM53" s="11"/>
      <c r="AN53" s="11"/>
      <c r="AO53" s="11"/>
      <c r="AP53" s="11"/>
      <c r="AQ53" s="11"/>
      <c r="AR53" s="11"/>
      <c r="AS53" s="11"/>
      <c r="AT53" s="213"/>
      <c r="AU53" s="11"/>
      <c r="AV53" s="11"/>
      <c r="AW53" s="11"/>
      <c r="AX53" s="11"/>
      <c r="AY53" s="11"/>
      <c r="AZ53" s="11"/>
      <c r="BA53" s="11"/>
      <c r="BB53" s="11"/>
      <c r="BC53" s="11"/>
      <c r="BD53" s="11"/>
      <c r="BE53" s="213"/>
      <c r="BF53" s="11"/>
      <c r="BG53" s="11"/>
      <c r="BH53" s="11"/>
      <c r="BI53" s="11"/>
      <c r="BJ53" s="11"/>
      <c r="BK53" s="11"/>
      <c r="BL53" s="11"/>
      <c r="BM53" s="11"/>
      <c r="BN53" s="11"/>
      <c r="BO53" s="11"/>
      <c r="BP53" s="11"/>
      <c r="BQ53" s="213"/>
      <c r="BR53" s="11"/>
      <c r="BS53" s="11"/>
      <c r="BT53" s="11" t="s">
        <v>1235</v>
      </c>
      <c r="BU53" s="11"/>
      <c r="BV53" s="11"/>
      <c r="BW53" s="11"/>
      <c r="BX53" s="11"/>
      <c r="BY53" s="11"/>
      <c r="BZ53" s="11"/>
      <c r="CA53" s="195"/>
      <c r="CB53" s="11"/>
      <c r="CC53" s="11"/>
      <c r="CD53" s="11"/>
      <c r="CE53" s="11"/>
      <c r="CF53" s="11"/>
      <c r="CG53" s="11"/>
      <c r="CH53" s="11"/>
      <c r="CI53" s="11"/>
      <c r="CJ53" s="11"/>
      <c r="CK53" s="213" t="s">
        <v>1235</v>
      </c>
      <c r="CL53" s="11"/>
      <c r="CM53" s="11"/>
      <c r="CN53" s="11"/>
      <c r="CO53" s="11"/>
      <c r="CP53" s="11"/>
      <c r="CQ53" s="11"/>
      <c r="CR53" s="11"/>
      <c r="CS53" s="11"/>
      <c r="CT53" s="11"/>
      <c r="CU53" s="11"/>
      <c r="CV53" s="11"/>
      <c r="CW53" s="213"/>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213"/>
      <c r="EM53" s="11"/>
      <c r="EN53" s="11"/>
      <c r="EO53" s="11"/>
      <c r="EP53" s="11"/>
      <c r="EQ53" s="11"/>
      <c r="ER53" s="11"/>
      <c r="ES53" s="11"/>
      <c r="ET53" s="11"/>
      <c r="EU53" s="11"/>
      <c r="EV53" s="11"/>
      <c r="EW53" s="213"/>
      <c r="EX53" s="11"/>
      <c r="EY53" s="11"/>
      <c r="EZ53" s="11"/>
      <c r="FA53" s="213"/>
      <c r="FB53" s="11"/>
      <c r="FC53" s="11"/>
      <c r="FD53" s="11"/>
      <c r="FE53" s="11"/>
      <c r="FF53" s="11"/>
      <c r="FG53" s="11"/>
      <c r="FH53" s="11"/>
      <c r="FI53" s="213"/>
      <c r="FJ53" s="11"/>
      <c r="FK53" s="11"/>
      <c r="FL53" s="11"/>
      <c r="FM53" s="11"/>
      <c r="FN53" s="11"/>
      <c r="FO53" s="11"/>
      <c r="FP53" s="11"/>
      <c r="FQ53" s="11"/>
      <c r="FR53" s="11"/>
      <c r="FS53" s="11"/>
      <c r="FT53" s="213"/>
      <c r="FU53" s="11"/>
      <c r="FV53" s="11"/>
      <c r="FW53" s="11"/>
      <c r="FX53" s="11"/>
      <c r="FY53" s="11"/>
      <c r="FZ53" s="213"/>
      <c r="GA53" s="11"/>
      <c r="GB53" s="11"/>
      <c r="GC53" s="11"/>
      <c r="GD53" s="11"/>
      <c r="GE53" s="11"/>
      <c r="GF53" s="11"/>
      <c r="GG53" s="11"/>
      <c r="GH53" s="11"/>
      <c r="GI53" s="11"/>
      <c r="GJ53" s="11"/>
      <c r="GK53" s="11"/>
      <c r="GL53" s="11"/>
      <c r="GM53" s="11"/>
      <c r="GN53" s="11"/>
      <c r="GO53" s="11"/>
      <c r="GP53" s="152"/>
    </row>
    <row r="54" spans="1:198" x14ac:dyDescent="0.2">
      <c r="A54" s="73" t="s">
        <v>2013</v>
      </c>
      <c r="B54" s="11" t="str">
        <f>IF(AND(ISTEXT(""),""&lt;&gt;""), HYPERLINK("", "Link"),"-")</f>
        <v>-</v>
      </c>
      <c r="C54" s="11" t="s">
        <v>1235</v>
      </c>
      <c r="D54" s="11"/>
      <c r="E54" s="11"/>
      <c r="F54" s="11" t="s">
        <v>2811</v>
      </c>
      <c r="G54" s="213"/>
      <c r="H54" s="11" t="s">
        <v>1235</v>
      </c>
      <c r="I54" s="11"/>
      <c r="J54" s="11"/>
      <c r="K54" s="11"/>
      <c r="L54" s="11"/>
      <c r="M54" s="11"/>
      <c r="N54" s="11"/>
      <c r="O54" s="11"/>
      <c r="P54" s="11"/>
      <c r="Q54" s="11"/>
      <c r="R54" s="11" t="s">
        <v>1235</v>
      </c>
      <c r="S54" s="11"/>
      <c r="T54" s="11"/>
      <c r="U54" s="11"/>
      <c r="V54" s="11"/>
      <c r="W54" s="11"/>
      <c r="X54" s="11"/>
      <c r="Y54" s="213"/>
      <c r="Z54" s="11"/>
      <c r="AA54" s="11"/>
      <c r="AB54" s="11"/>
      <c r="AC54" s="11"/>
      <c r="AD54" s="11"/>
      <c r="AE54" s="11"/>
      <c r="AF54" s="11"/>
      <c r="AG54" s="11"/>
      <c r="AH54" s="11"/>
      <c r="AI54" s="11"/>
      <c r="AJ54" s="11"/>
      <c r="AK54" s="11"/>
      <c r="AL54" s="11"/>
      <c r="AM54" s="11"/>
      <c r="AN54" s="11"/>
      <c r="AO54" s="11"/>
      <c r="AP54" s="11"/>
      <c r="AQ54" s="11"/>
      <c r="AR54" s="11"/>
      <c r="AS54" s="11"/>
      <c r="AT54" s="213"/>
      <c r="AU54" s="11"/>
      <c r="AV54" s="11"/>
      <c r="AW54" s="11"/>
      <c r="AX54" s="11"/>
      <c r="AY54" s="11"/>
      <c r="AZ54" s="11"/>
      <c r="BA54" s="11"/>
      <c r="BB54" s="11"/>
      <c r="BC54" s="11"/>
      <c r="BD54" s="11"/>
      <c r="BE54" s="213"/>
      <c r="BF54" s="11"/>
      <c r="BG54" s="11"/>
      <c r="BH54" s="11"/>
      <c r="BI54" s="11"/>
      <c r="BJ54" s="11"/>
      <c r="BK54" s="11"/>
      <c r="BL54" s="11"/>
      <c r="BM54" s="11"/>
      <c r="BN54" s="11"/>
      <c r="BO54" s="11"/>
      <c r="BP54" s="11"/>
      <c r="BQ54" s="213"/>
      <c r="BR54" s="11"/>
      <c r="BS54" s="11"/>
      <c r="BT54" s="11"/>
      <c r="BU54" s="11"/>
      <c r="BV54" s="11"/>
      <c r="BW54" s="11"/>
      <c r="BX54" s="11"/>
      <c r="BY54" s="11"/>
      <c r="BZ54" s="11"/>
      <c r="CA54" s="195"/>
      <c r="CB54" s="11"/>
      <c r="CC54" s="11"/>
      <c r="CD54" s="11"/>
      <c r="CE54" s="11"/>
      <c r="CF54" s="11"/>
      <c r="CG54" s="11"/>
      <c r="CH54" s="11"/>
      <c r="CI54" s="11"/>
      <c r="CJ54" s="11"/>
      <c r="CK54" s="213"/>
      <c r="CL54" s="11"/>
      <c r="CM54" s="11"/>
      <c r="CN54" s="11"/>
      <c r="CO54" s="11"/>
      <c r="CP54" s="11"/>
      <c r="CQ54" s="11"/>
      <c r="CR54" s="11"/>
      <c r="CS54" s="11"/>
      <c r="CT54" s="11"/>
      <c r="CU54" s="11"/>
      <c r="CV54" s="11"/>
      <c r="CW54" s="213"/>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213"/>
      <c r="EM54" s="11"/>
      <c r="EN54" s="11"/>
      <c r="EO54" s="11"/>
      <c r="EP54" s="11"/>
      <c r="EQ54" s="11"/>
      <c r="ER54" s="11"/>
      <c r="ES54" s="11"/>
      <c r="ET54" s="11"/>
      <c r="EU54" s="11"/>
      <c r="EV54" s="11"/>
      <c r="EW54" s="213"/>
      <c r="EX54" s="11"/>
      <c r="EY54" s="11"/>
      <c r="EZ54" s="11"/>
      <c r="FA54" s="213"/>
      <c r="FB54" s="11"/>
      <c r="FC54" s="11"/>
      <c r="FD54" s="11"/>
      <c r="FE54" s="11"/>
      <c r="FF54" s="11"/>
      <c r="FG54" s="11"/>
      <c r="FH54" s="11"/>
      <c r="FI54" s="213"/>
      <c r="FJ54" s="11"/>
      <c r="FK54" s="11"/>
      <c r="FL54" s="11"/>
      <c r="FM54" s="11"/>
      <c r="FN54" s="11"/>
      <c r="FO54" s="11"/>
      <c r="FP54" s="11"/>
      <c r="FQ54" s="11"/>
      <c r="FR54" s="11"/>
      <c r="FS54" s="11"/>
      <c r="FT54" s="213"/>
      <c r="FU54" s="11"/>
      <c r="FV54" s="11"/>
      <c r="FW54" s="11"/>
      <c r="FX54" s="11"/>
      <c r="FY54" s="11"/>
      <c r="FZ54" s="213"/>
      <c r="GA54" s="11"/>
      <c r="GB54" s="11"/>
      <c r="GC54" s="11"/>
      <c r="GD54" s="11"/>
      <c r="GE54" s="11"/>
      <c r="GF54" s="11"/>
      <c r="GG54" s="11"/>
      <c r="GH54" s="11"/>
      <c r="GI54" s="11"/>
      <c r="GJ54" s="11"/>
      <c r="GK54" s="11"/>
      <c r="GL54" s="11"/>
      <c r="GM54" s="11"/>
      <c r="GN54" s="11"/>
      <c r="GO54" s="11"/>
      <c r="GP54" s="152"/>
    </row>
    <row r="55" spans="1:198" x14ac:dyDescent="0.2">
      <c r="A55" s="74" t="s">
        <v>1726</v>
      </c>
      <c r="B55" s="11" t="str">
        <f>IF(AND(ISTEXT("https://github.com/woods1060/M-A-R"),"https://github.com/woods1060/M-A-R"&lt;&gt;""), HYPERLINK("https://github.com/woods1060/M-A-R", "Link"),"-")</f>
        <v>Link</v>
      </c>
      <c r="C55" s="11"/>
      <c r="D55" s="11" t="s">
        <v>1235</v>
      </c>
      <c r="E55" s="11" t="s">
        <v>1235</v>
      </c>
      <c r="F55" s="11" t="s">
        <v>2812</v>
      </c>
      <c r="G55" s="213"/>
      <c r="H55" s="11" t="s">
        <v>1235</v>
      </c>
      <c r="I55" s="11"/>
      <c r="J55" s="11"/>
      <c r="K55" s="11"/>
      <c r="L55" s="11"/>
      <c r="M55" s="11"/>
      <c r="N55" s="11"/>
      <c r="O55" s="11"/>
      <c r="P55" s="11"/>
      <c r="Q55" s="11"/>
      <c r="R55" s="11"/>
      <c r="S55" s="11"/>
      <c r="T55" s="11"/>
      <c r="U55" s="11"/>
      <c r="V55" s="11"/>
      <c r="W55" s="11"/>
      <c r="X55" s="11"/>
      <c r="Y55" s="213"/>
      <c r="Z55" s="11"/>
      <c r="AA55" s="11"/>
      <c r="AB55" s="11"/>
      <c r="AC55" s="11"/>
      <c r="AD55" s="11"/>
      <c r="AE55" s="11"/>
      <c r="AF55" s="11"/>
      <c r="AG55" s="11"/>
      <c r="AH55" s="11"/>
      <c r="AI55" s="11"/>
      <c r="AJ55" s="11"/>
      <c r="AK55" s="11"/>
      <c r="AL55" s="11"/>
      <c r="AM55" s="11"/>
      <c r="AN55" s="11"/>
      <c r="AO55" s="11"/>
      <c r="AP55" s="11"/>
      <c r="AQ55" s="11"/>
      <c r="AR55" s="11"/>
      <c r="AS55" s="11"/>
      <c r="AT55" s="213"/>
      <c r="AU55" s="11"/>
      <c r="AV55" s="11"/>
      <c r="AW55" s="11"/>
      <c r="AX55" s="11"/>
      <c r="AY55" s="11"/>
      <c r="AZ55" s="11"/>
      <c r="BA55" s="11"/>
      <c r="BB55" s="11"/>
      <c r="BC55" s="11"/>
      <c r="BD55" s="11"/>
      <c r="BE55" s="213"/>
      <c r="BF55" s="11"/>
      <c r="BG55" s="11"/>
      <c r="BH55" s="11"/>
      <c r="BI55" s="11"/>
      <c r="BJ55" s="11"/>
      <c r="BK55" s="11"/>
      <c r="BL55" s="11"/>
      <c r="BM55" s="11"/>
      <c r="BN55" s="11"/>
      <c r="BO55" s="11"/>
      <c r="BP55" s="11"/>
      <c r="BQ55" s="213"/>
      <c r="BR55" s="11"/>
      <c r="BS55" s="11"/>
      <c r="BT55" s="11"/>
      <c r="BU55" s="11"/>
      <c r="BV55" s="11"/>
      <c r="BW55" s="11"/>
      <c r="BX55" s="11"/>
      <c r="BY55" s="11"/>
      <c r="BZ55" s="11"/>
      <c r="CA55" s="195"/>
      <c r="CB55" s="11"/>
      <c r="CC55" s="11"/>
      <c r="CD55" s="11"/>
      <c r="CE55" s="11"/>
      <c r="CF55" s="11"/>
      <c r="CG55" s="11"/>
      <c r="CH55" s="11"/>
      <c r="CI55" s="11"/>
      <c r="CJ55" s="11"/>
      <c r="CK55" s="213"/>
      <c r="CL55" s="11"/>
      <c r="CM55" s="11"/>
      <c r="CN55" s="11"/>
      <c r="CO55" s="11"/>
      <c r="CP55" s="11"/>
      <c r="CQ55" s="11"/>
      <c r="CR55" s="11"/>
      <c r="CS55" s="11"/>
      <c r="CT55" s="11"/>
      <c r="CU55" s="11"/>
      <c r="CV55" s="11"/>
      <c r="CW55" s="213"/>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213"/>
      <c r="EM55" s="11"/>
      <c r="EN55" s="11"/>
      <c r="EO55" s="11"/>
      <c r="EP55" s="11"/>
      <c r="EQ55" s="11"/>
      <c r="ER55" s="11"/>
      <c r="ES55" s="11"/>
      <c r="ET55" s="11"/>
      <c r="EU55" s="11"/>
      <c r="EV55" s="11"/>
      <c r="EW55" s="213"/>
      <c r="EX55" s="11"/>
      <c r="EY55" s="11"/>
      <c r="EZ55" s="11"/>
      <c r="FA55" s="213"/>
      <c r="FB55" s="11"/>
      <c r="FC55" s="11"/>
      <c r="FD55" s="11"/>
      <c r="FE55" s="11"/>
      <c r="FF55" s="11"/>
      <c r="FG55" s="11"/>
      <c r="FH55" s="11"/>
      <c r="FI55" s="213"/>
      <c r="FJ55" s="11"/>
      <c r="FK55" s="11"/>
      <c r="FL55" s="11"/>
      <c r="FM55" s="11"/>
      <c r="FN55" s="11"/>
      <c r="FO55" s="11"/>
      <c r="FP55" s="11"/>
      <c r="FQ55" s="11"/>
      <c r="FR55" s="11"/>
      <c r="FS55" s="11"/>
      <c r="FT55" s="213"/>
      <c r="FU55" s="11"/>
      <c r="FV55" s="11"/>
      <c r="FW55" s="11"/>
      <c r="FX55" s="11"/>
      <c r="FY55" s="11"/>
      <c r="FZ55" s="213"/>
      <c r="GA55" s="11"/>
      <c r="GB55" s="11"/>
      <c r="GC55" s="11"/>
      <c r="GD55" s="11"/>
      <c r="GE55" s="11"/>
      <c r="GF55" s="11"/>
      <c r="GG55" s="11"/>
      <c r="GH55" s="11"/>
      <c r="GI55" s="11"/>
      <c r="GJ55" s="11"/>
      <c r="GK55" s="11"/>
      <c r="GL55" s="11"/>
      <c r="GM55" s="11"/>
      <c r="GN55" s="11"/>
      <c r="GO55" s="11"/>
      <c r="GP55" s="152"/>
    </row>
    <row r="56" spans="1:198" x14ac:dyDescent="0.2">
      <c r="A56" s="74" t="s">
        <v>1728</v>
      </c>
      <c r="B56" s="11" t="str">
        <f>IF(AND(ISTEXT(""),""&lt;&gt;""), HYPERLINK("", "Link"),"-")</f>
        <v>-</v>
      </c>
      <c r="C56" s="11" t="s">
        <v>1235</v>
      </c>
      <c r="D56" s="11"/>
      <c r="E56" s="11"/>
      <c r="F56" s="11" t="s">
        <v>2812</v>
      </c>
      <c r="G56" s="213"/>
      <c r="H56" s="11"/>
      <c r="I56" s="11"/>
      <c r="J56" s="11"/>
      <c r="K56" s="11"/>
      <c r="L56" s="11"/>
      <c r="M56" s="11"/>
      <c r="N56" s="11"/>
      <c r="O56" s="11"/>
      <c r="P56" s="11"/>
      <c r="Q56" s="11"/>
      <c r="R56" s="11"/>
      <c r="S56" s="11"/>
      <c r="T56" s="11"/>
      <c r="U56" s="11"/>
      <c r="V56" s="11"/>
      <c r="W56" s="11"/>
      <c r="X56" s="11"/>
      <c r="Y56" s="213"/>
      <c r="Z56" s="11"/>
      <c r="AA56" s="11"/>
      <c r="AB56" s="11"/>
      <c r="AC56" s="11"/>
      <c r="AD56" s="11"/>
      <c r="AE56" s="11"/>
      <c r="AF56" s="11"/>
      <c r="AG56" s="11"/>
      <c r="AH56" s="11"/>
      <c r="AI56" s="11"/>
      <c r="AJ56" s="11"/>
      <c r="AK56" s="11"/>
      <c r="AL56" s="11"/>
      <c r="AM56" s="11"/>
      <c r="AN56" s="11"/>
      <c r="AO56" s="11"/>
      <c r="AP56" s="11"/>
      <c r="AQ56" s="11"/>
      <c r="AR56" s="11"/>
      <c r="AS56" s="11"/>
      <c r="AT56" s="213"/>
      <c r="AU56" s="11"/>
      <c r="AV56" s="11"/>
      <c r="AW56" s="11"/>
      <c r="AX56" s="11"/>
      <c r="AY56" s="11"/>
      <c r="AZ56" s="11" t="s">
        <v>1235</v>
      </c>
      <c r="BA56" s="11"/>
      <c r="BB56" s="11"/>
      <c r="BC56" s="11"/>
      <c r="BD56" s="11"/>
      <c r="BE56" s="213"/>
      <c r="BF56" s="11"/>
      <c r="BG56" s="11"/>
      <c r="BH56" s="11"/>
      <c r="BI56" s="11"/>
      <c r="BJ56" s="11"/>
      <c r="BK56" s="11"/>
      <c r="BL56" s="11"/>
      <c r="BM56" s="11"/>
      <c r="BN56" s="11"/>
      <c r="BO56" s="11"/>
      <c r="BP56" s="11"/>
      <c r="BQ56" s="213"/>
      <c r="BR56" s="11"/>
      <c r="BS56" s="11"/>
      <c r="BT56" s="11"/>
      <c r="BU56" s="11"/>
      <c r="BV56" s="11"/>
      <c r="BW56" s="11"/>
      <c r="BX56" s="11"/>
      <c r="BY56" s="11"/>
      <c r="BZ56" s="11"/>
      <c r="CA56" s="195"/>
      <c r="CB56" s="11"/>
      <c r="CC56" s="11"/>
      <c r="CD56" s="11"/>
      <c r="CE56" s="11"/>
      <c r="CF56" s="11"/>
      <c r="CG56" s="11"/>
      <c r="CH56" s="11"/>
      <c r="CI56" s="11"/>
      <c r="CJ56" s="11"/>
      <c r="CK56" s="213" t="s">
        <v>1235</v>
      </c>
      <c r="CL56" s="11"/>
      <c r="CM56" s="11"/>
      <c r="CN56" s="11"/>
      <c r="CO56" s="11"/>
      <c r="CP56" s="11"/>
      <c r="CQ56" s="11"/>
      <c r="CR56" s="11"/>
      <c r="CS56" s="11" t="s">
        <v>1235</v>
      </c>
      <c r="CT56" s="11"/>
      <c r="CU56" s="11"/>
      <c r="CV56" s="11"/>
      <c r="CW56" s="213"/>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213"/>
      <c r="EM56" s="11"/>
      <c r="EN56" s="11"/>
      <c r="EO56" s="11"/>
      <c r="EP56" s="11" t="s">
        <v>1235</v>
      </c>
      <c r="EQ56" s="11"/>
      <c r="ER56" s="11"/>
      <c r="ES56" s="11"/>
      <c r="ET56" s="11"/>
      <c r="EU56" s="11"/>
      <c r="EV56" s="11"/>
      <c r="EW56" s="213"/>
      <c r="EX56" s="11"/>
      <c r="EY56" s="11"/>
      <c r="EZ56" s="11"/>
      <c r="FA56" s="213"/>
      <c r="FB56" s="11"/>
      <c r="FC56" s="11"/>
      <c r="FD56" s="11"/>
      <c r="FE56" s="11"/>
      <c r="FF56" s="11"/>
      <c r="FG56" s="11"/>
      <c r="FH56" s="11"/>
      <c r="FI56" s="213"/>
      <c r="FJ56" s="11"/>
      <c r="FK56" s="11"/>
      <c r="FL56" s="11"/>
      <c r="FM56" s="11"/>
      <c r="FN56" s="11"/>
      <c r="FO56" s="11"/>
      <c r="FP56" s="11"/>
      <c r="FQ56" s="11"/>
      <c r="FR56" s="11"/>
      <c r="FS56" s="11"/>
      <c r="FT56" s="213"/>
      <c r="FU56" s="11"/>
      <c r="FV56" s="11"/>
      <c r="FW56" s="11"/>
      <c r="FX56" s="11"/>
      <c r="FY56" s="11"/>
      <c r="FZ56" s="213"/>
      <c r="GA56" s="11"/>
      <c r="GB56" s="11"/>
      <c r="GC56" s="11"/>
      <c r="GD56" s="11"/>
      <c r="GE56" s="11"/>
      <c r="GF56" s="11"/>
      <c r="GG56" s="11"/>
      <c r="GH56" s="11"/>
      <c r="GI56" s="11"/>
      <c r="GJ56" s="11"/>
      <c r="GK56" s="11"/>
      <c r="GL56" s="11"/>
      <c r="GM56" s="11"/>
      <c r="GN56" s="11"/>
      <c r="GO56" s="11"/>
      <c r="GP56" s="152"/>
    </row>
    <row r="57" spans="1:198" x14ac:dyDescent="0.2">
      <c r="A57" s="73" t="s">
        <v>1734</v>
      </c>
      <c r="B57" s="11" t="str">
        <f>IF(AND(ISTEXT("https://github.com/MANDO-Project/ge-sc-machine"),"https://github.com/MANDO-Project/ge-sc-machine"&lt;&gt;""), HYPERLINK("https://github.com/MANDO-Project/ge-sc-machine", "Link"),"-")</f>
        <v>Link</v>
      </c>
      <c r="C57" s="11" t="s">
        <v>1235</v>
      </c>
      <c r="D57" s="11"/>
      <c r="E57" s="11" t="s">
        <v>1235</v>
      </c>
      <c r="F57" s="11" t="s">
        <v>2811</v>
      </c>
      <c r="G57" s="213"/>
      <c r="H57" s="11" t="s">
        <v>1235</v>
      </c>
      <c r="I57" s="11"/>
      <c r="J57" s="11"/>
      <c r="K57" s="11"/>
      <c r="L57" s="11"/>
      <c r="M57" s="11"/>
      <c r="N57" s="11"/>
      <c r="O57" s="11"/>
      <c r="P57" s="11"/>
      <c r="Q57" s="11"/>
      <c r="R57" s="11"/>
      <c r="S57" s="11"/>
      <c r="T57" s="11"/>
      <c r="U57" s="11"/>
      <c r="V57" s="11"/>
      <c r="W57" s="11"/>
      <c r="X57" s="11"/>
      <c r="Y57" s="213"/>
      <c r="Z57" s="11" t="s">
        <v>1235</v>
      </c>
      <c r="AA57" s="11"/>
      <c r="AB57" s="11"/>
      <c r="AC57" s="11"/>
      <c r="AD57" s="11" t="s">
        <v>1235</v>
      </c>
      <c r="AE57" s="11"/>
      <c r="AF57" s="11"/>
      <c r="AG57" s="11"/>
      <c r="AH57" s="11"/>
      <c r="AI57" s="11"/>
      <c r="AJ57" s="11"/>
      <c r="AK57" s="11"/>
      <c r="AL57" s="11"/>
      <c r="AM57" s="11"/>
      <c r="AN57" s="11"/>
      <c r="AO57" s="11"/>
      <c r="AP57" s="11"/>
      <c r="AQ57" s="11"/>
      <c r="AR57" s="11"/>
      <c r="AS57" s="11"/>
      <c r="AT57" s="213" t="s">
        <v>1235</v>
      </c>
      <c r="AU57" s="11"/>
      <c r="AV57" s="11"/>
      <c r="AW57" s="11"/>
      <c r="AX57" s="11"/>
      <c r="AY57" s="11"/>
      <c r="AZ57" s="11"/>
      <c r="BA57" s="11"/>
      <c r="BB57" s="11"/>
      <c r="BC57" s="11"/>
      <c r="BD57" s="11"/>
      <c r="BE57" s="213"/>
      <c r="BF57" s="11"/>
      <c r="BG57" s="11"/>
      <c r="BH57" s="11"/>
      <c r="BI57" s="11"/>
      <c r="BJ57" s="11"/>
      <c r="BK57" s="11"/>
      <c r="BL57" s="11"/>
      <c r="BM57" s="11"/>
      <c r="BN57" s="11"/>
      <c r="BO57" s="11"/>
      <c r="BP57" s="11"/>
      <c r="BQ57" s="213"/>
      <c r="BR57" s="11"/>
      <c r="BS57" s="11"/>
      <c r="BT57" s="11"/>
      <c r="BU57" s="11"/>
      <c r="BV57" s="11"/>
      <c r="BW57" s="11"/>
      <c r="BX57" s="11"/>
      <c r="BY57" s="11"/>
      <c r="BZ57" s="11"/>
      <c r="CA57" s="195"/>
      <c r="CB57" s="11"/>
      <c r="CC57" s="11"/>
      <c r="CD57" s="11"/>
      <c r="CE57" s="11"/>
      <c r="CF57" s="11"/>
      <c r="CG57" s="11"/>
      <c r="CH57" s="11"/>
      <c r="CI57" s="11"/>
      <c r="CJ57" s="11"/>
      <c r="CK57" s="213"/>
      <c r="CL57" s="11"/>
      <c r="CM57" s="11"/>
      <c r="CN57" s="11"/>
      <c r="CO57" s="11"/>
      <c r="CP57" s="11"/>
      <c r="CQ57" s="11"/>
      <c r="CR57" s="11"/>
      <c r="CS57" s="11"/>
      <c r="CT57" s="11"/>
      <c r="CU57" s="11"/>
      <c r="CV57" s="11"/>
      <c r="CW57" s="213"/>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213"/>
      <c r="EM57" s="11"/>
      <c r="EN57" s="11"/>
      <c r="EO57" s="11"/>
      <c r="EP57" s="11"/>
      <c r="EQ57" s="11"/>
      <c r="ER57" s="11"/>
      <c r="ES57" s="11"/>
      <c r="ET57" s="11"/>
      <c r="EU57" s="11"/>
      <c r="EV57" s="11"/>
      <c r="EW57" s="213"/>
      <c r="EX57" s="11"/>
      <c r="EY57" s="11"/>
      <c r="EZ57" s="11"/>
      <c r="FA57" s="213"/>
      <c r="FB57" s="11"/>
      <c r="FC57" s="11"/>
      <c r="FD57" s="11"/>
      <c r="FE57" s="11"/>
      <c r="FF57" s="11"/>
      <c r="FG57" s="11"/>
      <c r="FH57" s="11"/>
      <c r="FI57" s="213"/>
      <c r="FJ57" s="11"/>
      <c r="FK57" s="11"/>
      <c r="FL57" s="11"/>
      <c r="FM57" s="11"/>
      <c r="FN57" s="11"/>
      <c r="FO57" s="11"/>
      <c r="FP57" s="11"/>
      <c r="FQ57" s="11"/>
      <c r="FR57" s="11"/>
      <c r="FS57" s="11"/>
      <c r="FT57" s="213"/>
      <c r="FU57" s="11"/>
      <c r="FV57" s="11"/>
      <c r="FW57" s="11"/>
      <c r="FX57" s="11"/>
      <c r="FY57" s="11"/>
      <c r="FZ57" s="213"/>
      <c r="GA57" s="11"/>
      <c r="GB57" s="11"/>
      <c r="GC57" s="11"/>
      <c r="GD57" s="11"/>
      <c r="GE57" s="11"/>
      <c r="GF57" s="11"/>
      <c r="GG57" s="11"/>
      <c r="GH57" s="11"/>
      <c r="GI57" s="11"/>
      <c r="GJ57" s="11"/>
      <c r="GK57" s="11"/>
      <c r="GL57" s="11"/>
      <c r="GM57" s="11"/>
      <c r="GN57" s="11"/>
      <c r="GO57" s="11"/>
      <c r="GP57" s="152"/>
    </row>
    <row r="58" spans="1:198" x14ac:dyDescent="0.2">
      <c r="A58" s="73" t="s">
        <v>1737</v>
      </c>
      <c r="B58" s="11" t="str">
        <f>IF(AND(ISTEXT("https://github.com/MANDO-Project/ge-sc-transformer"),"https://github.com/MANDO-Project/ge-sc-transformer"&lt;&gt;""), HYPERLINK("https://github.com/MANDO-Project/ge-sc-transformer", "Link"),"-")</f>
        <v>Link</v>
      </c>
      <c r="C58" s="11" t="s">
        <v>1235</v>
      </c>
      <c r="D58" s="11"/>
      <c r="E58" s="11" t="s">
        <v>1235</v>
      </c>
      <c r="F58" s="11" t="s">
        <v>2811</v>
      </c>
      <c r="G58" s="213"/>
      <c r="H58" s="11" t="s">
        <v>1235</v>
      </c>
      <c r="I58" s="11"/>
      <c r="J58" s="11"/>
      <c r="K58" s="11"/>
      <c r="L58" s="11"/>
      <c r="M58" s="11"/>
      <c r="N58" s="11"/>
      <c r="O58" s="11"/>
      <c r="P58" s="11"/>
      <c r="Q58" s="11"/>
      <c r="R58" s="11"/>
      <c r="S58" s="11"/>
      <c r="T58" s="11"/>
      <c r="U58" s="11"/>
      <c r="V58" s="11"/>
      <c r="W58" s="11"/>
      <c r="X58" s="11"/>
      <c r="Y58" s="213"/>
      <c r="Z58" s="11" t="s">
        <v>1235</v>
      </c>
      <c r="AA58" s="11"/>
      <c r="AB58" s="11"/>
      <c r="AC58" s="11"/>
      <c r="AD58" s="11" t="s">
        <v>1235</v>
      </c>
      <c r="AE58" s="11"/>
      <c r="AF58" s="11"/>
      <c r="AG58" s="11"/>
      <c r="AH58" s="11"/>
      <c r="AI58" s="11"/>
      <c r="AJ58" s="11"/>
      <c r="AK58" s="11"/>
      <c r="AL58" s="11"/>
      <c r="AM58" s="11"/>
      <c r="AN58" s="11"/>
      <c r="AO58" s="11"/>
      <c r="AP58" s="11"/>
      <c r="AQ58" s="11"/>
      <c r="AR58" s="11"/>
      <c r="AS58" s="11"/>
      <c r="AT58" s="213" t="s">
        <v>1235</v>
      </c>
      <c r="AU58" s="11"/>
      <c r="AV58" s="11"/>
      <c r="AW58" s="11"/>
      <c r="AX58" s="11"/>
      <c r="AY58" s="11"/>
      <c r="AZ58" s="11"/>
      <c r="BA58" s="11"/>
      <c r="BB58" s="11"/>
      <c r="BC58" s="11"/>
      <c r="BD58" s="11"/>
      <c r="BE58" s="213"/>
      <c r="BF58" s="11"/>
      <c r="BG58" s="11"/>
      <c r="BH58" s="11"/>
      <c r="BI58" s="11"/>
      <c r="BJ58" s="11"/>
      <c r="BK58" s="11"/>
      <c r="BL58" s="11"/>
      <c r="BM58" s="11"/>
      <c r="BN58" s="11"/>
      <c r="BO58" s="11"/>
      <c r="BP58" s="11"/>
      <c r="BQ58" s="213"/>
      <c r="BR58" s="11"/>
      <c r="BS58" s="11"/>
      <c r="BT58" s="11"/>
      <c r="BU58" s="11"/>
      <c r="BV58" s="11"/>
      <c r="BW58" s="11"/>
      <c r="BX58" s="11"/>
      <c r="BY58" s="11"/>
      <c r="BZ58" s="11"/>
      <c r="CA58" s="195"/>
      <c r="CB58" s="11"/>
      <c r="CC58" s="11"/>
      <c r="CD58" s="11"/>
      <c r="CE58" s="11"/>
      <c r="CF58" s="11"/>
      <c r="CG58" s="11"/>
      <c r="CH58" s="11"/>
      <c r="CI58" s="11"/>
      <c r="CJ58" s="11"/>
      <c r="CK58" s="213" t="s">
        <v>1235</v>
      </c>
      <c r="CL58" s="11"/>
      <c r="CM58" s="11"/>
      <c r="CN58" s="11"/>
      <c r="CO58" s="11"/>
      <c r="CP58" s="11"/>
      <c r="CQ58" s="11"/>
      <c r="CR58" s="11"/>
      <c r="CS58" s="11"/>
      <c r="CT58" s="11"/>
      <c r="CU58" s="11"/>
      <c r="CV58" s="11"/>
      <c r="CW58" s="213"/>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213"/>
      <c r="EM58" s="11"/>
      <c r="EN58" s="11"/>
      <c r="EO58" s="11"/>
      <c r="EP58" s="11"/>
      <c r="EQ58" s="11"/>
      <c r="ER58" s="11"/>
      <c r="ES58" s="11"/>
      <c r="ET58" s="11"/>
      <c r="EU58" s="11"/>
      <c r="EV58" s="11"/>
      <c r="EW58" s="213"/>
      <c r="EX58" s="11"/>
      <c r="EY58" s="11"/>
      <c r="EZ58" s="11"/>
      <c r="FA58" s="213"/>
      <c r="FB58" s="11"/>
      <c r="FC58" s="11"/>
      <c r="FD58" s="11"/>
      <c r="FE58" s="11"/>
      <c r="FF58" s="11"/>
      <c r="FG58" s="11"/>
      <c r="FH58" s="11"/>
      <c r="FI58" s="213"/>
      <c r="FJ58" s="11"/>
      <c r="FK58" s="11"/>
      <c r="FL58" s="11"/>
      <c r="FM58" s="11"/>
      <c r="FN58" s="11"/>
      <c r="FO58" s="11"/>
      <c r="FP58" s="11"/>
      <c r="FQ58" s="11"/>
      <c r="FR58" s="11"/>
      <c r="FS58" s="11"/>
      <c r="FT58" s="213"/>
      <c r="FU58" s="11"/>
      <c r="FV58" s="11"/>
      <c r="FW58" s="11"/>
      <c r="FX58" s="11"/>
      <c r="FY58" s="11"/>
      <c r="FZ58" s="213"/>
      <c r="GA58" s="11"/>
      <c r="GB58" s="11"/>
      <c r="GC58" s="11"/>
      <c r="GD58" s="11"/>
      <c r="GE58" s="11"/>
      <c r="GF58" s="11"/>
      <c r="GG58" s="11"/>
      <c r="GH58" s="11"/>
      <c r="GI58" s="11"/>
      <c r="GJ58" s="11"/>
      <c r="GK58" s="11"/>
      <c r="GL58" s="11"/>
      <c r="GM58" s="11"/>
      <c r="GN58" s="11"/>
      <c r="GO58" s="11"/>
      <c r="GP58" s="152"/>
    </row>
    <row r="59" spans="1:198" x14ac:dyDescent="0.2">
      <c r="A59" s="74" t="s">
        <v>1739</v>
      </c>
      <c r="B59" s="11" t="str">
        <f>IF(AND(ISTEXT(""),""&lt;&gt;""), HYPERLINK("", "Link"),"-")</f>
        <v>-</v>
      </c>
      <c r="C59" s="11" t="s">
        <v>1235</v>
      </c>
      <c r="D59" s="11"/>
      <c r="E59" s="11"/>
      <c r="F59" s="11" t="s">
        <v>2812</v>
      </c>
      <c r="G59" s="213"/>
      <c r="H59" s="11" t="s">
        <v>1235</v>
      </c>
      <c r="I59" s="11"/>
      <c r="J59" s="11"/>
      <c r="K59" s="11"/>
      <c r="L59" s="11"/>
      <c r="M59" s="11"/>
      <c r="N59" s="11"/>
      <c r="O59" s="11"/>
      <c r="P59" s="11"/>
      <c r="Q59" s="11"/>
      <c r="R59" s="11"/>
      <c r="S59" s="11"/>
      <c r="T59" s="11"/>
      <c r="U59" s="11"/>
      <c r="V59" s="11"/>
      <c r="W59" s="11"/>
      <c r="X59" s="11"/>
      <c r="Y59" s="213"/>
      <c r="Z59" s="11" t="s">
        <v>1235</v>
      </c>
      <c r="AA59" s="11"/>
      <c r="AB59" s="11"/>
      <c r="AC59" s="11"/>
      <c r="AD59" s="11"/>
      <c r="AE59" s="11"/>
      <c r="AF59" s="11"/>
      <c r="AG59" s="11"/>
      <c r="AH59" s="11"/>
      <c r="AI59" s="11"/>
      <c r="AJ59" s="11"/>
      <c r="AK59" s="11"/>
      <c r="AL59" s="11"/>
      <c r="AM59" s="11"/>
      <c r="AN59" s="11"/>
      <c r="AO59" s="11"/>
      <c r="AP59" s="11"/>
      <c r="AQ59" s="11"/>
      <c r="AR59" s="11"/>
      <c r="AS59" s="11"/>
      <c r="AT59" s="213"/>
      <c r="AU59" s="11"/>
      <c r="AV59" s="11"/>
      <c r="AW59" s="11"/>
      <c r="AX59" s="11"/>
      <c r="AY59" s="11"/>
      <c r="AZ59" s="11"/>
      <c r="BA59" s="11"/>
      <c r="BB59" s="11"/>
      <c r="BC59" s="11"/>
      <c r="BD59" s="11"/>
      <c r="BE59" s="213"/>
      <c r="BF59" s="11"/>
      <c r="BG59" s="11"/>
      <c r="BH59" s="11"/>
      <c r="BI59" s="11"/>
      <c r="BJ59" s="11"/>
      <c r="BK59" s="11"/>
      <c r="BL59" s="11"/>
      <c r="BM59" s="11"/>
      <c r="BN59" s="11"/>
      <c r="BO59" s="11"/>
      <c r="BP59" s="11"/>
      <c r="BQ59" s="213"/>
      <c r="BR59" s="11"/>
      <c r="BS59" s="11"/>
      <c r="BT59" s="11"/>
      <c r="BU59" s="11"/>
      <c r="BV59" s="11"/>
      <c r="BW59" s="11"/>
      <c r="BX59" s="11"/>
      <c r="BY59" s="11"/>
      <c r="BZ59" s="11"/>
      <c r="CA59" s="195"/>
      <c r="CB59" s="11"/>
      <c r="CC59" s="11"/>
      <c r="CD59" s="11"/>
      <c r="CE59" s="11"/>
      <c r="CF59" s="11"/>
      <c r="CG59" s="11"/>
      <c r="CH59" s="11"/>
      <c r="CI59" s="11"/>
      <c r="CJ59" s="11"/>
      <c r="CK59" s="213" t="s">
        <v>1235</v>
      </c>
      <c r="CL59" s="11"/>
      <c r="CM59" s="11"/>
      <c r="CN59" s="11"/>
      <c r="CO59" s="11"/>
      <c r="CP59" s="11"/>
      <c r="CQ59" s="11"/>
      <c r="CR59" s="11"/>
      <c r="CS59" s="11"/>
      <c r="CT59" s="11"/>
      <c r="CU59" s="11"/>
      <c r="CV59" s="11"/>
      <c r="CW59" s="213"/>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t="s">
        <v>1235</v>
      </c>
      <c r="EL59" s="213"/>
      <c r="EM59" s="11"/>
      <c r="EN59" s="11"/>
      <c r="EO59" s="11"/>
      <c r="EP59" s="11"/>
      <c r="EQ59" s="11"/>
      <c r="ER59" s="11"/>
      <c r="ES59" s="11"/>
      <c r="ET59" s="11"/>
      <c r="EU59" s="11"/>
      <c r="EV59" s="11"/>
      <c r="EW59" s="213" t="s">
        <v>1235</v>
      </c>
      <c r="EX59" s="11"/>
      <c r="EY59" s="11"/>
      <c r="EZ59" s="11"/>
      <c r="FA59" s="213"/>
      <c r="FB59" s="11"/>
      <c r="FC59" s="11"/>
      <c r="FD59" s="11"/>
      <c r="FE59" s="11"/>
      <c r="FF59" s="11"/>
      <c r="FG59" s="11"/>
      <c r="FH59" s="11"/>
      <c r="FI59" s="213"/>
      <c r="FJ59" s="11"/>
      <c r="FK59" s="11"/>
      <c r="FL59" s="11"/>
      <c r="FM59" s="11"/>
      <c r="FN59" s="11"/>
      <c r="FO59" s="11"/>
      <c r="FP59" s="11"/>
      <c r="FQ59" s="11"/>
      <c r="FR59" s="11"/>
      <c r="FS59" s="11"/>
      <c r="FT59" s="213"/>
      <c r="FU59" s="11"/>
      <c r="FV59" s="11"/>
      <c r="FW59" s="11"/>
      <c r="FX59" s="11"/>
      <c r="FY59" s="11"/>
      <c r="FZ59" s="213"/>
      <c r="GA59" s="11"/>
      <c r="GB59" s="11"/>
      <c r="GC59" s="11"/>
      <c r="GD59" s="11"/>
      <c r="GE59" s="11"/>
      <c r="GF59" s="11"/>
      <c r="GG59" s="11"/>
      <c r="GH59" s="11"/>
      <c r="GI59" s="11"/>
      <c r="GJ59" s="11"/>
      <c r="GK59" s="11"/>
      <c r="GL59" s="11"/>
      <c r="GM59" s="11"/>
      <c r="GN59" s="11"/>
      <c r="GO59" s="11"/>
      <c r="GP59" s="152"/>
    </row>
    <row r="60" spans="1:198" x14ac:dyDescent="0.2">
      <c r="A60" s="73" t="s">
        <v>1741</v>
      </c>
      <c r="B60" s="11" t="str">
        <f>IF(AND(ISTEXT(""),""&lt;&gt;""), HYPERLINK("", "Link"),"-")</f>
        <v>-</v>
      </c>
      <c r="C60" s="11" t="s">
        <v>1235</v>
      </c>
      <c r="D60" s="11" t="s">
        <v>1235</v>
      </c>
      <c r="E60" s="11"/>
      <c r="F60" s="11" t="s">
        <v>2811</v>
      </c>
      <c r="G60" s="213"/>
      <c r="H60" s="11" t="s">
        <v>1235</v>
      </c>
      <c r="I60" s="11"/>
      <c r="J60" s="11"/>
      <c r="K60" s="11"/>
      <c r="L60" s="11"/>
      <c r="M60" s="11" t="s">
        <v>1235</v>
      </c>
      <c r="N60" s="11"/>
      <c r="O60" s="11"/>
      <c r="P60" s="11"/>
      <c r="Q60" s="11" t="s">
        <v>1235</v>
      </c>
      <c r="R60" s="11"/>
      <c r="S60" s="11"/>
      <c r="T60" s="11"/>
      <c r="U60" s="11"/>
      <c r="V60" s="11"/>
      <c r="W60" s="11" t="s">
        <v>1235</v>
      </c>
      <c r="X60" s="11"/>
      <c r="Y60" s="213" t="s">
        <v>1235</v>
      </c>
      <c r="Z60" s="11" t="s">
        <v>1235</v>
      </c>
      <c r="AA60" s="11"/>
      <c r="AB60" s="11"/>
      <c r="AC60" s="11"/>
      <c r="AD60" s="11"/>
      <c r="AE60" s="11"/>
      <c r="AF60" s="11"/>
      <c r="AG60" s="11"/>
      <c r="AH60" s="11"/>
      <c r="AI60" s="11"/>
      <c r="AJ60" s="11"/>
      <c r="AK60" s="11"/>
      <c r="AL60" s="11"/>
      <c r="AM60" s="11"/>
      <c r="AN60" s="11"/>
      <c r="AO60" s="11"/>
      <c r="AP60" s="11"/>
      <c r="AQ60" s="11"/>
      <c r="AR60" s="11"/>
      <c r="AS60" s="11"/>
      <c r="AT60" s="213" t="s">
        <v>1235</v>
      </c>
      <c r="AU60" s="11"/>
      <c r="AV60" s="11"/>
      <c r="AW60" s="11"/>
      <c r="AX60" s="11"/>
      <c r="AY60" s="11"/>
      <c r="AZ60" s="11"/>
      <c r="BA60" s="11"/>
      <c r="BB60" s="11" t="s">
        <v>1235</v>
      </c>
      <c r="BC60" s="11"/>
      <c r="BD60" s="11"/>
      <c r="BE60" s="213" t="s">
        <v>1235</v>
      </c>
      <c r="BF60" s="11"/>
      <c r="BG60" s="11"/>
      <c r="BH60" s="11" t="s">
        <v>1235</v>
      </c>
      <c r="BI60" s="11"/>
      <c r="BJ60" s="11"/>
      <c r="BK60" s="11"/>
      <c r="BL60" s="11"/>
      <c r="BM60" s="11"/>
      <c r="BN60" s="11"/>
      <c r="BO60" s="11"/>
      <c r="BP60" s="11" t="s">
        <v>1235</v>
      </c>
      <c r="BQ60" s="213"/>
      <c r="BR60" s="11" t="s">
        <v>1235</v>
      </c>
      <c r="BS60" s="11"/>
      <c r="BT60" s="11" t="s">
        <v>1235</v>
      </c>
      <c r="BU60" s="11"/>
      <c r="BV60" s="11"/>
      <c r="BW60" s="11"/>
      <c r="BX60" s="11"/>
      <c r="BY60" s="11"/>
      <c r="BZ60" s="11"/>
      <c r="CA60" s="195"/>
      <c r="CB60" s="11"/>
      <c r="CC60" s="11"/>
      <c r="CD60" s="11"/>
      <c r="CE60" s="11"/>
      <c r="CF60" s="11"/>
      <c r="CG60" s="11"/>
      <c r="CH60" s="11"/>
      <c r="CI60" s="11"/>
      <c r="CJ60" s="11"/>
      <c r="CK60" s="213" t="s">
        <v>1235</v>
      </c>
      <c r="CL60" s="11"/>
      <c r="CM60" s="11"/>
      <c r="CN60" s="11"/>
      <c r="CO60" s="11"/>
      <c r="CP60" s="11"/>
      <c r="CQ60" s="11"/>
      <c r="CR60" s="11"/>
      <c r="CS60" s="11"/>
      <c r="CT60" s="11"/>
      <c r="CU60" s="11"/>
      <c r="CV60" s="11" t="s">
        <v>1235</v>
      </c>
      <c r="CW60" s="213"/>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213"/>
      <c r="EM60" s="11"/>
      <c r="EN60" s="11"/>
      <c r="EO60" s="11"/>
      <c r="EP60" s="11" t="s">
        <v>1235</v>
      </c>
      <c r="EQ60" s="11"/>
      <c r="ER60" s="11"/>
      <c r="ES60" s="11"/>
      <c r="ET60" s="11"/>
      <c r="EU60" s="11"/>
      <c r="EV60" s="11"/>
      <c r="EW60" s="213"/>
      <c r="EX60" s="11" t="s">
        <v>1235</v>
      </c>
      <c r="EY60" s="11"/>
      <c r="EZ60" s="11"/>
      <c r="FA60" s="213"/>
      <c r="FB60" s="11"/>
      <c r="FC60" s="11"/>
      <c r="FD60" s="11"/>
      <c r="FE60" s="11"/>
      <c r="FF60" s="11"/>
      <c r="FG60" s="11"/>
      <c r="FH60" s="11"/>
      <c r="FI60" s="213"/>
      <c r="FJ60" s="11"/>
      <c r="FK60" s="11"/>
      <c r="FL60" s="11"/>
      <c r="FM60" s="11"/>
      <c r="FN60" s="11"/>
      <c r="FO60" s="11"/>
      <c r="FP60" s="11"/>
      <c r="FQ60" s="11"/>
      <c r="FR60" s="11"/>
      <c r="FS60" s="11"/>
      <c r="FT60" s="213"/>
      <c r="FU60" s="11" t="s">
        <v>1235</v>
      </c>
      <c r="FV60" s="11"/>
      <c r="FW60" s="11"/>
      <c r="FX60" s="11"/>
      <c r="FY60" s="11"/>
      <c r="FZ60" s="213"/>
      <c r="GA60" s="11"/>
      <c r="GB60" s="11"/>
      <c r="GC60" s="11"/>
      <c r="GD60" s="11"/>
      <c r="GE60" s="11"/>
      <c r="GF60" s="11"/>
      <c r="GG60" s="11"/>
      <c r="GH60" s="11"/>
      <c r="GI60" s="11"/>
      <c r="GJ60" s="11"/>
      <c r="GK60" s="11"/>
      <c r="GL60" s="11"/>
      <c r="GM60" s="11"/>
      <c r="GN60" s="11"/>
      <c r="GO60" s="11"/>
      <c r="GP60" s="152"/>
    </row>
    <row r="61" spans="1:198" x14ac:dyDescent="0.2">
      <c r="A61" s="74" t="s">
        <v>1744</v>
      </c>
      <c r="B61" s="11" t="str">
        <f>IF(AND(ISTEXT("https://github.com/ToolmanInside/vulpedia_demo"),"https://github.com/ToolmanInside/vulpedia_demo"&lt;&gt;""), HYPERLINK("https://github.com/ToolmanInside/vulpedia_demo", "Link"),"-")</f>
        <v>Link</v>
      </c>
      <c r="C61" s="11" t="s">
        <v>1235</v>
      </c>
      <c r="D61" s="11"/>
      <c r="E61" s="11" t="s">
        <v>1235</v>
      </c>
      <c r="F61" s="11" t="s">
        <v>2812</v>
      </c>
      <c r="G61" s="213"/>
      <c r="H61" s="11" t="s">
        <v>1235</v>
      </c>
      <c r="I61" s="11"/>
      <c r="J61" s="11"/>
      <c r="K61" s="11"/>
      <c r="L61" s="11"/>
      <c r="M61" s="11" t="s">
        <v>1235</v>
      </c>
      <c r="N61" s="11"/>
      <c r="O61" s="11"/>
      <c r="P61" s="11"/>
      <c r="Q61" s="11"/>
      <c r="R61" s="11"/>
      <c r="S61" s="11"/>
      <c r="T61" s="11"/>
      <c r="U61" s="11"/>
      <c r="V61" s="11"/>
      <c r="W61" s="11"/>
      <c r="X61" s="11"/>
      <c r="Y61" s="213"/>
      <c r="Z61" s="11"/>
      <c r="AA61" s="11"/>
      <c r="AB61" s="11"/>
      <c r="AC61" s="11"/>
      <c r="AD61" s="11"/>
      <c r="AE61" s="11"/>
      <c r="AF61" s="11"/>
      <c r="AG61" s="11"/>
      <c r="AH61" s="11"/>
      <c r="AI61" s="11"/>
      <c r="AJ61" s="11"/>
      <c r="AK61" s="11"/>
      <c r="AL61" s="11"/>
      <c r="AM61" s="11"/>
      <c r="AN61" s="11"/>
      <c r="AO61" s="11"/>
      <c r="AP61" s="11"/>
      <c r="AQ61" s="11"/>
      <c r="AR61" s="11"/>
      <c r="AS61" s="11"/>
      <c r="AT61" s="213"/>
      <c r="AU61" s="11"/>
      <c r="AV61" s="11"/>
      <c r="AW61" s="11"/>
      <c r="AX61" s="11"/>
      <c r="AY61" s="11"/>
      <c r="AZ61" s="11"/>
      <c r="BA61" s="11"/>
      <c r="BB61" s="11"/>
      <c r="BC61" s="11"/>
      <c r="BD61" s="11"/>
      <c r="BE61" s="213"/>
      <c r="BF61" s="11"/>
      <c r="BG61" s="11"/>
      <c r="BH61" s="11"/>
      <c r="BI61" s="11"/>
      <c r="BJ61" s="11"/>
      <c r="BK61" s="11"/>
      <c r="BL61" s="11"/>
      <c r="BM61" s="11"/>
      <c r="BN61" s="11"/>
      <c r="BO61" s="11"/>
      <c r="BP61" s="11"/>
      <c r="BQ61" s="213"/>
      <c r="BR61" s="11" t="s">
        <v>1235</v>
      </c>
      <c r="BS61" s="11"/>
      <c r="BT61" s="11" t="s">
        <v>1235</v>
      </c>
      <c r="BU61" s="11"/>
      <c r="BV61" s="11"/>
      <c r="BW61" s="11"/>
      <c r="BX61" s="11"/>
      <c r="BY61" s="11"/>
      <c r="BZ61" s="11"/>
      <c r="CA61" s="195"/>
      <c r="CB61" s="11"/>
      <c r="CC61" s="11"/>
      <c r="CD61" s="11"/>
      <c r="CE61" s="11"/>
      <c r="CF61" s="11"/>
      <c r="CG61" s="11"/>
      <c r="CH61" s="11"/>
      <c r="CI61" s="11"/>
      <c r="CJ61" s="11"/>
      <c r="CK61" s="213"/>
      <c r="CL61" s="11"/>
      <c r="CM61" s="11"/>
      <c r="CN61" s="11"/>
      <c r="CO61" s="11"/>
      <c r="CP61" s="11"/>
      <c r="CQ61" s="11"/>
      <c r="CR61" s="11"/>
      <c r="CS61" s="11"/>
      <c r="CT61" s="11"/>
      <c r="CU61" s="11"/>
      <c r="CV61" s="11"/>
      <c r="CW61" s="213"/>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213"/>
      <c r="EM61" s="11"/>
      <c r="EN61" s="11"/>
      <c r="EO61" s="11"/>
      <c r="EP61" s="11"/>
      <c r="EQ61" s="11"/>
      <c r="ER61" s="11"/>
      <c r="ES61" s="11"/>
      <c r="ET61" s="11"/>
      <c r="EU61" s="11"/>
      <c r="EV61" s="11"/>
      <c r="EW61" s="213"/>
      <c r="EX61" s="11"/>
      <c r="EY61" s="11"/>
      <c r="EZ61" s="11"/>
      <c r="FA61" s="213"/>
      <c r="FB61" s="11"/>
      <c r="FC61" s="11"/>
      <c r="FD61" s="11"/>
      <c r="FE61" s="11"/>
      <c r="FF61" s="11"/>
      <c r="FG61" s="11"/>
      <c r="FH61" s="11"/>
      <c r="FI61" s="213"/>
      <c r="FJ61" s="11"/>
      <c r="FK61" s="11"/>
      <c r="FL61" s="11"/>
      <c r="FM61" s="11"/>
      <c r="FN61" s="11"/>
      <c r="FO61" s="11"/>
      <c r="FP61" s="11"/>
      <c r="FQ61" s="11"/>
      <c r="FR61" s="11"/>
      <c r="FS61" s="11"/>
      <c r="FT61" s="213"/>
      <c r="FU61" s="11"/>
      <c r="FV61" s="11"/>
      <c r="FW61" s="11"/>
      <c r="FX61" s="11"/>
      <c r="FY61" s="11"/>
      <c r="FZ61" s="213"/>
      <c r="GA61" s="11"/>
      <c r="GB61" s="11"/>
      <c r="GC61" s="11"/>
      <c r="GD61" s="11"/>
      <c r="GE61" s="11"/>
      <c r="GF61" s="11"/>
      <c r="GG61" s="11"/>
      <c r="GH61" s="11"/>
      <c r="GI61" s="11"/>
      <c r="GJ61" s="11"/>
      <c r="GK61" s="11"/>
      <c r="GL61" s="11"/>
      <c r="GM61" s="11"/>
      <c r="GN61" s="11"/>
      <c r="GO61" s="11"/>
      <c r="GP61" s="152"/>
    </row>
    <row r="62" spans="1:198" x14ac:dyDescent="0.2">
      <c r="A62" s="74" t="s">
        <v>1746</v>
      </c>
      <c r="B62" s="11" t="str">
        <f>IF(AND(ISTEXT(""),""&lt;&gt;""), HYPERLINK("", "Link"),"-")</f>
        <v>-</v>
      </c>
      <c r="C62" s="11" t="s">
        <v>1235</v>
      </c>
      <c r="D62" s="11"/>
      <c r="E62" s="11"/>
      <c r="F62" s="11" t="s">
        <v>2812</v>
      </c>
      <c r="G62" s="213"/>
      <c r="H62" s="11" t="s">
        <v>1235</v>
      </c>
      <c r="I62" s="11"/>
      <c r="J62" s="11"/>
      <c r="K62" s="11"/>
      <c r="L62" s="11"/>
      <c r="M62" s="11"/>
      <c r="N62" s="11"/>
      <c r="O62" s="11"/>
      <c r="P62" s="11"/>
      <c r="Q62" s="11"/>
      <c r="R62" s="11"/>
      <c r="S62" s="11"/>
      <c r="T62" s="11"/>
      <c r="U62" s="11"/>
      <c r="V62" s="11"/>
      <c r="W62" s="11"/>
      <c r="X62" s="11"/>
      <c r="Y62" s="213"/>
      <c r="Z62" s="11"/>
      <c r="AA62" s="11"/>
      <c r="AB62" s="11"/>
      <c r="AC62" s="11"/>
      <c r="AD62" s="11"/>
      <c r="AE62" s="11"/>
      <c r="AF62" s="11"/>
      <c r="AG62" s="11"/>
      <c r="AH62" s="11"/>
      <c r="AI62" s="11"/>
      <c r="AJ62" s="11"/>
      <c r="AK62" s="11"/>
      <c r="AL62" s="11"/>
      <c r="AM62" s="11"/>
      <c r="AN62" s="11"/>
      <c r="AO62" s="11"/>
      <c r="AP62" s="11"/>
      <c r="AQ62" s="11"/>
      <c r="AR62" s="11"/>
      <c r="AS62" s="11"/>
      <c r="AT62" s="213"/>
      <c r="AU62" s="11"/>
      <c r="AV62" s="11"/>
      <c r="AW62" s="11"/>
      <c r="AX62" s="11"/>
      <c r="AY62" s="11"/>
      <c r="AZ62" s="11"/>
      <c r="BA62" s="11"/>
      <c r="BB62" s="11"/>
      <c r="BC62" s="11"/>
      <c r="BD62" s="11"/>
      <c r="BE62" s="213"/>
      <c r="BF62" s="11"/>
      <c r="BG62" s="11"/>
      <c r="BH62" s="11"/>
      <c r="BI62" s="11"/>
      <c r="BJ62" s="11"/>
      <c r="BK62" s="11"/>
      <c r="BL62" s="11"/>
      <c r="BM62" s="11"/>
      <c r="BN62" s="11"/>
      <c r="BO62" s="11"/>
      <c r="BP62" s="11"/>
      <c r="BQ62" s="213"/>
      <c r="BR62" s="11"/>
      <c r="BS62" s="11"/>
      <c r="BT62" s="11"/>
      <c r="BU62" s="11"/>
      <c r="BV62" s="11"/>
      <c r="BW62" s="11"/>
      <c r="BX62" s="11"/>
      <c r="BY62" s="11"/>
      <c r="BZ62" s="11"/>
      <c r="CA62" s="195"/>
      <c r="CB62" s="11"/>
      <c r="CC62" s="11"/>
      <c r="CD62" s="11"/>
      <c r="CE62" s="11"/>
      <c r="CF62" s="11"/>
      <c r="CG62" s="11"/>
      <c r="CH62" s="11"/>
      <c r="CI62" s="11"/>
      <c r="CJ62" s="11"/>
      <c r="CK62" s="213"/>
      <c r="CL62" s="11"/>
      <c r="CM62" s="11"/>
      <c r="CN62" s="11"/>
      <c r="CO62" s="11"/>
      <c r="CP62" s="11"/>
      <c r="CQ62" s="11"/>
      <c r="CR62" s="11"/>
      <c r="CS62" s="11"/>
      <c r="CT62" s="11"/>
      <c r="CU62" s="11"/>
      <c r="CV62" s="11"/>
      <c r="CW62" s="213"/>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213"/>
      <c r="EM62" s="11"/>
      <c r="EN62" s="11"/>
      <c r="EO62" s="11"/>
      <c r="EP62" s="11"/>
      <c r="EQ62" s="11"/>
      <c r="ER62" s="11"/>
      <c r="ES62" s="11"/>
      <c r="ET62" s="11"/>
      <c r="EU62" s="11"/>
      <c r="EV62" s="11"/>
      <c r="EW62" s="213"/>
      <c r="EX62" s="11"/>
      <c r="EY62" s="11"/>
      <c r="EZ62" s="11"/>
      <c r="FA62" s="213"/>
      <c r="FB62" s="11"/>
      <c r="FC62" s="11"/>
      <c r="FD62" s="11"/>
      <c r="FE62" s="11"/>
      <c r="FF62" s="11"/>
      <c r="FG62" s="11"/>
      <c r="FH62" s="11"/>
      <c r="FI62" s="213"/>
      <c r="FJ62" s="11"/>
      <c r="FK62" s="11"/>
      <c r="FL62" s="11"/>
      <c r="FM62" s="11"/>
      <c r="FN62" s="11"/>
      <c r="FO62" s="11"/>
      <c r="FP62" s="11"/>
      <c r="FQ62" s="11"/>
      <c r="FR62" s="11"/>
      <c r="FS62" s="11"/>
      <c r="FT62" s="213"/>
      <c r="FU62" s="11"/>
      <c r="FV62" s="11"/>
      <c r="FW62" s="11"/>
      <c r="FX62" s="11"/>
      <c r="FY62" s="11"/>
      <c r="FZ62" s="213"/>
      <c r="GA62" s="11"/>
      <c r="GB62" s="11"/>
      <c r="GC62" s="11"/>
      <c r="GD62" s="11"/>
      <c r="GE62" s="11"/>
      <c r="GF62" s="11"/>
      <c r="GG62" s="11"/>
      <c r="GH62" s="11"/>
      <c r="GI62" s="11"/>
      <c r="GJ62" s="11"/>
      <c r="GK62" s="11"/>
      <c r="GL62" s="11"/>
      <c r="GM62" s="11"/>
      <c r="GN62" s="11"/>
      <c r="GO62" s="11"/>
      <c r="GP62" s="152"/>
    </row>
    <row r="63" spans="1:198" x14ac:dyDescent="0.2">
      <c r="A63" s="74" t="s">
        <v>1748</v>
      </c>
      <c r="B63" s="11" t="str">
        <f>IF(AND(ISTEXT(""),""&lt;&gt;""), HYPERLINK("", "Link"),"-")</f>
        <v>-</v>
      </c>
      <c r="C63" s="11" t="s">
        <v>1235</v>
      </c>
      <c r="D63" s="11"/>
      <c r="E63" s="11"/>
      <c r="F63" s="11" t="s">
        <v>2812</v>
      </c>
      <c r="G63" s="213"/>
      <c r="H63" s="11" t="s">
        <v>1235</v>
      </c>
      <c r="I63" s="11"/>
      <c r="J63" s="11"/>
      <c r="K63" s="11"/>
      <c r="L63" s="11"/>
      <c r="M63" s="11"/>
      <c r="N63" s="11"/>
      <c r="O63" s="11"/>
      <c r="P63" s="11"/>
      <c r="Q63" s="11"/>
      <c r="R63" s="11"/>
      <c r="S63" s="11"/>
      <c r="T63" s="11"/>
      <c r="U63" s="11"/>
      <c r="V63" s="11"/>
      <c r="W63" s="11"/>
      <c r="X63" s="11"/>
      <c r="Y63" s="213"/>
      <c r="Z63" s="11" t="s">
        <v>1235</v>
      </c>
      <c r="AA63" s="11"/>
      <c r="AB63" s="11"/>
      <c r="AC63" s="11"/>
      <c r="AD63" s="11"/>
      <c r="AE63" s="11"/>
      <c r="AF63" s="11"/>
      <c r="AG63" s="11"/>
      <c r="AH63" s="11"/>
      <c r="AI63" s="11"/>
      <c r="AJ63" s="11"/>
      <c r="AK63" s="11"/>
      <c r="AL63" s="11"/>
      <c r="AM63" s="11"/>
      <c r="AN63" s="11"/>
      <c r="AO63" s="11"/>
      <c r="AP63" s="11"/>
      <c r="AQ63" s="11"/>
      <c r="AR63" s="11"/>
      <c r="AS63" s="11"/>
      <c r="AT63" s="213"/>
      <c r="AU63" s="11"/>
      <c r="AV63" s="11"/>
      <c r="AW63" s="11"/>
      <c r="AX63" s="11"/>
      <c r="AY63" s="11"/>
      <c r="AZ63" s="11"/>
      <c r="BA63" s="11"/>
      <c r="BB63" s="11"/>
      <c r="BC63" s="11"/>
      <c r="BD63" s="11"/>
      <c r="BE63" s="213"/>
      <c r="BF63" s="11"/>
      <c r="BG63" s="11"/>
      <c r="BH63" s="11"/>
      <c r="BI63" s="11"/>
      <c r="BJ63" s="11"/>
      <c r="BK63" s="11"/>
      <c r="BL63" s="11"/>
      <c r="BM63" s="11"/>
      <c r="BN63" s="11"/>
      <c r="BO63" s="11"/>
      <c r="BP63" s="11"/>
      <c r="BQ63" s="213"/>
      <c r="BR63" s="11"/>
      <c r="BS63" s="11"/>
      <c r="BT63" s="11"/>
      <c r="BU63" s="11"/>
      <c r="BV63" s="11"/>
      <c r="BW63" s="11"/>
      <c r="BX63" s="11"/>
      <c r="BY63" s="11"/>
      <c r="BZ63" s="11"/>
      <c r="CA63" s="195"/>
      <c r="CB63" s="11"/>
      <c r="CC63" s="11"/>
      <c r="CD63" s="11"/>
      <c r="CE63" s="11"/>
      <c r="CF63" s="11"/>
      <c r="CG63" s="11"/>
      <c r="CH63" s="11"/>
      <c r="CI63" s="11"/>
      <c r="CJ63" s="11"/>
      <c r="CK63" s="213"/>
      <c r="CL63" s="11"/>
      <c r="CM63" s="11"/>
      <c r="CN63" s="11"/>
      <c r="CO63" s="11"/>
      <c r="CP63" s="11"/>
      <c r="CQ63" s="11"/>
      <c r="CR63" s="11"/>
      <c r="CS63" s="11"/>
      <c r="CT63" s="11"/>
      <c r="CU63" s="11"/>
      <c r="CV63" s="11"/>
      <c r="CW63" s="213"/>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t="s">
        <v>1235</v>
      </c>
      <c r="EL63" s="213"/>
      <c r="EM63" s="11"/>
      <c r="EN63" s="11"/>
      <c r="EO63" s="11"/>
      <c r="EP63" s="11"/>
      <c r="EQ63" s="11"/>
      <c r="ER63" s="11"/>
      <c r="ES63" s="11"/>
      <c r="ET63" s="11"/>
      <c r="EU63" s="11"/>
      <c r="EV63" s="11"/>
      <c r="EW63" s="213"/>
      <c r="EX63" s="11"/>
      <c r="EY63" s="11"/>
      <c r="EZ63" s="11"/>
      <c r="FA63" s="213"/>
      <c r="FB63" s="11"/>
      <c r="FC63" s="11"/>
      <c r="FD63" s="11"/>
      <c r="FE63" s="11"/>
      <c r="FF63" s="11"/>
      <c r="FG63" s="11"/>
      <c r="FH63" s="11"/>
      <c r="FI63" s="213"/>
      <c r="FJ63" s="11"/>
      <c r="FK63" s="11"/>
      <c r="FL63" s="11"/>
      <c r="FM63" s="11"/>
      <c r="FN63" s="11"/>
      <c r="FO63" s="11"/>
      <c r="FP63" s="11"/>
      <c r="FQ63" s="11"/>
      <c r="FR63" s="11"/>
      <c r="FS63" s="11"/>
      <c r="FT63" s="213"/>
      <c r="FU63" s="11"/>
      <c r="FV63" s="11"/>
      <c r="FW63" s="11"/>
      <c r="FX63" s="11"/>
      <c r="FY63" s="11"/>
      <c r="FZ63" s="213"/>
      <c r="GA63" s="11"/>
      <c r="GB63" s="11"/>
      <c r="GC63" s="11"/>
      <c r="GD63" s="11"/>
      <c r="GE63" s="11"/>
      <c r="GF63" s="11"/>
      <c r="GG63" s="11"/>
      <c r="GH63" s="11"/>
      <c r="GI63" s="11"/>
      <c r="GJ63" s="11"/>
      <c r="GK63" s="11"/>
      <c r="GL63" s="11"/>
      <c r="GM63" s="11"/>
      <c r="GN63" s="11"/>
      <c r="GO63" s="11"/>
      <c r="GP63" s="152"/>
    </row>
    <row r="64" spans="1:198" x14ac:dyDescent="0.2">
      <c r="A64" s="74" t="s">
        <v>1750</v>
      </c>
      <c r="B64" s="11" t="str">
        <f>IF(AND(ISTEXT(""),""&lt;&gt;""), HYPERLINK("", "Link"),"-")</f>
        <v>-</v>
      </c>
      <c r="C64" s="11"/>
      <c r="D64" s="11" t="s">
        <v>1235</v>
      </c>
      <c r="E64" s="11"/>
      <c r="F64" s="11" t="s">
        <v>2812</v>
      </c>
      <c r="G64" s="213"/>
      <c r="H64" s="11" t="s">
        <v>1235</v>
      </c>
      <c r="I64" s="11"/>
      <c r="J64" s="11"/>
      <c r="K64" s="11"/>
      <c r="L64" s="11"/>
      <c r="M64" s="11"/>
      <c r="N64" s="11"/>
      <c r="O64" s="11"/>
      <c r="P64" s="11"/>
      <c r="Q64" s="11"/>
      <c r="R64" s="11"/>
      <c r="S64" s="11"/>
      <c r="T64" s="11"/>
      <c r="U64" s="11"/>
      <c r="V64" s="11"/>
      <c r="W64" s="11"/>
      <c r="X64" s="11"/>
      <c r="Y64" s="213"/>
      <c r="Z64" s="11"/>
      <c r="AA64" s="11"/>
      <c r="AB64" s="11"/>
      <c r="AC64" s="11"/>
      <c r="AD64" s="11"/>
      <c r="AE64" s="11"/>
      <c r="AF64" s="11"/>
      <c r="AG64" s="11"/>
      <c r="AH64" s="11"/>
      <c r="AI64" s="11"/>
      <c r="AJ64" s="11"/>
      <c r="AK64" s="11"/>
      <c r="AL64" s="11"/>
      <c r="AM64" s="11"/>
      <c r="AN64" s="11"/>
      <c r="AO64" s="11"/>
      <c r="AP64" s="11"/>
      <c r="AQ64" s="11"/>
      <c r="AR64" s="11"/>
      <c r="AS64" s="11"/>
      <c r="AT64" s="213"/>
      <c r="AU64" s="11"/>
      <c r="AV64" s="11"/>
      <c r="AW64" s="11"/>
      <c r="AX64" s="11"/>
      <c r="AY64" s="11"/>
      <c r="AZ64" s="11"/>
      <c r="BA64" s="11"/>
      <c r="BB64" s="11"/>
      <c r="BC64" s="11"/>
      <c r="BD64" s="11"/>
      <c r="BE64" s="213"/>
      <c r="BF64" s="11"/>
      <c r="BG64" s="11"/>
      <c r="BH64" s="11"/>
      <c r="BI64" s="11"/>
      <c r="BJ64" s="11"/>
      <c r="BK64" s="11"/>
      <c r="BL64" s="11"/>
      <c r="BM64" s="11"/>
      <c r="BN64" s="11"/>
      <c r="BO64" s="11"/>
      <c r="BP64" s="11"/>
      <c r="BQ64" s="213"/>
      <c r="BR64" s="11"/>
      <c r="BS64" s="11"/>
      <c r="BT64" s="11"/>
      <c r="BU64" s="11"/>
      <c r="BV64" s="11"/>
      <c r="BW64" s="11"/>
      <c r="BX64" s="11"/>
      <c r="BY64" s="11"/>
      <c r="BZ64" s="11"/>
      <c r="CA64" s="195"/>
      <c r="CB64" s="11"/>
      <c r="CC64" s="11"/>
      <c r="CD64" s="11"/>
      <c r="CE64" s="11"/>
      <c r="CF64" s="11"/>
      <c r="CG64" s="11"/>
      <c r="CH64" s="11"/>
      <c r="CI64" s="11"/>
      <c r="CJ64" s="11"/>
      <c r="CK64" s="213"/>
      <c r="CL64" s="11"/>
      <c r="CM64" s="11"/>
      <c r="CN64" s="11"/>
      <c r="CO64" s="11"/>
      <c r="CP64" s="11"/>
      <c r="CQ64" s="11"/>
      <c r="CR64" s="11"/>
      <c r="CS64" s="11"/>
      <c r="CT64" s="11"/>
      <c r="CU64" s="11"/>
      <c r="CV64" s="11"/>
      <c r="CW64" s="213"/>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213"/>
      <c r="EM64" s="11"/>
      <c r="EN64" s="11"/>
      <c r="EO64" s="11"/>
      <c r="EP64" s="11"/>
      <c r="EQ64" s="11"/>
      <c r="ER64" s="11"/>
      <c r="ES64" s="11"/>
      <c r="ET64" s="11"/>
      <c r="EU64" s="11"/>
      <c r="EV64" s="11"/>
      <c r="EW64" s="213"/>
      <c r="EX64" s="11"/>
      <c r="EY64" s="11"/>
      <c r="EZ64" s="11"/>
      <c r="FA64" s="213"/>
      <c r="FB64" s="11"/>
      <c r="FC64" s="11"/>
      <c r="FD64" s="11"/>
      <c r="FE64" s="11"/>
      <c r="FF64" s="11"/>
      <c r="FG64" s="11"/>
      <c r="FH64" s="11"/>
      <c r="FI64" s="213"/>
      <c r="FJ64" s="11"/>
      <c r="FK64" s="11"/>
      <c r="FL64" s="11"/>
      <c r="FM64" s="11"/>
      <c r="FN64" s="11"/>
      <c r="FO64" s="11"/>
      <c r="FP64" s="11"/>
      <c r="FQ64" s="11"/>
      <c r="FR64" s="11"/>
      <c r="FS64" s="11"/>
      <c r="FT64" s="213"/>
      <c r="FU64" s="11"/>
      <c r="FV64" s="11"/>
      <c r="FW64" s="11"/>
      <c r="FX64" s="11"/>
      <c r="FY64" s="11"/>
      <c r="FZ64" s="213"/>
      <c r="GA64" s="11"/>
      <c r="GB64" s="11"/>
      <c r="GC64" s="11"/>
      <c r="GD64" s="11"/>
      <c r="GE64" s="11"/>
      <c r="GF64" s="11"/>
      <c r="GG64" s="11"/>
      <c r="GH64" s="11"/>
      <c r="GI64" s="11"/>
      <c r="GJ64" s="11"/>
      <c r="GK64" s="11"/>
      <c r="GL64" s="11"/>
      <c r="GM64" s="11"/>
      <c r="GN64" s="11"/>
      <c r="GO64" s="11"/>
      <c r="GP64" s="152"/>
    </row>
    <row r="65" spans="1:198" x14ac:dyDescent="0.2">
      <c r="A65" s="73" t="s">
        <v>1752</v>
      </c>
      <c r="B65" s="11" t="str">
        <f>IF(AND(ISTEXT(""),""&lt;&gt;""), HYPERLINK("", "Link"),"-")</f>
        <v>-</v>
      </c>
      <c r="C65" s="11" t="s">
        <v>1235</v>
      </c>
      <c r="D65" s="11"/>
      <c r="E65" s="11"/>
      <c r="F65" s="11" t="s">
        <v>2811</v>
      </c>
      <c r="G65" s="213"/>
      <c r="H65" s="11" t="s">
        <v>1235</v>
      </c>
      <c r="I65" s="11"/>
      <c r="J65" s="11"/>
      <c r="K65" s="11"/>
      <c r="L65" s="11"/>
      <c r="M65" s="11"/>
      <c r="N65" s="11"/>
      <c r="O65" s="11"/>
      <c r="P65" s="11"/>
      <c r="Q65" s="11"/>
      <c r="R65" s="11"/>
      <c r="S65" s="11"/>
      <c r="T65" s="11"/>
      <c r="U65" s="11"/>
      <c r="V65" s="11"/>
      <c r="W65" s="11"/>
      <c r="X65" s="11"/>
      <c r="Y65" s="213"/>
      <c r="Z65" s="11"/>
      <c r="AA65" s="11"/>
      <c r="AB65" s="11"/>
      <c r="AC65" s="11"/>
      <c r="AD65" s="11"/>
      <c r="AE65" s="11"/>
      <c r="AF65" s="11"/>
      <c r="AG65" s="11"/>
      <c r="AH65" s="11"/>
      <c r="AI65" s="11"/>
      <c r="AJ65" s="11"/>
      <c r="AK65" s="11"/>
      <c r="AL65" s="11"/>
      <c r="AM65" s="11"/>
      <c r="AN65" s="11"/>
      <c r="AO65" s="11"/>
      <c r="AP65" s="11"/>
      <c r="AQ65" s="11"/>
      <c r="AR65" s="11"/>
      <c r="AS65" s="11"/>
      <c r="AT65" s="213" t="s">
        <v>1235</v>
      </c>
      <c r="AU65" s="11"/>
      <c r="AV65" s="11"/>
      <c r="AW65" s="11"/>
      <c r="AX65" s="11"/>
      <c r="AY65" s="11"/>
      <c r="AZ65" s="11"/>
      <c r="BA65" s="11"/>
      <c r="BB65" s="11"/>
      <c r="BC65" s="11"/>
      <c r="BD65" s="11"/>
      <c r="BE65" s="213"/>
      <c r="BF65" s="11"/>
      <c r="BG65" s="11"/>
      <c r="BH65" s="11"/>
      <c r="BI65" s="11"/>
      <c r="BJ65" s="11"/>
      <c r="BK65" s="11"/>
      <c r="BL65" s="11"/>
      <c r="BM65" s="11"/>
      <c r="BN65" s="11"/>
      <c r="BO65" s="11"/>
      <c r="BP65" s="11"/>
      <c r="BQ65" s="213"/>
      <c r="BR65" s="11"/>
      <c r="BS65" s="11"/>
      <c r="BT65" s="11"/>
      <c r="BU65" s="11"/>
      <c r="BV65" s="11"/>
      <c r="BW65" s="11"/>
      <c r="BX65" s="11"/>
      <c r="BY65" s="11"/>
      <c r="BZ65" s="11"/>
      <c r="CA65" s="195"/>
      <c r="CB65" s="11"/>
      <c r="CC65" s="11"/>
      <c r="CD65" s="11"/>
      <c r="CE65" s="11"/>
      <c r="CF65" s="11"/>
      <c r="CG65" s="11"/>
      <c r="CH65" s="11"/>
      <c r="CI65" s="11"/>
      <c r="CJ65" s="11"/>
      <c r="CK65" s="213"/>
      <c r="CL65" s="11"/>
      <c r="CM65" s="11"/>
      <c r="CN65" s="11"/>
      <c r="CO65" s="11"/>
      <c r="CP65" s="11"/>
      <c r="CQ65" s="11"/>
      <c r="CR65" s="11"/>
      <c r="CS65" s="11"/>
      <c r="CT65" s="11"/>
      <c r="CU65" s="11"/>
      <c r="CV65" s="11"/>
      <c r="CW65" s="213"/>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213"/>
      <c r="EM65" s="11"/>
      <c r="EN65" s="11"/>
      <c r="EO65" s="11"/>
      <c r="EP65" s="11"/>
      <c r="EQ65" s="11"/>
      <c r="ER65" s="11"/>
      <c r="ES65" s="11"/>
      <c r="ET65" s="11"/>
      <c r="EU65" s="11"/>
      <c r="EV65" s="11"/>
      <c r="EW65" s="213"/>
      <c r="EX65" s="11"/>
      <c r="EY65" s="11"/>
      <c r="EZ65" s="11"/>
      <c r="FA65" s="213"/>
      <c r="FB65" s="11"/>
      <c r="FC65" s="11"/>
      <c r="FD65" s="11"/>
      <c r="FE65" s="11"/>
      <c r="FF65" s="11"/>
      <c r="FG65" s="11"/>
      <c r="FH65" s="11"/>
      <c r="FI65" s="213"/>
      <c r="FJ65" s="11"/>
      <c r="FK65" s="11"/>
      <c r="FL65" s="11"/>
      <c r="FM65" s="11"/>
      <c r="FN65" s="11"/>
      <c r="FO65" s="11"/>
      <c r="FP65" s="11"/>
      <c r="FQ65" s="11"/>
      <c r="FR65" s="11"/>
      <c r="FS65" s="11"/>
      <c r="FT65" s="213"/>
      <c r="FU65" s="11"/>
      <c r="FV65" s="11"/>
      <c r="FW65" s="11"/>
      <c r="FX65" s="11"/>
      <c r="FY65" s="11"/>
      <c r="FZ65" s="213"/>
      <c r="GA65" s="11"/>
      <c r="GB65" s="11"/>
      <c r="GC65" s="11"/>
      <c r="GD65" s="11"/>
      <c r="GE65" s="11"/>
      <c r="GF65" s="11"/>
      <c r="GG65" s="11"/>
      <c r="GH65" s="11"/>
      <c r="GI65" s="11"/>
      <c r="GJ65" s="11"/>
      <c r="GK65" s="11"/>
      <c r="GL65" s="11"/>
      <c r="GM65" s="11"/>
      <c r="GN65" s="11"/>
      <c r="GO65" s="11"/>
      <c r="GP65" s="152"/>
    </row>
    <row r="66" spans="1:198" x14ac:dyDescent="0.2">
      <c r="A66" s="74" t="s">
        <v>1754</v>
      </c>
      <c r="B66" s="11" t="str">
        <f>IF(AND(ISTEXT("https://github.com/christoftorres/ConFuzzius"),"https://github.com/christoftorres/ConFuzzius"&lt;&gt;""), HYPERLINK("https://github.com/christoftorres/ConFuzzius", "Link"),"-")</f>
        <v>Link</v>
      </c>
      <c r="C66" s="11" t="s">
        <v>1235</v>
      </c>
      <c r="D66" s="11" t="s">
        <v>1235</v>
      </c>
      <c r="E66" s="11" t="s">
        <v>1235</v>
      </c>
      <c r="F66" s="11" t="s">
        <v>2812</v>
      </c>
      <c r="G66" s="213"/>
      <c r="H66" s="11" t="s">
        <v>1235</v>
      </c>
      <c r="I66" s="11"/>
      <c r="J66" s="11"/>
      <c r="K66" s="11"/>
      <c r="L66" s="11"/>
      <c r="M66" s="11"/>
      <c r="N66" s="11"/>
      <c r="O66" s="11"/>
      <c r="P66" s="11"/>
      <c r="Q66" s="11" t="s">
        <v>1235</v>
      </c>
      <c r="R66" s="11"/>
      <c r="S66" s="11"/>
      <c r="T66" s="11"/>
      <c r="U66" s="11"/>
      <c r="V66" s="11"/>
      <c r="W66" s="11" t="s">
        <v>1235</v>
      </c>
      <c r="X66" s="11"/>
      <c r="Y66" s="213" t="s">
        <v>1235</v>
      </c>
      <c r="Z66" s="11"/>
      <c r="AA66" s="11"/>
      <c r="AB66" s="11"/>
      <c r="AC66" s="11" t="s">
        <v>1235</v>
      </c>
      <c r="AD66" s="11"/>
      <c r="AE66" s="11"/>
      <c r="AF66" s="11"/>
      <c r="AG66" s="11"/>
      <c r="AH66" s="11"/>
      <c r="AI66" s="11"/>
      <c r="AJ66" s="11"/>
      <c r="AK66" s="11"/>
      <c r="AL66" s="11"/>
      <c r="AM66" s="11"/>
      <c r="AN66" s="11"/>
      <c r="AO66" s="11"/>
      <c r="AP66" s="11"/>
      <c r="AQ66" s="11"/>
      <c r="AR66" s="11"/>
      <c r="AS66" s="11"/>
      <c r="AT66" s="213" t="s">
        <v>1235</v>
      </c>
      <c r="AU66" s="11"/>
      <c r="AV66" s="11"/>
      <c r="AW66" s="11"/>
      <c r="AX66" s="11"/>
      <c r="AY66" s="11"/>
      <c r="AZ66" s="11" t="s">
        <v>1235</v>
      </c>
      <c r="BA66" s="11"/>
      <c r="BB66" s="11"/>
      <c r="BC66" s="11"/>
      <c r="BD66" s="11"/>
      <c r="BE66" s="213"/>
      <c r="BF66" s="11"/>
      <c r="BG66" s="11"/>
      <c r="BH66" s="11"/>
      <c r="BI66" s="11"/>
      <c r="BJ66" s="11"/>
      <c r="BK66" s="11"/>
      <c r="BL66" s="11"/>
      <c r="BM66" s="11"/>
      <c r="BN66" s="11"/>
      <c r="BO66" s="11"/>
      <c r="BP66" s="11"/>
      <c r="BQ66" s="213"/>
      <c r="BR66" s="11"/>
      <c r="BS66" s="11"/>
      <c r="BT66" s="11" t="s">
        <v>1235</v>
      </c>
      <c r="BU66" s="11"/>
      <c r="BV66" s="11"/>
      <c r="BW66" s="11"/>
      <c r="BX66" s="11"/>
      <c r="BY66" s="11"/>
      <c r="BZ66" s="11"/>
      <c r="CA66" s="195"/>
      <c r="CB66" s="11"/>
      <c r="CC66" s="11"/>
      <c r="CD66" s="11"/>
      <c r="CE66" s="11"/>
      <c r="CF66" s="11"/>
      <c r="CG66" s="11"/>
      <c r="CH66" s="11"/>
      <c r="CI66" s="11"/>
      <c r="CJ66" s="11"/>
      <c r="CK66" s="213" t="s">
        <v>1235</v>
      </c>
      <c r="CL66" s="11"/>
      <c r="CM66" s="11"/>
      <c r="CN66" s="11"/>
      <c r="CO66" s="11"/>
      <c r="CP66" s="11"/>
      <c r="CQ66" s="11"/>
      <c r="CR66" s="11"/>
      <c r="CS66" s="11"/>
      <c r="CT66" s="11"/>
      <c r="CU66" s="11"/>
      <c r="CV66" s="11"/>
      <c r="CW66" s="213"/>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213"/>
      <c r="EM66" s="11"/>
      <c r="EN66" s="11"/>
      <c r="EO66" s="11"/>
      <c r="EP66" s="11"/>
      <c r="EQ66" s="11"/>
      <c r="ER66" s="11"/>
      <c r="ES66" s="11"/>
      <c r="ET66" s="11"/>
      <c r="EU66" s="11"/>
      <c r="EV66" s="11"/>
      <c r="EW66" s="213"/>
      <c r="EX66" s="11"/>
      <c r="EY66" s="11"/>
      <c r="EZ66" s="11"/>
      <c r="FA66" s="213"/>
      <c r="FB66" s="11"/>
      <c r="FC66" s="11"/>
      <c r="FD66" s="11"/>
      <c r="FE66" s="11"/>
      <c r="FF66" s="11"/>
      <c r="FG66" s="11"/>
      <c r="FH66" s="11"/>
      <c r="FI66" s="213"/>
      <c r="FJ66" s="11"/>
      <c r="FK66" s="11"/>
      <c r="FL66" s="11"/>
      <c r="FM66" s="11"/>
      <c r="FN66" s="11"/>
      <c r="FO66" s="11"/>
      <c r="FP66" s="11"/>
      <c r="FQ66" s="11"/>
      <c r="FR66" s="11"/>
      <c r="FS66" s="11"/>
      <c r="FT66" s="213"/>
      <c r="FU66" s="11"/>
      <c r="FV66" s="11"/>
      <c r="FW66" s="11"/>
      <c r="FX66" s="11"/>
      <c r="FY66" s="11"/>
      <c r="FZ66" s="213"/>
      <c r="GA66" s="11"/>
      <c r="GB66" s="11"/>
      <c r="GC66" s="11"/>
      <c r="GD66" s="11"/>
      <c r="GE66" s="11"/>
      <c r="GF66" s="11"/>
      <c r="GG66" s="11"/>
      <c r="GH66" s="11"/>
      <c r="GI66" s="11"/>
      <c r="GJ66" s="11"/>
      <c r="GK66" s="11"/>
      <c r="GL66" s="11"/>
      <c r="GM66" s="11"/>
      <c r="GN66" s="11"/>
      <c r="GO66" s="11"/>
      <c r="GP66" s="152"/>
    </row>
    <row r="67" spans="1:198" x14ac:dyDescent="0.2">
      <c r="A67" s="74" t="s">
        <v>1758</v>
      </c>
      <c r="B67" s="11" t="str">
        <f t="shared" ref="B67:B74" si="2">IF(AND(ISTEXT(""),""&lt;&gt;""), HYPERLINK("", "Link"),"-")</f>
        <v>-</v>
      </c>
      <c r="C67" s="11" t="s">
        <v>1235</v>
      </c>
      <c r="D67" s="11"/>
      <c r="E67" s="11"/>
      <c r="F67" s="11" t="s">
        <v>2812</v>
      </c>
      <c r="G67" s="213"/>
      <c r="H67" s="11" t="s">
        <v>1235</v>
      </c>
      <c r="I67" s="11"/>
      <c r="J67" s="11"/>
      <c r="K67" s="11"/>
      <c r="L67" s="11"/>
      <c r="M67" s="11"/>
      <c r="N67" s="11"/>
      <c r="O67" s="11"/>
      <c r="P67" s="11"/>
      <c r="Q67" s="11" t="s">
        <v>1235</v>
      </c>
      <c r="R67" s="11"/>
      <c r="S67" s="11"/>
      <c r="T67" s="11"/>
      <c r="U67" s="11"/>
      <c r="V67" s="11"/>
      <c r="W67" s="11"/>
      <c r="X67" s="11"/>
      <c r="Y67" s="213" t="s">
        <v>1235</v>
      </c>
      <c r="Z67" s="11" t="s">
        <v>1235</v>
      </c>
      <c r="AA67" s="11"/>
      <c r="AB67" s="11"/>
      <c r="AC67" s="11" t="s">
        <v>1235</v>
      </c>
      <c r="AD67" s="11"/>
      <c r="AE67" s="11"/>
      <c r="AF67" s="11"/>
      <c r="AG67" s="11"/>
      <c r="AH67" s="11"/>
      <c r="AI67" s="11"/>
      <c r="AJ67" s="11"/>
      <c r="AK67" s="11"/>
      <c r="AL67" s="11"/>
      <c r="AM67" s="11"/>
      <c r="AN67" s="11"/>
      <c r="AO67" s="11"/>
      <c r="AP67" s="11"/>
      <c r="AQ67" s="11"/>
      <c r="AR67" s="11"/>
      <c r="AS67" s="11"/>
      <c r="AT67" s="213" t="s">
        <v>1235</v>
      </c>
      <c r="AU67" s="11"/>
      <c r="AV67" s="11"/>
      <c r="AW67" s="11"/>
      <c r="AX67" s="11"/>
      <c r="AY67" s="11"/>
      <c r="AZ67" s="11"/>
      <c r="BA67" s="11"/>
      <c r="BB67" s="11"/>
      <c r="BC67" s="11"/>
      <c r="BD67" s="11"/>
      <c r="BE67" s="213"/>
      <c r="BF67" s="11"/>
      <c r="BG67" s="11"/>
      <c r="BH67" s="11"/>
      <c r="BI67" s="11"/>
      <c r="BJ67" s="11"/>
      <c r="BK67" s="11"/>
      <c r="BL67" s="11"/>
      <c r="BM67" s="11"/>
      <c r="BN67" s="11"/>
      <c r="BO67" s="11"/>
      <c r="BP67" s="11"/>
      <c r="BQ67" s="213"/>
      <c r="BR67" s="11"/>
      <c r="BS67" s="11"/>
      <c r="BT67" s="11" t="s">
        <v>1235</v>
      </c>
      <c r="BU67" s="11"/>
      <c r="BV67" s="11"/>
      <c r="BW67" s="11"/>
      <c r="BX67" s="11"/>
      <c r="BY67" s="11"/>
      <c r="BZ67" s="11"/>
      <c r="CA67" s="195"/>
      <c r="CB67" s="11"/>
      <c r="CC67" s="11"/>
      <c r="CD67" s="11"/>
      <c r="CE67" s="11"/>
      <c r="CF67" s="11"/>
      <c r="CG67" s="11"/>
      <c r="CH67" s="11"/>
      <c r="CI67" s="11"/>
      <c r="CJ67" s="11"/>
      <c r="CK67" s="213" t="s">
        <v>1235</v>
      </c>
      <c r="CL67" s="11"/>
      <c r="CM67" s="11"/>
      <c r="CN67" s="11"/>
      <c r="CO67" s="11"/>
      <c r="CP67" s="11"/>
      <c r="CQ67" s="11"/>
      <c r="CR67" s="11"/>
      <c r="CS67" s="11"/>
      <c r="CT67" s="11"/>
      <c r="CU67" s="11"/>
      <c r="CV67" s="11"/>
      <c r="CW67" s="213"/>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213" t="s">
        <v>1235</v>
      </c>
      <c r="EM67" s="11"/>
      <c r="EN67" s="11"/>
      <c r="EO67" s="11"/>
      <c r="EP67" s="11"/>
      <c r="EQ67" s="11"/>
      <c r="ER67" s="11"/>
      <c r="ES67" s="11"/>
      <c r="ET67" s="11"/>
      <c r="EU67" s="11"/>
      <c r="EV67" s="11"/>
      <c r="EW67" s="213"/>
      <c r="EX67" s="11"/>
      <c r="EY67" s="11"/>
      <c r="EZ67" s="11"/>
      <c r="FA67" s="213"/>
      <c r="FB67" s="11"/>
      <c r="FC67" s="11"/>
      <c r="FD67" s="11"/>
      <c r="FE67" s="11"/>
      <c r="FF67" s="11"/>
      <c r="FG67" s="11"/>
      <c r="FH67" s="11"/>
      <c r="FI67" s="213"/>
      <c r="FJ67" s="11"/>
      <c r="FK67" s="11"/>
      <c r="FL67" s="11"/>
      <c r="FM67" s="11"/>
      <c r="FN67" s="11"/>
      <c r="FO67" s="11"/>
      <c r="FP67" s="11"/>
      <c r="FQ67" s="11"/>
      <c r="FR67" s="11"/>
      <c r="FS67" s="11"/>
      <c r="FT67" s="213"/>
      <c r="FU67" s="11"/>
      <c r="FV67" s="11"/>
      <c r="FW67" s="11"/>
      <c r="FX67" s="11"/>
      <c r="FY67" s="11"/>
      <c r="FZ67" s="213"/>
      <c r="GA67" s="11"/>
      <c r="GB67" s="11"/>
      <c r="GC67" s="11"/>
      <c r="GD67" s="11"/>
      <c r="GE67" s="11"/>
      <c r="GF67" s="11"/>
      <c r="GG67" s="11"/>
      <c r="GH67" s="11"/>
      <c r="GI67" s="11"/>
      <c r="GJ67" s="11"/>
      <c r="GK67" s="11"/>
      <c r="GL67" s="11"/>
      <c r="GM67" s="11"/>
      <c r="GN67" s="11"/>
      <c r="GO67" s="11"/>
      <c r="GP67" s="152"/>
    </row>
    <row r="68" spans="1:198" x14ac:dyDescent="0.2">
      <c r="A68" s="74" t="s">
        <v>1760</v>
      </c>
      <c r="B68" s="11" t="str">
        <f t="shared" si="2"/>
        <v>-</v>
      </c>
      <c r="C68" s="11" t="s">
        <v>1235</v>
      </c>
      <c r="D68" s="11"/>
      <c r="E68" s="11"/>
      <c r="F68" s="11" t="s">
        <v>2812</v>
      </c>
      <c r="G68" s="213"/>
      <c r="H68" s="11" t="s">
        <v>1235</v>
      </c>
      <c r="I68" s="11"/>
      <c r="J68" s="11"/>
      <c r="K68" s="11"/>
      <c r="L68" s="11"/>
      <c r="M68" s="11"/>
      <c r="N68" s="11"/>
      <c r="O68" s="11"/>
      <c r="P68" s="11"/>
      <c r="Q68" s="11"/>
      <c r="R68" s="11"/>
      <c r="S68" s="11"/>
      <c r="T68" s="11"/>
      <c r="U68" s="11"/>
      <c r="V68" s="11"/>
      <c r="W68" s="11"/>
      <c r="X68" s="11"/>
      <c r="Y68" s="213"/>
      <c r="Z68" s="11"/>
      <c r="AA68" s="11"/>
      <c r="AB68" s="11"/>
      <c r="AC68" s="11"/>
      <c r="AD68" s="11"/>
      <c r="AE68" s="11"/>
      <c r="AF68" s="11"/>
      <c r="AG68" s="11"/>
      <c r="AH68" s="11"/>
      <c r="AI68" s="11"/>
      <c r="AJ68" s="11"/>
      <c r="AK68" s="11"/>
      <c r="AL68" s="11"/>
      <c r="AM68" s="11"/>
      <c r="AN68" s="11"/>
      <c r="AO68" s="11"/>
      <c r="AP68" s="11"/>
      <c r="AQ68" s="11"/>
      <c r="AR68" s="11"/>
      <c r="AS68" s="11"/>
      <c r="AT68" s="213" t="s">
        <v>1235</v>
      </c>
      <c r="AU68" s="11"/>
      <c r="AV68" s="11"/>
      <c r="AW68" s="11"/>
      <c r="AX68" s="11"/>
      <c r="AY68" s="11"/>
      <c r="AZ68" s="11"/>
      <c r="BA68" s="11"/>
      <c r="BB68" s="11"/>
      <c r="BC68" s="11"/>
      <c r="BD68" s="11"/>
      <c r="BE68" s="213"/>
      <c r="BF68" s="11"/>
      <c r="BG68" s="11"/>
      <c r="BH68" s="11"/>
      <c r="BI68" s="11"/>
      <c r="BJ68" s="11"/>
      <c r="BK68" s="11"/>
      <c r="BL68" s="11"/>
      <c r="BM68" s="11"/>
      <c r="BN68" s="11"/>
      <c r="BO68" s="11"/>
      <c r="BP68" s="11"/>
      <c r="BQ68" s="213"/>
      <c r="BR68" s="11"/>
      <c r="BS68" s="11"/>
      <c r="BT68" s="11" t="s">
        <v>1235</v>
      </c>
      <c r="BU68" s="11"/>
      <c r="BV68" s="11"/>
      <c r="BW68" s="11"/>
      <c r="BX68" s="11"/>
      <c r="BY68" s="11" t="s">
        <v>1235</v>
      </c>
      <c r="BZ68" s="11" t="s">
        <v>1235</v>
      </c>
      <c r="CA68" s="195"/>
      <c r="CB68" s="11"/>
      <c r="CC68" s="11"/>
      <c r="CD68" s="11"/>
      <c r="CE68" s="11"/>
      <c r="CF68" s="11"/>
      <c r="CG68" s="11"/>
      <c r="CH68" s="11"/>
      <c r="CI68" s="11"/>
      <c r="CJ68" s="11"/>
      <c r="CK68" s="213" t="s">
        <v>1235</v>
      </c>
      <c r="CL68" s="11"/>
      <c r="CM68" s="11"/>
      <c r="CN68" s="11"/>
      <c r="CO68" s="11"/>
      <c r="CP68" s="11"/>
      <c r="CQ68" s="11"/>
      <c r="CR68" s="11"/>
      <c r="CS68" s="11"/>
      <c r="CT68" s="11"/>
      <c r="CU68" s="11"/>
      <c r="CV68" s="11"/>
      <c r="CW68" s="213"/>
      <c r="CX68" s="11"/>
      <c r="CY68" s="11"/>
      <c r="CZ68" s="11"/>
      <c r="DA68" s="11"/>
      <c r="DB68" s="11"/>
      <c r="DC68" s="11"/>
      <c r="DD68" s="11"/>
      <c r="DE68" s="11"/>
      <c r="DF68" s="11" t="s">
        <v>1235</v>
      </c>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213"/>
      <c r="EM68" s="11" t="s">
        <v>1235</v>
      </c>
      <c r="EN68" s="11"/>
      <c r="EO68" s="11"/>
      <c r="EP68" s="11"/>
      <c r="EQ68" s="11"/>
      <c r="ER68" s="11"/>
      <c r="ES68" s="11"/>
      <c r="ET68" s="11"/>
      <c r="EU68" s="11"/>
      <c r="EV68" s="11"/>
      <c r="EW68" s="213"/>
      <c r="EX68" s="11"/>
      <c r="EY68" s="11"/>
      <c r="EZ68" s="11"/>
      <c r="FA68" s="213"/>
      <c r="FB68" s="11"/>
      <c r="FC68" s="11"/>
      <c r="FD68" s="11"/>
      <c r="FE68" s="11"/>
      <c r="FF68" s="11"/>
      <c r="FG68" s="11"/>
      <c r="FH68" s="11"/>
      <c r="FI68" s="213"/>
      <c r="FJ68" s="11"/>
      <c r="FK68" s="11"/>
      <c r="FL68" s="11"/>
      <c r="FM68" s="11"/>
      <c r="FN68" s="11"/>
      <c r="FO68" s="11"/>
      <c r="FP68" s="11"/>
      <c r="FQ68" s="11"/>
      <c r="FR68" s="11"/>
      <c r="FS68" s="11"/>
      <c r="FT68" s="213"/>
      <c r="FU68" s="11"/>
      <c r="FV68" s="11"/>
      <c r="FW68" s="11"/>
      <c r="FX68" s="11"/>
      <c r="FY68" s="11"/>
      <c r="FZ68" s="213"/>
      <c r="GA68" s="11"/>
      <c r="GB68" s="11"/>
      <c r="GC68" s="11"/>
      <c r="GD68" s="11"/>
      <c r="GE68" s="11"/>
      <c r="GF68" s="11"/>
      <c r="GG68" s="11"/>
      <c r="GH68" s="11"/>
      <c r="GI68" s="11"/>
      <c r="GJ68" s="11"/>
      <c r="GK68" s="11"/>
      <c r="GL68" s="11"/>
      <c r="GM68" s="11"/>
      <c r="GN68" s="11"/>
      <c r="GO68" s="11"/>
      <c r="GP68" s="152"/>
    </row>
    <row r="69" spans="1:198" x14ac:dyDescent="0.2">
      <c r="A69" s="73" t="s">
        <v>1762</v>
      </c>
      <c r="B69" s="11" t="str">
        <f t="shared" si="2"/>
        <v>-</v>
      </c>
      <c r="C69" s="11" t="s">
        <v>1235</v>
      </c>
      <c r="D69" s="11"/>
      <c r="E69" s="11"/>
      <c r="F69" s="11" t="s">
        <v>2811</v>
      </c>
      <c r="G69" s="213"/>
      <c r="H69" s="11" t="s">
        <v>1235</v>
      </c>
      <c r="I69" s="11"/>
      <c r="J69" s="11"/>
      <c r="K69" s="11"/>
      <c r="L69" s="11"/>
      <c r="M69" s="11"/>
      <c r="N69" s="11"/>
      <c r="O69" s="11"/>
      <c r="P69" s="11"/>
      <c r="Q69" s="11"/>
      <c r="R69" s="11"/>
      <c r="S69" s="11"/>
      <c r="T69" s="11"/>
      <c r="U69" s="11"/>
      <c r="V69" s="11"/>
      <c r="W69" s="11"/>
      <c r="X69" s="11"/>
      <c r="Y69" s="213"/>
      <c r="Z69" s="11" t="s">
        <v>1235</v>
      </c>
      <c r="AA69" s="11"/>
      <c r="AB69" s="11"/>
      <c r="AC69" s="11"/>
      <c r="AD69" s="11"/>
      <c r="AE69" s="11"/>
      <c r="AF69" s="11"/>
      <c r="AG69" s="11"/>
      <c r="AH69" s="11"/>
      <c r="AI69" s="11"/>
      <c r="AJ69" s="11"/>
      <c r="AK69" s="11"/>
      <c r="AL69" s="11"/>
      <c r="AM69" s="11"/>
      <c r="AN69" s="11"/>
      <c r="AO69" s="11"/>
      <c r="AP69" s="11"/>
      <c r="AQ69" s="11"/>
      <c r="AR69" s="11"/>
      <c r="AS69" s="11"/>
      <c r="AT69" s="213"/>
      <c r="AU69" s="11"/>
      <c r="AV69" s="11"/>
      <c r="AW69" s="11"/>
      <c r="AX69" s="11"/>
      <c r="AY69" s="11"/>
      <c r="AZ69" s="11" t="s">
        <v>1235</v>
      </c>
      <c r="BA69" s="11"/>
      <c r="BB69" s="11"/>
      <c r="BC69" s="11"/>
      <c r="BD69" s="11"/>
      <c r="BE69" s="213"/>
      <c r="BF69" s="11"/>
      <c r="BG69" s="11"/>
      <c r="BH69" s="11"/>
      <c r="BI69" s="11"/>
      <c r="BJ69" s="11"/>
      <c r="BK69" s="11"/>
      <c r="BL69" s="11"/>
      <c r="BM69" s="11"/>
      <c r="BN69" s="11"/>
      <c r="BO69" s="11"/>
      <c r="BP69" s="11"/>
      <c r="BQ69" s="213"/>
      <c r="BR69" s="11"/>
      <c r="BS69" s="11"/>
      <c r="BT69" s="11"/>
      <c r="BU69" s="11"/>
      <c r="BV69" s="11"/>
      <c r="BW69" s="11"/>
      <c r="BX69" s="11"/>
      <c r="BY69" s="11"/>
      <c r="BZ69" s="11"/>
      <c r="CA69" s="195"/>
      <c r="CB69" s="11"/>
      <c r="CC69" s="11"/>
      <c r="CD69" s="11"/>
      <c r="CE69" s="11"/>
      <c r="CF69" s="11"/>
      <c r="CG69" s="11"/>
      <c r="CH69" s="11"/>
      <c r="CI69" s="11"/>
      <c r="CJ69" s="11"/>
      <c r="CK69" s="213"/>
      <c r="CL69" s="11"/>
      <c r="CM69" s="11"/>
      <c r="CN69" s="11"/>
      <c r="CO69" s="11"/>
      <c r="CP69" s="11"/>
      <c r="CQ69" s="11"/>
      <c r="CR69" s="11"/>
      <c r="CS69" s="11"/>
      <c r="CT69" s="11"/>
      <c r="CU69" s="11"/>
      <c r="CV69" s="11"/>
      <c r="CW69" s="213"/>
      <c r="CX69" s="11"/>
      <c r="CY69" s="11"/>
      <c r="CZ69" s="11"/>
      <c r="DA69" s="11" t="s">
        <v>1235</v>
      </c>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213"/>
      <c r="EM69" s="11"/>
      <c r="EN69" s="11"/>
      <c r="EO69" s="11"/>
      <c r="EP69" s="11"/>
      <c r="EQ69" s="11"/>
      <c r="ER69" s="11"/>
      <c r="ES69" s="11"/>
      <c r="ET69" s="11"/>
      <c r="EU69" s="11"/>
      <c r="EV69" s="11"/>
      <c r="EW69" s="213"/>
      <c r="EX69" s="11"/>
      <c r="EY69" s="11"/>
      <c r="EZ69" s="11"/>
      <c r="FA69" s="213"/>
      <c r="FB69" s="11"/>
      <c r="FC69" s="11"/>
      <c r="FD69" s="11"/>
      <c r="FE69" s="11"/>
      <c r="FF69" s="11"/>
      <c r="FG69" s="11"/>
      <c r="FH69" s="11"/>
      <c r="FI69" s="213"/>
      <c r="FJ69" s="11"/>
      <c r="FK69" s="11"/>
      <c r="FL69" s="11"/>
      <c r="FM69" s="11"/>
      <c r="FN69" s="11"/>
      <c r="FO69" s="11"/>
      <c r="FP69" s="11"/>
      <c r="FQ69" s="11"/>
      <c r="FR69" s="11"/>
      <c r="FS69" s="11"/>
      <c r="FT69" s="213"/>
      <c r="FU69" s="11"/>
      <c r="FV69" s="11"/>
      <c r="FW69" s="11"/>
      <c r="FX69" s="11"/>
      <c r="FY69" s="11"/>
      <c r="FZ69" s="213"/>
      <c r="GA69" s="11"/>
      <c r="GB69" s="11"/>
      <c r="GC69" s="11"/>
      <c r="GD69" s="11"/>
      <c r="GE69" s="11"/>
      <c r="GF69" s="11"/>
      <c r="GG69" s="11"/>
      <c r="GH69" s="11"/>
      <c r="GI69" s="11"/>
      <c r="GJ69" s="11"/>
      <c r="GK69" s="11"/>
      <c r="GL69" s="11"/>
      <c r="GM69" s="11"/>
      <c r="GN69" s="11"/>
      <c r="GO69" s="11"/>
      <c r="GP69" s="152"/>
    </row>
    <row r="70" spans="1:198" x14ac:dyDescent="0.2">
      <c r="A70" s="74" t="s">
        <v>1764</v>
      </c>
      <c r="B70" s="11" t="str">
        <f t="shared" si="2"/>
        <v>-</v>
      </c>
      <c r="C70" s="11" t="s">
        <v>1235</v>
      </c>
      <c r="D70" s="11"/>
      <c r="E70" s="11"/>
      <c r="F70" s="11" t="s">
        <v>2812</v>
      </c>
      <c r="G70" s="213"/>
      <c r="H70" s="11" t="s">
        <v>1235</v>
      </c>
      <c r="I70" s="11"/>
      <c r="J70" s="11"/>
      <c r="K70" s="11"/>
      <c r="L70" s="11"/>
      <c r="M70" s="11"/>
      <c r="N70" s="11"/>
      <c r="O70" s="11"/>
      <c r="P70" s="11"/>
      <c r="Q70" s="11" t="s">
        <v>1235</v>
      </c>
      <c r="R70" s="11"/>
      <c r="S70" s="11"/>
      <c r="T70" s="11"/>
      <c r="U70" s="11"/>
      <c r="V70" s="11"/>
      <c r="W70" s="11"/>
      <c r="X70" s="11"/>
      <c r="Y70" s="213"/>
      <c r="Z70" s="11" t="s">
        <v>1235</v>
      </c>
      <c r="AA70" s="11"/>
      <c r="AB70" s="11"/>
      <c r="AC70" s="11" t="s">
        <v>1235</v>
      </c>
      <c r="AD70" s="11"/>
      <c r="AE70" s="11"/>
      <c r="AF70" s="11"/>
      <c r="AG70" s="11"/>
      <c r="AH70" s="11"/>
      <c r="AI70" s="11"/>
      <c r="AJ70" s="11"/>
      <c r="AK70" s="11"/>
      <c r="AL70" s="11"/>
      <c r="AM70" s="11"/>
      <c r="AN70" s="11"/>
      <c r="AO70" s="11"/>
      <c r="AP70" s="11"/>
      <c r="AQ70" s="11"/>
      <c r="AR70" s="11"/>
      <c r="AS70" s="11"/>
      <c r="AT70" s="213"/>
      <c r="AU70" s="11"/>
      <c r="AV70" s="11"/>
      <c r="AW70" s="11"/>
      <c r="AX70" s="11"/>
      <c r="AY70" s="11"/>
      <c r="AZ70" s="11"/>
      <c r="BA70" s="11"/>
      <c r="BB70" s="11"/>
      <c r="BC70" s="11"/>
      <c r="BD70" s="11"/>
      <c r="BE70" s="213"/>
      <c r="BF70" s="11"/>
      <c r="BG70" s="11"/>
      <c r="BH70" s="11"/>
      <c r="BI70" s="11"/>
      <c r="BJ70" s="11"/>
      <c r="BK70" s="11"/>
      <c r="BL70" s="11"/>
      <c r="BM70" s="11"/>
      <c r="BN70" s="11"/>
      <c r="BO70" s="11"/>
      <c r="BP70" s="11"/>
      <c r="BQ70" s="213"/>
      <c r="BR70" s="11"/>
      <c r="BS70" s="11"/>
      <c r="BT70" s="11" t="s">
        <v>1235</v>
      </c>
      <c r="BU70" s="11"/>
      <c r="BV70" s="11"/>
      <c r="BW70" s="11"/>
      <c r="BX70" s="11"/>
      <c r="BY70" s="11"/>
      <c r="BZ70" s="11"/>
      <c r="CA70" s="195"/>
      <c r="CB70" s="11"/>
      <c r="CC70" s="11"/>
      <c r="CD70" s="11"/>
      <c r="CE70" s="11"/>
      <c r="CF70" s="11"/>
      <c r="CG70" s="11"/>
      <c r="CH70" s="11"/>
      <c r="CI70" s="11"/>
      <c r="CJ70" s="11"/>
      <c r="CK70" s="213" t="s">
        <v>1235</v>
      </c>
      <c r="CL70" s="11"/>
      <c r="CM70" s="11"/>
      <c r="CN70" s="11"/>
      <c r="CO70" s="11"/>
      <c r="CP70" s="11"/>
      <c r="CQ70" s="11"/>
      <c r="CR70" s="11"/>
      <c r="CS70" s="11"/>
      <c r="CT70" s="11"/>
      <c r="CU70" s="11"/>
      <c r="CV70" s="11"/>
      <c r="CW70" s="213"/>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213"/>
      <c r="EM70" s="11"/>
      <c r="EN70" s="11"/>
      <c r="EO70" s="11"/>
      <c r="EP70" s="11"/>
      <c r="EQ70" s="11"/>
      <c r="ER70" s="11"/>
      <c r="ES70" s="11"/>
      <c r="ET70" s="11"/>
      <c r="EU70" s="11"/>
      <c r="EV70" s="11"/>
      <c r="EW70" s="213"/>
      <c r="EX70" s="11"/>
      <c r="EY70" s="11"/>
      <c r="EZ70" s="11"/>
      <c r="FA70" s="213"/>
      <c r="FB70" s="11"/>
      <c r="FC70" s="11"/>
      <c r="FD70" s="11"/>
      <c r="FE70" s="11"/>
      <c r="FF70" s="11"/>
      <c r="FG70" s="11"/>
      <c r="FH70" s="11"/>
      <c r="FI70" s="213"/>
      <c r="FJ70" s="11"/>
      <c r="FK70" s="11"/>
      <c r="FL70" s="11"/>
      <c r="FM70" s="11"/>
      <c r="FN70" s="11"/>
      <c r="FO70" s="11"/>
      <c r="FP70" s="11"/>
      <c r="FQ70" s="11"/>
      <c r="FR70" s="11"/>
      <c r="FS70" s="11"/>
      <c r="FT70" s="213"/>
      <c r="FU70" s="11"/>
      <c r="FV70" s="11"/>
      <c r="FW70" s="11"/>
      <c r="FX70" s="11"/>
      <c r="FY70" s="11"/>
      <c r="FZ70" s="213"/>
      <c r="GA70" s="11"/>
      <c r="GB70" s="11"/>
      <c r="GC70" s="11"/>
      <c r="GD70" s="11"/>
      <c r="GE70" s="11"/>
      <c r="GF70" s="11"/>
      <c r="GG70" s="11"/>
      <c r="GH70" s="11"/>
      <c r="GI70" s="11"/>
      <c r="GJ70" s="11"/>
      <c r="GK70" s="11"/>
      <c r="GL70" s="11"/>
      <c r="GM70" s="11"/>
      <c r="GN70" s="11"/>
      <c r="GO70" s="11"/>
      <c r="GP70" s="152"/>
    </row>
    <row r="71" spans="1:198" x14ac:dyDescent="0.2">
      <c r="A71" s="74" t="s">
        <v>1766</v>
      </c>
      <c r="B71" s="11" t="str">
        <f t="shared" si="2"/>
        <v>-</v>
      </c>
      <c r="C71" s="11" t="s">
        <v>1235</v>
      </c>
      <c r="D71" s="11"/>
      <c r="E71" s="11"/>
      <c r="F71" s="11" t="s">
        <v>2812</v>
      </c>
      <c r="G71" s="213"/>
      <c r="H71" s="11" t="s">
        <v>1235</v>
      </c>
      <c r="I71" s="11"/>
      <c r="J71" s="11"/>
      <c r="K71" s="11"/>
      <c r="L71" s="11"/>
      <c r="M71" s="11"/>
      <c r="N71" s="11"/>
      <c r="O71" s="11"/>
      <c r="P71" s="11"/>
      <c r="Q71" s="11"/>
      <c r="R71" s="11"/>
      <c r="S71" s="11"/>
      <c r="T71" s="11"/>
      <c r="U71" s="11"/>
      <c r="V71" s="11"/>
      <c r="W71" s="11"/>
      <c r="X71" s="11"/>
      <c r="Y71" s="213"/>
      <c r="Z71" s="11" t="s">
        <v>1235</v>
      </c>
      <c r="AA71" s="11"/>
      <c r="AB71" s="11"/>
      <c r="AC71" s="11" t="s">
        <v>1235</v>
      </c>
      <c r="AD71" s="11"/>
      <c r="AE71" s="11"/>
      <c r="AF71" s="11"/>
      <c r="AG71" s="11"/>
      <c r="AH71" s="11"/>
      <c r="AI71" s="11"/>
      <c r="AJ71" s="11"/>
      <c r="AK71" s="11"/>
      <c r="AL71" s="11"/>
      <c r="AM71" s="11"/>
      <c r="AN71" s="11"/>
      <c r="AO71" s="11"/>
      <c r="AP71" s="11"/>
      <c r="AQ71" s="11"/>
      <c r="AR71" s="11"/>
      <c r="AS71" s="11"/>
      <c r="AT71" s="213"/>
      <c r="AU71" s="11"/>
      <c r="AV71" s="11"/>
      <c r="AW71" s="11"/>
      <c r="AX71" s="11"/>
      <c r="AY71" s="11"/>
      <c r="AZ71" s="11"/>
      <c r="BA71" s="11"/>
      <c r="BB71" s="11"/>
      <c r="BC71" s="11"/>
      <c r="BD71" s="11"/>
      <c r="BE71" s="213"/>
      <c r="BF71" s="11"/>
      <c r="BG71" s="11"/>
      <c r="BH71" s="11"/>
      <c r="BI71" s="11"/>
      <c r="BJ71" s="11"/>
      <c r="BK71" s="11"/>
      <c r="BL71" s="11"/>
      <c r="BM71" s="11"/>
      <c r="BN71" s="11"/>
      <c r="BO71" s="11"/>
      <c r="BP71" s="11"/>
      <c r="BQ71" s="213"/>
      <c r="BR71" s="11"/>
      <c r="BS71" s="11"/>
      <c r="BT71" s="11"/>
      <c r="BU71" s="11"/>
      <c r="BV71" s="11"/>
      <c r="BW71" s="11"/>
      <c r="BX71" s="11"/>
      <c r="BY71" s="11"/>
      <c r="BZ71" s="11"/>
      <c r="CA71" s="195"/>
      <c r="CB71" s="11"/>
      <c r="CC71" s="11"/>
      <c r="CD71" s="11"/>
      <c r="CE71" s="11"/>
      <c r="CF71" s="11"/>
      <c r="CG71" s="11"/>
      <c r="CH71" s="11"/>
      <c r="CI71" s="11"/>
      <c r="CJ71" s="11"/>
      <c r="CK71" s="213"/>
      <c r="CL71" s="11"/>
      <c r="CM71" s="11"/>
      <c r="CN71" s="11"/>
      <c r="CO71" s="11"/>
      <c r="CP71" s="11"/>
      <c r="CQ71" s="11"/>
      <c r="CR71" s="11"/>
      <c r="CS71" s="11"/>
      <c r="CT71" s="11"/>
      <c r="CU71" s="11"/>
      <c r="CV71" s="11"/>
      <c r="CW71" s="213"/>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213"/>
      <c r="EM71" s="11"/>
      <c r="EN71" s="11"/>
      <c r="EO71" s="11"/>
      <c r="EP71" s="11"/>
      <c r="EQ71" s="11"/>
      <c r="ER71" s="11"/>
      <c r="ES71" s="11"/>
      <c r="ET71" s="11"/>
      <c r="EU71" s="11"/>
      <c r="EV71" s="11"/>
      <c r="EW71" s="213"/>
      <c r="EX71" s="11"/>
      <c r="EY71" s="11"/>
      <c r="EZ71" s="11"/>
      <c r="FA71" s="213"/>
      <c r="FB71" s="11"/>
      <c r="FC71" s="11"/>
      <c r="FD71" s="11"/>
      <c r="FE71" s="11"/>
      <c r="FF71" s="11"/>
      <c r="FG71" s="11"/>
      <c r="FH71" s="11"/>
      <c r="FI71" s="213"/>
      <c r="FJ71" s="11"/>
      <c r="FK71" s="11"/>
      <c r="FL71" s="11"/>
      <c r="FM71" s="11"/>
      <c r="FN71" s="11"/>
      <c r="FO71" s="11"/>
      <c r="FP71" s="11"/>
      <c r="FQ71" s="11"/>
      <c r="FR71" s="11"/>
      <c r="FS71" s="11"/>
      <c r="FT71" s="213"/>
      <c r="FU71" s="11"/>
      <c r="FV71" s="11"/>
      <c r="FW71" s="11"/>
      <c r="FX71" s="11"/>
      <c r="FY71" s="11"/>
      <c r="FZ71" s="213"/>
      <c r="GA71" s="11"/>
      <c r="GB71" s="11"/>
      <c r="GC71" s="11"/>
      <c r="GD71" s="11"/>
      <c r="GE71" s="11"/>
      <c r="GF71" s="11"/>
      <c r="GG71" s="11"/>
      <c r="GH71" s="11"/>
      <c r="GI71" s="11"/>
      <c r="GJ71" s="11"/>
      <c r="GK71" s="11"/>
      <c r="GL71" s="11"/>
      <c r="GM71" s="11"/>
      <c r="GN71" s="11"/>
      <c r="GO71" s="11"/>
      <c r="GP71" s="152"/>
    </row>
    <row r="72" spans="1:198" x14ac:dyDescent="0.2">
      <c r="A72" s="73" t="s">
        <v>1770</v>
      </c>
      <c r="B72" s="11" t="str">
        <f t="shared" si="2"/>
        <v>-</v>
      </c>
      <c r="C72" s="11" t="s">
        <v>1235</v>
      </c>
      <c r="D72" s="11"/>
      <c r="E72" s="11"/>
      <c r="F72" s="11" t="s">
        <v>2811</v>
      </c>
      <c r="G72" s="213"/>
      <c r="H72" s="11" t="s">
        <v>1235</v>
      </c>
      <c r="I72" s="11"/>
      <c r="J72" s="11"/>
      <c r="K72" s="11"/>
      <c r="L72" s="11"/>
      <c r="M72" s="11"/>
      <c r="N72" s="11"/>
      <c r="O72" s="11"/>
      <c r="P72" s="11"/>
      <c r="Q72" s="11"/>
      <c r="R72" s="11"/>
      <c r="S72" s="11"/>
      <c r="T72" s="11"/>
      <c r="U72" s="11"/>
      <c r="V72" s="11"/>
      <c r="W72" s="11"/>
      <c r="X72" s="11"/>
      <c r="Y72" s="213"/>
      <c r="Z72" s="11" t="s">
        <v>1235</v>
      </c>
      <c r="AA72" s="11"/>
      <c r="AB72" s="11"/>
      <c r="AC72" s="11" t="s">
        <v>1235</v>
      </c>
      <c r="AD72" s="11" t="s">
        <v>1235</v>
      </c>
      <c r="AE72" s="11"/>
      <c r="AF72" s="11"/>
      <c r="AG72" s="11"/>
      <c r="AH72" s="11" t="s">
        <v>1235</v>
      </c>
      <c r="AI72" s="11"/>
      <c r="AJ72" s="11"/>
      <c r="AK72" s="11"/>
      <c r="AL72" s="11"/>
      <c r="AM72" s="11"/>
      <c r="AN72" s="11"/>
      <c r="AO72" s="11"/>
      <c r="AP72" s="11"/>
      <c r="AQ72" s="11"/>
      <c r="AR72" s="11"/>
      <c r="AS72" s="11"/>
      <c r="AT72" s="213" t="s">
        <v>1235</v>
      </c>
      <c r="AU72" s="11"/>
      <c r="AV72" s="11"/>
      <c r="AW72" s="11"/>
      <c r="AX72" s="11"/>
      <c r="AY72" s="11"/>
      <c r="AZ72" s="11"/>
      <c r="BA72" s="11"/>
      <c r="BB72" s="11"/>
      <c r="BC72" s="11"/>
      <c r="BD72" s="11"/>
      <c r="BE72" s="213"/>
      <c r="BF72" s="11"/>
      <c r="BG72" s="11"/>
      <c r="BH72" s="11"/>
      <c r="BI72" s="11"/>
      <c r="BJ72" s="11"/>
      <c r="BK72" s="11"/>
      <c r="BL72" s="11"/>
      <c r="BM72" s="11"/>
      <c r="BN72" s="11"/>
      <c r="BO72" s="11"/>
      <c r="BP72" s="11"/>
      <c r="BQ72" s="213"/>
      <c r="BR72" s="11" t="s">
        <v>1235</v>
      </c>
      <c r="BS72" s="11"/>
      <c r="BT72" s="11"/>
      <c r="BU72" s="11"/>
      <c r="BV72" s="11"/>
      <c r="BW72" s="11"/>
      <c r="BX72" s="11"/>
      <c r="BY72" s="11"/>
      <c r="BZ72" s="11"/>
      <c r="CA72" s="195"/>
      <c r="CB72" s="11"/>
      <c r="CC72" s="11"/>
      <c r="CD72" s="11"/>
      <c r="CE72" s="11"/>
      <c r="CF72" s="11"/>
      <c r="CG72" s="11"/>
      <c r="CH72" s="11"/>
      <c r="CI72" s="11"/>
      <c r="CJ72" s="11"/>
      <c r="CK72" s="213"/>
      <c r="CL72" s="11"/>
      <c r="CM72" s="11"/>
      <c r="CN72" s="11"/>
      <c r="CO72" s="11"/>
      <c r="CP72" s="11"/>
      <c r="CQ72" s="11"/>
      <c r="CR72" s="11"/>
      <c r="CS72" s="11"/>
      <c r="CT72" s="11"/>
      <c r="CU72" s="11"/>
      <c r="CV72" s="11"/>
      <c r="CW72" s="213"/>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213"/>
      <c r="EM72" s="11"/>
      <c r="EN72" s="11"/>
      <c r="EO72" s="11"/>
      <c r="EP72" s="11"/>
      <c r="EQ72" s="11"/>
      <c r="ER72" s="11"/>
      <c r="ES72" s="11"/>
      <c r="ET72" s="11"/>
      <c r="EU72" s="11"/>
      <c r="EV72" s="11"/>
      <c r="EW72" s="213"/>
      <c r="EX72" s="11"/>
      <c r="EY72" s="11"/>
      <c r="EZ72" s="11"/>
      <c r="FA72" s="213"/>
      <c r="FB72" s="11"/>
      <c r="FC72" s="11"/>
      <c r="FD72" s="11"/>
      <c r="FE72" s="11"/>
      <c r="FF72" s="11"/>
      <c r="FG72" s="11"/>
      <c r="FH72" s="11"/>
      <c r="FI72" s="213"/>
      <c r="FJ72" s="11"/>
      <c r="FK72" s="11"/>
      <c r="FL72" s="11"/>
      <c r="FM72" s="11"/>
      <c r="FN72" s="11"/>
      <c r="FO72" s="11"/>
      <c r="FP72" s="11"/>
      <c r="FQ72" s="11"/>
      <c r="FR72" s="11"/>
      <c r="FS72" s="11"/>
      <c r="FT72" s="213"/>
      <c r="FU72" s="11"/>
      <c r="FV72" s="11"/>
      <c r="FW72" s="11"/>
      <c r="FX72" s="11"/>
      <c r="FY72" s="11"/>
      <c r="FZ72" s="213"/>
      <c r="GA72" s="11"/>
      <c r="GB72" s="11"/>
      <c r="GC72" s="11"/>
      <c r="GD72" s="11"/>
      <c r="GE72" s="11"/>
      <c r="GF72" s="11"/>
      <c r="GG72" s="11"/>
      <c r="GH72" s="11"/>
      <c r="GI72" s="11"/>
      <c r="GJ72" s="11"/>
      <c r="GK72" s="11"/>
      <c r="GL72" s="11"/>
      <c r="GM72" s="11"/>
      <c r="GN72" s="11"/>
      <c r="GO72" s="11"/>
      <c r="GP72" s="152"/>
    </row>
    <row r="73" spans="1:198" x14ac:dyDescent="0.2">
      <c r="A73" s="74" t="s">
        <v>1772</v>
      </c>
      <c r="B73" s="11" t="str">
        <f t="shared" si="2"/>
        <v>-</v>
      </c>
      <c r="C73" s="11" t="s">
        <v>1235</v>
      </c>
      <c r="D73" s="11"/>
      <c r="E73" s="11"/>
      <c r="F73" s="11" t="s">
        <v>2812</v>
      </c>
      <c r="G73" s="213"/>
      <c r="H73" s="11" t="s">
        <v>1235</v>
      </c>
      <c r="I73" s="11"/>
      <c r="J73" s="11"/>
      <c r="K73" s="11"/>
      <c r="L73" s="11"/>
      <c r="M73" s="11"/>
      <c r="N73" s="11"/>
      <c r="O73" s="11"/>
      <c r="P73" s="11"/>
      <c r="Q73" s="11"/>
      <c r="R73" s="11"/>
      <c r="S73" s="11"/>
      <c r="T73" s="11"/>
      <c r="U73" s="11"/>
      <c r="V73" s="11"/>
      <c r="W73" s="11"/>
      <c r="X73" s="11"/>
      <c r="Y73" s="213"/>
      <c r="Z73" s="11"/>
      <c r="AA73" s="11"/>
      <c r="AB73" s="11"/>
      <c r="AC73" s="11"/>
      <c r="AD73" s="11"/>
      <c r="AE73" s="11"/>
      <c r="AF73" s="11"/>
      <c r="AG73" s="11"/>
      <c r="AH73" s="11"/>
      <c r="AI73" s="11"/>
      <c r="AJ73" s="11"/>
      <c r="AK73" s="11"/>
      <c r="AL73" s="11"/>
      <c r="AM73" s="11"/>
      <c r="AN73" s="11"/>
      <c r="AO73" s="11"/>
      <c r="AP73" s="11"/>
      <c r="AQ73" s="11"/>
      <c r="AR73" s="11"/>
      <c r="AS73" s="11"/>
      <c r="AT73" s="213"/>
      <c r="AU73" s="11"/>
      <c r="AV73" s="11"/>
      <c r="AW73" s="11"/>
      <c r="AX73" s="11"/>
      <c r="AY73" s="11"/>
      <c r="AZ73" s="11"/>
      <c r="BA73" s="11"/>
      <c r="BB73" s="11"/>
      <c r="BC73" s="11"/>
      <c r="BD73" s="11"/>
      <c r="BE73" s="213"/>
      <c r="BF73" s="11"/>
      <c r="BG73" s="11"/>
      <c r="BH73" s="11"/>
      <c r="BI73" s="11"/>
      <c r="BJ73" s="11"/>
      <c r="BK73" s="11"/>
      <c r="BL73" s="11"/>
      <c r="BM73" s="11"/>
      <c r="BN73" s="11"/>
      <c r="BO73" s="11"/>
      <c r="BP73" s="11"/>
      <c r="BQ73" s="213"/>
      <c r="BR73" s="11"/>
      <c r="BS73" s="11"/>
      <c r="BT73" s="11"/>
      <c r="BU73" s="11"/>
      <c r="BV73" s="11"/>
      <c r="BW73" s="11"/>
      <c r="BX73" s="11"/>
      <c r="BY73" s="11"/>
      <c r="BZ73" s="11"/>
      <c r="CA73" s="195"/>
      <c r="CB73" s="11"/>
      <c r="CC73" s="11"/>
      <c r="CD73" s="11"/>
      <c r="CE73" s="11"/>
      <c r="CF73" s="11"/>
      <c r="CG73" s="11"/>
      <c r="CH73" s="11"/>
      <c r="CI73" s="11"/>
      <c r="CJ73" s="11"/>
      <c r="CK73" s="213"/>
      <c r="CL73" s="11"/>
      <c r="CM73" s="11"/>
      <c r="CN73" s="11"/>
      <c r="CO73" s="11"/>
      <c r="CP73" s="11"/>
      <c r="CQ73" s="11"/>
      <c r="CR73" s="11"/>
      <c r="CS73" s="11"/>
      <c r="CT73" s="11"/>
      <c r="CU73" s="11"/>
      <c r="CV73" s="11"/>
      <c r="CW73" s="213"/>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213"/>
      <c r="EM73" s="11"/>
      <c r="EN73" s="11"/>
      <c r="EO73" s="11"/>
      <c r="EP73" s="11"/>
      <c r="EQ73" s="11"/>
      <c r="ER73" s="11"/>
      <c r="ES73" s="11"/>
      <c r="ET73" s="11"/>
      <c r="EU73" s="11"/>
      <c r="EV73" s="11"/>
      <c r="EW73" s="213"/>
      <c r="EX73" s="11"/>
      <c r="EY73" s="11"/>
      <c r="EZ73" s="11"/>
      <c r="FA73" s="213"/>
      <c r="FB73" s="11"/>
      <c r="FC73" s="11"/>
      <c r="FD73" s="11"/>
      <c r="FE73" s="11"/>
      <c r="FF73" s="11"/>
      <c r="FG73" s="11"/>
      <c r="FH73" s="11"/>
      <c r="FI73" s="213"/>
      <c r="FJ73" s="11"/>
      <c r="FK73" s="11"/>
      <c r="FL73" s="11"/>
      <c r="FM73" s="11"/>
      <c r="FN73" s="11"/>
      <c r="FO73" s="11"/>
      <c r="FP73" s="11"/>
      <c r="FQ73" s="11"/>
      <c r="FR73" s="11"/>
      <c r="FS73" s="11"/>
      <c r="FT73" s="213"/>
      <c r="FU73" s="11"/>
      <c r="FV73" s="11"/>
      <c r="FW73" s="11"/>
      <c r="FX73" s="11"/>
      <c r="FY73" s="11"/>
      <c r="FZ73" s="213"/>
      <c r="GA73" s="11"/>
      <c r="GB73" s="11"/>
      <c r="GC73" s="11"/>
      <c r="GD73" s="11"/>
      <c r="GE73" s="11"/>
      <c r="GF73" s="11"/>
      <c r="GG73" s="11"/>
      <c r="GH73" s="11"/>
      <c r="GI73" s="11"/>
      <c r="GJ73" s="11"/>
      <c r="GK73" s="11"/>
      <c r="GL73" s="11"/>
      <c r="GM73" s="11"/>
      <c r="GN73" s="11"/>
      <c r="GO73" s="11"/>
      <c r="GP73" s="152"/>
    </row>
    <row r="74" spans="1:198" x14ac:dyDescent="0.2">
      <c r="A74" s="74" t="s">
        <v>1774</v>
      </c>
      <c r="B74" s="11" t="str">
        <f t="shared" si="2"/>
        <v>-</v>
      </c>
      <c r="C74" s="11" t="s">
        <v>1235</v>
      </c>
      <c r="D74" s="11"/>
      <c r="E74" s="11"/>
      <c r="F74" s="11" t="s">
        <v>2812</v>
      </c>
      <c r="G74" s="213"/>
      <c r="H74" s="11" t="s">
        <v>1235</v>
      </c>
      <c r="I74" s="11"/>
      <c r="J74" s="11"/>
      <c r="K74" s="11"/>
      <c r="L74" s="11"/>
      <c r="M74" s="11"/>
      <c r="N74" s="11"/>
      <c r="O74" s="11"/>
      <c r="P74" s="11"/>
      <c r="Q74" s="11"/>
      <c r="R74" s="11"/>
      <c r="S74" s="11"/>
      <c r="T74" s="11"/>
      <c r="U74" s="11"/>
      <c r="V74" s="11"/>
      <c r="W74" s="11"/>
      <c r="X74" s="11"/>
      <c r="Y74" s="213"/>
      <c r="Z74" s="11" t="s">
        <v>1235</v>
      </c>
      <c r="AA74" s="11"/>
      <c r="AB74" s="11"/>
      <c r="AC74" s="11"/>
      <c r="AD74" s="11"/>
      <c r="AE74" s="11"/>
      <c r="AF74" s="11"/>
      <c r="AG74" s="11"/>
      <c r="AH74" s="11"/>
      <c r="AI74" s="11"/>
      <c r="AJ74" s="11"/>
      <c r="AK74" s="11"/>
      <c r="AL74" s="11"/>
      <c r="AM74" s="11"/>
      <c r="AN74" s="11"/>
      <c r="AO74" s="11"/>
      <c r="AP74" s="11"/>
      <c r="AQ74" s="11"/>
      <c r="AR74" s="11"/>
      <c r="AS74" s="11"/>
      <c r="AT74" s="213"/>
      <c r="AU74" s="11"/>
      <c r="AV74" s="11"/>
      <c r="AW74" s="11"/>
      <c r="AX74" s="11"/>
      <c r="AY74" s="11"/>
      <c r="AZ74" s="11"/>
      <c r="BA74" s="11"/>
      <c r="BB74" s="11"/>
      <c r="BC74" s="11"/>
      <c r="BD74" s="11"/>
      <c r="BE74" s="213"/>
      <c r="BF74" s="11"/>
      <c r="BG74" s="11"/>
      <c r="BH74" s="11"/>
      <c r="BI74" s="11"/>
      <c r="BJ74" s="11"/>
      <c r="BK74" s="11"/>
      <c r="BL74" s="11"/>
      <c r="BM74" s="11"/>
      <c r="BN74" s="11"/>
      <c r="BO74" s="11"/>
      <c r="BP74" s="11"/>
      <c r="BQ74" s="213"/>
      <c r="BR74" s="11"/>
      <c r="BS74" s="11"/>
      <c r="BT74" s="11"/>
      <c r="BU74" s="11"/>
      <c r="BV74" s="11"/>
      <c r="BW74" s="11"/>
      <c r="BX74" s="11"/>
      <c r="BY74" s="11"/>
      <c r="BZ74" s="11"/>
      <c r="CA74" s="195"/>
      <c r="CB74" s="11"/>
      <c r="CC74" s="11"/>
      <c r="CD74" s="11"/>
      <c r="CE74" s="11"/>
      <c r="CF74" s="11"/>
      <c r="CG74" s="11"/>
      <c r="CH74" s="11"/>
      <c r="CI74" s="11"/>
      <c r="CJ74" s="11"/>
      <c r="CK74" s="213" t="s">
        <v>1235</v>
      </c>
      <c r="CL74" s="11"/>
      <c r="CM74" s="11"/>
      <c r="CN74" s="11"/>
      <c r="CO74" s="11"/>
      <c r="CP74" s="11"/>
      <c r="CQ74" s="11"/>
      <c r="CR74" s="11"/>
      <c r="CS74" s="11"/>
      <c r="CT74" s="11"/>
      <c r="CU74" s="11"/>
      <c r="CV74" s="11"/>
      <c r="CW74" s="213"/>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213"/>
      <c r="EM74" s="11"/>
      <c r="EN74" s="11"/>
      <c r="EO74" s="11"/>
      <c r="EP74" s="11"/>
      <c r="EQ74" s="11"/>
      <c r="ER74" s="11"/>
      <c r="ES74" s="11"/>
      <c r="ET74" s="11"/>
      <c r="EU74" s="11"/>
      <c r="EV74" s="11"/>
      <c r="EW74" s="213"/>
      <c r="EX74" s="11"/>
      <c r="EY74" s="11"/>
      <c r="EZ74" s="11"/>
      <c r="FA74" s="213"/>
      <c r="FB74" s="11"/>
      <c r="FC74" s="11"/>
      <c r="FD74" s="11"/>
      <c r="FE74" s="11"/>
      <c r="FF74" s="11"/>
      <c r="FG74" s="11"/>
      <c r="FH74" s="11"/>
      <c r="FI74" s="213"/>
      <c r="FJ74" s="11"/>
      <c r="FK74" s="11"/>
      <c r="FL74" s="11"/>
      <c r="FM74" s="11"/>
      <c r="FN74" s="11"/>
      <c r="FO74" s="11"/>
      <c r="FP74" s="11"/>
      <c r="FQ74" s="11"/>
      <c r="FR74" s="11"/>
      <c r="FS74" s="11"/>
      <c r="FT74" s="213"/>
      <c r="FU74" s="11"/>
      <c r="FV74" s="11"/>
      <c r="FW74" s="11"/>
      <c r="FX74" s="11"/>
      <c r="FY74" s="11"/>
      <c r="FZ74" s="213"/>
      <c r="GA74" s="11"/>
      <c r="GB74" s="11"/>
      <c r="GC74" s="11"/>
      <c r="GD74" s="11"/>
      <c r="GE74" s="11"/>
      <c r="GF74" s="11"/>
      <c r="GG74" s="11"/>
      <c r="GH74" s="11"/>
      <c r="GI74" s="11"/>
      <c r="GJ74" s="11"/>
      <c r="GK74" s="11"/>
      <c r="GL74" s="11"/>
      <c r="GM74" s="11"/>
      <c r="GN74" s="11"/>
      <c r="GO74" s="11"/>
      <c r="GP74" s="152"/>
    </row>
    <row r="75" spans="1:198" x14ac:dyDescent="0.2">
      <c r="A75" s="74" t="s">
        <v>1776</v>
      </c>
      <c r="B75" s="11" t="str">
        <f>IF(AND(ISTEXT("https://github.com/majdsoud/AutoMESC-Framework"),"https://github.com/majdsoud/AutoMESC-Framework"&lt;&gt;""), HYPERLINK("https://github.com/majdsoud/AutoMESC-Framework", "Link"),"-")</f>
        <v>Link</v>
      </c>
      <c r="C75" s="11" t="s">
        <v>1235</v>
      </c>
      <c r="D75" s="11" t="s">
        <v>1235</v>
      </c>
      <c r="E75" s="11" t="s">
        <v>1235</v>
      </c>
      <c r="F75" s="11" t="s">
        <v>2812</v>
      </c>
      <c r="G75" s="213"/>
      <c r="H75" s="11"/>
      <c r="I75" s="11"/>
      <c r="J75" s="11"/>
      <c r="K75" s="11"/>
      <c r="L75" s="11"/>
      <c r="M75" s="11"/>
      <c r="N75" s="11"/>
      <c r="O75" s="11"/>
      <c r="P75" s="11"/>
      <c r="Q75" s="11"/>
      <c r="R75" s="11"/>
      <c r="S75" s="11"/>
      <c r="T75" s="11"/>
      <c r="U75" s="11"/>
      <c r="V75" s="11"/>
      <c r="W75" s="11"/>
      <c r="X75" s="11"/>
      <c r="Y75" s="213"/>
      <c r="Z75" s="11" t="s">
        <v>1235</v>
      </c>
      <c r="AA75" s="11"/>
      <c r="AB75" s="11"/>
      <c r="AC75" s="11"/>
      <c r="AD75" s="11"/>
      <c r="AE75" s="11"/>
      <c r="AF75" s="11"/>
      <c r="AG75" s="11"/>
      <c r="AH75" s="11"/>
      <c r="AI75" s="11"/>
      <c r="AJ75" s="11"/>
      <c r="AK75" s="11"/>
      <c r="AL75" s="11"/>
      <c r="AM75" s="11"/>
      <c r="AN75" s="11"/>
      <c r="AO75" s="11"/>
      <c r="AP75" s="11"/>
      <c r="AQ75" s="11"/>
      <c r="AR75" s="11"/>
      <c r="AS75" s="11"/>
      <c r="AT75" s="213"/>
      <c r="AU75" s="11"/>
      <c r="AV75" s="11"/>
      <c r="AW75" s="11"/>
      <c r="AX75" s="11"/>
      <c r="AY75" s="11"/>
      <c r="AZ75" s="11"/>
      <c r="BA75" s="11"/>
      <c r="BB75" s="11"/>
      <c r="BC75" s="11"/>
      <c r="BD75" s="11"/>
      <c r="BE75" s="213"/>
      <c r="BF75" s="11"/>
      <c r="BG75" s="11"/>
      <c r="BH75" s="11"/>
      <c r="BI75" s="11"/>
      <c r="BJ75" s="11"/>
      <c r="BK75" s="11"/>
      <c r="BL75" s="11"/>
      <c r="BM75" s="11"/>
      <c r="BN75" s="11"/>
      <c r="BO75" s="11"/>
      <c r="BP75" s="11"/>
      <c r="BQ75" s="213"/>
      <c r="BR75" s="11"/>
      <c r="BS75" s="11"/>
      <c r="BT75" s="11"/>
      <c r="BU75" s="11"/>
      <c r="BV75" s="11"/>
      <c r="BW75" s="11"/>
      <c r="BX75" s="11" t="s">
        <v>1235</v>
      </c>
      <c r="BY75" s="11"/>
      <c r="BZ75" s="11"/>
      <c r="CA75" s="195"/>
      <c r="CB75" s="11"/>
      <c r="CC75" s="11"/>
      <c r="CD75" s="11"/>
      <c r="CE75" s="11"/>
      <c r="CF75" s="11"/>
      <c r="CG75" s="11"/>
      <c r="CH75" s="11"/>
      <c r="CI75" s="11"/>
      <c r="CJ75" s="11"/>
      <c r="CK75" s="213"/>
      <c r="CL75" s="11"/>
      <c r="CM75" s="11"/>
      <c r="CN75" s="11"/>
      <c r="CO75" s="11"/>
      <c r="CP75" s="11"/>
      <c r="CQ75" s="11"/>
      <c r="CR75" s="11"/>
      <c r="CS75" s="11"/>
      <c r="CT75" s="11"/>
      <c r="CU75" s="11"/>
      <c r="CV75" s="11"/>
      <c r="CW75" s="213"/>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t="s">
        <v>1235</v>
      </c>
      <c r="EB75" s="11"/>
      <c r="EC75" s="11"/>
      <c r="ED75" s="11"/>
      <c r="EE75" s="11"/>
      <c r="EF75" s="11"/>
      <c r="EG75" s="11"/>
      <c r="EH75" s="11"/>
      <c r="EI75" s="11"/>
      <c r="EJ75" s="11"/>
      <c r="EK75" s="11"/>
      <c r="EL75" s="213"/>
      <c r="EM75" s="11" t="s">
        <v>1235</v>
      </c>
      <c r="EN75" s="11"/>
      <c r="EO75" s="11"/>
      <c r="EP75" s="11"/>
      <c r="EQ75" s="11"/>
      <c r="ER75" s="11"/>
      <c r="ES75" s="11"/>
      <c r="ET75" s="11"/>
      <c r="EU75" s="11"/>
      <c r="EV75" s="11"/>
      <c r="EW75" s="213"/>
      <c r="EX75" s="11"/>
      <c r="EY75" s="11"/>
      <c r="EZ75" s="11"/>
      <c r="FA75" s="213"/>
      <c r="FB75" s="11"/>
      <c r="FC75" s="11"/>
      <c r="FD75" s="11"/>
      <c r="FE75" s="11"/>
      <c r="FF75" s="11"/>
      <c r="FG75" s="11"/>
      <c r="FH75" s="11"/>
      <c r="FI75" s="213"/>
      <c r="FJ75" s="11"/>
      <c r="FK75" s="11"/>
      <c r="FL75" s="11"/>
      <c r="FM75" s="11"/>
      <c r="FN75" s="11"/>
      <c r="FO75" s="11"/>
      <c r="FP75" s="11"/>
      <c r="FQ75" s="11"/>
      <c r="FR75" s="11"/>
      <c r="FS75" s="11"/>
      <c r="FT75" s="213"/>
      <c r="FU75" s="11"/>
      <c r="FV75" s="11"/>
      <c r="FW75" s="11"/>
      <c r="FX75" s="11"/>
      <c r="FY75" s="11"/>
      <c r="FZ75" s="213"/>
      <c r="GA75" s="11"/>
      <c r="GB75" s="11"/>
      <c r="GC75" s="11"/>
      <c r="GD75" s="11"/>
      <c r="GE75" s="11"/>
      <c r="GF75" s="11"/>
      <c r="GG75" s="11"/>
      <c r="GH75" s="11"/>
      <c r="GI75" s="11"/>
      <c r="GJ75" s="11"/>
      <c r="GK75" s="11"/>
      <c r="GL75" s="11"/>
      <c r="GM75" s="11"/>
      <c r="GN75" s="11"/>
      <c r="GO75" s="11"/>
      <c r="GP75" s="152"/>
    </row>
    <row r="76" spans="1:198" x14ac:dyDescent="0.2">
      <c r="A76" s="74" t="s">
        <v>1780</v>
      </c>
      <c r="B76" s="11" t="str">
        <f>IF(AND(ISTEXT("https://github.com/Messi-Q/RNVulDet"),"https://github.com/Messi-Q/RNVulDet"&lt;&gt;""), HYPERLINK("https://github.com/Messi-Q/RNVulDet", "Link"),"-")</f>
        <v>Link</v>
      </c>
      <c r="C76" s="11" t="s">
        <v>1235</v>
      </c>
      <c r="D76" s="11"/>
      <c r="E76" s="11" t="s">
        <v>1235</v>
      </c>
      <c r="F76" s="11" t="s">
        <v>2812</v>
      </c>
      <c r="G76" s="213"/>
      <c r="H76" s="11" t="s">
        <v>2881</v>
      </c>
      <c r="I76" s="11" t="s">
        <v>2881</v>
      </c>
      <c r="J76" s="11"/>
      <c r="K76" s="11"/>
      <c r="L76" s="11"/>
      <c r="M76" s="11"/>
      <c r="N76" s="11"/>
      <c r="O76" s="11"/>
      <c r="P76" s="11"/>
      <c r="Q76" s="11"/>
      <c r="R76" s="11"/>
      <c r="S76" s="11"/>
      <c r="T76" s="11"/>
      <c r="U76" s="11"/>
      <c r="V76" s="11"/>
      <c r="W76" s="11"/>
      <c r="X76" s="11"/>
      <c r="Y76" s="213"/>
      <c r="Z76" s="11"/>
      <c r="AA76" s="11"/>
      <c r="AB76" s="11"/>
      <c r="AC76" s="11"/>
      <c r="AD76" s="11"/>
      <c r="AE76" s="11"/>
      <c r="AF76" s="11"/>
      <c r="AG76" s="11"/>
      <c r="AH76" s="11" t="s">
        <v>1235</v>
      </c>
      <c r="AI76" s="11"/>
      <c r="AJ76" s="11"/>
      <c r="AK76" s="11"/>
      <c r="AL76" s="11"/>
      <c r="AM76" s="11"/>
      <c r="AN76" s="11"/>
      <c r="AO76" s="11"/>
      <c r="AP76" s="11"/>
      <c r="AQ76" s="11"/>
      <c r="AR76" s="11"/>
      <c r="AS76" s="11"/>
      <c r="AT76" s="213"/>
      <c r="AU76" s="11"/>
      <c r="AV76" s="11"/>
      <c r="AW76" s="11"/>
      <c r="AX76" s="11"/>
      <c r="AY76" s="11"/>
      <c r="AZ76" s="11"/>
      <c r="BA76" s="11"/>
      <c r="BB76" s="11"/>
      <c r="BC76" s="11"/>
      <c r="BD76" s="11"/>
      <c r="BE76" s="213"/>
      <c r="BF76" s="11"/>
      <c r="BG76" s="11"/>
      <c r="BH76" s="11"/>
      <c r="BI76" s="11"/>
      <c r="BJ76" s="11"/>
      <c r="BK76" s="11"/>
      <c r="BL76" s="11"/>
      <c r="BM76" s="11"/>
      <c r="BN76" s="11"/>
      <c r="BO76" s="11"/>
      <c r="BP76" s="11"/>
      <c r="BQ76" s="213"/>
      <c r="BR76" s="11"/>
      <c r="BS76" s="11"/>
      <c r="BT76" s="11"/>
      <c r="BU76" s="11"/>
      <c r="BV76" s="11"/>
      <c r="BW76" s="11"/>
      <c r="BX76" s="11"/>
      <c r="BY76" s="11"/>
      <c r="BZ76" s="11"/>
      <c r="CA76" s="195"/>
      <c r="CB76" s="11"/>
      <c r="CC76" s="11"/>
      <c r="CD76" s="11"/>
      <c r="CE76" s="11"/>
      <c r="CF76" s="11"/>
      <c r="CG76" s="11"/>
      <c r="CH76" s="11"/>
      <c r="CI76" s="11"/>
      <c r="CJ76" s="11"/>
      <c r="CK76" s="213"/>
      <c r="CL76" s="11"/>
      <c r="CM76" s="11"/>
      <c r="CN76" s="11"/>
      <c r="CO76" s="11"/>
      <c r="CP76" s="11"/>
      <c r="CQ76" s="11"/>
      <c r="CR76" s="11"/>
      <c r="CS76" s="11"/>
      <c r="CT76" s="11"/>
      <c r="CU76" s="11"/>
      <c r="CV76" s="11"/>
      <c r="CW76" s="213"/>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213"/>
      <c r="EM76" s="11"/>
      <c r="EN76" s="11"/>
      <c r="EO76" s="11"/>
      <c r="EP76" s="11"/>
      <c r="EQ76" s="11"/>
      <c r="ER76" s="11"/>
      <c r="ES76" s="11"/>
      <c r="ET76" s="11"/>
      <c r="EU76" s="11"/>
      <c r="EV76" s="11"/>
      <c r="EW76" s="213"/>
      <c r="EX76" s="11"/>
      <c r="EY76" s="11"/>
      <c r="EZ76" s="11"/>
      <c r="FA76" s="213"/>
      <c r="FB76" s="11"/>
      <c r="FC76" s="11"/>
      <c r="FD76" s="11"/>
      <c r="FE76" s="11"/>
      <c r="FF76" s="11"/>
      <c r="FG76" s="11"/>
      <c r="FH76" s="11"/>
      <c r="FI76" s="213"/>
      <c r="FJ76" s="11"/>
      <c r="FK76" s="11"/>
      <c r="FL76" s="11"/>
      <c r="FM76" s="11"/>
      <c r="FN76" s="11"/>
      <c r="FO76" s="11"/>
      <c r="FP76" s="11"/>
      <c r="FQ76" s="11"/>
      <c r="FR76" s="11"/>
      <c r="FS76" s="11"/>
      <c r="FT76" s="213"/>
      <c r="FU76" s="11"/>
      <c r="FV76" s="11"/>
      <c r="FW76" s="11"/>
      <c r="FX76" s="11"/>
      <c r="FY76" s="11"/>
      <c r="FZ76" s="213"/>
      <c r="GA76" s="11"/>
      <c r="GB76" s="11"/>
      <c r="GC76" s="11"/>
      <c r="GD76" s="11"/>
      <c r="GE76" s="11"/>
      <c r="GF76" s="11"/>
      <c r="GG76" s="11"/>
      <c r="GH76" s="11"/>
      <c r="GI76" s="11"/>
      <c r="GJ76" s="11"/>
      <c r="GK76" s="11"/>
      <c r="GL76" s="11"/>
      <c r="GM76" s="11"/>
      <c r="GN76" s="11"/>
      <c r="GO76" s="11"/>
      <c r="GP76" s="152"/>
    </row>
    <row r="77" spans="1:198" x14ac:dyDescent="0.2">
      <c r="A77" s="74" t="s">
        <v>1783</v>
      </c>
      <c r="B77" s="11" t="str">
        <f>IF(AND(ISTEXT("https://github.com/yzu-wjl/SCVDIE"),"https://github.com/yzu-wjl/SCVDIE"&lt;&gt;""), HYPERLINK("https://github.com/yzu-wjl/SCVDIE", "Link"),"-")</f>
        <v>Link</v>
      </c>
      <c r="C77" s="11" t="s">
        <v>1235</v>
      </c>
      <c r="D77" s="11"/>
      <c r="E77" s="11" t="s">
        <v>1235</v>
      </c>
      <c r="F77" s="11" t="s">
        <v>2812</v>
      </c>
      <c r="G77" s="213"/>
      <c r="H77" s="11" t="s">
        <v>1235</v>
      </c>
      <c r="I77" s="11"/>
      <c r="J77" s="11"/>
      <c r="K77" s="11"/>
      <c r="L77" s="11"/>
      <c r="M77" s="11"/>
      <c r="N77" s="11"/>
      <c r="O77" s="11"/>
      <c r="P77" s="11"/>
      <c r="Q77" s="11"/>
      <c r="R77" s="11"/>
      <c r="S77" s="11"/>
      <c r="T77" s="11"/>
      <c r="U77" s="11"/>
      <c r="V77" s="11"/>
      <c r="W77" s="11"/>
      <c r="X77" s="11"/>
      <c r="Y77" s="213"/>
      <c r="Z77" s="11" t="s">
        <v>1235</v>
      </c>
      <c r="AA77" s="11"/>
      <c r="AB77" s="11"/>
      <c r="AC77" s="11" t="s">
        <v>1235</v>
      </c>
      <c r="AD77" s="11"/>
      <c r="AE77" s="11"/>
      <c r="AF77" s="11"/>
      <c r="AG77" s="11"/>
      <c r="AH77" s="11"/>
      <c r="AI77" s="11"/>
      <c r="AJ77" s="11"/>
      <c r="AK77" s="11"/>
      <c r="AL77" s="11"/>
      <c r="AM77" s="11"/>
      <c r="AN77" s="11"/>
      <c r="AO77" s="11"/>
      <c r="AP77" s="11"/>
      <c r="AQ77" s="11"/>
      <c r="AR77" s="11"/>
      <c r="AS77" s="11"/>
      <c r="AT77" s="213"/>
      <c r="AU77" s="11"/>
      <c r="AV77" s="11"/>
      <c r="AW77" s="11"/>
      <c r="AX77" s="11"/>
      <c r="AY77" s="11"/>
      <c r="AZ77" s="11"/>
      <c r="BA77" s="11"/>
      <c r="BB77" s="11"/>
      <c r="BC77" s="11"/>
      <c r="BD77" s="11"/>
      <c r="BE77" s="213"/>
      <c r="BF77" s="11"/>
      <c r="BG77" s="11"/>
      <c r="BH77" s="11"/>
      <c r="BI77" s="11"/>
      <c r="BJ77" s="11"/>
      <c r="BK77" s="11"/>
      <c r="BL77" s="11"/>
      <c r="BM77" s="11"/>
      <c r="BN77" s="11"/>
      <c r="BO77" s="11"/>
      <c r="BP77" s="11"/>
      <c r="BQ77" s="213"/>
      <c r="BR77" s="11"/>
      <c r="BS77" s="11"/>
      <c r="BT77" s="11"/>
      <c r="BU77" s="11"/>
      <c r="BV77" s="11"/>
      <c r="BW77" s="11"/>
      <c r="BX77" s="11"/>
      <c r="BY77" s="11"/>
      <c r="BZ77" s="11"/>
      <c r="CA77" s="195"/>
      <c r="CB77" s="11"/>
      <c r="CC77" s="11"/>
      <c r="CD77" s="11"/>
      <c r="CE77" s="11"/>
      <c r="CF77" s="11"/>
      <c r="CG77" s="11"/>
      <c r="CH77" s="11"/>
      <c r="CI77" s="11"/>
      <c r="CJ77" s="11"/>
      <c r="CK77" s="213" t="s">
        <v>1235</v>
      </c>
      <c r="CL77" s="11"/>
      <c r="CM77" s="11"/>
      <c r="CN77" s="11"/>
      <c r="CO77" s="11"/>
      <c r="CP77" s="11"/>
      <c r="CQ77" s="11"/>
      <c r="CR77" s="11"/>
      <c r="CS77" s="11"/>
      <c r="CT77" s="11"/>
      <c r="CU77" s="11"/>
      <c r="CV77" s="11"/>
      <c r="CW77" s="213"/>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213"/>
      <c r="EM77" s="11"/>
      <c r="EN77" s="11"/>
      <c r="EO77" s="11"/>
      <c r="EP77" s="11"/>
      <c r="EQ77" s="11"/>
      <c r="ER77" s="11"/>
      <c r="ES77" s="11"/>
      <c r="ET77" s="11"/>
      <c r="EU77" s="11"/>
      <c r="EV77" s="11"/>
      <c r="EW77" s="213" t="s">
        <v>1235</v>
      </c>
      <c r="EX77" s="11"/>
      <c r="EY77" s="11"/>
      <c r="EZ77" s="11"/>
      <c r="FA77" s="213"/>
      <c r="FB77" s="11"/>
      <c r="FC77" s="11"/>
      <c r="FD77" s="11"/>
      <c r="FE77" s="11"/>
      <c r="FF77" s="11"/>
      <c r="FG77" s="11"/>
      <c r="FH77" s="11"/>
      <c r="FI77" s="213"/>
      <c r="FJ77" s="11"/>
      <c r="FK77" s="11"/>
      <c r="FL77" s="11"/>
      <c r="FM77" s="11"/>
      <c r="FN77" s="11"/>
      <c r="FO77" s="11"/>
      <c r="FP77" s="11"/>
      <c r="FQ77" s="11"/>
      <c r="FR77" s="11"/>
      <c r="FS77" s="11"/>
      <c r="FT77" s="213"/>
      <c r="FU77" s="11"/>
      <c r="FV77" s="11"/>
      <c r="FW77" s="11"/>
      <c r="FX77" s="11"/>
      <c r="FY77" s="11"/>
      <c r="FZ77" s="213"/>
      <c r="GA77" s="11"/>
      <c r="GB77" s="11"/>
      <c r="GC77" s="11"/>
      <c r="GD77" s="11"/>
      <c r="GE77" s="11"/>
      <c r="GF77" s="11"/>
      <c r="GG77" s="11"/>
      <c r="GH77" s="11"/>
      <c r="GI77" s="11"/>
      <c r="GJ77" s="11"/>
      <c r="GK77" s="11"/>
      <c r="GL77" s="11"/>
      <c r="GM77" s="11"/>
      <c r="GN77" s="11"/>
      <c r="GO77" s="11"/>
      <c r="GP77" s="152"/>
    </row>
    <row r="78" spans="1:198" x14ac:dyDescent="0.2">
      <c r="A78" s="74" t="s">
        <v>1786</v>
      </c>
      <c r="B78" s="11" t="str">
        <f>IF(AND(ISTEXT("https://github.com/DependableSystemsLab/eTainter"),"https://github.com/DependableSystemsLab/eTainter"&lt;&gt;""), HYPERLINK("https://github.com/DependableSystemsLab/eTainter", "Link"),"-")</f>
        <v>Link</v>
      </c>
      <c r="C78" s="11" t="s">
        <v>1235</v>
      </c>
      <c r="D78" s="11"/>
      <c r="E78" s="11" t="s">
        <v>1235</v>
      </c>
      <c r="F78" s="11" t="s">
        <v>2812</v>
      </c>
      <c r="G78" s="213"/>
      <c r="H78" s="11"/>
      <c r="I78" s="11"/>
      <c r="J78" s="11"/>
      <c r="K78" s="11"/>
      <c r="L78" s="11"/>
      <c r="M78" s="11"/>
      <c r="N78" s="11"/>
      <c r="O78" s="11"/>
      <c r="P78" s="11"/>
      <c r="Q78" s="11"/>
      <c r="R78" s="11"/>
      <c r="S78" s="11"/>
      <c r="T78" s="11"/>
      <c r="U78" s="11"/>
      <c r="V78" s="11"/>
      <c r="W78" s="11"/>
      <c r="X78" s="11"/>
      <c r="Y78" s="213"/>
      <c r="Z78" s="11"/>
      <c r="AA78" s="11"/>
      <c r="AB78" s="11"/>
      <c r="AC78" s="11"/>
      <c r="AD78" s="11"/>
      <c r="AE78" s="11"/>
      <c r="AF78" s="11"/>
      <c r="AG78" s="11"/>
      <c r="AH78" s="11"/>
      <c r="AI78" s="11"/>
      <c r="AJ78" s="11"/>
      <c r="AK78" s="11"/>
      <c r="AL78" s="11"/>
      <c r="AM78" s="11"/>
      <c r="AN78" s="11"/>
      <c r="AO78" s="11"/>
      <c r="AP78" s="11"/>
      <c r="AQ78" s="11"/>
      <c r="AR78" s="11"/>
      <c r="AS78" s="11"/>
      <c r="AT78" s="213"/>
      <c r="AU78" s="11"/>
      <c r="AV78" s="11"/>
      <c r="AW78" s="11"/>
      <c r="AX78" s="11"/>
      <c r="AY78" s="11"/>
      <c r="AZ78" s="11"/>
      <c r="BA78" s="11"/>
      <c r="BB78" s="11"/>
      <c r="BC78" s="11" t="s">
        <v>1235</v>
      </c>
      <c r="BD78" s="11"/>
      <c r="BE78" s="213"/>
      <c r="BF78" s="11"/>
      <c r="BG78" s="11"/>
      <c r="BH78" s="11"/>
      <c r="BI78" s="11"/>
      <c r="BJ78" s="11"/>
      <c r="BK78" s="11"/>
      <c r="BL78" s="11"/>
      <c r="BM78" s="11"/>
      <c r="BN78" s="11"/>
      <c r="BO78" s="11"/>
      <c r="BP78" s="11"/>
      <c r="BQ78" s="213"/>
      <c r="BR78" s="11"/>
      <c r="BS78" s="11"/>
      <c r="BT78" s="11"/>
      <c r="BU78" s="11"/>
      <c r="BV78" s="11"/>
      <c r="BW78" s="11"/>
      <c r="BX78" s="11"/>
      <c r="BY78" s="11"/>
      <c r="BZ78" s="11"/>
      <c r="CA78" s="195"/>
      <c r="CB78" s="11"/>
      <c r="CC78" s="11"/>
      <c r="CD78" s="11"/>
      <c r="CE78" s="11"/>
      <c r="CF78" s="11"/>
      <c r="CG78" s="11"/>
      <c r="CH78" s="11"/>
      <c r="CI78" s="11"/>
      <c r="CJ78" s="11"/>
      <c r="CK78" s="213"/>
      <c r="CL78" s="11"/>
      <c r="CM78" s="11"/>
      <c r="CN78" s="11"/>
      <c r="CO78" s="11"/>
      <c r="CP78" s="11"/>
      <c r="CQ78" s="11"/>
      <c r="CR78" s="11"/>
      <c r="CS78" s="11"/>
      <c r="CT78" s="11"/>
      <c r="CU78" s="11"/>
      <c r="CV78" s="11"/>
      <c r="CW78" s="213"/>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t="s">
        <v>1235</v>
      </c>
      <c r="EL78" s="213"/>
      <c r="EM78" s="11"/>
      <c r="EN78" s="11"/>
      <c r="EO78" s="11"/>
      <c r="EP78" s="11"/>
      <c r="EQ78" s="11"/>
      <c r="ER78" s="11"/>
      <c r="ES78" s="11"/>
      <c r="ET78" s="11"/>
      <c r="EU78" s="11"/>
      <c r="EV78" s="11"/>
      <c r="EW78" s="213"/>
      <c r="EX78" s="11"/>
      <c r="EY78" s="11"/>
      <c r="EZ78" s="11"/>
      <c r="FA78" s="213"/>
      <c r="FB78" s="11"/>
      <c r="FC78" s="11"/>
      <c r="FD78" s="11"/>
      <c r="FE78" s="11"/>
      <c r="FF78" s="11"/>
      <c r="FG78" s="11"/>
      <c r="FH78" s="11"/>
      <c r="FI78" s="213"/>
      <c r="FJ78" s="11"/>
      <c r="FK78" s="11"/>
      <c r="FL78" s="11"/>
      <c r="FM78" s="11"/>
      <c r="FN78" s="11"/>
      <c r="FO78" s="11"/>
      <c r="FP78" s="11"/>
      <c r="FQ78" s="11"/>
      <c r="FR78" s="11"/>
      <c r="FS78" s="11"/>
      <c r="FT78" s="213"/>
      <c r="FU78" s="11"/>
      <c r="FV78" s="11"/>
      <c r="FW78" s="11"/>
      <c r="FX78" s="11"/>
      <c r="FY78" s="11"/>
      <c r="FZ78" s="213"/>
      <c r="GA78" s="11"/>
      <c r="GB78" s="11"/>
      <c r="GC78" s="11"/>
      <c r="GD78" s="11"/>
      <c r="GE78" s="11"/>
      <c r="GF78" s="11"/>
      <c r="GG78" s="11"/>
      <c r="GH78" s="11"/>
      <c r="GI78" s="11"/>
      <c r="GJ78" s="11"/>
      <c r="GK78" s="11"/>
      <c r="GL78" s="11"/>
      <c r="GM78" s="11"/>
      <c r="GN78" s="11"/>
      <c r="GO78" s="11"/>
      <c r="GP78" s="152"/>
    </row>
    <row r="79" spans="1:198" x14ac:dyDescent="0.2">
      <c r="A79" s="73" t="s">
        <v>1788</v>
      </c>
      <c r="B79" s="11" t="str">
        <f>IF(AND(ISTEXT(""),""&lt;&gt;""), HYPERLINK("", "Link"),"-")</f>
        <v>-</v>
      </c>
      <c r="C79" s="11" t="s">
        <v>1235</v>
      </c>
      <c r="D79" s="11" t="s">
        <v>1235</v>
      </c>
      <c r="E79" s="11"/>
      <c r="F79" s="11" t="s">
        <v>2811</v>
      </c>
      <c r="G79" s="213"/>
      <c r="H79" s="11" t="s">
        <v>1235</v>
      </c>
      <c r="I79" s="11"/>
      <c r="J79" s="11"/>
      <c r="K79" s="11"/>
      <c r="L79" s="11"/>
      <c r="M79" s="11"/>
      <c r="N79" s="11"/>
      <c r="O79" s="11"/>
      <c r="P79" s="11"/>
      <c r="Q79" s="11"/>
      <c r="R79" s="11"/>
      <c r="S79" s="11"/>
      <c r="T79" s="11"/>
      <c r="U79" s="11"/>
      <c r="V79" s="11"/>
      <c r="W79" s="11"/>
      <c r="X79" s="11"/>
      <c r="Y79" s="213"/>
      <c r="Z79" s="11" t="s">
        <v>1235</v>
      </c>
      <c r="AA79" s="11"/>
      <c r="AB79" s="11"/>
      <c r="AC79" s="11"/>
      <c r="AD79" s="11" t="s">
        <v>1235</v>
      </c>
      <c r="AE79" s="11"/>
      <c r="AF79" s="11"/>
      <c r="AG79" s="11"/>
      <c r="AH79" s="11" t="s">
        <v>1235</v>
      </c>
      <c r="AI79" s="11"/>
      <c r="AJ79" s="11"/>
      <c r="AK79" s="11"/>
      <c r="AL79" s="11"/>
      <c r="AM79" s="11"/>
      <c r="AN79" s="11"/>
      <c r="AO79" s="11"/>
      <c r="AP79" s="11"/>
      <c r="AQ79" s="11"/>
      <c r="AR79" s="11"/>
      <c r="AS79" s="11"/>
      <c r="AT79" s="213" t="s">
        <v>1235</v>
      </c>
      <c r="AU79" s="11"/>
      <c r="AV79" s="11"/>
      <c r="AW79" s="11"/>
      <c r="AX79" s="11"/>
      <c r="AY79" s="11"/>
      <c r="AZ79" s="11"/>
      <c r="BA79" s="11"/>
      <c r="BB79" s="11"/>
      <c r="BC79" s="11"/>
      <c r="BD79" s="11"/>
      <c r="BE79" s="213"/>
      <c r="BF79" s="11"/>
      <c r="BG79" s="11"/>
      <c r="BH79" s="11"/>
      <c r="BI79" s="11"/>
      <c r="BJ79" s="11"/>
      <c r="BK79" s="11"/>
      <c r="BL79" s="11"/>
      <c r="BM79" s="11"/>
      <c r="BN79" s="11"/>
      <c r="BO79" s="11"/>
      <c r="BP79" s="11"/>
      <c r="BQ79" s="213"/>
      <c r="BR79" s="11"/>
      <c r="BS79" s="11"/>
      <c r="BT79" s="11"/>
      <c r="BU79" s="11"/>
      <c r="BV79" s="11"/>
      <c r="BW79" s="11"/>
      <c r="BX79" s="11"/>
      <c r="BY79" s="11"/>
      <c r="BZ79" s="11"/>
      <c r="CA79" s="195"/>
      <c r="CB79" s="11"/>
      <c r="CC79" s="11"/>
      <c r="CD79" s="11"/>
      <c r="CE79" s="11"/>
      <c r="CF79" s="11"/>
      <c r="CG79" s="11"/>
      <c r="CH79" s="11"/>
      <c r="CI79" s="11"/>
      <c r="CJ79" s="11"/>
      <c r="CK79" s="213"/>
      <c r="CL79" s="11"/>
      <c r="CM79" s="11"/>
      <c r="CN79" s="11"/>
      <c r="CO79" s="11"/>
      <c r="CP79" s="11"/>
      <c r="CQ79" s="11"/>
      <c r="CR79" s="11"/>
      <c r="CS79" s="11"/>
      <c r="CT79" s="11"/>
      <c r="CU79" s="11"/>
      <c r="CV79" s="11"/>
      <c r="CW79" s="213"/>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213" t="s">
        <v>1235</v>
      </c>
      <c r="EM79" s="11"/>
      <c r="EN79" s="11"/>
      <c r="EO79" s="11"/>
      <c r="EP79" s="11"/>
      <c r="EQ79" s="11"/>
      <c r="ER79" s="11"/>
      <c r="ES79" s="11"/>
      <c r="ET79" s="11"/>
      <c r="EU79" s="11"/>
      <c r="EV79" s="11"/>
      <c r="EW79" s="213"/>
      <c r="EX79" s="11"/>
      <c r="EY79" s="11"/>
      <c r="EZ79" s="11"/>
      <c r="FA79" s="213"/>
      <c r="FB79" s="11"/>
      <c r="FC79" s="11"/>
      <c r="FD79" s="11"/>
      <c r="FE79" s="11"/>
      <c r="FF79" s="11"/>
      <c r="FG79" s="11"/>
      <c r="FH79" s="11"/>
      <c r="FI79" s="213"/>
      <c r="FJ79" s="11"/>
      <c r="FK79" s="11"/>
      <c r="FL79" s="11"/>
      <c r="FM79" s="11"/>
      <c r="FN79" s="11"/>
      <c r="FO79" s="11"/>
      <c r="FP79" s="11"/>
      <c r="FQ79" s="11"/>
      <c r="FR79" s="11"/>
      <c r="FS79" s="11"/>
      <c r="FT79" s="213"/>
      <c r="FU79" s="11"/>
      <c r="FV79" s="11"/>
      <c r="FW79" s="11"/>
      <c r="FX79" s="11"/>
      <c r="FY79" s="11"/>
      <c r="FZ79" s="213"/>
      <c r="GA79" s="11"/>
      <c r="GB79" s="11"/>
      <c r="GC79" s="11"/>
      <c r="GD79" s="11"/>
      <c r="GE79" s="11"/>
      <c r="GF79" s="11"/>
      <c r="GG79" s="11"/>
      <c r="GH79" s="11"/>
      <c r="GI79" s="11"/>
      <c r="GJ79" s="11"/>
      <c r="GK79" s="11"/>
      <c r="GL79" s="11"/>
      <c r="GM79" s="11"/>
      <c r="GN79" s="11"/>
      <c r="GO79" s="11"/>
      <c r="GP79" s="152"/>
    </row>
    <row r="80" spans="1:198" x14ac:dyDescent="0.2">
      <c r="A80" s="73" t="s">
        <v>1790</v>
      </c>
      <c r="B80" s="11" t="str">
        <f>IF(AND(ISTEXT("https://github.com/DependableSystemsLab/Achecker"),"https://github.com/DependableSystemsLab/Achecker"&lt;&gt;""), HYPERLINK("https://github.com/DependableSystemsLab/Achecker", "Link"),"-")</f>
        <v>Link</v>
      </c>
      <c r="C80" s="11" t="s">
        <v>1235</v>
      </c>
      <c r="D80" s="11"/>
      <c r="E80" s="11" t="s">
        <v>1235</v>
      </c>
      <c r="F80" s="11" t="s">
        <v>2811</v>
      </c>
      <c r="G80" s="213"/>
      <c r="H80" s="11"/>
      <c r="I80" s="11"/>
      <c r="J80" s="11"/>
      <c r="K80" s="11"/>
      <c r="L80" s="11"/>
      <c r="M80" s="11"/>
      <c r="N80" s="11"/>
      <c r="O80" s="11"/>
      <c r="P80" s="11"/>
      <c r="Q80" s="11"/>
      <c r="R80" s="11"/>
      <c r="S80" s="11"/>
      <c r="T80" s="11"/>
      <c r="U80" s="11"/>
      <c r="V80" s="11"/>
      <c r="W80" s="11"/>
      <c r="X80" s="11"/>
      <c r="Y80" s="213"/>
      <c r="Z80" s="11"/>
      <c r="AA80" s="11"/>
      <c r="AB80" s="11"/>
      <c r="AC80" s="11"/>
      <c r="AD80" s="11"/>
      <c r="AE80" s="11"/>
      <c r="AF80" s="11"/>
      <c r="AG80" s="11"/>
      <c r="AH80" s="11"/>
      <c r="AI80" s="11"/>
      <c r="AJ80" s="11"/>
      <c r="AK80" s="11"/>
      <c r="AL80" s="11"/>
      <c r="AM80" s="11"/>
      <c r="AN80" s="11"/>
      <c r="AO80" s="11"/>
      <c r="AP80" s="11"/>
      <c r="AQ80" s="11"/>
      <c r="AR80" s="11"/>
      <c r="AS80" s="11"/>
      <c r="AT80" s="213"/>
      <c r="AU80" s="11"/>
      <c r="AV80" s="11"/>
      <c r="AW80" s="11"/>
      <c r="AX80" s="11"/>
      <c r="AY80" s="11"/>
      <c r="AZ80" s="11"/>
      <c r="BA80" s="11"/>
      <c r="BB80" s="11"/>
      <c r="BC80" s="11"/>
      <c r="BD80" s="11"/>
      <c r="BE80" s="213"/>
      <c r="BF80" s="11"/>
      <c r="BG80" s="11"/>
      <c r="BH80" s="11"/>
      <c r="BI80" s="11"/>
      <c r="BJ80" s="11"/>
      <c r="BK80" s="11"/>
      <c r="BL80" s="11"/>
      <c r="BM80" s="11"/>
      <c r="BN80" s="11"/>
      <c r="BO80" s="11"/>
      <c r="BP80" s="11"/>
      <c r="BQ80" s="213"/>
      <c r="BR80" s="11"/>
      <c r="BS80" s="11"/>
      <c r="BT80" s="11"/>
      <c r="BU80" s="11"/>
      <c r="BV80" s="11"/>
      <c r="BW80" s="11"/>
      <c r="BX80" s="11"/>
      <c r="BY80" s="11"/>
      <c r="BZ80" s="11"/>
      <c r="CA80" s="195"/>
      <c r="CB80" s="11"/>
      <c r="CC80" s="11"/>
      <c r="CD80" s="11"/>
      <c r="CE80" s="11"/>
      <c r="CF80" s="11"/>
      <c r="CG80" s="11"/>
      <c r="CH80" s="11"/>
      <c r="CI80" s="11"/>
      <c r="CJ80" s="11"/>
      <c r="CK80" s="213"/>
      <c r="CL80" s="11"/>
      <c r="CM80" s="11"/>
      <c r="CN80" s="11"/>
      <c r="CO80" s="11"/>
      <c r="CP80" s="11"/>
      <c r="CQ80" s="11"/>
      <c r="CR80" s="11"/>
      <c r="CS80" s="11"/>
      <c r="CT80" s="11"/>
      <c r="CU80" s="11"/>
      <c r="CV80" s="11"/>
      <c r="CW80" s="213"/>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213"/>
      <c r="EM80" s="11"/>
      <c r="EN80" s="11"/>
      <c r="EO80" s="11"/>
      <c r="EP80" s="11"/>
      <c r="EQ80" s="11"/>
      <c r="ER80" s="11"/>
      <c r="ES80" s="11"/>
      <c r="ET80" s="11"/>
      <c r="EU80" s="11"/>
      <c r="EV80" s="11"/>
      <c r="EW80" s="213"/>
      <c r="EX80" s="11"/>
      <c r="EY80" s="11"/>
      <c r="EZ80" s="11"/>
      <c r="FA80" s="213"/>
      <c r="FB80" s="11"/>
      <c r="FC80" s="11"/>
      <c r="FD80" s="11"/>
      <c r="FE80" s="11"/>
      <c r="FF80" s="11"/>
      <c r="FG80" s="11"/>
      <c r="FH80" s="11"/>
      <c r="FI80" s="213"/>
      <c r="FJ80" s="11"/>
      <c r="FK80" s="11"/>
      <c r="FL80" s="11"/>
      <c r="FM80" s="11"/>
      <c r="FN80" s="11"/>
      <c r="FO80" s="11"/>
      <c r="FP80" s="11"/>
      <c r="FQ80" s="11"/>
      <c r="FR80" s="11"/>
      <c r="FS80" s="11"/>
      <c r="FT80" s="213"/>
      <c r="FU80" s="11"/>
      <c r="FV80" s="11"/>
      <c r="FW80" s="11"/>
      <c r="FX80" s="11"/>
      <c r="FY80" s="11"/>
      <c r="FZ80" s="213"/>
      <c r="GA80" s="11"/>
      <c r="GB80" s="11"/>
      <c r="GC80" s="11"/>
      <c r="GD80" s="11"/>
      <c r="GE80" s="11"/>
      <c r="GF80" s="11"/>
      <c r="GG80" s="11"/>
      <c r="GH80" s="11"/>
      <c r="GI80" s="11"/>
      <c r="GJ80" s="11"/>
      <c r="GK80" s="11"/>
      <c r="GL80" s="11"/>
      <c r="GM80" s="11"/>
      <c r="GN80" s="11"/>
      <c r="GO80" s="11"/>
      <c r="GP80" s="152"/>
    </row>
    <row r="81" spans="1:198" x14ac:dyDescent="0.2">
      <c r="A81" s="73" t="s">
        <v>1792</v>
      </c>
      <c r="B81" s="11" t="str">
        <f>IF(AND(ISTEXT("https://github.com/Jiashuo-Zhang/Siguard"),"https://github.com/Jiashuo-Zhang/Siguard"&lt;&gt;""), HYPERLINK("https://github.com/Jiashuo-Zhang/Siguard", "Link"),"-")</f>
        <v>Link</v>
      </c>
      <c r="C81" s="11" t="s">
        <v>1235</v>
      </c>
      <c r="D81" s="11"/>
      <c r="E81" s="11" t="s">
        <v>1235</v>
      </c>
      <c r="F81" s="11" t="s">
        <v>2811</v>
      </c>
      <c r="G81" s="213"/>
      <c r="H81" s="11"/>
      <c r="I81" s="11"/>
      <c r="J81" s="11"/>
      <c r="K81" s="11"/>
      <c r="L81" s="11"/>
      <c r="M81" s="11"/>
      <c r="N81" s="11"/>
      <c r="O81" s="11"/>
      <c r="P81" s="11"/>
      <c r="Q81" s="11"/>
      <c r="R81" s="11"/>
      <c r="S81" s="11"/>
      <c r="T81" s="11"/>
      <c r="U81" s="11"/>
      <c r="V81" s="11"/>
      <c r="W81" s="11"/>
      <c r="X81" s="11"/>
      <c r="Y81" s="213"/>
      <c r="Z81" s="11"/>
      <c r="AA81" s="11"/>
      <c r="AB81" s="11"/>
      <c r="AC81" s="11"/>
      <c r="AD81" s="11"/>
      <c r="AE81" s="11"/>
      <c r="AF81" s="11"/>
      <c r="AG81" s="11"/>
      <c r="AH81" s="11"/>
      <c r="AI81" s="11"/>
      <c r="AJ81" s="11"/>
      <c r="AK81" s="11"/>
      <c r="AL81" s="11"/>
      <c r="AM81" s="11"/>
      <c r="AN81" s="11"/>
      <c r="AO81" s="11"/>
      <c r="AP81" s="11"/>
      <c r="AQ81" s="11"/>
      <c r="AR81" s="11"/>
      <c r="AS81" s="11"/>
      <c r="AT81" s="213"/>
      <c r="AU81" s="11"/>
      <c r="AV81" s="11"/>
      <c r="AW81" s="11"/>
      <c r="AX81" s="11"/>
      <c r="AY81" s="11"/>
      <c r="AZ81" s="11"/>
      <c r="BA81" s="11"/>
      <c r="BB81" s="11"/>
      <c r="BC81" s="11"/>
      <c r="BD81" s="11"/>
      <c r="BE81" s="213"/>
      <c r="BF81" s="11"/>
      <c r="BG81" s="11"/>
      <c r="BH81" s="11"/>
      <c r="BI81" s="11"/>
      <c r="BJ81" s="11"/>
      <c r="BK81" s="11"/>
      <c r="BL81" s="11"/>
      <c r="BM81" s="11"/>
      <c r="BN81" s="11"/>
      <c r="BO81" s="11"/>
      <c r="BP81" s="11"/>
      <c r="BQ81" s="213"/>
      <c r="BR81" s="11"/>
      <c r="BS81" s="11"/>
      <c r="BT81" s="11"/>
      <c r="BU81" s="11"/>
      <c r="BV81" s="11"/>
      <c r="BW81" s="11"/>
      <c r="BX81" s="11"/>
      <c r="BY81" s="11"/>
      <c r="BZ81" s="11"/>
      <c r="CA81" s="195"/>
      <c r="CB81" s="11" t="s">
        <v>1235</v>
      </c>
      <c r="CC81" s="11"/>
      <c r="CD81" s="11"/>
      <c r="CE81" s="11"/>
      <c r="CF81" s="11"/>
      <c r="CG81" s="11"/>
      <c r="CH81" s="11"/>
      <c r="CI81" s="11"/>
      <c r="CJ81" s="11"/>
      <c r="CK81" s="213"/>
      <c r="CL81" s="11"/>
      <c r="CM81" s="11"/>
      <c r="CN81" s="11"/>
      <c r="CO81" s="11"/>
      <c r="CP81" s="11"/>
      <c r="CQ81" s="11"/>
      <c r="CR81" s="11"/>
      <c r="CS81" s="11"/>
      <c r="CT81" s="11"/>
      <c r="CU81" s="11"/>
      <c r="CV81" s="11"/>
      <c r="CW81" s="213"/>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213"/>
      <c r="EM81" s="11"/>
      <c r="EN81" s="11"/>
      <c r="EO81" s="11"/>
      <c r="EP81" s="11"/>
      <c r="EQ81" s="11"/>
      <c r="ER81" s="11"/>
      <c r="ES81" s="11"/>
      <c r="ET81" s="11"/>
      <c r="EU81" s="11"/>
      <c r="EV81" s="11"/>
      <c r="EW81" s="213"/>
      <c r="EX81" s="11"/>
      <c r="EY81" s="11"/>
      <c r="EZ81" s="11"/>
      <c r="FA81" s="213"/>
      <c r="FB81" s="11"/>
      <c r="FC81" s="11"/>
      <c r="FD81" s="11"/>
      <c r="FE81" s="11"/>
      <c r="FF81" s="11"/>
      <c r="FG81" s="11"/>
      <c r="FH81" s="11"/>
      <c r="FI81" s="213"/>
      <c r="FJ81" s="11"/>
      <c r="FK81" s="11"/>
      <c r="FL81" s="11"/>
      <c r="FM81" s="11"/>
      <c r="FN81" s="11"/>
      <c r="FO81" s="11"/>
      <c r="FP81" s="11"/>
      <c r="FQ81" s="11"/>
      <c r="FR81" s="11"/>
      <c r="FS81" s="11"/>
      <c r="FT81" s="213"/>
      <c r="FU81" s="11"/>
      <c r="FV81" s="11"/>
      <c r="FW81" s="11"/>
      <c r="FX81" s="11"/>
      <c r="FY81" s="11"/>
      <c r="FZ81" s="213"/>
      <c r="GA81" s="11"/>
      <c r="GB81" s="11"/>
      <c r="GC81" s="11"/>
      <c r="GD81" s="11"/>
      <c r="GE81" s="11"/>
      <c r="GF81" s="11"/>
      <c r="GG81" s="11"/>
      <c r="GH81" s="11"/>
      <c r="GI81" s="11"/>
      <c r="GJ81" s="11"/>
      <c r="GK81" s="11"/>
      <c r="GL81" s="11"/>
      <c r="GM81" s="11"/>
      <c r="GN81" s="11"/>
      <c r="GO81" s="11"/>
      <c r="GP81" s="152"/>
    </row>
    <row r="82" spans="1:198" x14ac:dyDescent="0.2">
      <c r="A82" s="74" t="s">
        <v>1794</v>
      </c>
      <c r="B82" s="11" t="str">
        <f>IF(AND(ISTEXT("https://github.com/InPlusLab/SmartState"),"https://github.com/InPlusLab/SmartState"&lt;&gt;""), HYPERLINK("https://github.com/InPlusLab/SmartState", "Link"),"-")</f>
        <v>Link</v>
      </c>
      <c r="C82" s="11" t="s">
        <v>1235</v>
      </c>
      <c r="D82" s="11"/>
      <c r="E82" s="11" t="s">
        <v>1235</v>
      </c>
      <c r="F82" s="11" t="s">
        <v>2812</v>
      </c>
      <c r="G82" s="213"/>
      <c r="H82" s="11"/>
      <c r="I82" s="11"/>
      <c r="J82" s="11"/>
      <c r="K82" s="11"/>
      <c r="L82" s="11"/>
      <c r="M82" s="11"/>
      <c r="N82" s="11"/>
      <c r="O82" s="11"/>
      <c r="P82" s="11"/>
      <c r="Q82" s="11"/>
      <c r="R82" s="11"/>
      <c r="S82" s="11"/>
      <c r="T82" s="11"/>
      <c r="U82" s="11"/>
      <c r="V82" s="11"/>
      <c r="W82" s="11"/>
      <c r="X82" s="11"/>
      <c r="Y82" s="213"/>
      <c r="Z82" s="11"/>
      <c r="AA82" s="11"/>
      <c r="AB82" s="11"/>
      <c r="AC82" s="11"/>
      <c r="AD82" s="11"/>
      <c r="AE82" s="11"/>
      <c r="AF82" s="11"/>
      <c r="AG82" s="11"/>
      <c r="AH82" s="11"/>
      <c r="AI82" s="11"/>
      <c r="AJ82" s="11"/>
      <c r="AK82" s="11"/>
      <c r="AL82" s="11"/>
      <c r="AM82" s="11"/>
      <c r="AN82" s="11"/>
      <c r="AO82" s="11"/>
      <c r="AP82" s="11"/>
      <c r="AQ82" s="11"/>
      <c r="AR82" s="11"/>
      <c r="AS82" s="11"/>
      <c r="AT82" s="213"/>
      <c r="AU82" s="11"/>
      <c r="AV82" s="11"/>
      <c r="AW82" s="11"/>
      <c r="AX82" s="11"/>
      <c r="AY82" s="11"/>
      <c r="AZ82" s="11" t="s">
        <v>1235</v>
      </c>
      <c r="BA82" s="11"/>
      <c r="BB82" s="11"/>
      <c r="BC82" s="11"/>
      <c r="BD82" s="11"/>
      <c r="BE82" s="213"/>
      <c r="BF82" s="11"/>
      <c r="BG82" s="11"/>
      <c r="BH82" s="11"/>
      <c r="BI82" s="11"/>
      <c r="BJ82" s="11"/>
      <c r="BK82" s="11"/>
      <c r="BL82" s="11"/>
      <c r="BM82" s="11"/>
      <c r="BN82" s="11"/>
      <c r="BO82" s="11"/>
      <c r="BP82" s="11"/>
      <c r="BQ82" s="213"/>
      <c r="BR82" s="11"/>
      <c r="BS82" s="11"/>
      <c r="BT82" s="11"/>
      <c r="BU82" s="11"/>
      <c r="BV82" s="11"/>
      <c r="BW82" s="11"/>
      <c r="BX82" s="11"/>
      <c r="BY82" s="11"/>
      <c r="BZ82" s="11"/>
      <c r="CA82" s="195"/>
      <c r="CB82" s="11"/>
      <c r="CC82" s="11"/>
      <c r="CD82" s="11"/>
      <c r="CE82" s="11"/>
      <c r="CF82" s="11"/>
      <c r="CG82" s="11"/>
      <c r="CH82" s="11"/>
      <c r="CI82" s="11"/>
      <c r="CJ82" s="11"/>
      <c r="CK82" s="213"/>
      <c r="CL82" s="11"/>
      <c r="CM82" s="11"/>
      <c r="CN82" s="11"/>
      <c r="CO82" s="11"/>
      <c r="CP82" s="11"/>
      <c r="CQ82" s="11"/>
      <c r="CR82" s="11"/>
      <c r="CS82" s="11"/>
      <c r="CT82" s="11"/>
      <c r="CU82" s="11"/>
      <c r="CV82" s="11"/>
      <c r="CW82" s="213"/>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213"/>
      <c r="EM82" s="11"/>
      <c r="EN82" s="11"/>
      <c r="EO82" s="11"/>
      <c r="EP82" s="11"/>
      <c r="EQ82" s="11"/>
      <c r="ER82" s="11"/>
      <c r="ES82" s="11"/>
      <c r="ET82" s="11"/>
      <c r="EU82" s="11"/>
      <c r="EV82" s="11"/>
      <c r="EW82" s="213"/>
      <c r="EX82" s="11"/>
      <c r="EY82" s="11"/>
      <c r="EZ82" s="11"/>
      <c r="FA82" s="213"/>
      <c r="FB82" s="11"/>
      <c r="FC82" s="11"/>
      <c r="FD82" s="11"/>
      <c r="FE82" s="11"/>
      <c r="FF82" s="11"/>
      <c r="FG82" s="11"/>
      <c r="FH82" s="11"/>
      <c r="FI82" s="213"/>
      <c r="FJ82" s="11"/>
      <c r="FK82" s="11"/>
      <c r="FL82" s="11"/>
      <c r="FM82" s="11"/>
      <c r="FN82" s="11"/>
      <c r="FO82" s="11"/>
      <c r="FP82" s="11"/>
      <c r="FQ82" s="11"/>
      <c r="FR82" s="11"/>
      <c r="FS82" s="11"/>
      <c r="FT82" s="213"/>
      <c r="FU82" s="11"/>
      <c r="FV82" s="11"/>
      <c r="FW82" s="11"/>
      <c r="FX82" s="11"/>
      <c r="FY82" s="11"/>
      <c r="FZ82" s="213"/>
      <c r="GA82" s="11"/>
      <c r="GB82" s="11"/>
      <c r="GC82" s="11"/>
      <c r="GD82" s="11"/>
      <c r="GE82" s="11"/>
      <c r="GF82" s="11"/>
      <c r="GG82" s="11"/>
      <c r="GH82" s="11"/>
      <c r="GI82" s="11"/>
      <c r="GJ82" s="11"/>
      <c r="GK82" s="11"/>
      <c r="GL82" s="11"/>
      <c r="GM82" s="11"/>
      <c r="GN82" s="11"/>
      <c r="GO82" s="11"/>
      <c r="GP82" s="152"/>
    </row>
    <row r="83" spans="1:198" x14ac:dyDescent="0.2">
      <c r="A83" s="74" t="s">
        <v>1796</v>
      </c>
      <c r="B83" s="11" t="str">
        <f>IF(AND(ISTEXT("https://github.com/Messi-Q/Cross-Modality-Bug-Detection"),"https://github.com/Messi-Q/Cross-Modality-Bug-Detection"&lt;&gt;""), HYPERLINK("https://github.com/Messi-Q/Cross-Modality-Bug-Detection", "Link"),"-")</f>
        <v>Link</v>
      </c>
      <c r="C83" s="11" t="s">
        <v>1235</v>
      </c>
      <c r="D83" s="11"/>
      <c r="E83" s="11" t="s">
        <v>1235</v>
      </c>
      <c r="F83" s="11" t="s">
        <v>2812</v>
      </c>
      <c r="G83" s="213"/>
      <c r="H83" s="11" t="s">
        <v>1235</v>
      </c>
      <c r="I83" s="11"/>
      <c r="J83" s="11"/>
      <c r="K83" s="11"/>
      <c r="L83" s="11"/>
      <c r="M83" s="11"/>
      <c r="N83" s="11"/>
      <c r="O83" s="11"/>
      <c r="P83" s="11"/>
      <c r="Q83" s="11" t="s">
        <v>1235</v>
      </c>
      <c r="R83" s="11"/>
      <c r="S83" s="11"/>
      <c r="T83" s="11"/>
      <c r="U83" s="11"/>
      <c r="V83" s="11"/>
      <c r="W83" s="11"/>
      <c r="X83" s="11"/>
      <c r="Y83" s="213"/>
      <c r="Z83" s="11" t="s">
        <v>1235</v>
      </c>
      <c r="AA83" s="11"/>
      <c r="AB83" s="11"/>
      <c r="AC83" s="11"/>
      <c r="AD83" s="11"/>
      <c r="AE83" s="11"/>
      <c r="AF83" s="11"/>
      <c r="AG83" s="11"/>
      <c r="AH83" s="11"/>
      <c r="AI83" s="11"/>
      <c r="AJ83" s="11"/>
      <c r="AK83" s="11"/>
      <c r="AL83" s="11"/>
      <c r="AM83" s="11"/>
      <c r="AN83" s="11"/>
      <c r="AO83" s="11"/>
      <c r="AP83" s="11"/>
      <c r="AQ83" s="11"/>
      <c r="AR83" s="11"/>
      <c r="AS83" s="11"/>
      <c r="AT83" s="213"/>
      <c r="AU83" s="11"/>
      <c r="AV83" s="11"/>
      <c r="AW83" s="11"/>
      <c r="AX83" s="11"/>
      <c r="AY83" s="11"/>
      <c r="AZ83" s="11"/>
      <c r="BA83" s="11"/>
      <c r="BB83" s="11"/>
      <c r="BC83" s="11"/>
      <c r="BD83" s="11"/>
      <c r="BE83" s="213"/>
      <c r="BF83" s="11"/>
      <c r="BG83" s="11"/>
      <c r="BH83" s="11"/>
      <c r="BI83" s="11"/>
      <c r="BJ83" s="11"/>
      <c r="BK83" s="11"/>
      <c r="BL83" s="11"/>
      <c r="BM83" s="11"/>
      <c r="BN83" s="11"/>
      <c r="BO83" s="11"/>
      <c r="BP83" s="11"/>
      <c r="BQ83" s="213"/>
      <c r="BR83" s="11"/>
      <c r="BS83" s="11"/>
      <c r="BT83" s="11"/>
      <c r="BU83" s="11"/>
      <c r="BV83" s="11"/>
      <c r="BW83" s="11"/>
      <c r="BX83" s="11"/>
      <c r="BY83" s="11"/>
      <c r="BZ83" s="11"/>
      <c r="CA83" s="195"/>
      <c r="CB83" s="11"/>
      <c r="CC83" s="11"/>
      <c r="CD83" s="11"/>
      <c r="CE83" s="11"/>
      <c r="CF83" s="11"/>
      <c r="CG83" s="11"/>
      <c r="CH83" s="11"/>
      <c r="CI83" s="11"/>
      <c r="CJ83" s="11"/>
      <c r="CK83" s="213" t="s">
        <v>1235</v>
      </c>
      <c r="CL83" s="11"/>
      <c r="CM83" s="11"/>
      <c r="CN83" s="11"/>
      <c r="CO83" s="11"/>
      <c r="CP83" s="11"/>
      <c r="CQ83" s="11"/>
      <c r="CR83" s="11"/>
      <c r="CS83" s="11"/>
      <c r="CT83" s="11"/>
      <c r="CU83" s="11"/>
      <c r="CV83" s="11"/>
      <c r="CW83" s="213"/>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213"/>
      <c r="EM83" s="11"/>
      <c r="EN83" s="11"/>
      <c r="EO83" s="11"/>
      <c r="EP83" s="11"/>
      <c r="EQ83" s="11"/>
      <c r="ER83" s="11"/>
      <c r="ES83" s="11"/>
      <c r="ET83" s="11"/>
      <c r="EU83" s="11"/>
      <c r="EV83" s="11"/>
      <c r="EW83" s="213"/>
      <c r="EX83" s="11"/>
      <c r="EY83" s="11"/>
      <c r="EZ83" s="11"/>
      <c r="FA83" s="213"/>
      <c r="FB83" s="11"/>
      <c r="FC83" s="11"/>
      <c r="FD83" s="11"/>
      <c r="FE83" s="11"/>
      <c r="FF83" s="11"/>
      <c r="FG83" s="11"/>
      <c r="FH83" s="11"/>
      <c r="FI83" s="213"/>
      <c r="FJ83" s="11"/>
      <c r="FK83" s="11"/>
      <c r="FL83" s="11"/>
      <c r="FM83" s="11"/>
      <c r="FN83" s="11"/>
      <c r="FO83" s="11"/>
      <c r="FP83" s="11"/>
      <c r="FQ83" s="11"/>
      <c r="FR83" s="11"/>
      <c r="FS83" s="11"/>
      <c r="FT83" s="213"/>
      <c r="FU83" s="11"/>
      <c r="FV83" s="11"/>
      <c r="FW83" s="11"/>
      <c r="FX83" s="11"/>
      <c r="FY83" s="11"/>
      <c r="FZ83" s="213"/>
      <c r="GA83" s="11"/>
      <c r="GB83" s="11"/>
      <c r="GC83" s="11"/>
      <c r="GD83" s="11"/>
      <c r="GE83" s="11"/>
      <c r="GF83" s="11"/>
      <c r="GG83" s="11"/>
      <c r="GH83" s="11"/>
      <c r="GI83" s="11"/>
      <c r="GJ83" s="11"/>
      <c r="GK83" s="11"/>
      <c r="GL83" s="11"/>
      <c r="GM83" s="11"/>
      <c r="GN83" s="11"/>
      <c r="GO83" s="11"/>
      <c r="GP83" s="152"/>
    </row>
    <row r="84" spans="1:198" x14ac:dyDescent="0.2">
      <c r="A84" s="74" t="s">
        <v>1802</v>
      </c>
      <c r="B84" s="11" t="str">
        <f>IF(AND(ISTEXT("https://github.com/christoftorres/Elysium"),"https://github.com/christoftorres/Elysium"&lt;&gt;""), HYPERLINK("https://github.com/christoftorres/Elysium", "Link"),"-")</f>
        <v>Link</v>
      </c>
      <c r="C84" s="11" t="s">
        <v>1235</v>
      </c>
      <c r="D84" s="11"/>
      <c r="E84" s="11" t="s">
        <v>1235</v>
      </c>
      <c r="F84" s="11" t="s">
        <v>2812</v>
      </c>
      <c r="G84" s="213"/>
      <c r="H84" s="11" t="s">
        <v>1235</v>
      </c>
      <c r="I84" s="11"/>
      <c r="J84" s="11"/>
      <c r="K84" s="11"/>
      <c r="L84" s="11"/>
      <c r="M84" s="11"/>
      <c r="N84" s="11"/>
      <c r="O84" s="11"/>
      <c r="P84" s="11"/>
      <c r="Q84" s="11" t="s">
        <v>1235</v>
      </c>
      <c r="R84" s="11"/>
      <c r="S84" s="11"/>
      <c r="T84" s="11"/>
      <c r="U84" s="11"/>
      <c r="V84" s="11"/>
      <c r="W84" s="11"/>
      <c r="X84" s="11"/>
      <c r="Y84" s="213"/>
      <c r="Z84" s="11"/>
      <c r="AA84" s="11"/>
      <c r="AB84" s="11"/>
      <c r="AC84" s="11"/>
      <c r="AD84" s="11"/>
      <c r="AE84" s="11"/>
      <c r="AF84" s="11"/>
      <c r="AG84" s="11"/>
      <c r="AH84" s="11"/>
      <c r="AI84" s="11"/>
      <c r="AJ84" s="11"/>
      <c r="AK84" s="11"/>
      <c r="AL84" s="11"/>
      <c r="AM84" s="11"/>
      <c r="AN84" s="11"/>
      <c r="AO84" s="11"/>
      <c r="AP84" s="11"/>
      <c r="AQ84" s="11"/>
      <c r="AR84" s="11"/>
      <c r="AS84" s="11"/>
      <c r="AT84" s="213" t="s">
        <v>1235</v>
      </c>
      <c r="AU84" s="11"/>
      <c r="AV84" s="11"/>
      <c r="AW84" s="11"/>
      <c r="AX84" s="11"/>
      <c r="AY84" s="11"/>
      <c r="AZ84" s="11"/>
      <c r="BA84" s="11"/>
      <c r="BB84" s="11"/>
      <c r="BC84" s="11"/>
      <c r="BD84" s="11"/>
      <c r="BE84" s="213"/>
      <c r="BF84" s="11"/>
      <c r="BG84" s="11"/>
      <c r="BH84" s="11"/>
      <c r="BI84" s="11"/>
      <c r="BJ84" s="11"/>
      <c r="BK84" s="11"/>
      <c r="BL84" s="11"/>
      <c r="BM84" s="11"/>
      <c r="BN84" s="11"/>
      <c r="BO84" s="11"/>
      <c r="BP84" s="11"/>
      <c r="BQ84" s="213"/>
      <c r="BR84" s="11" t="s">
        <v>1235</v>
      </c>
      <c r="BS84" s="11"/>
      <c r="BT84" s="11" t="s">
        <v>1235</v>
      </c>
      <c r="BU84" s="11"/>
      <c r="BV84" s="11"/>
      <c r="BW84" s="11"/>
      <c r="BX84" s="11"/>
      <c r="BY84" s="11"/>
      <c r="BZ84" s="11"/>
      <c r="CA84" s="195"/>
      <c r="CB84" s="11"/>
      <c r="CC84" s="11"/>
      <c r="CD84" s="11"/>
      <c r="CE84" s="11"/>
      <c r="CF84" s="11"/>
      <c r="CG84" s="11"/>
      <c r="CH84" s="11"/>
      <c r="CI84" s="11"/>
      <c r="CJ84" s="11"/>
      <c r="CK84" s="213" t="s">
        <v>1235</v>
      </c>
      <c r="CL84" s="11"/>
      <c r="CM84" s="11"/>
      <c r="CN84" s="11"/>
      <c r="CO84" s="11"/>
      <c r="CP84" s="11"/>
      <c r="CQ84" s="11"/>
      <c r="CR84" s="11"/>
      <c r="CS84" s="11"/>
      <c r="CT84" s="11"/>
      <c r="CU84" s="11"/>
      <c r="CV84" s="11"/>
      <c r="CW84" s="213"/>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213"/>
      <c r="EM84" s="11"/>
      <c r="EN84" s="11"/>
      <c r="EO84" s="11"/>
      <c r="EP84" s="11"/>
      <c r="EQ84" s="11"/>
      <c r="ER84" s="11"/>
      <c r="ES84" s="11"/>
      <c r="ET84" s="11"/>
      <c r="EU84" s="11"/>
      <c r="EV84" s="11"/>
      <c r="EW84" s="213"/>
      <c r="EX84" s="11"/>
      <c r="EY84" s="11"/>
      <c r="EZ84" s="11"/>
      <c r="FA84" s="213"/>
      <c r="FB84" s="11"/>
      <c r="FC84" s="11"/>
      <c r="FD84" s="11"/>
      <c r="FE84" s="11"/>
      <c r="FF84" s="11"/>
      <c r="FG84" s="11"/>
      <c r="FH84" s="11"/>
      <c r="FI84" s="213"/>
      <c r="FJ84" s="11"/>
      <c r="FK84" s="11"/>
      <c r="FL84" s="11"/>
      <c r="FM84" s="11"/>
      <c r="FN84" s="11"/>
      <c r="FO84" s="11"/>
      <c r="FP84" s="11"/>
      <c r="FQ84" s="11"/>
      <c r="FR84" s="11"/>
      <c r="FS84" s="11"/>
      <c r="FT84" s="213"/>
      <c r="FU84" s="11"/>
      <c r="FV84" s="11"/>
      <c r="FW84" s="11"/>
      <c r="FX84" s="11"/>
      <c r="FY84" s="11"/>
      <c r="FZ84" s="213"/>
      <c r="GA84" s="11"/>
      <c r="GB84" s="11"/>
      <c r="GC84" s="11"/>
      <c r="GD84" s="11"/>
      <c r="GE84" s="11"/>
      <c r="GF84" s="11"/>
      <c r="GG84" s="11"/>
      <c r="GH84" s="11"/>
      <c r="GI84" s="11"/>
      <c r="GJ84" s="11"/>
      <c r="GK84" s="11"/>
      <c r="GL84" s="11"/>
      <c r="GM84" s="11"/>
      <c r="GN84" s="11"/>
      <c r="GO84" s="11"/>
      <c r="GP84" s="152"/>
    </row>
    <row r="85" spans="1:198" x14ac:dyDescent="0.2">
      <c r="A85" s="73" t="s">
        <v>1807</v>
      </c>
      <c r="B85" s="11" t="str">
        <f>IF(AND(ISTEXT(""),""&lt;&gt;""), HYPERLINK("", "Link"),"-")</f>
        <v>-</v>
      </c>
      <c r="C85" s="11" t="s">
        <v>1235</v>
      </c>
      <c r="D85" s="11" t="s">
        <v>1235</v>
      </c>
      <c r="E85" s="11"/>
      <c r="F85" s="11" t="s">
        <v>2811</v>
      </c>
      <c r="G85" s="213"/>
      <c r="H85" s="11" t="s">
        <v>1235</v>
      </c>
      <c r="I85" s="11"/>
      <c r="J85" s="11"/>
      <c r="K85" s="11"/>
      <c r="L85" s="11"/>
      <c r="M85" s="11"/>
      <c r="N85" s="11"/>
      <c r="O85" s="11"/>
      <c r="P85" s="11"/>
      <c r="Q85" s="11" t="s">
        <v>1235</v>
      </c>
      <c r="R85" s="11"/>
      <c r="S85" s="11"/>
      <c r="T85" s="11"/>
      <c r="U85" s="11"/>
      <c r="V85" s="11"/>
      <c r="W85" s="11" t="s">
        <v>1235</v>
      </c>
      <c r="X85" s="11"/>
      <c r="Y85" s="213"/>
      <c r="Z85" s="11"/>
      <c r="AA85" s="11" t="s">
        <v>1235</v>
      </c>
      <c r="AB85" s="11"/>
      <c r="AC85" s="11"/>
      <c r="AD85" s="11"/>
      <c r="AE85" s="11"/>
      <c r="AF85" s="11"/>
      <c r="AG85" s="11"/>
      <c r="AH85" s="11"/>
      <c r="AI85" s="11"/>
      <c r="AJ85" s="11"/>
      <c r="AK85" s="11"/>
      <c r="AL85" s="11"/>
      <c r="AM85" s="11"/>
      <c r="AN85" s="11"/>
      <c r="AO85" s="11"/>
      <c r="AP85" s="11"/>
      <c r="AQ85" s="11"/>
      <c r="AR85" s="11"/>
      <c r="AS85" s="11"/>
      <c r="AT85" s="213"/>
      <c r="AU85" s="11"/>
      <c r="AV85" s="11"/>
      <c r="AW85" s="11"/>
      <c r="AX85" s="11"/>
      <c r="AY85" s="11" t="s">
        <v>1235</v>
      </c>
      <c r="AZ85" s="11"/>
      <c r="BA85" s="11"/>
      <c r="BB85" s="11"/>
      <c r="BC85" s="11"/>
      <c r="BD85" s="11"/>
      <c r="BE85" s="213"/>
      <c r="BF85" s="11"/>
      <c r="BG85" s="11"/>
      <c r="BH85" s="11"/>
      <c r="BI85" s="11"/>
      <c r="BJ85" s="11"/>
      <c r="BK85" s="11"/>
      <c r="BL85" s="11"/>
      <c r="BM85" s="11"/>
      <c r="BN85" s="11"/>
      <c r="BO85" s="11"/>
      <c r="BP85" s="11"/>
      <c r="BQ85" s="213"/>
      <c r="BR85" s="11"/>
      <c r="BS85" s="11"/>
      <c r="BT85" s="11"/>
      <c r="BU85" s="11"/>
      <c r="BV85" s="11"/>
      <c r="BW85" s="11"/>
      <c r="BX85" s="11"/>
      <c r="BY85" s="11"/>
      <c r="BZ85" s="11"/>
      <c r="CA85" s="195"/>
      <c r="CB85" s="11"/>
      <c r="CC85" s="11"/>
      <c r="CD85" s="11"/>
      <c r="CE85" s="11"/>
      <c r="CF85" s="11"/>
      <c r="CG85" s="11"/>
      <c r="CH85" s="11"/>
      <c r="CI85" s="11"/>
      <c r="CJ85" s="11"/>
      <c r="CK85" s="213" t="s">
        <v>1235</v>
      </c>
      <c r="CL85" s="11"/>
      <c r="CM85" s="11"/>
      <c r="CN85" s="11"/>
      <c r="CO85" s="11"/>
      <c r="CP85" s="11"/>
      <c r="CQ85" s="11"/>
      <c r="CR85" s="11"/>
      <c r="CS85" s="11"/>
      <c r="CT85" s="11"/>
      <c r="CU85" s="11"/>
      <c r="CV85" s="11"/>
      <c r="CW85" s="213"/>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213"/>
      <c r="EM85" s="11"/>
      <c r="EN85" s="11"/>
      <c r="EO85" s="11"/>
      <c r="EP85" s="11"/>
      <c r="EQ85" s="11"/>
      <c r="ER85" s="11"/>
      <c r="ES85" s="11"/>
      <c r="ET85" s="11"/>
      <c r="EU85" s="11"/>
      <c r="EV85" s="11"/>
      <c r="EW85" s="213"/>
      <c r="EX85" s="11"/>
      <c r="EY85" s="11"/>
      <c r="EZ85" s="11"/>
      <c r="FA85" s="213"/>
      <c r="FB85" s="11"/>
      <c r="FC85" s="11"/>
      <c r="FD85" s="11"/>
      <c r="FE85" s="11"/>
      <c r="FF85" s="11"/>
      <c r="FG85" s="11"/>
      <c r="FH85" s="11"/>
      <c r="FI85" s="213"/>
      <c r="FJ85" s="11"/>
      <c r="FK85" s="11"/>
      <c r="FL85" s="11"/>
      <c r="FM85" s="11"/>
      <c r="FN85" s="11"/>
      <c r="FO85" s="11"/>
      <c r="FP85" s="11"/>
      <c r="FQ85" s="11"/>
      <c r="FR85" s="11"/>
      <c r="FS85" s="11"/>
      <c r="FT85" s="213"/>
      <c r="FU85" s="11"/>
      <c r="FV85" s="11"/>
      <c r="FW85" s="11"/>
      <c r="FX85" s="11"/>
      <c r="FY85" s="11"/>
      <c r="FZ85" s="213"/>
      <c r="GA85" s="11"/>
      <c r="GB85" s="11"/>
      <c r="GC85" s="11"/>
      <c r="GD85" s="11"/>
      <c r="GE85" s="11"/>
      <c r="GF85" s="11"/>
      <c r="GG85" s="11"/>
      <c r="GH85" s="11"/>
      <c r="GI85" s="11"/>
      <c r="GJ85" s="11"/>
      <c r="GK85" s="11"/>
      <c r="GL85" s="11"/>
      <c r="GM85" s="11"/>
      <c r="GN85" s="11"/>
      <c r="GO85" s="11"/>
      <c r="GP85" s="152"/>
    </row>
    <row r="86" spans="1:198" x14ac:dyDescent="0.2">
      <c r="A86" s="74" t="s">
        <v>1809</v>
      </c>
      <c r="B86" s="11" t="str">
        <f>IF(AND(ISTEXT("https://github.com/SoftSec-KAIST/Smartian"),"https://github.com/SoftSec-KAIST/Smartian"&lt;&gt;""), HYPERLINK("https://github.com/SoftSec-KAIST/Smartian", "Link"),"-")</f>
        <v>Link</v>
      </c>
      <c r="C86" s="11" t="s">
        <v>1235</v>
      </c>
      <c r="D86" s="11" t="s">
        <v>1235</v>
      </c>
      <c r="E86" s="11" t="s">
        <v>1235</v>
      </c>
      <c r="F86" s="11" t="s">
        <v>2812</v>
      </c>
      <c r="G86" s="213"/>
      <c r="H86" s="11" t="s">
        <v>1235</v>
      </c>
      <c r="I86" s="11"/>
      <c r="J86" s="11"/>
      <c r="K86" s="11"/>
      <c r="L86" s="11"/>
      <c r="M86" s="11"/>
      <c r="N86" s="11"/>
      <c r="O86" s="11"/>
      <c r="P86" s="11"/>
      <c r="Q86" s="11"/>
      <c r="R86" s="11"/>
      <c r="S86" s="11"/>
      <c r="T86" s="11"/>
      <c r="U86" s="11"/>
      <c r="V86" s="11"/>
      <c r="W86" s="11" t="s">
        <v>1235</v>
      </c>
      <c r="X86" s="11"/>
      <c r="Y86" s="213" t="s">
        <v>1235</v>
      </c>
      <c r="Z86" s="11"/>
      <c r="AA86" s="11"/>
      <c r="AB86" s="11"/>
      <c r="AC86" s="11"/>
      <c r="AD86" s="11"/>
      <c r="AE86" s="11"/>
      <c r="AF86" s="11"/>
      <c r="AG86" s="11"/>
      <c r="AH86" s="11"/>
      <c r="AI86" s="11"/>
      <c r="AJ86" s="11"/>
      <c r="AK86" s="11"/>
      <c r="AL86" s="11"/>
      <c r="AM86" s="11"/>
      <c r="AN86" s="11"/>
      <c r="AO86" s="11"/>
      <c r="AP86" s="11"/>
      <c r="AQ86" s="11"/>
      <c r="AR86" s="11"/>
      <c r="AS86" s="11"/>
      <c r="AT86" s="213" t="s">
        <v>1235</v>
      </c>
      <c r="AU86" s="11"/>
      <c r="AV86" s="11"/>
      <c r="AW86" s="11"/>
      <c r="AX86" s="11"/>
      <c r="AY86" s="11"/>
      <c r="AZ86" s="11" t="s">
        <v>1235</v>
      </c>
      <c r="BA86" s="11"/>
      <c r="BB86" s="11"/>
      <c r="BC86" s="11"/>
      <c r="BD86" s="11"/>
      <c r="BE86" s="213"/>
      <c r="BF86" s="11"/>
      <c r="BG86" s="11"/>
      <c r="BH86" s="11"/>
      <c r="BI86" s="11"/>
      <c r="BJ86" s="11"/>
      <c r="BK86" s="11"/>
      <c r="BL86" s="11"/>
      <c r="BM86" s="11"/>
      <c r="BN86" s="11"/>
      <c r="BO86" s="11"/>
      <c r="BP86" s="11" t="s">
        <v>1235</v>
      </c>
      <c r="BQ86" s="213"/>
      <c r="BR86" s="11" t="s">
        <v>1235</v>
      </c>
      <c r="BS86" s="11"/>
      <c r="BT86" s="11" t="s">
        <v>1235</v>
      </c>
      <c r="BU86" s="11" t="s">
        <v>1235</v>
      </c>
      <c r="BV86" s="11"/>
      <c r="BW86" s="11"/>
      <c r="BX86" s="11"/>
      <c r="BY86" s="11"/>
      <c r="BZ86" s="11"/>
      <c r="CA86" s="195"/>
      <c r="CB86" s="11"/>
      <c r="CC86" s="11"/>
      <c r="CD86" s="11"/>
      <c r="CE86" s="11"/>
      <c r="CF86" s="11"/>
      <c r="CG86" s="11"/>
      <c r="CH86" s="11"/>
      <c r="CI86" s="11"/>
      <c r="CJ86" s="11"/>
      <c r="CK86" s="213" t="s">
        <v>1235</v>
      </c>
      <c r="CL86" s="11"/>
      <c r="CM86" s="11"/>
      <c r="CN86" s="11"/>
      <c r="CO86" s="11"/>
      <c r="CP86" s="11"/>
      <c r="CQ86" s="11"/>
      <c r="CR86" s="11"/>
      <c r="CS86" s="11"/>
      <c r="CT86" s="11"/>
      <c r="CU86" s="11"/>
      <c r="CV86" s="11"/>
      <c r="CW86" s="213"/>
      <c r="CX86" s="11"/>
      <c r="CY86" s="11"/>
      <c r="CZ86" s="11"/>
      <c r="DA86" s="11" t="s">
        <v>1235</v>
      </c>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213"/>
      <c r="EM86" s="11"/>
      <c r="EN86" s="11"/>
      <c r="EO86" s="11"/>
      <c r="EP86" s="11"/>
      <c r="EQ86" s="11"/>
      <c r="ER86" s="11"/>
      <c r="ES86" s="11"/>
      <c r="ET86" s="11"/>
      <c r="EU86" s="11"/>
      <c r="EV86" s="11"/>
      <c r="EW86" s="213"/>
      <c r="EX86" s="11"/>
      <c r="EY86" s="11"/>
      <c r="EZ86" s="11"/>
      <c r="FA86" s="213"/>
      <c r="FB86" s="11"/>
      <c r="FC86" s="11"/>
      <c r="FD86" s="11"/>
      <c r="FE86" s="11"/>
      <c r="FF86" s="11"/>
      <c r="FG86" s="11"/>
      <c r="FH86" s="11"/>
      <c r="FI86" s="213"/>
      <c r="FJ86" s="11"/>
      <c r="FK86" s="11"/>
      <c r="FL86" s="11"/>
      <c r="FM86" s="11"/>
      <c r="FN86" s="11"/>
      <c r="FO86" s="11"/>
      <c r="FP86" s="11"/>
      <c r="FQ86" s="11"/>
      <c r="FR86" s="11"/>
      <c r="FS86" s="11"/>
      <c r="FT86" s="213"/>
      <c r="FU86" s="11" t="s">
        <v>1235</v>
      </c>
      <c r="FV86" s="11"/>
      <c r="FW86" s="11"/>
      <c r="FX86" s="11"/>
      <c r="FY86" s="11"/>
      <c r="FZ86" s="213"/>
      <c r="GA86" s="11"/>
      <c r="GB86" s="11"/>
      <c r="GC86" s="11"/>
      <c r="GD86" s="11"/>
      <c r="GE86" s="11"/>
      <c r="GF86" s="11"/>
      <c r="GG86" s="11"/>
      <c r="GH86" s="11"/>
      <c r="GI86" s="11"/>
      <c r="GJ86" s="11"/>
      <c r="GK86" s="11"/>
      <c r="GL86" s="11"/>
      <c r="GM86" s="11"/>
      <c r="GN86" s="11"/>
      <c r="GO86" s="11"/>
      <c r="GP86" s="152"/>
    </row>
    <row r="87" spans="1:198" x14ac:dyDescent="0.2">
      <c r="A87" s="74" t="s">
        <v>1813</v>
      </c>
      <c r="B87" s="11" t="str">
        <f t="shared" ref="B87:B92" si="3">IF(AND(ISTEXT(""),""&lt;&gt;""), HYPERLINK("", "Link"),"-")</f>
        <v>-</v>
      </c>
      <c r="C87" s="11" t="s">
        <v>1235</v>
      </c>
      <c r="D87" s="11" t="s">
        <v>1235</v>
      </c>
      <c r="E87" s="11"/>
      <c r="F87" s="11" t="s">
        <v>2812</v>
      </c>
      <c r="G87" s="213"/>
      <c r="H87" s="11" t="s">
        <v>1235</v>
      </c>
      <c r="I87" s="11"/>
      <c r="J87" s="11"/>
      <c r="K87" s="11"/>
      <c r="L87" s="11"/>
      <c r="M87" s="11"/>
      <c r="N87" s="11"/>
      <c r="O87" s="11"/>
      <c r="P87" s="11"/>
      <c r="Q87" s="11" t="s">
        <v>1235</v>
      </c>
      <c r="R87" s="11"/>
      <c r="S87" s="11"/>
      <c r="T87" s="11"/>
      <c r="U87" s="11"/>
      <c r="V87" s="11"/>
      <c r="W87" s="11" t="s">
        <v>1235</v>
      </c>
      <c r="X87" s="11"/>
      <c r="Y87" s="213" t="s">
        <v>1235</v>
      </c>
      <c r="Z87" s="11"/>
      <c r="AA87" s="11"/>
      <c r="AB87" s="11"/>
      <c r="AC87" s="11" t="s">
        <v>1235</v>
      </c>
      <c r="AD87" s="11"/>
      <c r="AE87" s="11"/>
      <c r="AF87" s="11"/>
      <c r="AG87" s="11"/>
      <c r="AH87" s="11"/>
      <c r="AI87" s="11"/>
      <c r="AJ87" s="11"/>
      <c r="AK87" s="11"/>
      <c r="AL87" s="11"/>
      <c r="AM87" s="11"/>
      <c r="AN87" s="11"/>
      <c r="AO87" s="11"/>
      <c r="AP87" s="11"/>
      <c r="AQ87" s="11"/>
      <c r="AR87" s="11"/>
      <c r="AS87" s="11"/>
      <c r="AT87" s="213" t="s">
        <v>1235</v>
      </c>
      <c r="AU87" s="11"/>
      <c r="AV87" s="11"/>
      <c r="AW87" s="11"/>
      <c r="AX87" s="11"/>
      <c r="AY87" s="11"/>
      <c r="AZ87" s="11" t="s">
        <v>1235</v>
      </c>
      <c r="BA87" s="11"/>
      <c r="BB87" s="11"/>
      <c r="BC87" s="11"/>
      <c r="BD87" s="11"/>
      <c r="BE87" s="213"/>
      <c r="BF87" s="11"/>
      <c r="BG87" s="11"/>
      <c r="BH87" s="11"/>
      <c r="BI87" s="11"/>
      <c r="BJ87" s="11"/>
      <c r="BK87" s="11"/>
      <c r="BL87" s="11"/>
      <c r="BM87" s="11"/>
      <c r="BN87" s="11"/>
      <c r="BO87" s="11"/>
      <c r="BP87" s="11"/>
      <c r="BQ87" s="213"/>
      <c r="BR87" s="11"/>
      <c r="BS87" s="11"/>
      <c r="BT87" s="11" t="s">
        <v>1235</v>
      </c>
      <c r="BU87" s="11"/>
      <c r="BV87" s="11"/>
      <c r="BW87" s="11"/>
      <c r="BX87" s="11"/>
      <c r="BY87" s="11"/>
      <c r="BZ87" s="11"/>
      <c r="CA87" s="195"/>
      <c r="CB87" s="11"/>
      <c r="CC87" s="11"/>
      <c r="CD87" s="11"/>
      <c r="CE87" s="11"/>
      <c r="CF87" s="11"/>
      <c r="CG87" s="11"/>
      <c r="CH87" s="11"/>
      <c r="CI87" s="11"/>
      <c r="CJ87" s="11"/>
      <c r="CK87" s="213"/>
      <c r="CL87" s="11"/>
      <c r="CM87" s="11"/>
      <c r="CN87" s="11"/>
      <c r="CO87" s="11"/>
      <c r="CP87" s="11"/>
      <c r="CQ87" s="11"/>
      <c r="CR87" s="11"/>
      <c r="CS87" s="11"/>
      <c r="CT87" s="11"/>
      <c r="CU87" s="11"/>
      <c r="CV87" s="11"/>
      <c r="CW87" s="213"/>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213"/>
      <c r="EM87" s="11"/>
      <c r="EN87" s="11"/>
      <c r="EO87" s="11"/>
      <c r="EP87" s="11"/>
      <c r="EQ87" s="11"/>
      <c r="ER87" s="11"/>
      <c r="ES87" s="11"/>
      <c r="ET87" s="11"/>
      <c r="EU87" s="11"/>
      <c r="EV87" s="11"/>
      <c r="EW87" s="213"/>
      <c r="EX87" s="11"/>
      <c r="EY87" s="11"/>
      <c r="EZ87" s="11"/>
      <c r="FA87" s="213"/>
      <c r="FB87" s="11"/>
      <c r="FC87" s="11"/>
      <c r="FD87" s="11"/>
      <c r="FE87" s="11"/>
      <c r="FF87" s="11"/>
      <c r="FG87" s="11"/>
      <c r="FH87" s="11"/>
      <c r="FI87" s="213"/>
      <c r="FJ87" s="11"/>
      <c r="FK87" s="11"/>
      <c r="FL87" s="11"/>
      <c r="FM87" s="11"/>
      <c r="FN87" s="11"/>
      <c r="FO87" s="11"/>
      <c r="FP87" s="11"/>
      <c r="FQ87" s="11"/>
      <c r="FR87" s="11"/>
      <c r="FS87" s="11"/>
      <c r="FT87" s="213"/>
      <c r="FU87" s="11" t="s">
        <v>1235</v>
      </c>
      <c r="FV87" s="11"/>
      <c r="FW87" s="11"/>
      <c r="FX87" s="11"/>
      <c r="FY87" s="11"/>
      <c r="FZ87" s="213"/>
      <c r="GA87" s="11"/>
      <c r="GB87" s="11"/>
      <c r="GC87" s="11"/>
      <c r="GD87" s="11"/>
      <c r="GE87" s="11"/>
      <c r="GF87" s="11"/>
      <c r="GG87" s="11"/>
      <c r="GH87" s="11"/>
      <c r="GI87" s="11"/>
      <c r="GJ87" s="11"/>
      <c r="GK87" s="11"/>
      <c r="GL87" s="11"/>
      <c r="GM87" s="11"/>
      <c r="GN87" s="11"/>
      <c r="GO87" s="11"/>
      <c r="GP87" s="152"/>
    </row>
    <row r="88" spans="1:198" x14ac:dyDescent="0.2">
      <c r="A88" s="74" t="s">
        <v>1815</v>
      </c>
      <c r="B88" s="11" t="str">
        <f t="shared" si="3"/>
        <v>-</v>
      </c>
      <c r="C88" s="11" t="s">
        <v>1235</v>
      </c>
      <c r="D88" s="11"/>
      <c r="E88" s="11"/>
      <c r="F88" s="11" t="s">
        <v>2812</v>
      </c>
      <c r="G88" s="213"/>
      <c r="H88" s="11" t="s">
        <v>1235</v>
      </c>
      <c r="I88" s="11"/>
      <c r="J88" s="11"/>
      <c r="K88" s="11"/>
      <c r="L88" s="11"/>
      <c r="M88" s="11"/>
      <c r="N88" s="11"/>
      <c r="O88" s="11"/>
      <c r="P88" s="11"/>
      <c r="Q88" s="11"/>
      <c r="R88" s="11"/>
      <c r="S88" s="11"/>
      <c r="T88" s="11"/>
      <c r="U88" s="11"/>
      <c r="V88" s="11"/>
      <c r="W88" s="11"/>
      <c r="X88" s="11"/>
      <c r="Y88" s="213"/>
      <c r="Z88" s="11" t="s">
        <v>1235</v>
      </c>
      <c r="AA88" s="11"/>
      <c r="AB88" s="11"/>
      <c r="AC88" s="11" t="s">
        <v>1235</v>
      </c>
      <c r="AD88" s="11"/>
      <c r="AE88" s="11"/>
      <c r="AF88" s="11"/>
      <c r="AG88" s="11"/>
      <c r="AH88" s="11"/>
      <c r="AI88" s="11"/>
      <c r="AJ88" s="11"/>
      <c r="AK88" s="11"/>
      <c r="AL88" s="11"/>
      <c r="AM88" s="11"/>
      <c r="AN88" s="11"/>
      <c r="AO88" s="11"/>
      <c r="AP88" s="11"/>
      <c r="AQ88" s="11"/>
      <c r="AR88" s="11"/>
      <c r="AS88" s="11"/>
      <c r="AT88" s="213"/>
      <c r="AU88" s="11"/>
      <c r="AV88" s="11"/>
      <c r="AW88" s="11"/>
      <c r="AX88" s="11"/>
      <c r="AY88" s="11"/>
      <c r="AZ88" s="11"/>
      <c r="BA88" s="11"/>
      <c r="BB88" s="11"/>
      <c r="BC88" s="11"/>
      <c r="BD88" s="11"/>
      <c r="BE88" s="213"/>
      <c r="BF88" s="11"/>
      <c r="BG88" s="11"/>
      <c r="BH88" s="11"/>
      <c r="BI88" s="11"/>
      <c r="BJ88" s="11"/>
      <c r="BK88" s="11"/>
      <c r="BL88" s="11"/>
      <c r="BM88" s="11"/>
      <c r="BN88" s="11"/>
      <c r="BO88" s="11"/>
      <c r="BP88" s="11"/>
      <c r="BQ88" s="213"/>
      <c r="BR88" s="11"/>
      <c r="BS88" s="11"/>
      <c r="BT88" s="11"/>
      <c r="BU88" s="11"/>
      <c r="BV88" s="11"/>
      <c r="BW88" s="11"/>
      <c r="BX88" s="11"/>
      <c r="BY88" s="11"/>
      <c r="BZ88" s="11"/>
      <c r="CA88" s="195"/>
      <c r="CB88" s="11"/>
      <c r="CC88" s="11"/>
      <c r="CD88" s="11"/>
      <c r="CE88" s="11"/>
      <c r="CF88" s="11"/>
      <c r="CG88" s="11"/>
      <c r="CH88" s="11"/>
      <c r="CI88" s="11"/>
      <c r="CJ88" s="11"/>
      <c r="CK88" s="213"/>
      <c r="CL88" s="11"/>
      <c r="CM88" s="11"/>
      <c r="CN88" s="11"/>
      <c r="CO88" s="11"/>
      <c r="CP88" s="11"/>
      <c r="CQ88" s="11"/>
      <c r="CR88" s="11"/>
      <c r="CS88" s="11"/>
      <c r="CT88" s="11"/>
      <c r="CU88" s="11"/>
      <c r="CV88" s="11"/>
      <c r="CW88" s="213"/>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213"/>
      <c r="EM88" s="11"/>
      <c r="EN88" s="11"/>
      <c r="EO88" s="11"/>
      <c r="EP88" s="11"/>
      <c r="EQ88" s="11"/>
      <c r="ER88" s="11"/>
      <c r="ES88" s="11"/>
      <c r="ET88" s="11"/>
      <c r="EU88" s="11"/>
      <c r="EV88" s="11"/>
      <c r="EW88" s="213" t="s">
        <v>1235</v>
      </c>
      <c r="EX88" s="11"/>
      <c r="EY88" s="11"/>
      <c r="EZ88" s="11"/>
      <c r="FA88" s="213"/>
      <c r="FB88" s="11"/>
      <c r="FC88" s="11"/>
      <c r="FD88" s="11"/>
      <c r="FE88" s="11"/>
      <c r="FF88" s="11"/>
      <c r="FG88" s="11"/>
      <c r="FH88" s="11"/>
      <c r="FI88" s="213"/>
      <c r="FJ88" s="11"/>
      <c r="FK88" s="11"/>
      <c r="FL88" s="11"/>
      <c r="FM88" s="11"/>
      <c r="FN88" s="11"/>
      <c r="FO88" s="11"/>
      <c r="FP88" s="11"/>
      <c r="FQ88" s="11"/>
      <c r="FR88" s="11"/>
      <c r="FS88" s="11"/>
      <c r="FT88" s="213"/>
      <c r="FU88" s="11"/>
      <c r="FV88" s="11"/>
      <c r="FW88" s="11"/>
      <c r="FX88" s="11"/>
      <c r="FY88" s="11"/>
      <c r="FZ88" s="213"/>
      <c r="GA88" s="11"/>
      <c r="GB88" s="11"/>
      <c r="GC88" s="11"/>
      <c r="GD88" s="11"/>
      <c r="GE88" s="11"/>
      <c r="GF88" s="11"/>
      <c r="GG88" s="11"/>
      <c r="GH88" s="11"/>
      <c r="GI88" s="11"/>
      <c r="GJ88" s="11"/>
      <c r="GK88" s="11"/>
      <c r="GL88" s="11"/>
      <c r="GM88" s="11"/>
      <c r="GN88" s="11"/>
      <c r="GO88" s="11"/>
      <c r="GP88" s="152"/>
    </row>
    <row r="89" spans="1:198" x14ac:dyDescent="0.2">
      <c r="A89" s="74" t="s">
        <v>1817</v>
      </c>
      <c r="B89" s="11" t="str">
        <f t="shared" si="3"/>
        <v>-</v>
      </c>
      <c r="C89" s="11" t="s">
        <v>1235</v>
      </c>
      <c r="D89" s="11"/>
      <c r="E89" s="11"/>
      <c r="F89" s="11" t="s">
        <v>2812</v>
      </c>
      <c r="G89" s="213"/>
      <c r="H89" s="11" t="s">
        <v>1235</v>
      </c>
      <c r="I89" s="11"/>
      <c r="J89" s="11"/>
      <c r="K89" s="11"/>
      <c r="L89" s="11"/>
      <c r="M89" s="11"/>
      <c r="N89" s="11"/>
      <c r="O89" s="11"/>
      <c r="P89" s="11"/>
      <c r="Q89" s="11" t="s">
        <v>1235</v>
      </c>
      <c r="R89" s="11"/>
      <c r="S89" s="11"/>
      <c r="T89" s="11"/>
      <c r="U89" s="11"/>
      <c r="V89" s="11"/>
      <c r="W89" s="11"/>
      <c r="X89" s="11"/>
      <c r="Y89" s="213"/>
      <c r="Z89" s="11" t="s">
        <v>1235</v>
      </c>
      <c r="AA89" s="11"/>
      <c r="AB89" s="11"/>
      <c r="AC89" s="11" t="s">
        <v>1235</v>
      </c>
      <c r="AD89" s="11"/>
      <c r="AE89" s="11"/>
      <c r="AF89" s="11"/>
      <c r="AG89" s="11"/>
      <c r="AH89" s="11"/>
      <c r="AI89" s="11"/>
      <c r="AJ89" s="11"/>
      <c r="AK89" s="11"/>
      <c r="AL89" s="11"/>
      <c r="AM89" s="11"/>
      <c r="AN89" s="11"/>
      <c r="AO89" s="11"/>
      <c r="AP89" s="11"/>
      <c r="AQ89" s="11"/>
      <c r="AR89" s="11"/>
      <c r="AS89" s="11"/>
      <c r="AT89" s="213"/>
      <c r="AU89" s="11"/>
      <c r="AV89" s="11"/>
      <c r="AW89" s="11"/>
      <c r="AX89" s="11"/>
      <c r="AY89" s="11"/>
      <c r="AZ89" s="11"/>
      <c r="BA89" s="11"/>
      <c r="BB89" s="11"/>
      <c r="BC89" s="11"/>
      <c r="BD89" s="11"/>
      <c r="BE89" s="213"/>
      <c r="BF89" s="11"/>
      <c r="BG89" s="11"/>
      <c r="BH89" s="11"/>
      <c r="BI89" s="11"/>
      <c r="BJ89" s="11"/>
      <c r="BK89" s="11"/>
      <c r="BL89" s="11"/>
      <c r="BM89" s="11"/>
      <c r="BN89" s="11"/>
      <c r="BO89" s="11"/>
      <c r="BP89" s="11"/>
      <c r="BQ89" s="213"/>
      <c r="BR89" s="11" t="s">
        <v>1235</v>
      </c>
      <c r="BS89" s="11"/>
      <c r="BT89" s="11" t="s">
        <v>1235</v>
      </c>
      <c r="BU89" s="11"/>
      <c r="BV89" s="11"/>
      <c r="BW89" s="11"/>
      <c r="BX89" s="11"/>
      <c r="BY89" s="11"/>
      <c r="BZ89" s="11"/>
      <c r="CA89" s="195"/>
      <c r="CB89" s="11"/>
      <c r="CC89" s="11"/>
      <c r="CD89" s="11"/>
      <c r="CE89" s="11"/>
      <c r="CF89" s="11"/>
      <c r="CG89" s="11"/>
      <c r="CH89" s="11"/>
      <c r="CI89" s="11"/>
      <c r="CJ89" s="11"/>
      <c r="CK89" s="213"/>
      <c r="CL89" s="11"/>
      <c r="CM89" s="11"/>
      <c r="CN89" s="11"/>
      <c r="CO89" s="11"/>
      <c r="CP89" s="11"/>
      <c r="CQ89" s="11"/>
      <c r="CR89" s="11"/>
      <c r="CS89" s="11"/>
      <c r="CT89" s="11"/>
      <c r="CU89" s="11"/>
      <c r="CV89" s="11"/>
      <c r="CW89" s="213"/>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213"/>
      <c r="EM89" s="11"/>
      <c r="EN89" s="11"/>
      <c r="EO89" s="11"/>
      <c r="EP89" s="11"/>
      <c r="EQ89" s="11"/>
      <c r="ER89" s="11"/>
      <c r="ES89" s="11"/>
      <c r="ET89" s="11"/>
      <c r="EU89" s="11"/>
      <c r="EV89" s="11"/>
      <c r="EW89" s="213"/>
      <c r="EX89" s="11"/>
      <c r="EY89" s="11"/>
      <c r="EZ89" s="11"/>
      <c r="FA89" s="213"/>
      <c r="FB89" s="11"/>
      <c r="FC89" s="11"/>
      <c r="FD89" s="11"/>
      <c r="FE89" s="11"/>
      <c r="FF89" s="11"/>
      <c r="FG89" s="11"/>
      <c r="FH89" s="11"/>
      <c r="FI89" s="213"/>
      <c r="FJ89" s="11"/>
      <c r="FK89" s="11"/>
      <c r="FL89" s="11"/>
      <c r="FM89" s="11"/>
      <c r="FN89" s="11"/>
      <c r="FO89" s="11"/>
      <c r="FP89" s="11"/>
      <c r="FQ89" s="11"/>
      <c r="FR89" s="11"/>
      <c r="FS89" s="11"/>
      <c r="FT89" s="213"/>
      <c r="FU89" s="11"/>
      <c r="FV89" s="11"/>
      <c r="FW89" s="11"/>
      <c r="FX89" s="11"/>
      <c r="FY89" s="11"/>
      <c r="FZ89" s="213"/>
      <c r="GA89" s="11"/>
      <c r="GB89" s="11"/>
      <c r="GC89" s="11"/>
      <c r="GD89" s="11"/>
      <c r="GE89" s="11"/>
      <c r="GF89" s="11"/>
      <c r="GG89" s="11"/>
      <c r="GH89" s="11"/>
      <c r="GI89" s="11"/>
      <c r="GJ89" s="11"/>
      <c r="GK89" s="11"/>
      <c r="GL89" s="11"/>
      <c r="GM89" s="11"/>
      <c r="GN89" s="11"/>
      <c r="GO89" s="11"/>
      <c r="GP89" s="152"/>
    </row>
    <row r="90" spans="1:198" x14ac:dyDescent="0.2">
      <c r="A90" s="73" t="s">
        <v>1819</v>
      </c>
      <c r="B90" s="11" t="str">
        <f t="shared" si="3"/>
        <v>-</v>
      </c>
      <c r="C90" s="11" t="s">
        <v>1235</v>
      </c>
      <c r="D90" s="11"/>
      <c r="E90" s="11"/>
      <c r="F90" s="11" t="s">
        <v>2811</v>
      </c>
      <c r="G90" s="213"/>
      <c r="H90" s="11" t="s">
        <v>1235</v>
      </c>
      <c r="I90" s="11"/>
      <c r="J90" s="11"/>
      <c r="K90" s="11"/>
      <c r="L90" s="11"/>
      <c r="M90" s="11"/>
      <c r="N90" s="11"/>
      <c r="O90" s="11"/>
      <c r="P90" s="11"/>
      <c r="Q90" s="11"/>
      <c r="R90" s="11"/>
      <c r="S90" s="11"/>
      <c r="T90" s="11"/>
      <c r="U90" s="11"/>
      <c r="V90" s="11"/>
      <c r="W90" s="11"/>
      <c r="X90" s="11"/>
      <c r="Y90" s="213"/>
      <c r="Z90" s="11"/>
      <c r="AA90" s="11"/>
      <c r="AB90" s="11"/>
      <c r="AC90" s="11"/>
      <c r="AD90" s="11"/>
      <c r="AE90" s="11"/>
      <c r="AF90" s="11"/>
      <c r="AG90" s="11"/>
      <c r="AH90" s="11"/>
      <c r="AI90" s="11"/>
      <c r="AJ90" s="11"/>
      <c r="AK90" s="11"/>
      <c r="AL90" s="11"/>
      <c r="AM90" s="11"/>
      <c r="AN90" s="11"/>
      <c r="AO90" s="11"/>
      <c r="AP90" s="11"/>
      <c r="AQ90" s="11"/>
      <c r="AR90" s="11"/>
      <c r="AS90" s="11"/>
      <c r="AT90" s="213"/>
      <c r="AU90" s="11"/>
      <c r="AV90" s="11"/>
      <c r="AW90" s="11"/>
      <c r="AX90" s="11"/>
      <c r="AY90" s="11"/>
      <c r="AZ90" s="11" t="s">
        <v>1235</v>
      </c>
      <c r="BA90" s="11"/>
      <c r="BB90" s="11"/>
      <c r="BC90" s="11"/>
      <c r="BD90" s="11"/>
      <c r="BE90" s="213"/>
      <c r="BF90" s="11"/>
      <c r="BG90" s="11"/>
      <c r="BH90" s="11"/>
      <c r="BI90" s="11"/>
      <c r="BJ90" s="11"/>
      <c r="BK90" s="11"/>
      <c r="BL90" s="11"/>
      <c r="BM90" s="11"/>
      <c r="BN90" s="11"/>
      <c r="BO90" s="11"/>
      <c r="BP90" s="11" t="s">
        <v>1235</v>
      </c>
      <c r="BQ90" s="213"/>
      <c r="BR90" s="11"/>
      <c r="BS90" s="11"/>
      <c r="BT90" s="11" t="s">
        <v>1235</v>
      </c>
      <c r="BU90" s="11"/>
      <c r="BV90" s="11"/>
      <c r="BW90" s="11"/>
      <c r="BX90" s="11"/>
      <c r="BY90" s="11"/>
      <c r="BZ90" s="11"/>
      <c r="CA90" s="195"/>
      <c r="CB90" s="11"/>
      <c r="CC90" s="11"/>
      <c r="CD90" s="11"/>
      <c r="CE90" s="11"/>
      <c r="CF90" s="11"/>
      <c r="CG90" s="11"/>
      <c r="CH90" s="11"/>
      <c r="CI90" s="11"/>
      <c r="CJ90" s="11"/>
      <c r="CK90" s="213"/>
      <c r="CL90" s="11"/>
      <c r="CM90" s="11"/>
      <c r="CN90" s="11"/>
      <c r="CO90" s="11"/>
      <c r="CP90" s="11"/>
      <c r="CQ90" s="11"/>
      <c r="CR90" s="11"/>
      <c r="CS90" s="11"/>
      <c r="CT90" s="11"/>
      <c r="CU90" s="11"/>
      <c r="CV90" s="11"/>
      <c r="CW90" s="213"/>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213"/>
      <c r="EM90" s="11"/>
      <c r="EN90" s="11"/>
      <c r="EO90" s="11"/>
      <c r="EP90" s="11"/>
      <c r="EQ90" s="11"/>
      <c r="ER90" s="11"/>
      <c r="ES90" s="11"/>
      <c r="ET90" s="11"/>
      <c r="EU90" s="11"/>
      <c r="EV90" s="11"/>
      <c r="EW90" s="213" t="s">
        <v>1235</v>
      </c>
      <c r="EX90" s="11"/>
      <c r="EY90" s="11"/>
      <c r="EZ90" s="11"/>
      <c r="FA90" s="213"/>
      <c r="FB90" s="11"/>
      <c r="FC90" s="11"/>
      <c r="FD90" s="11"/>
      <c r="FE90" s="11"/>
      <c r="FF90" s="11"/>
      <c r="FG90" s="11"/>
      <c r="FH90" s="11"/>
      <c r="FI90" s="213"/>
      <c r="FJ90" s="11"/>
      <c r="FK90" s="11"/>
      <c r="FL90" s="11"/>
      <c r="FM90" s="11"/>
      <c r="FN90" s="11"/>
      <c r="FO90" s="11"/>
      <c r="FP90" s="11"/>
      <c r="FQ90" s="11"/>
      <c r="FR90" s="11"/>
      <c r="FS90" s="11"/>
      <c r="FT90" s="213"/>
      <c r="FU90" s="11"/>
      <c r="FV90" s="11"/>
      <c r="FW90" s="11"/>
      <c r="FX90" s="11"/>
      <c r="FY90" s="11"/>
      <c r="FZ90" s="213"/>
      <c r="GA90" s="11"/>
      <c r="GB90" s="11"/>
      <c r="GC90" s="11"/>
      <c r="GD90" s="11"/>
      <c r="GE90" s="11"/>
      <c r="GF90" s="11"/>
      <c r="GG90" s="11"/>
      <c r="GH90" s="11"/>
      <c r="GI90" s="11"/>
      <c r="GJ90" s="11"/>
      <c r="GK90" s="11"/>
      <c r="GL90" s="11"/>
      <c r="GM90" s="11"/>
      <c r="GN90" s="11"/>
      <c r="GO90" s="11"/>
      <c r="GP90" s="152"/>
    </row>
    <row r="91" spans="1:198" x14ac:dyDescent="0.2">
      <c r="A91" s="73" t="s">
        <v>1823</v>
      </c>
      <c r="B91" s="11" t="str">
        <f t="shared" si="3"/>
        <v>-</v>
      </c>
      <c r="C91" s="11"/>
      <c r="D91" s="11" t="s">
        <v>1235</v>
      </c>
      <c r="E91" s="11"/>
      <c r="F91" s="11" t="s">
        <v>2811</v>
      </c>
      <c r="G91" s="213"/>
      <c r="H91" s="11"/>
      <c r="I91" s="11"/>
      <c r="J91" s="11"/>
      <c r="K91" s="11"/>
      <c r="L91" s="11"/>
      <c r="M91" s="11"/>
      <c r="N91" s="11"/>
      <c r="O91" s="11"/>
      <c r="P91" s="11"/>
      <c r="Q91" s="11" t="s">
        <v>1235</v>
      </c>
      <c r="R91" s="11"/>
      <c r="S91" s="11"/>
      <c r="T91" s="11"/>
      <c r="U91" s="11"/>
      <c r="V91" s="11"/>
      <c r="W91" s="11" t="s">
        <v>1235</v>
      </c>
      <c r="X91" s="11"/>
      <c r="Y91" s="213"/>
      <c r="Z91" s="11" t="s">
        <v>1235</v>
      </c>
      <c r="AA91" s="11" t="s">
        <v>1235</v>
      </c>
      <c r="AB91" s="11"/>
      <c r="AC91" s="11"/>
      <c r="AD91" s="11"/>
      <c r="AE91" s="11"/>
      <c r="AF91" s="11"/>
      <c r="AG91" s="11"/>
      <c r="AH91" s="11"/>
      <c r="AI91" s="11"/>
      <c r="AJ91" s="11"/>
      <c r="AK91" s="11"/>
      <c r="AL91" s="11"/>
      <c r="AM91" s="11"/>
      <c r="AN91" s="11"/>
      <c r="AO91" s="11"/>
      <c r="AP91" s="11"/>
      <c r="AQ91" s="11"/>
      <c r="AR91" s="11"/>
      <c r="AS91" s="11"/>
      <c r="AT91" s="213"/>
      <c r="AU91" s="11"/>
      <c r="AV91" s="11"/>
      <c r="AW91" s="11"/>
      <c r="AX91" s="11"/>
      <c r="AY91" s="11" t="s">
        <v>1235</v>
      </c>
      <c r="AZ91" s="11"/>
      <c r="BA91" s="11"/>
      <c r="BB91" s="11"/>
      <c r="BC91" s="11"/>
      <c r="BD91" s="11"/>
      <c r="BE91" s="213"/>
      <c r="BF91" s="11"/>
      <c r="BG91" s="11"/>
      <c r="BH91" s="11"/>
      <c r="BI91" s="11"/>
      <c r="BJ91" s="11"/>
      <c r="BK91" s="11"/>
      <c r="BL91" s="11"/>
      <c r="BM91" s="11"/>
      <c r="BN91" s="11"/>
      <c r="BO91" s="11"/>
      <c r="BP91" s="11"/>
      <c r="BQ91" s="213"/>
      <c r="BR91" s="11"/>
      <c r="BS91" s="11"/>
      <c r="BT91" s="11"/>
      <c r="BU91" s="11"/>
      <c r="BV91" s="11"/>
      <c r="BW91" s="11"/>
      <c r="BX91" s="11"/>
      <c r="BY91" s="11"/>
      <c r="BZ91" s="11"/>
      <c r="CA91" s="195"/>
      <c r="CB91" s="11"/>
      <c r="CC91" s="11"/>
      <c r="CD91" s="11"/>
      <c r="CE91" s="11"/>
      <c r="CF91" s="11"/>
      <c r="CG91" s="11"/>
      <c r="CH91" s="11"/>
      <c r="CI91" s="11"/>
      <c r="CJ91" s="11"/>
      <c r="CK91" s="213" t="s">
        <v>1235</v>
      </c>
      <c r="CL91" s="11"/>
      <c r="CM91" s="11"/>
      <c r="CN91" s="11"/>
      <c r="CO91" s="11"/>
      <c r="CP91" s="11"/>
      <c r="CQ91" s="11"/>
      <c r="CR91" s="11"/>
      <c r="CS91" s="11"/>
      <c r="CT91" s="11"/>
      <c r="CU91" s="11"/>
      <c r="CV91" s="11"/>
      <c r="CW91" s="213"/>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213"/>
      <c r="EM91" s="11"/>
      <c r="EN91" s="11"/>
      <c r="EO91" s="11"/>
      <c r="EP91" s="11"/>
      <c r="EQ91" s="11"/>
      <c r="ER91" s="11"/>
      <c r="ES91" s="11"/>
      <c r="ET91" s="11"/>
      <c r="EU91" s="11"/>
      <c r="EV91" s="11"/>
      <c r="EW91" s="213"/>
      <c r="EX91" s="11"/>
      <c r="EY91" s="11"/>
      <c r="EZ91" s="11"/>
      <c r="FA91" s="213"/>
      <c r="FB91" s="11"/>
      <c r="FC91" s="11"/>
      <c r="FD91" s="11"/>
      <c r="FE91" s="11"/>
      <c r="FF91" s="11"/>
      <c r="FG91" s="11"/>
      <c r="FH91" s="11"/>
      <c r="FI91" s="213"/>
      <c r="FJ91" s="11"/>
      <c r="FK91" s="11"/>
      <c r="FL91" s="11"/>
      <c r="FM91" s="11"/>
      <c r="FN91" s="11"/>
      <c r="FO91" s="11"/>
      <c r="FP91" s="11"/>
      <c r="FQ91" s="11"/>
      <c r="FR91" s="11"/>
      <c r="FS91" s="11"/>
      <c r="FT91" s="213"/>
      <c r="FU91" s="11"/>
      <c r="FV91" s="11"/>
      <c r="FW91" s="11"/>
      <c r="FX91" s="11"/>
      <c r="FY91" s="11"/>
      <c r="FZ91" s="213"/>
      <c r="GA91" s="11"/>
      <c r="GB91" s="11"/>
      <c r="GC91" s="11"/>
      <c r="GD91" s="11"/>
      <c r="GE91" s="11"/>
      <c r="GF91" s="11"/>
      <c r="GG91" s="11"/>
      <c r="GH91" s="11"/>
      <c r="GI91" s="11"/>
      <c r="GJ91" s="11"/>
      <c r="GK91" s="11"/>
      <c r="GL91" s="11"/>
      <c r="GM91" s="11"/>
      <c r="GN91" s="11"/>
      <c r="GO91" s="11"/>
      <c r="GP91" s="152"/>
    </row>
    <row r="92" spans="1:198" x14ac:dyDescent="0.2">
      <c r="A92" s="73" t="s">
        <v>1825</v>
      </c>
      <c r="B92" s="11" t="str">
        <f t="shared" si="3"/>
        <v>-</v>
      </c>
      <c r="C92" s="11" t="s">
        <v>1235</v>
      </c>
      <c r="D92" s="11"/>
      <c r="E92" s="11"/>
      <c r="F92" s="11" t="s">
        <v>2811</v>
      </c>
      <c r="G92" s="213"/>
      <c r="H92" s="11" t="s">
        <v>1235</v>
      </c>
      <c r="I92" s="11"/>
      <c r="J92" s="11"/>
      <c r="K92" s="11"/>
      <c r="L92" s="11"/>
      <c r="M92" s="11"/>
      <c r="N92" s="11"/>
      <c r="O92" s="11"/>
      <c r="P92" s="11"/>
      <c r="Q92" s="11"/>
      <c r="R92" s="11"/>
      <c r="S92" s="11"/>
      <c r="T92" s="11"/>
      <c r="U92" s="11"/>
      <c r="V92" s="11"/>
      <c r="W92" s="11"/>
      <c r="X92" s="11"/>
      <c r="Y92" s="213"/>
      <c r="Z92" s="11" t="s">
        <v>1235</v>
      </c>
      <c r="AA92" s="11"/>
      <c r="AB92" s="11"/>
      <c r="AC92" s="11"/>
      <c r="AD92" s="11"/>
      <c r="AE92" s="11"/>
      <c r="AF92" s="11"/>
      <c r="AG92" s="11"/>
      <c r="AH92" s="11"/>
      <c r="AI92" s="11"/>
      <c r="AJ92" s="11"/>
      <c r="AK92" s="11"/>
      <c r="AL92" s="11"/>
      <c r="AM92" s="11"/>
      <c r="AN92" s="11"/>
      <c r="AO92" s="11"/>
      <c r="AP92" s="11"/>
      <c r="AQ92" s="11"/>
      <c r="AR92" s="11"/>
      <c r="AS92" s="11"/>
      <c r="AT92" s="213"/>
      <c r="AU92" s="11"/>
      <c r="AV92" s="11"/>
      <c r="AW92" s="11"/>
      <c r="AX92" s="11"/>
      <c r="AY92" s="11"/>
      <c r="AZ92" s="11"/>
      <c r="BA92" s="11"/>
      <c r="BB92" s="11"/>
      <c r="BC92" s="11"/>
      <c r="BD92" s="11"/>
      <c r="BE92" s="213"/>
      <c r="BF92" s="11"/>
      <c r="BG92" s="11"/>
      <c r="BH92" s="11"/>
      <c r="BI92" s="11"/>
      <c r="BJ92" s="11"/>
      <c r="BK92" s="11"/>
      <c r="BL92" s="11"/>
      <c r="BM92" s="11"/>
      <c r="BN92" s="11"/>
      <c r="BO92" s="11"/>
      <c r="BP92" s="11"/>
      <c r="BQ92" s="213"/>
      <c r="BR92" s="11"/>
      <c r="BS92" s="11"/>
      <c r="BT92" s="11"/>
      <c r="BU92" s="11"/>
      <c r="BV92" s="11"/>
      <c r="BW92" s="11"/>
      <c r="BX92" s="11"/>
      <c r="BY92" s="11"/>
      <c r="BZ92" s="11"/>
      <c r="CA92" s="195"/>
      <c r="CB92" s="11"/>
      <c r="CC92" s="11"/>
      <c r="CD92" s="11"/>
      <c r="CE92" s="11"/>
      <c r="CF92" s="11"/>
      <c r="CG92" s="11"/>
      <c r="CH92" s="11"/>
      <c r="CI92" s="11"/>
      <c r="CJ92" s="11"/>
      <c r="CK92" s="213"/>
      <c r="CL92" s="11"/>
      <c r="CM92" s="11"/>
      <c r="CN92" s="11"/>
      <c r="CO92" s="11"/>
      <c r="CP92" s="11"/>
      <c r="CQ92" s="11"/>
      <c r="CR92" s="11"/>
      <c r="CS92" s="11"/>
      <c r="CT92" s="11"/>
      <c r="CU92" s="11"/>
      <c r="CV92" s="11"/>
      <c r="CW92" s="213"/>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213"/>
      <c r="EM92" s="11"/>
      <c r="EN92" s="11"/>
      <c r="EO92" s="11"/>
      <c r="EP92" s="11"/>
      <c r="EQ92" s="11"/>
      <c r="ER92" s="11"/>
      <c r="ES92" s="11"/>
      <c r="ET92" s="11"/>
      <c r="EU92" s="11"/>
      <c r="EV92" s="11"/>
      <c r="EW92" s="213"/>
      <c r="EX92" s="11"/>
      <c r="EY92" s="11"/>
      <c r="EZ92" s="11"/>
      <c r="FA92" s="213"/>
      <c r="FB92" s="11"/>
      <c r="FC92" s="11"/>
      <c r="FD92" s="11"/>
      <c r="FE92" s="11"/>
      <c r="FF92" s="11"/>
      <c r="FG92" s="11"/>
      <c r="FH92" s="11"/>
      <c r="FI92" s="213"/>
      <c r="FJ92" s="11"/>
      <c r="FK92" s="11"/>
      <c r="FL92" s="11"/>
      <c r="FM92" s="11"/>
      <c r="FN92" s="11"/>
      <c r="FO92" s="11"/>
      <c r="FP92" s="11"/>
      <c r="FQ92" s="11"/>
      <c r="FR92" s="11"/>
      <c r="FS92" s="11"/>
      <c r="FT92" s="213"/>
      <c r="FU92" s="11"/>
      <c r="FV92" s="11"/>
      <c r="FW92" s="11"/>
      <c r="FX92" s="11"/>
      <c r="FY92" s="11"/>
      <c r="FZ92" s="213"/>
      <c r="GA92" s="11"/>
      <c r="GB92" s="11"/>
      <c r="GC92" s="11"/>
      <c r="GD92" s="11"/>
      <c r="GE92" s="11"/>
      <c r="GF92" s="11"/>
      <c r="GG92" s="11"/>
      <c r="GH92" s="11"/>
      <c r="GI92" s="11"/>
      <c r="GJ92" s="11"/>
      <c r="GK92" s="11"/>
      <c r="GL92" s="11"/>
      <c r="GM92" s="11"/>
      <c r="GN92" s="11"/>
      <c r="GO92" s="11"/>
      <c r="GP92" s="152"/>
    </row>
    <row r="93" spans="1:198" x14ac:dyDescent="0.2">
      <c r="A93" s="74" t="s">
        <v>1827</v>
      </c>
      <c r="B93" s="11" t="str">
        <f>IF(AND(ISTEXT("https://github.com/toolstemp/Iacontract"),"https://github.com/toolstemp/Iacontract"&lt;&gt;""), HYPERLINK("https://github.com/toolstemp/Iacontract", "Link"),"-")</f>
        <v>Link</v>
      </c>
      <c r="C93" s="11" t="s">
        <v>1235</v>
      </c>
      <c r="D93" s="11"/>
      <c r="E93" s="11" t="s">
        <v>1235</v>
      </c>
      <c r="F93" s="11" t="s">
        <v>2812</v>
      </c>
      <c r="G93" s="213"/>
      <c r="H93" s="11" t="s">
        <v>1235</v>
      </c>
      <c r="I93" s="11"/>
      <c r="J93" s="11"/>
      <c r="K93" s="11"/>
      <c r="L93" s="11"/>
      <c r="M93" s="11"/>
      <c r="N93" s="11"/>
      <c r="O93" s="11"/>
      <c r="P93" s="11"/>
      <c r="Q93" s="11"/>
      <c r="R93" s="11"/>
      <c r="S93" s="11"/>
      <c r="T93" s="11"/>
      <c r="U93" s="11"/>
      <c r="V93" s="11"/>
      <c r="W93" s="11"/>
      <c r="X93" s="11"/>
      <c r="Y93" s="213"/>
      <c r="Z93" s="11"/>
      <c r="AA93" s="11"/>
      <c r="AB93" s="11"/>
      <c r="AC93" s="11"/>
      <c r="AD93" s="11"/>
      <c r="AE93" s="11"/>
      <c r="AF93" s="11"/>
      <c r="AG93" s="11"/>
      <c r="AH93" s="11"/>
      <c r="AI93" s="11"/>
      <c r="AJ93" s="11"/>
      <c r="AK93" s="11"/>
      <c r="AL93" s="11"/>
      <c r="AM93" s="11"/>
      <c r="AN93" s="11"/>
      <c r="AO93" s="11"/>
      <c r="AP93" s="11"/>
      <c r="AQ93" s="11"/>
      <c r="AR93" s="11"/>
      <c r="AS93" s="11"/>
      <c r="AT93" s="213"/>
      <c r="AU93" s="11"/>
      <c r="AV93" s="11"/>
      <c r="AW93" s="11"/>
      <c r="AX93" s="11"/>
      <c r="AY93" s="11"/>
      <c r="AZ93" s="11"/>
      <c r="BA93" s="11"/>
      <c r="BB93" s="11"/>
      <c r="BC93" s="11"/>
      <c r="BD93" s="11"/>
      <c r="BE93" s="213"/>
      <c r="BF93" s="11"/>
      <c r="BG93" s="11"/>
      <c r="BH93" s="11"/>
      <c r="BI93" s="11"/>
      <c r="BJ93" s="11"/>
      <c r="BK93" s="11"/>
      <c r="BL93" s="11"/>
      <c r="BM93" s="11"/>
      <c r="BN93" s="11"/>
      <c r="BO93" s="11"/>
      <c r="BP93" s="11"/>
      <c r="BQ93" s="213"/>
      <c r="BR93" s="11"/>
      <c r="BS93" s="11"/>
      <c r="BT93" s="11"/>
      <c r="BU93" s="11"/>
      <c r="BV93" s="11"/>
      <c r="BW93" s="11"/>
      <c r="BX93" s="11"/>
      <c r="BY93" s="11"/>
      <c r="BZ93" s="11"/>
      <c r="CA93" s="195"/>
      <c r="CB93" s="11"/>
      <c r="CC93" s="11"/>
      <c r="CD93" s="11"/>
      <c r="CE93" s="11"/>
      <c r="CF93" s="11"/>
      <c r="CG93" s="11"/>
      <c r="CH93" s="11"/>
      <c r="CI93" s="11"/>
      <c r="CJ93" s="11"/>
      <c r="CK93" s="213"/>
      <c r="CL93" s="11"/>
      <c r="CM93" s="11"/>
      <c r="CN93" s="11"/>
      <c r="CO93" s="11"/>
      <c r="CP93" s="11"/>
      <c r="CQ93" s="11"/>
      <c r="CR93" s="11"/>
      <c r="CS93" s="11"/>
      <c r="CT93" s="11"/>
      <c r="CU93" s="11"/>
      <c r="CV93" s="11"/>
      <c r="CW93" s="213"/>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213"/>
      <c r="EM93" s="11"/>
      <c r="EN93" s="11"/>
      <c r="EO93" s="11"/>
      <c r="EP93" s="11"/>
      <c r="EQ93" s="11"/>
      <c r="ER93" s="11"/>
      <c r="ES93" s="11"/>
      <c r="ET93" s="11"/>
      <c r="EU93" s="11"/>
      <c r="EV93" s="11"/>
      <c r="EW93" s="213"/>
      <c r="EX93" s="11"/>
      <c r="EY93" s="11"/>
      <c r="EZ93" s="11"/>
      <c r="FA93" s="213"/>
      <c r="FB93" s="11"/>
      <c r="FC93" s="11"/>
      <c r="FD93" s="11"/>
      <c r="FE93" s="11"/>
      <c r="FF93" s="11"/>
      <c r="FG93" s="11"/>
      <c r="FH93" s="11"/>
      <c r="FI93" s="213"/>
      <c r="FJ93" s="11"/>
      <c r="FK93" s="11"/>
      <c r="FL93" s="11"/>
      <c r="FM93" s="11"/>
      <c r="FN93" s="11"/>
      <c r="FO93" s="11"/>
      <c r="FP93" s="11"/>
      <c r="FQ93" s="11"/>
      <c r="FR93" s="11"/>
      <c r="FS93" s="11"/>
      <c r="FT93" s="213"/>
      <c r="FU93" s="11"/>
      <c r="FV93" s="11"/>
      <c r="FW93" s="11"/>
      <c r="FX93" s="11"/>
      <c r="FY93" s="11"/>
      <c r="FZ93" s="213"/>
      <c r="GA93" s="11"/>
      <c r="GB93" s="11"/>
      <c r="GC93" s="11"/>
      <c r="GD93" s="11"/>
      <c r="GE93" s="11"/>
      <c r="GF93" s="11"/>
      <c r="GG93" s="11"/>
      <c r="GH93" s="11"/>
      <c r="GI93" s="11"/>
      <c r="GJ93" s="11"/>
      <c r="GK93" s="11"/>
      <c r="GL93" s="11"/>
      <c r="GM93" s="11"/>
      <c r="GN93" s="11"/>
      <c r="GO93" s="11"/>
      <c r="GP93" s="152"/>
    </row>
    <row r="94" spans="1:198" x14ac:dyDescent="0.2">
      <c r="A94" s="74" t="s">
        <v>1829</v>
      </c>
      <c r="B94" s="11" t="str">
        <f>IF(AND(ISTEXT(""),""&lt;&gt;""), HYPERLINK("", "Link"),"-")</f>
        <v>-</v>
      </c>
      <c r="C94" s="11" t="s">
        <v>1235</v>
      </c>
      <c r="D94" s="11"/>
      <c r="E94" s="11"/>
      <c r="F94" s="11" t="s">
        <v>2812</v>
      </c>
      <c r="G94" s="213"/>
      <c r="H94" s="11" t="s">
        <v>1235</v>
      </c>
      <c r="I94" s="11"/>
      <c r="J94" s="11"/>
      <c r="K94" s="11"/>
      <c r="L94" s="11"/>
      <c r="M94" s="11"/>
      <c r="N94" s="11"/>
      <c r="O94" s="11"/>
      <c r="P94" s="11"/>
      <c r="Q94" s="11"/>
      <c r="R94" s="11"/>
      <c r="S94" s="11"/>
      <c r="T94" s="11"/>
      <c r="U94" s="11"/>
      <c r="V94" s="11"/>
      <c r="W94" s="11"/>
      <c r="X94" s="11"/>
      <c r="Y94" s="213" t="s">
        <v>1235</v>
      </c>
      <c r="Z94" s="11" t="s">
        <v>1235</v>
      </c>
      <c r="AA94" s="11"/>
      <c r="AB94" s="11"/>
      <c r="AC94" s="11"/>
      <c r="AD94" s="11"/>
      <c r="AE94" s="11"/>
      <c r="AF94" s="11"/>
      <c r="AG94" s="11"/>
      <c r="AH94" s="11"/>
      <c r="AI94" s="11"/>
      <c r="AJ94" s="11"/>
      <c r="AK94" s="11"/>
      <c r="AL94" s="11"/>
      <c r="AM94" s="11"/>
      <c r="AN94" s="11"/>
      <c r="AO94" s="11"/>
      <c r="AP94" s="11"/>
      <c r="AQ94" s="11"/>
      <c r="AR94" s="11"/>
      <c r="AS94" s="11"/>
      <c r="AT94" s="213"/>
      <c r="AU94" s="11"/>
      <c r="AV94" s="11"/>
      <c r="AW94" s="11"/>
      <c r="AX94" s="11"/>
      <c r="AY94" s="11"/>
      <c r="AZ94" s="11"/>
      <c r="BA94" s="11"/>
      <c r="BB94" s="11"/>
      <c r="BC94" s="11"/>
      <c r="BD94" s="11"/>
      <c r="BE94" s="213"/>
      <c r="BF94" s="11"/>
      <c r="BG94" s="11"/>
      <c r="BH94" s="11"/>
      <c r="BI94" s="11"/>
      <c r="BJ94" s="11"/>
      <c r="BK94" s="11"/>
      <c r="BL94" s="11"/>
      <c r="BM94" s="11"/>
      <c r="BN94" s="11"/>
      <c r="BO94" s="11"/>
      <c r="BP94" s="11"/>
      <c r="BQ94" s="213"/>
      <c r="BR94" s="11" t="s">
        <v>1235</v>
      </c>
      <c r="BS94" s="11"/>
      <c r="BT94" s="11"/>
      <c r="BU94" s="11"/>
      <c r="BV94" s="11"/>
      <c r="BW94" s="11"/>
      <c r="BX94" s="11"/>
      <c r="BY94" s="11"/>
      <c r="BZ94" s="11"/>
      <c r="CA94" s="195"/>
      <c r="CB94" s="11"/>
      <c r="CC94" s="11"/>
      <c r="CD94" s="11"/>
      <c r="CE94" s="11"/>
      <c r="CF94" s="11"/>
      <c r="CG94" s="11"/>
      <c r="CH94" s="11"/>
      <c r="CI94" s="11"/>
      <c r="CJ94" s="11"/>
      <c r="CK94" s="213"/>
      <c r="CL94" s="11"/>
      <c r="CM94" s="11"/>
      <c r="CN94" s="11"/>
      <c r="CO94" s="11"/>
      <c r="CP94" s="11"/>
      <c r="CQ94" s="11"/>
      <c r="CR94" s="11"/>
      <c r="CS94" s="11"/>
      <c r="CT94" s="11"/>
      <c r="CU94" s="11"/>
      <c r="CV94" s="11"/>
      <c r="CW94" s="213"/>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213"/>
      <c r="EM94" s="11"/>
      <c r="EN94" s="11"/>
      <c r="EO94" s="11"/>
      <c r="EP94" s="11"/>
      <c r="EQ94" s="11"/>
      <c r="ER94" s="11"/>
      <c r="ES94" s="11"/>
      <c r="ET94" s="11"/>
      <c r="EU94" s="11"/>
      <c r="EV94" s="11"/>
      <c r="EW94" s="213"/>
      <c r="EX94" s="11"/>
      <c r="EY94" s="11"/>
      <c r="EZ94" s="11"/>
      <c r="FA94" s="213"/>
      <c r="FB94" s="11"/>
      <c r="FC94" s="11"/>
      <c r="FD94" s="11"/>
      <c r="FE94" s="11"/>
      <c r="FF94" s="11"/>
      <c r="FG94" s="11"/>
      <c r="FH94" s="11"/>
      <c r="FI94" s="213"/>
      <c r="FJ94" s="11"/>
      <c r="FK94" s="11"/>
      <c r="FL94" s="11"/>
      <c r="FM94" s="11"/>
      <c r="FN94" s="11"/>
      <c r="FO94" s="11"/>
      <c r="FP94" s="11"/>
      <c r="FQ94" s="11"/>
      <c r="FR94" s="11"/>
      <c r="FS94" s="11"/>
      <c r="FT94" s="213"/>
      <c r="FU94" s="11"/>
      <c r="FV94" s="11"/>
      <c r="FW94" s="11"/>
      <c r="FX94" s="11"/>
      <c r="FY94" s="11"/>
      <c r="FZ94" s="213"/>
      <c r="GA94" s="11"/>
      <c r="GB94" s="11"/>
      <c r="GC94" s="11"/>
      <c r="GD94" s="11"/>
      <c r="GE94" s="11"/>
      <c r="GF94" s="11"/>
      <c r="GG94" s="11"/>
      <c r="GH94" s="11"/>
      <c r="GI94" s="11"/>
      <c r="GJ94" s="11"/>
      <c r="GK94" s="11"/>
      <c r="GL94" s="11"/>
      <c r="GM94" s="11"/>
      <c r="GN94" s="11"/>
      <c r="GO94" s="11"/>
      <c r="GP94" s="152"/>
    </row>
    <row r="95" spans="1:198" x14ac:dyDescent="0.2">
      <c r="A95" s="74" t="s">
        <v>1831</v>
      </c>
      <c r="B95" s="11" t="str">
        <f>IF(AND(ISTEXT(""),""&lt;&gt;""), HYPERLINK("", "Link"),"-")</f>
        <v>-</v>
      </c>
      <c r="C95" s="11" t="s">
        <v>1235</v>
      </c>
      <c r="D95" s="11"/>
      <c r="E95" s="11"/>
      <c r="F95" s="11" t="s">
        <v>2812</v>
      </c>
      <c r="G95" s="213"/>
      <c r="H95" s="11" t="s">
        <v>1235</v>
      </c>
      <c r="I95" s="11"/>
      <c r="J95" s="11"/>
      <c r="K95" s="11"/>
      <c r="L95" s="11"/>
      <c r="M95" s="11"/>
      <c r="N95" s="11"/>
      <c r="O95" s="11"/>
      <c r="P95" s="11"/>
      <c r="Q95" s="11"/>
      <c r="R95" s="11"/>
      <c r="S95" s="11"/>
      <c r="T95" s="11"/>
      <c r="U95" s="11"/>
      <c r="V95" s="11"/>
      <c r="W95" s="11"/>
      <c r="X95" s="11"/>
      <c r="Y95" s="213" t="s">
        <v>1235</v>
      </c>
      <c r="Z95" s="11" t="s">
        <v>1235</v>
      </c>
      <c r="AA95" s="11"/>
      <c r="AB95" s="11"/>
      <c r="AC95" s="11"/>
      <c r="AD95" s="11"/>
      <c r="AE95" s="11"/>
      <c r="AF95" s="11"/>
      <c r="AG95" s="11"/>
      <c r="AH95" s="11"/>
      <c r="AI95" s="11"/>
      <c r="AJ95" s="11"/>
      <c r="AK95" s="11"/>
      <c r="AL95" s="11"/>
      <c r="AM95" s="11"/>
      <c r="AN95" s="11"/>
      <c r="AO95" s="11"/>
      <c r="AP95" s="11"/>
      <c r="AQ95" s="11"/>
      <c r="AR95" s="11"/>
      <c r="AS95" s="11"/>
      <c r="AT95" s="213"/>
      <c r="AU95" s="11"/>
      <c r="AV95" s="11"/>
      <c r="AW95" s="11"/>
      <c r="AX95" s="11"/>
      <c r="AY95" s="11"/>
      <c r="AZ95" s="11"/>
      <c r="BA95" s="11"/>
      <c r="BB95" s="11"/>
      <c r="BC95" s="11"/>
      <c r="BD95" s="11"/>
      <c r="BE95" s="213"/>
      <c r="BF95" s="11"/>
      <c r="BG95" s="11"/>
      <c r="BH95" s="11"/>
      <c r="BI95" s="11"/>
      <c r="BJ95" s="11"/>
      <c r="BK95" s="11"/>
      <c r="BL95" s="11"/>
      <c r="BM95" s="11"/>
      <c r="BN95" s="11"/>
      <c r="BO95" s="11"/>
      <c r="BP95" s="11"/>
      <c r="BQ95" s="213"/>
      <c r="BR95" s="11" t="s">
        <v>1235</v>
      </c>
      <c r="BS95" s="11"/>
      <c r="BT95" s="11"/>
      <c r="BU95" s="11"/>
      <c r="BV95" s="11"/>
      <c r="BW95" s="11"/>
      <c r="BX95" s="11"/>
      <c r="BY95" s="11"/>
      <c r="BZ95" s="11"/>
      <c r="CA95" s="195"/>
      <c r="CB95" s="11"/>
      <c r="CC95" s="11"/>
      <c r="CD95" s="11"/>
      <c r="CE95" s="11"/>
      <c r="CF95" s="11"/>
      <c r="CG95" s="11"/>
      <c r="CH95" s="11"/>
      <c r="CI95" s="11"/>
      <c r="CJ95" s="11"/>
      <c r="CK95" s="213"/>
      <c r="CL95" s="11"/>
      <c r="CM95" s="11"/>
      <c r="CN95" s="11"/>
      <c r="CO95" s="11"/>
      <c r="CP95" s="11"/>
      <c r="CQ95" s="11"/>
      <c r="CR95" s="11"/>
      <c r="CS95" s="11"/>
      <c r="CT95" s="11"/>
      <c r="CU95" s="11"/>
      <c r="CV95" s="11"/>
      <c r="CW95" s="213"/>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213"/>
      <c r="EM95" s="11"/>
      <c r="EN95" s="11"/>
      <c r="EO95" s="11"/>
      <c r="EP95" s="11"/>
      <c r="EQ95" s="11"/>
      <c r="ER95" s="11"/>
      <c r="ES95" s="11"/>
      <c r="ET95" s="11"/>
      <c r="EU95" s="11"/>
      <c r="EV95" s="11"/>
      <c r="EW95" s="213"/>
      <c r="EX95" s="11"/>
      <c r="EY95" s="11"/>
      <c r="EZ95" s="11"/>
      <c r="FA95" s="213"/>
      <c r="FB95" s="11"/>
      <c r="FC95" s="11"/>
      <c r="FD95" s="11"/>
      <c r="FE95" s="11"/>
      <c r="FF95" s="11"/>
      <c r="FG95" s="11"/>
      <c r="FH95" s="11"/>
      <c r="FI95" s="213"/>
      <c r="FJ95" s="11"/>
      <c r="FK95" s="11"/>
      <c r="FL95" s="11"/>
      <c r="FM95" s="11"/>
      <c r="FN95" s="11"/>
      <c r="FO95" s="11"/>
      <c r="FP95" s="11"/>
      <c r="FQ95" s="11"/>
      <c r="FR95" s="11"/>
      <c r="FS95" s="11"/>
      <c r="FT95" s="213"/>
      <c r="FU95" s="11"/>
      <c r="FV95" s="11"/>
      <c r="FW95" s="11"/>
      <c r="FX95" s="11"/>
      <c r="FY95" s="11"/>
      <c r="FZ95" s="213"/>
      <c r="GA95" s="11"/>
      <c r="GB95" s="11"/>
      <c r="GC95" s="11"/>
      <c r="GD95" s="11"/>
      <c r="GE95" s="11"/>
      <c r="GF95" s="11"/>
      <c r="GG95" s="11"/>
      <c r="GH95" s="11"/>
      <c r="GI95" s="11"/>
      <c r="GJ95" s="11"/>
      <c r="GK95" s="11"/>
      <c r="GL95" s="11"/>
      <c r="GM95" s="11"/>
      <c r="GN95" s="11"/>
      <c r="GO95" s="11"/>
      <c r="GP95" s="152"/>
    </row>
    <row r="96" spans="1:198" x14ac:dyDescent="0.2">
      <c r="A96" s="73" t="s">
        <v>1833</v>
      </c>
      <c r="B96" s="11" t="str">
        <f>IF(AND(ISTEXT(""),""&lt;&gt;""), HYPERLINK("", "Link"),"-")</f>
        <v>-</v>
      </c>
      <c r="C96" s="11"/>
      <c r="D96" s="11" t="s">
        <v>1235</v>
      </c>
      <c r="E96" s="11"/>
      <c r="F96" s="11" t="s">
        <v>2811</v>
      </c>
      <c r="G96" s="213"/>
      <c r="H96" s="11" t="s">
        <v>1235</v>
      </c>
      <c r="I96" s="11"/>
      <c r="J96" s="11"/>
      <c r="K96" s="11"/>
      <c r="L96" s="11"/>
      <c r="M96" s="11"/>
      <c r="N96" s="11"/>
      <c r="O96" s="11"/>
      <c r="P96" s="11"/>
      <c r="Q96" s="11"/>
      <c r="R96" s="11"/>
      <c r="S96" s="11"/>
      <c r="T96" s="11"/>
      <c r="U96" s="11"/>
      <c r="V96" s="11"/>
      <c r="W96" s="11"/>
      <c r="X96" s="11"/>
      <c r="Y96" s="213"/>
      <c r="Z96" s="11" t="s">
        <v>1235</v>
      </c>
      <c r="AA96" s="11"/>
      <c r="AB96" s="11"/>
      <c r="AC96" s="11"/>
      <c r="AD96" s="11"/>
      <c r="AE96" s="11"/>
      <c r="AF96" s="11"/>
      <c r="AG96" s="11"/>
      <c r="AH96" s="11"/>
      <c r="AI96" s="11"/>
      <c r="AJ96" s="11"/>
      <c r="AK96" s="11"/>
      <c r="AL96" s="11"/>
      <c r="AM96" s="11"/>
      <c r="AN96" s="11"/>
      <c r="AO96" s="11"/>
      <c r="AP96" s="11"/>
      <c r="AQ96" s="11"/>
      <c r="AR96" s="11"/>
      <c r="AS96" s="11"/>
      <c r="AT96" s="213" t="s">
        <v>1235</v>
      </c>
      <c r="AU96" s="11"/>
      <c r="AV96" s="11"/>
      <c r="AW96" s="11"/>
      <c r="AX96" s="11"/>
      <c r="AY96" s="11"/>
      <c r="AZ96" s="11"/>
      <c r="BA96" s="11"/>
      <c r="BB96" s="11"/>
      <c r="BC96" s="11"/>
      <c r="BD96" s="11"/>
      <c r="BE96" s="213"/>
      <c r="BF96" s="11"/>
      <c r="BG96" s="11"/>
      <c r="BH96" s="11"/>
      <c r="BI96" s="11"/>
      <c r="BJ96" s="11"/>
      <c r="BK96" s="11"/>
      <c r="BL96" s="11"/>
      <c r="BM96" s="11"/>
      <c r="BN96" s="11"/>
      <c r="BO96" s="11"/>
      <c r="BP96" s="11"/>
      <c r="BQ96" s="213"/>
      <c r="BR96" s="11" t="s">
        <v>1235</v>
      </c>
      <c r="BS96" s="11"/>
      <c r="BT96" s="11" t="s">
        <v>1235</v>
      </c>
      <c r="BU96" s="11"/>
      <c r="BV96" s="11"/>
      <c r="BW96" s="11"/>
      <c r="BX96" s="11"/>
      <c r="BY96" s="11"/>
      <c r="BZ96" s="11"/>
      <c r="CA96" s="195"/>
      <c r="CB96" s="11"/>
      <c r="CC96" s="11"/>
      <c r="CD96" s="11"/>
      <c r="CE96" s="11"/>
      <c r="CF96" s="11"/>
      <c r="CG96" s="11"/>
      <c r="CH96" s="11"/>
      <c r="CI96" s="11"/>
      <c r="CJ96" s="11"/>
      <c r="CK96" s="213" t="s">
        <v>1235</v>
      </c>
      <c r="CL96" s="11"/>
      <c r="CM96" s="11"/>
      <c r="CN96" s="11"/>
      <c r="CO96" s="11"/>
      <c r="CP96" s="11"/>
      <c r="CQ96" s="11"/>
      <c r="CR96" s="11"/>
      <c r="CS96" s="11"/>
      <c r="CT96" s="11"/>
      <c r="CU96" s="11"/>
      <c r="CV96" s="11"/>
      <c r="CW96" s="213"/>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213"/>
      <c r="EM96" s="11"/>
      <c r="EN96" s="11"/>
      <c r="EO96" s="11"/>
      <c r="EP96" s="11"/>
      <c r="EQ96" s="11"/>
      <c r="ER96" s="11"/>
      <c r="ES96" s="11"/>
      <c r="ET96" s="11"/>
      <c r="EU96" s="11"/>
      <c r="EV96" s="11"/>
      <c r="EW96" s="213" t="s">
        <v>1235</v>
      </c>
      <c r="EX96" s="11"/>
      <c r="EY96" s="11"/>
      <c r="EZ96" s="11"/>
      <c r="FA96" s="213"/>
      <c r="FB96" s="11"/>
      <c r="FC96" s="11"/>
      <c r="FD96" s="11"/>
      <c r="FE96" s="11"/>
      <c r="FF96" s="11"/>
      <c r="FG96" s="11"/>
      <c r="FH96" s="11"/>
      <c r="FI96" s="213"/>
      <c r="FJ96" s="11"/>
      <c r="FK96" s="11"/>
      <c r="FL96" s="11"/>
      <c r="FM96" s="11"/>
      <c r="FN96" s="11"/>
      <c r="FO96" s="11"/>
      <c r="FP96" s="11"/>
      <c r="FQ96" s="11"/>
      <c r="FR96" s="11"/>
      <c r="FS96" s="11"/>
      <c r="FT96" s="213"/>
      <c r="FU96" s="11"/>
      <c r="FV96" s="11"/>
      <c r="FW96" s="11"/>
      <c r="FX96" s="11"/>
      <c r="FY96" s="11"/>
      <c r="FZ96" s="213"/>
      <c r="GA96" s="11"/>
      <c r="GB96" s="11"/>
      <c r="GC96" s="11"/>
      <c r="GD96" s="11"/>
      <c r="GE96" s="11"/>
      <c r="GF96" s="11"/>
      <c r="GG96" s="11"/>
      <c r="GH96" s="11"/>
      <c r="GI96" s="11"/>
      <c r="GJ96" s="11"/>
      <c r="GK96" s="11"/>
      <c r="GL96" s="11"/>
      <c r="GM96" s="11"/>
      <c r="GN96" s="11"/>
      <c r="GO96" s="11"/>
      <c r="GP96" s="152"/>
    </row>
    <row r="97" spans="1:198" x14ac:dyDescent="0.2">
      <c r="A97" s="73" t="s">
        <v>1835</v>
      </c>
      <c r="B97" s="11" t="str">
        <f>IF(AND(ISTEXT("https://github.com/OSUSecLab/TxSpector"),"https://github.com/OSUSecLab/TxSpector"&lt;&gt;""), HYPERLINK("https://github.com/OSUSecLab/TxSpector", "Link"),"-")</f>
        <v>Link</v>
      </c>
      <c r="C97" s="11"/>
      <c r="D97" s="11" t="s">
        <v>1235</v>
      </c>
      <c r="E97" s="11" t="s">
        <v>1235</v>
      </c>
      <c r="F97" s="11" t="s">
        <v>2811</v>
      </c>
      <c r="G97" s="213"/>
      <c r="H97" s="11" t="s">
        <v>1235</v>
      </c>
      <c r="I97" s="11"/>
      <c r="J97" s="11"/>
      <c r="K97" s="11"/>
      <c r="L97" s="11"/>
      <c r="M97" s="11" t="s">
        <v>1235</v>
      </c>
      <c r="N97" s="11"/>
      <c r="O97" s="11"/>
      <c r="P97" s="11"/>
      <c r="Q97" s="11"/>
      <c r="R97" s="11"/>
      <c r="S97" s="11"/>
      <c r="T97" s="11"/>
      <c r="U97" s="11"/>
      <c r="V97" s="11"/>
      <c r="W97" s="11"/>
      <c r="X97" s="11"/>
      <c r="Y97" s="213" t="s">
        <v>1235</v>
      </c>
      <c r="Z97" s="11"/>
      <c r="AA97" s="11"/>
      <c r="AB97" s="11"/>
      <c r="AC97" s="11" t="s">
        <v>1235</v>
      </c>
      <c r="AD97" s="11"/>
      <c r="AE97" s="11"/>
      <c r="AF97" s="11"/>
      <c r="AG97" s="11"/>
      <c r="AH97" s="11"/>
      <c r="AI97" s="11"/>
      <c r="AJ97" s="11"/>
      <c r="AK97" s="11"/>
      <c r="AL97" s="11"/>
      <c r="AM97" s="11"/>
      <c r="AN97" s="11"/>
      <c r="AO97" s="11"/>
      <c r="AP97" s="11"/>
      <c r="AQ97" s="11"/>
      <c r="AR97" s="11"/>
      <c r="AS97" s="11"/>
      <c r="AT97" s="213" t="s">
        <v>1235</v>
      </c>
      <c r="AU97" s="11"/>
      <c r="AV97" s="11"/>
      <c r="AW97" s="11"/>
      <c r="AX97" s="11"/>
      <c r="AY97" s="11" t="s">
        <v>1235</v>
      </c>
      <c r="AZ97" s="11"/>
      <c r="BA97" s="11"/>
      <c r="BB97" s="11"/>
      <c r="BC97" s="11"/>
      <c r="BD97" s="11"/>
      <c r="BE97" s="213"/>
      <c r="BF97" s="11"/>
      <c r="BG97" s="11"/>
      <c r="BH97" s="11"/>
      <c r="BI97" s="11"/>
      <c r="BJ97" s="11"/>
      <c r="BK97" s="11"/>
      <c r="BL97" s="11"/>
      <c r="BM97" s="11"/>
      <c r="BN97" s="11"/>
      <c r="BO97" s="11"/>
      <c r="BP97" s="11"/>
      <c r="BQ97" s="213"/>
      <c r="BR97" s="11" t="s">
        <v>1235</v>
      </c>
      <c r="BS97" s="11"/>
      <c r="BT97" s="11" t="s">
        <v>1235</v>
      </c>
      <c r="BU97" s="11"/>
      <c r="BV97" s="11"/>
      <c r="BW97" s="11"/>
      <c r="BX97" s="11"/>
      <c r="BY97" s="11"/>
      <c r="BZ97" s="11"/>
      <c r="CA97" s="195"/>
      <c r="CB97" s="11"/>
      <c r="CC97" s="11"/>
      <c r="CD97" s="11"/>
      <c r="CE97" s="11"/>
      <c r="CF97" s="11"/>
      <c r="CG97" s="11"/>
      <c r="CH97" s="11"/>
      <c r="CI97" s="11"/>
      <c r="CJ97" s="11"/>
      <c r="CK97" s="213" t="s">
        <v>1235</v>
      </c>
      <c r="CL97" s="11"/>
      <c r="CM97" s="11"/>
      <c r="CN97" s="11"/>
      <c r="CO97" s="11"/>
      <c r="CP97" s="11"/>
      <c r="CQ97" s="11"/>
      <c r="CR97" s="11"/>
      <c r="CS97" s="11"/>
      <c r="CT97" s="11"/>
      <c r="CU97" s="11"/>
      <c r="CV97" s="11"/>
      <c r="CW97" s="213"/>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213"/>
      <c r="EM97" s="11"/>
      <c r="EN97" s="11"/>
      <c r="EO97" s="11"/>
      <c r="EP97" s="11"/>
      <c r="EQ97" s="11"/>
      <c r="ER97" s="11"/>
      <c r="ES97" s="11"/>
      <c r="ET97" s="11"/>
      <c r="EU97" s="11"/>
      <c r="EV97" s="11"/>
      <c r="EW97" s="213"/>
      <c r="EX97" s="11"/>
      <c r="EY97" s="11"/>
      <c r="EZ97" s="11"/>
      <c r="FA97" s="213"/>
      <c r="FB97" s="11"/>
      <c r="FC97" s="11"/>
      <c r="FD97" s="11"/>
      <c r="FE97" s="11"/>
      <c r="FF97" s="11"/>
      <c r="FG97" s="11"/>
      <c r="FH97" s="11"/>
      <c r="FI97" s="213"/>
      <c r="FJ97" s="11"/>
      <c r="FK97" s="11"/>
      <c r="FL97" s="11"/>
      <c r="FM97" s="11"/>
      <c r="FN97" s="11"/>
      <c r="FO97" s="11"/>
      <c r="FP97" s="11"/>
      <c r="FQ97" s="11"/>
      <c r="FR97" s="11"/>
      <c r="FS97" s="11"/>
      <c r="FT97" s="213"/>
      <c r="FU97" s="11"/>
      <c r="FV97" s="11"/>
      <c r="FW97" s="11"/>
      <c r="FX97" s="11"/>
      <c r="FY97" s="11"/>
      <c r="FZ97" s="213"/>
      <c r="GA97" s="11"/>
      <c r="GB97" s="11"/>
      <c r="GC97" s="11"/>
      <c r="GD97" s="11"/>
      <c r="GE97" s="11"/>
      <c r="GF97" s="11"/>
      <c r="GG97" s="11"/>
      <c r="GH97" s="11"/>
      <c r="GI97" s="11"/>
      <c r="GJ97" s="11"/>
      <c r="GK97" s="11"/>
      <c r="GL97" s="11"/>
      <c r="GM97" s="11"/>
      <c r="GN97" s="11"/>
      <c r="GO97" s="11"/>
      <c r="GP97" s="152"/>
    </row>
    <row r="98" spans="1:198" x14ac:dyDescent="0.2">
      <c r="A98" s="74" t="s">
        <v>1838</v>
      </c>
      <c r="B98" s="11" t="str">
        <f>IF(AND(ISTEXT("https://github.com/wobulijie10086/SPCBIG-EC/tree/master/SPCBIG-EC"),"https://github.com/wobulijie10086/SPCBIG-EC/tree/master/SPCBIG-EC"&lt;&gt;""), HYPERLINK("https://github.com/wobulijie10086/SPCBIG-EC/tree/master/SPCBIG-EC", "Link"),"-")</f>
        <v>Link</v>
      </c>
      <c r="C98" s="11" t="s">
        <v>1235</v>
      </c>
      <c r="D98" s="11"/>
      <c r="E98" s="11" t="s">
        <v>1235</v>
      </c>
      <c r="F98" s="11" t="s">
        <v>2812</v>
      </c>
      <c r="G98" s="213"/>
      <c r="H98" s="11" t="s">
        <v>1235</v>
      </c>
      <c r="I98" s="11"/>
      <c r="J98" s="11"/>
      <c r="K98" s="11"/>
      <c r="L98" s="11"/>
      <c r="M98" s="11"/>
      <c r="N98" s="11"/>
      <c r="O98" s="11"/>
      <c r="P98" s="11"/>
      <c r="Q98" s="11"/>
      <c r="R98" s="11"/>
      <c r="S98" s="11"/>
      <c r="T98" s="11"/>
      <c r="U98" s="11"/>
      <c r="V98" s="11"/>
      <c r="W98" s="11"/>
      <c r="X98" s="11"/>
      <c r="Y98" s="213"/>
      <c r="Z98" s="11" t="s">
        <v>1235</v>
      </c>
      <c r="AA98" s="11"/>
      <c r="AB98" s="11"/>
      <c r="AC98" s="11"/>
      <c r="AD98" s="11"/>
      <c r="AE98" s="11"/>
      <c r="AF98" s="11"/>
      <c r="AG98" s="11"/>
      <c r="AH98" s="11"/>
      <c r="AI98" s="11"/>
      <c r="AJ98" s="11"/>
      <c r="AK98" s="11"/>
      <c r="AL98" s="11"/>
      <c r="AM98" s="11"/>
      <c r="AN98" s="11"/>
      <c r="AO98" s="11"/>
      <c r="AP98" s="11"/>
      <c r="AQ98" s="11"/>
      <c r="AR98" s="11"/>
      <c r="AS98" s="11"/>
      <c r="AT98" s="213"/>
      <c r="AU98" s="11"/>
      <c r="AV98" s="11"/>
      <c r="AW98" s="11"/>
      <c r="AX98" s="11"/>
      <c r="AY98" s="11"/>
      <c r="AZ98" s="11"/>
      <c r="BA98" s="11"/>
      <c r="BB98" s="11"/>
      <c r="BC98" s="11"/>
      <c r="BD98" s="11"/>
      <c r="BE98" s="213"/>
      <c r="BF98" s="11"/>
      <c r="BG98" s="11"/>
      <c r="BH98" s="11"/>
      <c r="BI98" s="11"/>
      <c r="BJ98" s="11"/>
      <c r="BK98" s="11"/>
      <c r="BL98" s="11"/>
      <c r="BM98" s="11"/>
      <c r="BN98" s="11"/>
      <c r="BO98" s="11"/>
      <c r="BP98" s="11"/>
      <c r="BQ98" s="213"/>
      <c r="BR98" s="11"/>
      <c r="BS98" s="11"/>
      <c r="BT98" s="11"/>
      <c r="BU98" s="11"/>
      <c r="BV98" s="11"/>
      <c r="BW98" s="11"/>
      <c r="BX98" s="11"/>
      <c r="BY98" s="11"/>
      <c r="BZ98" s="11"/>
      <c r="CA98" s="195"/>
      <c r="CB98" s="11"/>
      <c r="CC98" s="11"/>
      <c r="CD98" s="11"/>
      <c r="CE98" s="11"/>
      <c r="CF98" s="11"/>
      <c r="CG98" s="11"/>
      <c r="CH98" s="11"/>
      <c r="CI98" s="11"/>
      <c r="CJ98" s="11"/>
      <c r="CK98" s="213" t="s">
        <v>1235</v>
      </c>
      <c r="CL98" s="11"/>
      <c r="CM98" s="11"/>
      <c r="CN98" s="11"/>
      <c r="CO98" s="11"/>
      <c r="CP98" s="11"/>
      <c r="CQ98" s="11"/>
      <c r="CR98" s="11"/>
      <c r="CS98" s="11"/>
      <c r="CT98" s="11"/>
      <c r="CU98" s="11"/>
      <c r="CV98" s="11"/>
      <c r="CW98" s="213"/>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t="s">
        <v>1235</v>
      </c>
      <c r="EL98" s="213"/>
      <c r="EM98" s="11"/>
      <c r="EN98" s="11"/>
      <c r="EO98" s="11"/>
      <c r="EP98" s="11"/>
      <c r="EQ98" s="11"/>
      <c r="ER98" s="11"/>
      <c r="ES98" s="11"/>
      <c r="ET98" s="11"/>
      <c r="EU98" s="11"/>
      <c r="EV98" s="11"/>
      <c r="EW98" s="213" t="s">
        <v>1235</v>
      </c>
      <c r="EX98" s="11"/>
      <c r="EY98" s="11"/>
      <c r="EZ98" s="11"/>
      <c r="FA98" s="213"/>
      <c r="FB98" s="11"/>
      <c r="FC98" s="11"/>
      <c r="FD98" s="11"/>
      <c r="FE98" s="11"/>
      <c r="FF98" s="11"/>
      <c r="FG98" s="11"/>
      <c r="FH98" s="11"/>
      <c r="FI98" s="213"/>
      <c r="FJ98" s="11"/>
      <c r="FK98" s="11"/>
      <c r="FL98" s="11"/>
      <c r="FM98" s="11"/>
      <c r="FN98" s="11"/>
      <c r="FO98" s="11"/>
      <c r="FP98" s="11"/>
      <c r="FQ98" s="11"/>
      <c r="FR98" s="11"/>
      <c r="FS98" s="11"/>
      <c r="FT98" s="213"/>
      <c r="FU98" s="11"/>
      <c r="FV98" s="11"/>
      <c r="FW98" s="11"/>
      <c r="FX98" s="11"/>
      <c r="FY98" s="11"/>
      <c r="FZ98" s="213"/>
      <c r="GA98" s="11"/>
      <c r="GB98" s="11"/>
      <c r="GC98" s="11"/>
      <c r="GD98" s="11"/>
      <c r="GE98" s="11"/>
      <c r="GF98" s="11"/>
      <c r="GG98" s="11"/>
      <c r="GH98" s="11"/>
      <c r="GI98" s="11"/>
      <c r="GJ98" s="11"/>
      <c r="GK98" s="11"/>
      <c r="GL98" s="11"/>
      <c r="GM98" s="11"/>
      <c r="GN98" s="11"/>
      <c r="GO98" s="11"/>
      <c r="GP98" s="152"/>
    </row>
    <row r="99" spans="1:198" x14ac:dyDescent="0.2">
      <c r="A99" s="74" t="s">
        <v>1840</v>
      </c>
      <c r="B99" s="11" t="str">
        <f>IF(AND(ISTEXT("https://github.com/xiaoaochen/CBGRU"),"https://github.com/xiaoaochen/CBGRU"&lt;&gt;""), HYPERLINK("https://github.com/xiaoaochen/CBGRU", "Link"),"-")</f>
        <v>Link</v>
      </c>
      <c r="C99" s="11" t="s">
        <v>1235</v>
      </c>
      <c r="D99" s="11" t="s">
        <v>1235</v>
      </c>
      <c r="E99" s="11" t="s">
        <v>1235</v>
      </c>
      <c r="F99" s="11" t="s">
        <v>2812</v>
      </c>
      <c r="G99" s="213"/>
      <c r="H99" s="11" t="s">
        <v>1235</v>
      </c>
      <c r="I99" s="11"/>
      <c r="J99" s="11"/>
      <c r="K99" s="11"/>
      <c r="L99" s="11"/>
      <c r="M99" s="11"/>
      <c r="N99" s="11"/>
      <c r="O99" s="11"/>
      <c r="P99" s="11"/>
      <c r="Q99" s="11"/>
      <c r="R99" s="11"/>
      <c r="S99" s="11"/>
      <c r="T99" s="11"/>
      <c r="U99" s="11"/>
      <c r="V99" s="11"/>
      <c r="W99" s="11"/>
      <c r="X99" s="11"/>
      <c r="Y99" s="213"/>
      <c r="Z99" s="11" t="s">
        <v>1235</v>
      </c>
      <c r="AA99" s="11"/>
      <c r="AB99" s="11"/>
      <c r="AC99" s="11"/>
      <c r="AD99" s="11"/>
      <c r="AE99" s="11"/>
      <c r="AF99" s="11"/>
      <c r="AG99" s="11"/>
      <c r="AH99" s="11"/>
      <c r="AI99" s="11"/>
      <c r="AJ99" s="11"/>
      <c r="AK99" s="11"/>
      <c r="AL99" s="11"/>
      <c r="AM99" s="11"/>
      <c r="AN99" s="11"/>
      <c r="AO99" s="11"/>
      <c r="AP99" s="11"/>
      <c r="AQ99" s="11"/>
      <c r="AR99" s="11"/>
      <c r="AS99" s="11"/>
      <c r="AT99" s="213"/>
      <c r="AU99" s="11"/>
      <c r="AV99" s="11"/>
      <c r="AW99" s="11"/>
      <c r="AX99" s="11"/>
      <c r="AY99" s="11"/>
      <c r="AZ99" s="11"/>
      <c r="BA99" s="11"/>
      <c r="BB99" s="11"/>
      <c r="BC99" s="11"/>
      <c r="BD99" s="11"/>
      <c r="BE99" s="213"/>
      <c r="BF99" s="11"/>
      <c r="BG99" s="11"/>
      <c r="BH99" s="11"/>
      <c r="BI99" s="11"/>
      <c r="BJ99" s="11"/>
      <c r="BK99" s="11"/>
      <c r="BL99" s="11"/>
      <c r="BM99" s="11"/>
      <c r="BN99" s="11"/>
      <c r="BO99" s="11"/>
      <c r="BP99" s="11"/>
      <c r="BQ99" s="213"/>
      <c r="BR99" s="11"/>
      <c r="BS99" s="11"/>
      <c r="BT99" s="11"/>
      <c r="BU99" s="11"/>
      <c r="BV99" s="11"/>
      <c r="BW99" s="11"/>
      <c r="BX99" s="11"/>
      <c r="BY99" s="11"/>
      <c r="BZ99" s="11"/>
      <c r="CA99" s="195"/>
      <c r="CB99" s="11"/>
      <c r="CC99" s="11"/>
      <c r="CD99" s="11"/>
      <c r="CE99" s="11"/>
      <c r="CF99" s="11"/>
      <c r="CG99" s="11"/>
      <c r="CH99" s="11"/>
      <c r="CI99" s="11"/>
      <c r="CJ99" s="11"/>
      <c r="CK99" s="213" t="s">
        <v>1235</v>
      </c>
      <c r="CL99" s="11"/>
      <c r="CM99" s="11"/>
      <c r="CN99" s="11"/>
      <c r="CO99" s="11"/>
      <c r="CP99" s="11"/>
      <c r="CQ99" s="11"/>
      <c r="CR99" s="11"/>
      <c r="CS99" s="11"/>
      <c r="CT99" s="11"/>
      <c r="CU99" s="11"/>
      <c r="CV99" s="11"/>
      <c r="CW99" s="213"/>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213"/>
      <c r="EM99" s="11"/>
      <c r="EN99" s="11"/>
      <c r="EO99" s="11"/>
      <c r="EP99" s="11"/>
      <c r="EQ99" s="11"/>
      <c r="ER99" s="11"/>
      <c r="ES99" s="11"/>
      <c r="ET99" s="11"/>
      <c r="EU99" s="11"/>
      <c r="EV99" s="11"/>
      <c r="EW99" s="213" t="s">
        <v>1235</v>
      </c>
      <c r="EX99" s="11"/>
      <c r="EY99" s="11"/>
      <c r="EZ99" s="11"/>
      <c r="FA99" s="213"/>
      <c r="FB99" s="11"/>
      <c r="FC99" s="11"/>
      <c r="FD99" s="11"/>
      <c r="FE99" s="11"/>
      <c r="FF99" s="11"/>
      <c r="FG99" s="11"/>
      <c r="FH99" s="11"/>
      <c r="FI99" s="213"/>
      <c r="FJ99" s="11"/>
      <c r="FK99" s="11"/>
      <c r="FL99" s="11"/>
      <c r="FM99" s="11"/>
      <c r="FN99" s="11"/>
      <c r="FO99" s="11"/>
      <c r="FP99" s="11"/>
      <c r="FQ99" s="11"/>
      <c r="FR99" s="11"/>
      <c r="FS99" s="11"/>
      <c r="FT99" s="213"/>
      <c r="FU99" s="11"/>
      <c r="FV99" s="11"/>
      <c r="FW99" s="11"/>
      <c r="FX99" s="11"/>
      <c r="FY99" s="11"/>
      <c r="FZ99" s="213"/>
      <c r="GA99" s="11"/>
      <c r="GB99" s="11"/>
      <c r="GC99" s="11"/>
      <c r="GD99" s="11"/>
      <c r="GE99" s="11"/>
      <c r="GF99" s="11"/>
      <c r="GG99" s="11"/>
      <c r="GH99" s="11"/>
      <c r="GI99" s="11"/>
      <c r="GJ99" s="11"/>
      <c r="GK99" s="11"/>
      <c r="GL99" s="11"/>
      <c r="GM99" s="11"/>
      <c r="GN99" s="11"/>
      <c r="GO99" s="11"/>
      <c r="GP99" s="152"/>
    </row>
    <row r="100" spans="1:198" x14ac:dyDescent="0.2">
      <c r="A100" s="74" t="s">
        <v>1844</v>
      </c>
      <c r="B100" s="11" t="str">
        <f>IF(AND(ISTEXT(""),""&lt;&gt;""), HYPERLINK("", "Link"),"-")</f>
        <v>-</v>
      </c>
      <c r="C100" s="11" t="s">
        <v>1235</v>
      </c>
      <c r="D100" s="11"/>
      <c r="E100" s="11"/>
      <c r="F100" s="11" t="s">
        <v>2812</v>
      </c>
      <c r="G100" s="213"/>
      <c r="H100" s="11" t="s">
        <v>1235</v>
      </c>
      <c r="I100" s="11"/>
      <c r="J100" s="11"/>
      <c r="K100" s="11"/>
      <c r="L100" s="11"/>
      <c r="M100" s="11"/>
      <c r="N100" s="11"/>
      <c r="O100" s="11"/>
      <c r="P100" s="11"/>
      <c r="Q100" s="11"/>
      <c r="R100" s="11"/>
      <c r="S100" s="11"/>
      <c r="T100" s="11"/>
      <c r="U100" s="11"/>
      <c r="V100" s="11"/>
      <c r="W100" s="11"/>
      <c r="X100" s="11"/>
      <c r="Y100" s="213"/>
      <c r="Z100" s="11"/>
      <c r="AA100" s="11"/>
      <c r="AB100" s="11"/>
      <c r="AC100" s="11"/>
      <c r="AD100" s="11"/>
      <c r="AE100" s="11"/>
      <c r="AF100" s="11"/>
      <c r="AG100" s="11"/>
      <c r="AH100" s="11"/>
      <c r="AI100" s="11"/>
      <c r="AJ100" s="11"/>
      <c r="AK100" s="11"/>
      <c r="AL100" s="11"/>
      <c r="AM100" s="11"/>
      <c r="AN100" s="11"/>
      <c r="AO100" s="11"/>
      <c r="AP100" s="11"/>
      <c r="AQ100" s="11"/>
      <c r="AR100" s="11"/>
      <c r="AS100" s="11"/>
      <c r="AT100" s="213"/>
      <c r="AU100" s="11"/>
      <c r="AV100" s="11"/>
      <c r="AW100" s="11"/>
      <c r="AX100" s="11"/>
      <c r="AY100" s="11"/>
      <c r="AZ100" s="11"/>
      <c r="BA100" s="11"/>
      <c r="BB100" s="11"/>
      <c r="BC100" s="11"/>
      <c r="BD100" s="11"/>
      <c r="BE100" s="213"/>
      <c r="BF100" s="11"/>
      <c r="BG100" s="11"/>
      <c r="BH100" s="11"/>
      <c r="BI100" s="11"/>
      <c r="BJ100" s="11"/>
      <c r="BK100" s="11"/>
      <c r="BL100" s="11"/>
      <c r="BM100" s="11"/>
      <c r="BN100" s="11"/>
      <c r="BO100" s="11"/>
      <c r="BP100" s="11"/>
      <c r="BQ100" s="213"/>
      <c r="BR100" s="11"/>
      <c r="BS100" s="11"/>
      <c r="BT100" s="11"/>
      <c r="BU100" s="11"/>
      <c r="BV100" s="11"/>
      <c r="BW100" s="11"/>
      <c r="BX100" s="11"/>
      <c r="BY100" s="11"/>
      <c r="BZ100" s="11"/>
      <c r="CA100" s="195"/>
      <c r="CB100" s="11"/>
      <c r="CC100" s="11"/>
      <c r="CD100" s="11"/>
      <c r="CE100" s="11"/>
      <c r="CF100" s="11"/>
      <c r="CG100" s="11"/>
      <c r="CH100" s="11"/>
      <c r="CI100" s="11"/>
      <c r="CJ100" s="11"/>
      <c r="CK100" s="213"/>
      <c r="CL100" s="11"/>
      <c r="CM100" s="11"/>
      <c r="CN100" s="11"/>
      <c r="CO100" s="11"/>
      <c r="CP100" s="11"/>
      <c r="CQ100" s="11"/>
      <c r="CR100" s="11"/>
      <c r="CS100" s="11"/>
      <c r="CT100" s="11"/>
      <c r="CU100" s="11"/>
      <c r="CV100" s="11"/>
      <c r="CW100" s="213"/>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213"/>
      <c r="EM100" s="11"/>
      <c r="EN100" s="11"/>
      <c r="EO100" s="11"/>
      <c r="EP100" s="11"/>
      <c r="EQ100" s="11"/>
      <c r="ER100" s="11"/>
      <c r="ES100" s="11"/>
      <c r="ET100" s="11"/>
      <c r="EU100" s="11"/>
      <c r="EV100" s="11"/>
      <c r="EW100" s="213"/>
      <c r="EX100" s="11"/>
      <c r="EY100" s="11"/>
      <c r="EZ100" s="11"/>
      <c r="FA100" s="213"/>
      <c r="FB100" s="11"/>
      <c r="FC100" s="11"/>
      <c r="FD100" s="11"/>
      <c r="FE100" s="11"/>
      <c r="FF100" s="11"/>
      <c r="FG100" s="11"/>
      <c r="FH100" s="11"/>
      <c r="FI100" s="213"/>
      <c r="FJ100" s="11"/>
      <c r="FK100" s="11"/>
      <c r="FL100" s="11"/>
      <c r="FM100" s="11"/>
      <c r="FN100" s="11"/>
      <c r="FO100" s="11"/>
      <c r="FP100" s="11"/>
      <c r="FQ100" s="11"/>
      <c r="FR100" s="11"/>
      <c r="FS100" s="11"/>
      <c r="FT100" s="213"/>
      <c r="FU100" s="11"/>
      <c r="FV100" s="11"/>
      <c r="FW100" s="11"/>
      <c r="FX100" s="11"/>
      <c r="FY100" s="11"/>
      <c r="FZ100" s="213"/>
      <c r="GA100" s="11"/>
      <c r="GB100" s="11"/>
      <c r="GC100" s="11"/>
      <c r="GD100" s="11"/>
      <c r="GE100" s="11"/>
      <c r="GF100" s="11"/>
      <c r="GG100" s="11"/>
      <c r="GH100" s="11"/>
      <c r="GI100" s="11"/>
      <c r="GJ100" s="11"/>
      <c r="GK100" s="11"/>
      <c r="GL100" s="11"/>
      <c r="GM100" s="11"/>
      <c r="GN100" s="11"/>
      <c r="GO100" s="11"/>
      <c r="GP100" s="152"/>
    </row>
    <row r="101" spans="1:198" x14ac:dyDescent="0.2">
      <c r="A101" s="74" t="s">
        <v>1846</v>
      </c>
      <c r="B101" s="11" t="str">
        <f>IF(AND(ISTEXT(""),""&lt;&gt;""), HYPERLINK("", "Link"),"-")</f>
        <v>-</v>
      </c>
      <c r="C101" s="11" t="s">
        <v>1235</v>
      </c>
      <c r="D101" s="11"/>
      <c r="E101" s="11"/>
      <c r="F101" s="11" t="s">
        <v>2812</v>
      </c>
      <c r="G101" s="213"/>
      <c r="H101" s="11" t="s">
        <v>1235</v>
      </c>
      <c r="I101" s="11"/>
      <c r="J101" s="11"/>
      <c r="K101" s="11"/>
      <c r="L101" s="11"/>
      <c r="M101" s="11"/>
      <c r="N101" s="11"/>
      <c r="O101" s="11"/>
      <c r="P101" s="11"/>
      <c r="Q101" s="11"/>
      <c r="R101" s="11"/>
      <c r="S101" s="11"/>
      <c r="T101" s="11"/>
      <c r="U101" s="11"/>
      <c r="V101" s="11"/>
      <c r="W101" s="11"/>
      <c r="X101" s="11"/>
      <c r="Y101" s="213"/>
      <c r="Z101" s="11" t="s">
        <v>1235</v>
      </c>
      <c r="AA101" s="11"/>
      <c r="AB101" s="11"/>
      <c r="AC101" s="11"/>
      <c r="AD101" s="11"/>
      <c r="AE101" s="11"/>
      <c r="AF101" s="11"/>
      <c r="AG101" s="11"/>
      <c r="AH101" s="11"/>
      <c r="AI101" s="11"/>
      <c r="AJ101" s="11"/>
      <c r="AK101" s="11"/>
      <c r="AL101" s="11"/>
      <c r="AM101" s="11"/>
      <c r="AN101" s="11"/>
      <c r="AO101" s="11"/>
      <c r="AP101" s="11"/>
      <c r="AQ101" s="11"/>
      <c r="AR101" s="11"/>
      <c r="AS101" s="11"/>
      <c r="AT101" s="213"/>
      <c r="AU101" s="11"/>
      <c r="AV101" s="11"/>
      <c r="AW101" s="11"/>
      <c r="AX101" s="11"/>
      <c r="AY101" s="11"/>
      <c r="AZ101" s="11"/>
      <c r="BA101" s="11"/>
      <c r="BB101" s="11"/>
      <c r="BC101" s="11"/>
      <c r="BD101" s="11"/>
      <c r="BE101" s="213"/>
      <c r="BF101" s="11"/>
      <c r="BG101" s="11"/>
      <c r="BH101" s="11"/>
      <c r="BI101" s="11"/>
      <c r="BJ101" s="11"/>
      <c r="BK101" s="11"/>
      <c r="BL101" s="11"/>
      <c r="BM101" s="11"/>
      <c r="BN101" s="11"/>
      <c r="BO101" s="11"/>
      <c r="BP101" s="11"/>
      <c r="BQ101" s="213"/>
      <c r="BR101" s="11"/>
      <c r="BS101" s="11"/>
      <c r="BT101" s="11"/>
      <c r="BU101" s="11"/>
      <c r="BV101" s="11"/>
      <c r="BW101" s="11"/>
      <c r="BX101" s="11"/>
      <c r="BY101" s="11"/>
      <c r="BZ101" s="11"/>
      <c r="CA101" s="195"/>
      <c r="CB101" s="11"/>
      <c r="CC101" s="11"/>
      <c r="CD101" s="11"/>
      <c r="CE101" s="11"/>
      <c r="CF101" s="11"/>
      <c r="CG101" s="11"/>
      <c r="CH101" s="11"/>
      <c r="CI101" s="11"/>
      <c r="CJ101" s="11"/>
      <c r="CK101" s="213"/>
      <c r="CL101" s="11"/>
      <c r="CM101" s="11"/>
      <c r="CN101" s="11"/>
      <c r="CO101" s="11"/>
      <c r="CP101" s="11"/>
      <c r="CQ101" s="11"/>
      <c r="CR101" s="11"/>
      <c r="CS101" s="11"/>
      <c r="CT101" s="11"/>
      <c r="CU101" s="11"/>
      <c r="CV101" s="11"/>
      <c r="CW101" s="213"/>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213"/>
      <c r="EM101" s="11"/>
      <c r="EN101" s="11"/>
      <c r="EO101" s="11"/>
      <c r="EP101" s="11"/>
      <c r="EQ101" s="11"/>
      <c r="ER101" s="11"/>
      <c r="ES101" s="11"/>
      <c r="ET101" s="11"/>
      <c r="EU101" s="11"/>
      <c r="EV101" s="11"/>
      <c r="EW101" s="213"/>
      <c r="EX101" s="11"/>
      <c r="EY101" s="11"/>
      <c r="EZ101" s="11"/>
      <c r="FA101" s="213"/>
      <c r="FB101" s="11"/>
      <c r="FC101" s="11"/>
      <c r="FD101" s="11"/>
      <c r="FE101" s="11"/>
      <c r="FF101" s="11"/>
      <c r="FG101" s="11"/>
      <c r="FH101" s="11"/>
      <c r="FI101" s="213"/>
      <c r="FJ101" s="11"/>
      <c r="FK101" s="11"/>
      <c r="FL101" s="11"/>
      <c r="FM101" s="11"/>
      <c r="FN101" s="11"/>
      <c r="FO101" s="11"/>
      <c r="FP101" s="11"/>
      <c r="FQ101" s="11"/>
      <c r="FR101" s="11"/>
      <c r="FS101" s="11"/>
      <c r="FT101" s="213"/>
      <c r="FU101" s="11"/>
      <c r="FV101" s="11"/>
      <c r="FW101" s="11"/>
      <c r="FX101" s="11"/>
      <c r="FY101" s="11"/>
      <c r="FZ101" s="213"/>
      <c r="GA101" s="11"/>
      <c r="GB101" s="11"/>
      <c r="GC101" s="11"/>
      <c r="GD101" s="11"/>
      <c r="GE101" s="11"/>
      <c r="GF101" s="11"/>
      <c r="GG101" s="11"/>
      <c r="GH101" s="11"/>
      <c r="GI101" s="11"/>
      <c r="GJ101" s="11"/>
      <c r="GK101" s="11"/>
      <c r="GL101" s="11"/>
      <c r="GM101" s="11"/>
      <c r="GN101" s="11"/>
      <c r="GO101" s="11"/>
      <c r="GP101" s="152"/>
    </row>
    <row r="102" spans="1:198" x14ac:dyDescent="0.2">
      <c r="A102" s="74" t="s">
        <v>1848</v>
      </c>
      <c r="B102" s="11" t="str">
        <f>IF(AND(ISTEXT(""),""&lt;&gt;""), HYPERLINK("", "Link"),"-")</f>
        <v>-</v>
      </c>
      <c r="C102" s="11" t="s">
        <v>1235</v>
      </c>
      <c r="D102" s="11"/>
      <c r="E102" s="11"/>
      <c r="F102" s="11" t="s">
        <v>2812</v>
      </c>
      <c r="G102" s="213"/>
      <c r="H102" s="11" t="s">
        <v>1235</v>
      </c>
      <c r="I102" s="11"/>
      <c r="J102" s="11"/>
      <c r="K102" s="11"/>
      <c r="L102" s="11"/>
      <c r="M102" s="11"/>
      <c r="N102" s="11"/>
      <c r="O102" s="11"/>
      <c r="P102" s="11"/>
      <c r="Q102" s="11"/>
      <c r="R102" s="11"/>
      <c r="S102" s="11"/>
      <c r="T102" s="11"/>
      <c r="U102" s="11"/>
      <c r="V102" s="11"/>
      <c r="W102" s="11"/>
      <c r="X102" s="11"/>
      <c r="Y102" s="213"/>
      <c r="Z102" s="11" t="s">
        <v>1235</v>
      </c>
      <c r="AA102" s="11"/>
      <c r="AB102" s="11"/>
      <c r="AC102" s="11"/>
      <c r="AD102" s="11"/>
      <c r="AE102" s="11"/>
      <c r="AF102" s="11"/>
      <c r="AG102" s="11"/>
      <c r="AH102" s="11"/>
      <c r="AI102" s="11"/>
      <c r="AJ102" s="11"/>
      <c r="AK102" s="11"/>
      <c r="AL102" s="11"/>
      <c r="AM102" s="11"/>
      <c r="AN102" s="11"/>
      <c r="AO102" s="11"/>
      <c r="AP102" s="11"/>
      <c r="AQ102" s="11"/>
      <c r="AR102" s="11"/>
      <c r="AS102" s="11"/>
      <c r="AT102" s="213"/>
      <c r="AU102" s="11"/>
      <c r="AV102" s="11"/>
      <c r="AW102" s="11"/>
      <c r="AX102" s="11"/>
      <c r="AY102" s="11"/>
      <c r="AZ102" s="11"/>
      <c r="BA102" s="11"/>
      <c r="BB102" s="11"/>
      <c r="BC102" s="11"/>
      <c r="BD102" s="11"/>
      <c r="BE102" s="213"/>
      <c r="BF102" s="11"/>
      <c r="BG102" s="11"/>
      <c r="BH102" s="11"/>
      <c r="BI102" s="11"/>
      <c r="BJ102" s="11"/>
      <c r="BK102" s="11"/>
      <c r="BL102" s="11"/>
      <c r="BM102" s="11"/>
      <c r="BN102" s="11"/>
      <c r="BO102" s="11"/>
      <c r="BP102" s="11"/>
      <c r="BQ102" s="213"/>
      <c r="BR102" s="11"/>
      <c r="BS102" s="11"/>
      <c r="BT102" s="11"/>
      <c r="BU102" s="11"/>
      <c r="BV102" s="11"/>
      <c r="BW102" s="11"/>
      <c r="BX102" s="11"/>
      <c r="BY102" s="11"/>
      <c r="BZ102" s="11"/>
      <c r="CA102" s="195"/>
      <c r="CB102" s="11"/>
      <c r="CC102" s="11"/>
      <c r="CD102" s="11"/>
      <c r="CE102" s="11"/>
      <c r="CF102" s="11"/>
      <c r="CG102" s="11"/>
      <c r="CH102" s="11"/>
      <c r="CI102" s="11"/>
      <c r="CJ102" s="11"/>
      <c r="CK102" s="213" t="s">
        <v>1235</v>
      </c>
      <c r="CL102" s="11"/>
      <c r="CM102" s="11"/>
      <c r="CN102" s="11"/>
      <c r="CO102" s="11"/>
      <c r="CP102" s="11"/>
      <c r="CQ102" s="11"/>
      <c r="CR102" s="11"/>
      <c r="CS102" s="11"/>
      <c r="CT102" s="11"/>
      <c r="CU102" s="11"/>
      <c r="CV102" s="11"/>
      <c r="CW102" s="213"/>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213"/>
      <c r="EM102" s="11"/>
      <c r="EN102" s="11"/>
      <c r="EO102" s="11"/>
      <c r="EP102" s="11"/>
      <c r="EQ102" s="11"/>
      <c r="ER102" s="11"/>
      <c r="ES102" s="11"/>
      <c r="ET102" s="11"/>
      <c r="EU102" s="11"/>
      <c r="EV102" s="11"/>
      <c r="EW102" s="213"/>
      <c r="EX102" s="11"/>
      <c r="EY102" s="11"/>
      <c r="EZ102" s="11"/>
      <c r="FA102" s="213"/>
      <c r="FB102" s="11"/>
      <c r="FC102" s="11"/>
      <c r="FD102" s="11"/>
      <c r="FE102" s="11"/>
      <c r="FF102" s="11"/>
      <c r="FG102" s="11"/>
      <c r="FH102" s="11"/>
      <c r="FI102" s="213"/>
      <c r="FJ102" s="11"/>
      <c r="FK102" s="11"/>
      <c r="FL102" s="11"/>
      <c r="FM102" s="11"/>
      <c r="FN102" s="11"/>
      <c r="FO102" s="11"/>
      <c r="FP102" s="11"/>
      <c r="FQ102" s="11"/>
      <c r="FR102" s="11"/>
      <c r="FS102" s="11"/>
      <c r="FT102" s="213"/>
      <c r="FU102" s="11"/>
      <c r="FV102" s="11"/>
      <c r="FW102" s="11"/>
      <c r="FX102" s="11"/>
      <c r="FY102" s="11"/>
      <c r="FZ102" s="213"/>
      <c r="GA102" s="11"/>
      <c r="GB102" s="11"/>
      <c r="GC102" s="11"/>
      <c r="GD102" s="11"/>
      <c r="GE102" s="11"/>
      <c r="GF102" s="11"/>
      <c r="GG102" s="11"/>
      <c r="GH102" s="11"/>
      <c r="GI102" s="11"/>
      <c r="GJ102" s="11"/>
      <c r="GK102" s="11"/>
      <c r="GL102" s="11"/>
      <c r="GM102" s="11"/>
      <c r="GN102" s="11"/>
      <c r="GO102" s="11"/>
      <c r="GP102" s="152"/>
    </row>
    <row r="103" spans="1:198" x14ac:dyDescent="0.2">
      <c r="A103" s="74" t="s">
        <v>1850</v>
      </c>
      <c r="B103" s="11" t="str">
        <f>IF(AND(ISTEXT(""),""&lt;&gt;""), HYPERLINK("", "Link"),"-")</f>
        <v>-</v>
      </c>
      <c r="C103" s="11"/>
      <c r="D103" s="11" t="s">
        <v>1235</v>
      </c>
      <c r="E103" s="11"/>
      <c r="F103" s="11" t="s">
        <v>2812</v>
      </c>
      <c r="G103" s="213"/>
      <c r="H103" s="11"/>
      <c r="I103" s="11"/>
      <c r="J103" s="11"/>
      <c r="K103" s="11"/>
      <c r="L103" s="11"/>
      <c r="M103" s="11"/>
      <c r="N103" s="11"/>
      <c r="O103" s="11"/>
      <c r="P103" s="11"/>
      <c r="Q103" s="11"/>
      <c r="R103" s="11"/>
      <c r="S103" s="11"/>
      <c r="T103" s="11"/>
      <c r="U103" s="11"/>
      <c r="V103" s="11"/>
      <c r="W103" s="11"/>
      <c r="X103" s="11"/>
      <c r="Y103" s="213"/>
      <c r="Z103" s="11"/>
      <c r="AA103" s="11"/>
      <c r="AB103" s="11"/>
      <c r="AC103" s="11" t="s">
        <v>1235</v>
      </c>
      <c r="AD103" s="11"/>
      <c r="AE103" s="11"/>
      <c r="AF103" s="11"/>
      <c r="AG103" s="11"/>
      <c r="AH103" s="11"/>
      <c r="AI103" s="11"/>
      <c r="AJ103" s="11"/>
      <c r="AK103" s="11"/>
      <c r="AL103" s="11"/>
      <c r="AM103" s="11"/>
      <c r="AN103" s="11"/>
      <c r="AO103" s="11"/>
      <c r="AP103" s="11"/>
      <c r="AQ103" s="11"/>
      <c r="AR103" s="11"/>
      <c r="AS103" s="11"/>
      <c r="AT103" s="213"/>
      <c r="AU103" s="11"/>
      <c r="AV103" s="11"/>
      <c r="AW103" s="11"/>
      <c r="AX103" s="11"/>
      <c r="AY103" s="11"/>
      <c r="AZ103" s="11"/>
      <c r="BA103" s="11"/>
      <c r="BB103" s="11"/>
      <c r="BC103" s="11"/>
      <c r="BD103" s="11"/>
      <c r="BE103" s="213"/>
      <c r="BF103" s="11"/>
      <c r="BG103" s="11"/>
      <c r="BH103" s="11"/>
      <c r="BI103" s="11"/>
      <c r="BJ103" s="11"/>
      <c r="BK103" s="11"/>
      <c r="BL103" s="11"/>
      <c r="BM103" s="11"/>
      <c r="BN103" s="11"/>
      <c r="BO103" s="11"/>
      <c r="BP103" s="11"/>
      <c r="BQ103" s="213"/>
      <c r="BR103" s="11"/>
      <c r="BS103" s="11"/>
      <c r="BT103" s="11"/>
      <c r="BU103" s="11"/>
      <c r="BV103" s="11"/>
      <c r="BW103" s="11"/>
      <c r="BX103" s="11"/>
      <c r="BY103" s="11"/>
      <c r="BZ103" s="11"/>
      <c r="CA103" s="195"/>
      <c r="CB103" s="11"/>
      <c r="CC103" s="11"/>
      <c r="CD103" s="11"/>
      <c r="CE103" s="11"/>
      <c r="CF103" s="11"/>
      <c r="CG103" s="11"/>
      <c r="CH103" s="11"/>
      <c r="CI103" s="11"/>
      <c r="CJ103" s="11"/>
      <c r="CK103" s="213"/>
      <c r="CL103" s="11"/>
      <c r="CM103" s="11"/>
      <c r="CN103" s="11"/>
      <c r="CO103" s="11"/>
      <c r="CP103" s="11"/>
      <c r="CQ103" s="11"/>
      <c r="CR103" s="11"/>
      <c r="CS103" s="11"/>
      <c r="CT103" s="11"/>
      <c r="CU103" s="11"/>
      <c r="CV103" s="11"/>
      <c r="CW103" s="213"/>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213"/>
      <c r="EM103" s="11"/>
      <c r="EN103" s="11"/>
      <c r="EO103" s="11"/>
      <c r="EP103" s="11"/>
      <c r="EQ103" s="11"/>
      <c r="ER103" s="11"/>
      <c r="ES103" s="11"/>
      <c r="ET103" s="11"/>
      <c r="EU103" s="11"/>
      <c r="EV103" s="11"/>
      <c r="EW103" s="213"/>
      <c r="EX103" s="11"/>
      <c r="EY103" s="11"/>
      <c r="EZ103" s="11"/>
      <c r="FA103" s="213"/>
      <c r="FB103" s="11"/>
      <c r="FC103" s="11"/>
      <c r="FD103" s="11"/>
      <c r="FE103" s="11"/>
      <c r="FF103" s="11"/>
      <c r="FG103" s="11"/>
      <c r="FH103" s="11"/>
      <c r="FI103" s="213"/>
      <c r="FJ103" s="11"/>
      <c r="FK103" s="11"/>
      <c r="FL103" s="11"/>
      <c r="FM103" s="11"/>
      <c r="FN103" s="11"/>
      <c r="FO103" s="11"/>
      <c r="FP103" s="11"/>
      <c r="FQ103" s="11"/>
      <c r="FR103" s="11"/>
      <c r="FS103" s="11"/>
      <c r="FT103" s="213"/>
      <c r="FU103" s="11"/>
      <c r="FV103" s="11"/>
      <c r="FW103" s="11"/>
      <c r="FX103" s="11"/>
      <c r="FY103" s="11"/>
      <c r="FZ103" s="213"/>
      <c r="GA103" s="11"/>
      <c r="GB103" s="11"/>
      <c r="GC103" s="11"/>
      <c r="GD103" s="11"/>
      <c r="GE103" s="11"/>
      <c r="GF103" s="11"/>
      <c r="GG103" s="11"/>
      <c r="GH103" s="11"/>
      <c r="GI103" s="11"/>
      <c r="GJ103" s="11"/>
      <c r="GK103" s="11"/>
      <c r="GL103" s="11"/>
      <c r="GM103" s="11"/>
      <c r="GN103" s="11"/>
      <c r="GO103" s="11"/>
      <c r="GP103" s="152"/>
    </row>
    <row r="104" spans="1:198" x14ac:dyDescent="0.2">
      <c r="A104" s="74" t="s">
        <v>1852</v>
      </c>
      <c r="B104" s="11" t="str">
        <f>IF(AND(ISTEXT(""),""&lt;&gt;""), HYPERLINK("", "Link"),"-")</f>
        <v>-</v>
      </c>
      <c r="C104" s="11"/>
      <c r="D104" s="11" t="s">
        <v>1235</v>
      </c>
      <c r="E104" s="11"/>
      <c r="F104" s="11" t="s">
        <v>2812</v>
      </c>
      <c r="G104" s="213"/>
      <c r="H104" s="11" t="s">
        <v>1235</v>
      </c>
      <c r="I104" s="11"/>
      <c r="J104" s="11"/>
      <c r="K104" s="11"/>
      <c r="L104" s="11"/>
      <c r="M104" s="11"/>
      <c r="N104" s="11"/>
      <c r="O104" s="11"/>
      <c r="P104" s="11"/>
      <c r="Q104" s="11"/>
      <c r="R104" s="11"/>
      <c r="S104" s="11"/>
      <c r="T104" s="11"/>
      <c r="U104" s="11"/>
      <c r="V104" s="11"/>
      <c r="W104" s="11"/>
      <c r="X104" s="11"/>
      <c r="Y104" s="213"/>
      <c r="Z104" s="11"/>
      <c r="AA104" s="11"/>
      <c r="AB104" s="11"/>
      <c r="AC104" s="11"/>
      <c r="AD104" s="11"/>
      <c r="AE104" s="11"/>
      <c r="AF104" s="11"/>
      <c r="AG104" s="11"/>
      <c r="AH104" s="11"/>
      <c r="AI104" s="11"/>
      <c r="AJ104" s="11"/>
      <c r="AK104" s="11"/>
      <c r="AL104" s="11"/>
      <c r="AM104" s="11"/>
      <c r="AN104" s="11"/>
      <c r="AO104" s="11"/>
      <c r="AP104" s="11"/>
      <c r="AQ104" s="11"/>
      <c r="AR104" s="11"/>
      <c r="AS104" s="11"/>
      <c r="AT104" s="213" t="s">
        <v>1235</v>
      </c>
      <c r="AU104" s="11"/>
      <c r="AV104" s="11"/>
      <c r="AW104" s="11"/>
      <c r="AX104" s="11"/>
      <c r="AY104" s="11"/>
      <c r="AZ104" s="11"/>
      <c r="BA104" s="11"/>
      <c r="BB104" s="11"/>
      <c r="BC104" s="11"/>
      <c r="BD104" s="11"/>
      <c r="BE104" s="213"/>
      <c r="BF104" s="11"/>
      <c r="BG104" s="11"/>
      <c r="BH104" s="11"/>
      <c r="BI104" s="11"/>
      <c r="BJ104" s="11"/>
      <c r="BK104" s="11"/>
      <c r="BL104" s="11"/>
      <c r="BM104" s="11"/>
      <c r="BN104" s="11"/>
      <c r="BO104" s="11"/>
      <c r="BP104" s="11"/>
      <c r="BQ104" s="213"/>
      <c r="BR104" s="11" t="s">
        <v>1235</v>
      </c>
      <c r="BS104" s="11"/>
      <c r="BT104" s="11"/>
      <c r="BU104" s="11"/>
      <c r="BV104" s="11"/>
      <c r="BW104" s="11"/>
      <c r="BX104" s="11"/>
      <c r="BY104" s="11"/>
      <c r="BZ104" s="11"/>
      <c r="CA104" s="195"/>
      <c r="CB104" s="11"/>
      <c r="CC104" s="11"/>
      <c r="CD104" s="11"/>
      <c r="CE104" s="11"/>
      <c r="CF104" s="11"/>
      <c r="CG104" s="11"/>
      <c r="CH104" s="11"/>
      <c r="CI104" s="11"/>
      <c r="CJ104" s="11"/>
      <c r="CK104" s="213"/>
      <c r="CL104" s="11"/>
      <c r="CM104" s="11"/>
      <c r="CN104" s="11"/>
      <c r="CO104" s="11"/>
      <c r="CP104" s="11"/>
      <c r="CQ104" s="11"/>
      <c r="CR104" s="11"/>
      <c r="CS104" s="11"/>
      <c r="CT104" s="11"/>
      <c r="CU104" s="11"/>
      <c r="CV104" s="11"/>
      <c r="CW104" s="213"/>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c r="EK104" s="11"/>
      <c r="EL104" s="213"/>
      <c r="EM104" s="11"/>
      <c r="EN104" s="11"/>
      <c r="EO104" s="11"/>
      <c r="EP104" s="11"/>
      <c r="EQ104" s="11"/>
      <c r="ER104" s="11"/>
      <c r="ES104" s="11"/>
      <c r="ET104" s="11"/>
      <c r="EU104" s="11"/>
      <c r="EV104" s="11"/>
      <c r="EW104" s="213"/>
      <c r="EX104" s="11"/>
      <c r="EY104" s="11"/>
      <c r="EZ104" s="11"/>
      <c r="FA104" s="213"/>
      <c r="FB104" s="11"/>
      <c r="FC104" s="11"/>
      <c r="FD104" s="11"/>
      <c r="FE104" s="11"/>
      <c r="FF104" s="11"/>
      <c r="FG104" s="11"/>
      <c r="FH104" s="11"/>
      <c r="FI104" s="213"/>
      <c r="FJ104" s="11"/>
      <c r="FK104" s="11"/>
      <c r="FL104" s="11"/>
      <c r="FM104" s="11"/>
      <c r="FN104" s="11"/>
      <c r="FO104" s="11"/>
      <c r="FP104" s="11"/>
      <c r="FQ104" s="11"/>
      <c r="FR104" s="11"/>
      <c r="FS104" s="11"/>
      <c r="FT104" s="213"/>
      <c r="FU104" s="11"/>
      <c r="FV104" s="11"/>
      <c r="FW104" s="11"/>
      <c r="FX104" s="11"/>
      <c r="FY104" s="11"/>
      <c r="FZ104" s="213"/>
      <c r="GA104" s="11"/>
      <c r="GB104" s="11"/>
      <c r="GC104" s="11"/>
      <c r="GD104" s="11"/>
      <c r="GE104" s="11"/>
      <c r="GF104" s="11"/>
      <c r="GG104" s="11"/>
      <c r="GH104" s="11"/>
      <c r="GI104" s="11"/>
      <c r="GJ104" s="11"/>
      <c r="GK104" s="11"/>
      <c r="GL104" s="11"/>
      <c r="GM104" s="11"/>
      <c r="GN104" s="11"/>
      <c r="GO104" s="11"/>
      <c r="GP104" s="152"/>
    </row>
    <row r="105" spans="1:198" x14ac:dyDescent="0.2">
      <c r="A105" s="73" t="s">
        <v>1854</v>
      </c>
      <c r="B105" s="11" t="str">
        <f>IF(AND(ISTEXT("https://github.com/duytai/sFuzz/tree/v2.0"),"https://github.com/duytai/sFuzz/tree/v2.0"&lt;&gt;""), HYPERLINK("https://github.com/duytai/sFuzz/tree/v2.0", "Link"),"-")</f>
        <v>Link</v>
      </c>
      <c r="C105" s="11"/>
      <c r="D105" s="11" t="s">
        <v>1235</v>
      </c>
      <c r="E105" s="11" t="s">
        <v>1235</v>
      </c>
      <c r="F105" s="11" t="s">
        <v>2811</v>
      </c>
      <c r="G105" s="213"/>
      <c r="H105" s="11" t="s">
        <v>1235</v>
      </c>
      <c r="I105" s="11"/>
      <c r="J105" s="11"/>
      <c r="K105" s="11"/>
      <c r="L105" s="11"/>
      <c r="M105" s="11"/>
      <c r="N105" s="11"/>
      <c r="O105" s="11"/>
      <c r="P105" s="11"/>
      <c r="Q105" s="11" t="s">
        <v>1235</v>
      </c>
      <c r="R105" s="11"/>
      <c r="S105" s="11"/>
      <c r="T105" s="11"/>
      <c r="U105" s="11"/>
      <c r="V105" s="11"/>
      <c r="W105" s="11" t="s">
        <v>1235</v>
      </c>
      <c r="X105" s="11"/>
      <c r="Y105" s="213"/>
      <c r="Z105" s="11" t="s">
        <v>1235</v>
      </c>
      <c r="AA105" s="11" t="s">
        <v>1235</v>
      </c>
      <c r="AB105" s="11"/>
      <c r="AC105" s="11"/>
      <c r="AD105" s="11"/>
      <c r="AE105" s="11"/>
      <c r="AF105" s="11"/>
      <c r="AG105" s="11"/>
      <c r="AH105" s="11"/>
      <c r="AI105" s="11"/>
      <c r="AJ105" s="11"/>
      <c r="AK105" s="11"/>
      <c r="AL105" s="11"/>
      <c r="AM105" s="11"/>
      <c r="AN105" s="11"/>
      <c r="AO105" s="11"/>
      <c r="AP105" s="11"/>
      <c r="AQ105" s="11"/>
      <c r="AR105" s="11"/>
      <c r="AS105" s="11"/>
      <c r="AT105" s="213"/>
      <c r="AU105" s="11"/>
      <c r="AV105" s="11"/>
      <c r="AW105" s="11"/>
      <c r="AX105" s="11"/>
      <c r="AY105" s="11" t="s">
        <v>1235</v>
      </c>
      <c r="AZ105" s="11"/>
      <c r="BA105" s="11"/>
      <c r="BB105" s="11"/>
      <c r="BC105" s="11"/>
      <c r="BD105" s="11"/>
      <c r="BE105" s="213"/>
      <c r="BF105" s="11"/>
      <c r="BG105" s="11"/>
      <c r="BH105" s="11"/>
      <c r="BI105" s="11"/>
      <c r="BJ105" s="11"/>
      <c r="BK105" s="11"/>
      <c r="BL105" s="11"/>
      <c r="BM105" s="11"/>
      <c r="BN105" s="11"/>
      <c r="BO105" s="11"/>
      <c r="BP105" s="11"/>
      <c r="BQ105" s="213"/>
      <c r="BR105" s="11"/>
      <c r="BS105" s="11"/>
      <c r="BT105" s="11"/>
      <c r="BU105" s="11"/>
      <c r="BV105" s="11"/>
      <c r="BW105" s="11"/>
      <c r="BX105" s="11"/>
      <c r="BY105" s="11"/>
      <c r="BZ105" s="11"/>
      <c r="CA105" s="195"/>
      <c r="CB105" s="11"/>
      <c r="CC105" s="11"/>
      <c r="CD105" s="11"/>
      <c r="CE105" s="11"/>
      <c r="CF105" s="11"/>
      <c r="CG105" s="11"/>
      <c r="CH105" s="11"/>
      <c r="CI105" s="11"/>
      <c r="CJ105" s="11"/>
      <c r="CK105" s="213" t="s">
        <v>1235</v>
      </c>
      <c r="CL105" s="11"/>
      <c r="CM105" s="11"/>
      <c r="CN105" s="11"/>
      <c r="CO105" s="11"/>
      <c r="CP105" s="11"/>
      <c r="CQ105" s="11"/>
      <c r="CR105" s="11"/>
      <c r="CS105" s="11"/>
      <c r="CT105" s="11"/>
      <c r="CU105" s="11"/>
      <c r="CV105" s="11"/>
      <c r="CW105" s="213"/>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c r="EA105" s="11"/>
      <c r="EB105" s="11"/>
      <c r="EC105" s="11"/>
      <c r="ED105" s="11"/>
      <c r="EE105" s="11"/>
      <c r="EF105" s="11"/>
      <c r="EG105" s="11"/>
      <c r="EH105" s="11"/>
      <c r="EI105" s="11"/>
      <c r="EJ105" s="11"/>
      <c r="EK105" s="11"/>
      <c r="EL105" s="213"/>
      <c r="EM105" s="11"/>
      <c r="EN105" s="11"/>
      <c r="EO105" s="11"/>
      <c r="EP105" s="11"/>
      <c r="EQ105" s="11"/>
      <c r="ER105" s="11"/>
      <c r="ES105" s="11"/>
      <c r="ET105" s="11"/>
      <c r="EU105" s="11"/>
      <c r="EV105" s="11"/>
      <c r="EW105" s="213"/>
      <c r="EX105" s="11"/>
      <c r="EY105" s="11"/>
      <c r="EZ105" s="11"/>
      <c r="FA105" s="213"/>
      <c r="FB105" s="11"/>
      <c r="FC105" s="11"/>
      <c r="FD105" s="11"/>
      <c r="FE105" s="11"/>
      <c r="FF105" s="11"/>
      <c r="FG105" s="11"/>
      <c r="FH105" s="11"/>
      <c r="FI105" s="213"/>
      <c r="FJ105" s="11"/>
      <c r="FK105" s="11"/>
      <c r="FL105" s="11"/>
      <c r="FM105" s="11"/>
      <c r="FN105" s="11"/>
      <c r="FO105" s="11"/>
      <c r="FP105" s="11"/>
      <c r="FQ105" s="11"/>
      <c r="FR105" s="11"/>
      <c r="FS105" s="11"/>
      <c r="FT105" s="213"/>
      <c r="FU105" s="11"/>
      <c r="FV105" s="11"/>
      <c r="FW105" s="11"/>
      <c r="FX105" s="11"/>
      <c r="FY105" s="11"/>
      <c r="FZ105" s="213"/>
      <c r="GA105" s="11"/>
      <c r="GB105" s="11"/>
      <c r="GC105" s="11"/>
      <c r="GD105" s="11"/>
      <c r="GE105" s="11"/>
      <c r="GF105" s="11"/>
      <c r="GG105" s="11"/>
      <c r="GH105" s="11"/>
      <c r="GI105" s="11"/>
      <c r="GJ105" s="11"/>
      <c r="GK105" s="11"/>
      <c r="GL105" s="11"/>
      <c r="GM105" s="11"/>
      <c r="GN105" s="11"/>
      <c r="GO105" s="11"/>
      <c r="GP105" s="152"/>
    </row>
    <row r="106" spans="1:198" x14ac:dyDescent="0.2">
      <c r="A106" s="73" t="s">
        <v>1049</v>
      </c>
      <c r="B106" s="11" t="str">
        <f>IF(AND(ISTEXT(""),""&lt;&gt;""), HYPERLINK("", "Link"),"-")</f>
        <v>-</v>
      </c>
      <c r="C106" s="11" t="s">
        <v>1235</v>
      </c>
      <c r="D106" s="11"/>
      <c r="E106" s="11"/>
      <c r="F106" s="11" t="s">
        <v>2811</v>
      </c>
      <c r="G106" s="213"/>
      <c r="H106" s="11" t="s">
        <v>1235</v>
      </c>
      <c r="I106" s="11"/>
      <c r="J106" s="11"/>
      <c r="K106" s="11"/>
      <c r="L106" s="11"/>
      <c r="M106" s="11"/>
      <c r="N106" s="11"/>
      <c r="O106" s="11"/>
      <c r="P106" s="11"/>
      <c r="Q106" s="11"/>
      <c r="R106" s="11"/>
      <c r="S106" s="11"/>
      <c r="T106" s="11"/>
      <c r="U106" s="11"/>
      <c r="V106" s="11"/>
      <c r="W106" s="11"/>
      <c r="X106" s="11"/>
      <c r="Y106" s="213"/>
      <c r="Z106" s="11"/>
      <c r="AA106" s="11"/>
      <c r="AB106" s="11"/>
      <c r="AC106" s="11"/>
      <c r="AD106" s="11"/>
      <c r="AE106" s="11"/>
      <c r="AF106" s="11"/>
      <c r="AG106" s="11"/>
      <c r="AH106" s="11" t="s">
        <v>1235</v>
      </c>
      <c r="AI106" s="11"/>
      <c r="AJ106" s="11"/>
      <c r="AK106" s="11"/>
      <c r="AL106" s="11"/>
      <c r="AM106" s="11"/>
      <c r="AN106" s="11"/>
      <c r="AO106" s="11"/>
      <c r="AP106" s="11"/>
      <c r="AQ106" s="11"/>
      <c r="AR106" s="11"/>
      <c r="AS106" s="11"/>
      <c r="AT106" s="213" t="s">
        <v>1235</v>
      </c>
      <c r="AU106" s="11"/>
      <c r="AV106" s="11"/>
      <c r="AW106" s="11"/>
      <c r="AX106" s="11"/>
      <c r="AY106" s="11"/>
      <c r="AZ106" s="11"/>
      <c r="BA106" s="11"/>
      <c r="BB106" s="11"/>
      <c r="BC106" s="11"/>
      <c r="BD106" s="11"/>
      <c r="BE106" s="213"/>
      <c r="BF106" s="11"/>
      <c r="BG106" s="11"/>
      <c r="BH106" s="11"/>
      <c r="BI106" s="11"/>
      <c r="BJ106" s="11"/>
      <c r="BK106" s="11"/>
      <c r="BL106" s="11"/>
      <c r="BM106" s="11"/>
      <c r="BN106" s="11"/>
      <c r="BO106" s="11"/>
      <c r="BP106" s="11"/>
      <c r="BQ106" s="213"/>
      <c r="BR106" s="11"/>
      <c r="BS106" s="11"/>
      <c r="BT106" s="11"/>
      <c r="BU106" s="11"/>
      <c r="BV106" s="11"/>
      <c r="BW106" s="11"/>
      <c r="BX106" s="11"/>
      <c r="BY106" s="11"/>
      <c r="BZ106" s="11"/>
      <c r="CA106" s="195"/>
      <c r="CB106" s="11"/>
      <c r="CC106" s="11"/>
      <c r="CD106" s="11"/>
      <c r="CE106" s="11"/>
      <c r="CF106" s="11"/>
      <c r="CG106" s="11"/>
      <c r="CH106" s="11"/>
      <c r="CI106" s="11"/>
      <c r="CJ106" s="11"/>
      <c r="CK106" s="213" t="s">
        <v>1235</v>
      </c>
      <c r="CL106" s="11"/>
      <c r="CM106" s="11"/>
      <c r="CN106" s="11"/>
      <c r="CO106" s="11"/>
      <c r="CP106" s="11"/>
      <c r="CQ106" s="11"/>
      <c r="CR106" s="11"/>
      <c r="CS106" s="11"/>
      <c r="CT106" s="11"/>
      <c r="CU106" s="11"/>
      <c r="CV106" s="11"/>
      <c r="CW106" s="213"/>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213"/>
      <c r="EM106" s="11"/>
      <c r="EN106" s="11"/>
      <c r="EO106" s="11"/>
      <c r="EP106" s="11"/>
      <c r="EQ106" s="11"/>
      <c r="ER106" s="11"/>
      <c r="ES106" s="11"/>
      <c r="ET106" s="11"/>
      <c r="EU106" s="11"/>
      <c r="EV106" s="11"/>
      <c r="EW106" s="213"/>
      <c r="EX106" s="11"/>
      <c r="EY106" s="11"/>
      <c r="EZ106" s="11"/>
      <c r="FA106" s="213"/>
      <c r="FB106" s="11"/>
      <c r="FC106" s="11"/>
      <c r="FD106" s="11"/>
      <c r="FE106" s="11"/>
      <c r="FF106" s="11"/>
      <c r="FG106" s="11"/>
      <c r="FH106" s="11"/>
      <c r="FI106" s="213"/>
      <c r="FJ106" s="11"/>
      <c r="FK106" s="11"/>
      <c r="FL106" s="11"/>
      <c r="FM106" s="11"/>
      <c r="FN106" s="11"/>
      <c r="FO106" s="11"/>
      <c r="FP106" s="11"/>
      <c r="FQ106" s="11"/>
      <c r="FR106" s="11"/>
      <c r="FS106" s="11"/>
      <c r="FT106" s="213"/>
      <c r="FU106" s="11"/>
      <c r="FV106" s="11"/>
      <c r="FW106" s="11"/>
      <c r="FX106" s="11"/>
      <c r="FY106" s="11"/>
      <c r="FZ106" s="213"/>
      <c r="GA106" s="11"/>
      <c r="GB106" s="11"/>
      <c r="GC106" s="11"/>
      <c r="GD106" s="11"/>
      <c r="GE106" s="11"/>
      <c r="GF106" s="11"/>
      <c r="GG106" s="11"/>
      <c r="GH106" s="11"/>
      <c r="GI106" s="11"/>
      <c r="GJ106" s="11"/>
      <c r="GK106" s="11"/>
      <c r="GL106" s="11"/>
      <c r="GM106" s="11"/>
      <c r="GN106" s="11"/>
      <c r="GO106" s="11"/>
      <c r="GP106" s="152"/>
    </row>
    <row r="107" spans="1:198" x14ac:dyDescent="0.2">
      <c r="A107" s="73" t="s">
        <v>1858</v>
      </c>
      <c r="B107" s="11" t="str">
        <f>IF(AND(ISTEXT("https://github.com/CVbluecat/TIPS"),"https://github.com/CVbluecat/TIPS"&lt;&gt;""), HYPERLINK("https://github.com/CVbluecat/TIPS", "Link"),"-")</f>
        <v>Link</v>
      </c>
      <c r="C107" s="11" t="s">
        <v>1235</v>
      </c>
      <c r="D107" s="11"/>
      <c r="E107" s="11" t="s">
        <v>1235</v>
      </c>
      <c r="F107" s="11" t="s">
        <v>2811</v>
      </c>
      <c r="G107" s="213"/>
      <c r="H107" s="11" t="s">
        <v>1235</v>
      </c>
      <c r="I107" s="11"/>
      <c r="J107" s="11"/>
      <c r="K107" s="11"/>
      <c r="L107" s="11"/>
      <c r="M107" s="11" t="s">
        <v>1235</v>
      </c>
      <c r="N107" s="11"/>
      <c r="O107" s="11"/>
      <c r="P107" s="11"/>
      <c r="Q107" s="11"/>
      <c r="R107" s="11"/>
      <c r="S107" s="11"/>
      <c r="T107" s="11"/>
      <c r="U107" s="11"/>
      <c r="V107" s="11"/>
      <c r="W107" s="11"/>
      <c r="X107" s="11"/>
      <c r="Y107" s="213"/>
      <c r="Z107" s="11"/>
      <c r="AA107" s="11"/>
      <c r="AB107" s="11"/>
      <c r="AC107" s="11"/>
      <c r="AD107" s="11"/>
      <c r="AE107" s="11"/>
      <c r="AF107" s="11"/>
      <c r="AG107" s="11"/>
      <c r="AH107" s="11"/>
      <c r="AI107" s="11"/>
      <c r="AJ107" s="11"/>
      <c r="AK107" s="11"/>
      <c r="AL107" s="11"/>
      <c r="AM107" s="11"/>
      <c r="AN107" s="11"/>
      <c r="AO107" s="11"/>
      <c r="AP107" s="11"/>
      <c r="AQ107" s="11"/>
      <c r="AR107" s="11"/>
      <c r="AS107" s="11"/>
      <c r="AT107" s="213" t="s">
        <v>1235</v>
      </c>
      <c r="AU107" s="11"/>
      <c r="AV107" s="11"/>
      <c r="AW107" s="11"/>
      <c r="AX107" s="11"/>
      <c r="AY107" s="11"/>
      <c r="AZ107" s="11"/>
      <c r="BA107" s="11"/>
      <c r="BB107" s="11"/>
      <c r="BC107" s="11"/>
      <c r="BD107" s="11"/>
      <c r="BE107" s="213"/>
      <c r="BF107" s="11"/>
      <c r="BG107" s="11"/>
      <c r="BH107" s="11"/>
      <c r="BI107" s="11"/>
      <c r="BJ107" s="11"/>
      <c r="BK107" s="11"/>
      <c r="BL107" s="11"/>
      <c r="BM107" s="11"/>
      <c r="BN107" s="11"/>
      <c r="BO107" s="11"/>
      <c r="BP107" s="11"/>
      <c r="BQ107" s="213"/>
      <c r="BR107" s="11"/>
      <c r="BS107" s="11"/>
      <c r="BT107" s="11" t="s">
        <v>1235</v>
      </c>
      <c r="BU107" s="11"/>
      <c r="BV107" s="11"/>
      <c r="BW107" s="11"/>
      <c r="BX107" s="11"/>
      <c r="BY107" s="11"/>
      <c r="BZ107" s="11"/>
      <c r="CA107" s="195"/>
      <c r="CB107" s="11"/>
      <c r="CC107" s="11"/>
      <c r="CD107" s="11"/>
      <c r="CE107" s="11"/>
      <c r="CF107" s="11"/>
      <c r="CG107" s="11"/>
      <c r="CH107" s="11"/>
      <c r="CI107" s="11"/>
      <c r="CJ107" s="11"/>
      <c r="CK107" s="213"/>
      <c r="CL107" s="11"/>
      <c r="CM107" s="11"/>
      <c r="CN107" s="11"/>
      <c r="CO107" s="11"/>
      <c r="CP107" s="11"/>
      <c r="CQ107" s="11"/>
      <c r="CR107" s="11"/>
      <c r="CS107" s="11"/>
      <c r="CT107" s="11"/>
      <c r="CU107" s="11"/>
      <c r="CV107" s="11"/>
      <c r="CW107" s="213" t="s">
        <v>1235</v>
      </c>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t="s">
        <v>1235</v>
      </c>
      <c r="EB107" s="11"/>
      <c r="EC107" s="11"/>
      <c r="ED107" s="11"/>
      <c r="EE107" s="11"/>
      <c r="EF107" s="11"/>
      <c r="EG107" s="11"/>
      <c r="EH107" s="11"/>
      <c r="EI107" s="11"/>
      <c r="EJ107" s="11"/>
      <c r="EK107" s="11"/>
      <c r="EL107" s="213"/>
      <c r="EM107" s="11"/>
      <c r="EN107" s="11"/>
      <c r="EO107" s="11"/>
      <c r="EP107" s="11"/>
      <c r="EQ107" s="11"/>
      <c r="ER107" s="11"/>
      <c r="ES107" s="11"/>
      <c r="ET107" s="11"/>
      <c r="EU107" s="11"/>
      <c r="EV107" s="11"/>
      <c r="EW107" s="213"/>
      <c r="EX107" s="11"/>
      <c r="EY107" s="11"/>
      <c r="EZ107" s="11"/>
      <c r="FA107" s="213"/>
      <c r="FB107" s="11"/>
      <c r="FC107" s="11"/>
      <c r="FD107" s="11"/>
      <c r="FE107" s="11"/>
      <c r="FF107" s="11"/>
      <c r="FG107" s="11"/>
      <c r="FH107" s="11"/>
      <c r="FI107" s="213"/>
      <c r="FJ107" s="11"/>
      <c r="FK107" s="11"/>
      <c r="FL107" s="11"/>
      <c r="FM107" s="11"/>
      <c r="FN107" s="11"/>
      <c r="FO107" s="11"/>
      <c r="FP107" s="11"/>
      <c r="FQ107" s="11"/>
      <c r="FR107" s="11"/>
      <c r="FS107" s="11"/>
      <c r="FT107" s="213"/>
      <c r="FU107" s="11"/>
      <c r="FV107" s="11"/>
      <c r="FW107" s="11"/>
      <c r="FX107" s="11"/>
      <c r="FY107" s="11"/>
      <c r="FZ107" s="213"/>
      <c r="GA107" s="11"/>
      <c r="GB107" s="11"/>
      <c r="GC107" s="11"/>
      <c r="GD107" s="11"/>
      <c r="GE107" s="11"/>
      <c r="GF107" s="11"/>
      <c r="GG107" s="11"/>
      <c r="GH107" s="11"/>
      <c r="GI107" s="11"/>
      <c r="GJ107" s="11"/>
      <c r="GK107" s="11"/>
      <c r="GL107" s="11"/>
      <c r="GM107" s="11"/>
      <c r="GN107" s="11"/>
      <c r="GO107" s="11"/>
      <c r="GP107" s="152"/>
    </row>
    <row r="108" spans="1:198" x14ac:dyDescent="0.2">
      <c r="A108" s="74" t="s">
        <v>1862</v>
      </c>
      <c r="B108" s="11" t="str">
        <f>IF(AND(ISTEXT("https://github.com/SeUniVr/EtherSolve"),"https://github.com/SeUniVr/EtherSolve"&lt;&gt;""), HYPERLINK("https://github.com/SeUniVr/EtherSolve", "Link"),"-")</f>
        <v>Link</v>
      </c>
      <c r="C108" s="11" t="s">
        <v>1235</v>
      </c>
      <c r="D108" s="11"/>
      <c r="E108" s="11" t="s">
        <v>1235</v>
      </c>
      <c r="F108" s="11" t="s">
        <v>2812</v>
      </c>
      <c r="G108" s="213"/>
      <c r="H108" s="11" t="s">
        <v>1235</v>
      </c>
      <c r="I108" s="11"/>
      <c r="J108" s="11"/>
      <c r="K108" s="11"/>
      <c r="L108" s="11"/>
      <c r="M108" s="11"/>
      <c r="N108" s="11"/>
      <c r="O108" s="11"/>
      <c r="P108" s="11"/>
      <c r="Q108" s="11"/>
      <c r="R108" s="11"/>
      <c r="S108" s="11"/>
      <c r="T108" s="11"/>
      <c r="U108" s="11"/>
      <c r="V108" s="11"/>
      <c r="W108" s="11"/>
      <c r="X108" s="11"/>
      <c r="Y108" s="213"/>
      <c r="Z108" s="11"/>
      <c r="AA108" s="11"/>
      <c r="AB108" s="11"/>
      <c r="AC108" s="11"/>
      <c r="AD108" s="11"/>
      <c r="AE108" s="11"/>
      <c r="AF108" s="11"/>
      <c r="AG108" s="11"/>
      <c r="AH108" s="11"/>
      <c r="AI108" s="11"/>
      <c r="AJ108" s="11"/>
      <c r="AK108" s="11"/>
      <c r="AL108" s="11"/>
      <c r="AM108" s="11"/>
      <c r="AN108" s="11"/>
      <c r="AO108" s="11"/>
      <c r="AP108" s="11"/>
      <c r="AQ108" s="11"/>
      <c r="AR108" s="11"/>
      <c r="AS108" s="11"/>
      <c r="AT108" s="213"/>
      <c r="AU108" s="11"/>
      <c r="AV108" s="11"/>
      <c r="AW108" s="11"/>
      <c r="AX108" s="11"/>
      <c r="AY108" s="11"/>
      <c r="AZ108" s="11"/>
      <c r="BA108" s="11"/>
      <c r="BB108" s="11"/>
      <c r="BC108" s="11"/>
      <c r="BD108" s="11"/>
      <c r="BE108" s="213"/>
      <c r="BF108" s="11"/>
      <c r="BG108" s="11"/>
      <c r="BH108" s="11"/>
      <c r="BI108" s="11"/>
      <c r="BJ108" s="11"/>
      <c r="BK108" s="11"/>
      <c r="BL108" s="11"/>
      <c r="BM108" s="11"/>
      <c r="BN108" s="11"/>
      <c r="BO108" s="11"/>
      <c r="BP108" s="11"/>
      <c r="BQ108" s="213"/>
      <c r="BR108" s="11" t="s">
        <v>1235</v>
      </c>
      <c r="BS108" s="11"/>
      <c r="BT108" s="11"/>
      <c r="BU108" s="11"/>
      <c r="BV108" s="11"/>
      <c r="BW108" s="11"/>
      <c r="BX108" s="11"/>
      <c r="BY108" s="11"/>
      <c r="BZ108" s="11"/>
      <c r="CA108" s="195"/>
      <c r="CB108" s="11"/>
      <c r="CC108" s="11"/>
      <c r="CD108" s="11"/>
      <c r="CE108" s="11"/>
      <c r="CF108" s="11"/>
      <c r="CG108" s="11"/>
      <c r="CH108" s="11"/>
      <c r="CI108" s="11"/>
      <c r="CJ108" s="11"/>
      <c r="CK108" s="213"/>
      <c r="CL108" s="11"/>
      <c r="CM108" s="11"/>
      <c r="CN108" s="11"/>
      <c r="CO108" s="11"/>
      <c r="CP108" s="11"/>
      <c r="CQ108" s="11"/>
      <c r="CR108" s="11"/>
      <c r="CS108" s="11"/>
      <c r="CT108" s="11"/>
      <c r="CU108" s="11"/>
      <c r="CV108" s="11"/>
      <c r="CW108" s="213"/>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213"/>
      <c r="EM108" s="11"/>
      <c r="EN108" s="11"/>
      <c r="EO108" s="11"/>
      <c r="EP108" s="11"/>
      <c r="EQ108" s="11"/>
      <c r="ER108" s="11"/>
      <c r="ES108" s="11"/>
      <c r="ET108" s="11"/>
      <c r="EU108" s="11"/>
      <c r="EV108" s="11"/>
      <c r="EW108" s="213"/>
      <c r="EX108" s="11"/>
      <c r="EY108" s="11"/>
      <c r="EZ108" s="11"/>
      <c r="FA108" s="213"/>
      <c r="FB108" s="11"/>
      <c r="FC108" s="11"/>
      <c r="FD108" s="11"/>
      <c r="FE108" s="11"/>
      <c r="FF108" s="11"/>
      <c r="FG108" s="11"/>
      <c r="FH108" s="11"/>
      <c r="FI108" s="213"/>
      <c r="FJ108" s="11"/>
      <c r="FK108" s="11"/>
      <c r="FL108" s="11"/>
      <c r="FM108" s="11"/>
      <c r="FN108" s="11"/>
      <c r="FO108" s="11"/>
      <c r="FP108" s="11"/>
      <c r="FQ108" s="11"/>
      <c r="FR108" s="11"/>
      <c r="FS108" s="11"/>
      <c r="FT108" s="213"/>
      <c r="FU108" s="11"/>
      <c r="FV108" s="11"/>
      <c r="FW108" s="11"/>
      <c r="FX108" s="11"/>
      <c r="FY108" s="11"/>
      <c r="FZ108" s="213"/>
      <c r="GA108" s="11"/>
      <c r="GB108" s="11"/>
      <c r="GC108" s="11"/>
      <c r="GD108" s="11"/>
      <c r="GE108" s="11"/>
      <c r="GF108" s="11"/>
      <c r="GG108" s="11"/>
      <c r="GH108" s="11"/>
      <c r="GI108" s="11"/>
      <c r="GJ108" s="11"/>
      <c r="GK108" s="11"/>
      <c r="GL108" s="11"/>
      <c r="GM108" s="11"/>
      <c r="GN108" s="11"/>
      <c r="GO108" s="11"/>
      <c r="GP108" s="152"/>
    </row>
    <row r="109" spans="1:198" x14ac:dyDescent="0.2">
      <c r="A109" s="73" t="s">
        <v>1865</v>
      </c>
      <c r="B109" s="11" t="str">
        <f t="shared" ref="B109:B114" si="4">IF(AND(ISTEXT(""),""&lt;&gt;""), HYPERLINK("", "Link"),"-")</f>
        <v>-</v>
      </c>
      <c r="C109" s="11" t="s">
        <v>1235</v>
      </c>
      <c r="D109" s="11"/>
      <c r="E109" s="11"/>
      <c r="F109" s="11" t="s">
        <v>2811</v>
      </c>
      <c r="G109" s="213"/>
      <c r="H109" s="11" t="s">
        <v>1235</v>
      </c>
      <c r="I109" s="11"/>
      <c r="J109" s="11"/>
      <c r="K109" s="11"/>
      <c r="L109" s="11"/>
      <c r="M109" s="11"/>
      <c r="N109" s="11"/>
      <c r="O109" s="11"/>
      <c r="P109" s="11"/>
      <c r="Q109" s="11"/>
      <c r="R109" s="11"/>
      <c r="S109" s="11"/>
      <c r="T109" s="11"/>
      <c r="U109" s="11"/>
      <c r="V109" s="11"/>
      <c r="W109" s="11"/>
      <c r="X109" s="11"/>
      <c r="Y109" s="213"/>
      <c r="Z109" s="11" t="s">
        <v>1235</v>
      </c>
      <c r="AA109" s="11"/>
      <c r="AB109" s="11"/>
      <c r="AC109" s="11" t="s">
        <v>1235</v>
      </c>
      <c r="AD109" s="11"/>
      <c r="AE109" s="11"/>
      <c r="AF109" s="11"/>
      <c r="AG109" s="11"/>
      <c r="AH109" s="11"/>
      <c r="AI109" s="11"/>
      <c r="AJ109" s="11"/>
      <c r="AK109" s="11"/>
      <c r="AL109" s="11"/>
      <c r="AM109" s="11"/>
      <c r="AN109" s="11"/>
      <c r="AO109" s="11"/>
      <c r="AP109" s="11"/>
      <c r="AQ109" s="11"/>
      <c r="AR109" s="11"/>
      <c r="AS109" s="11"/>
      <c r="AT109" s="213"/>
      <c r="AU109" s="11"/>
      <c r="AV109" s="11"/>
      <c r="AW109" s="11"/>
      <c r="AX109" s="11"/>
      <c r="AY109" s="11"/>
      <c r="AZ109" s="11" t="s">
        <v>1235</v>
      </c>
      <c r="BA109" s="11"/>
      <c r="BB109" s="11"/>
      <c r="BC109" s="11"/>
      <c r="BD109" s="11"/>
      <c r="BE109" s="213"/>
      <c r="BF109" s="11"/>
      <c r="BG109" s="11"/>
      <c r="BH109" s="11"/>
      <c r="BI109" s="11"/>
      <c r="BJ109" s="11"/>
      <c r="BK109" s="11"/>
      <c r="BL109" s="11"/>
      <c r="BM109" s="11"/>
      <c r="BN109" s="11"/>
      <c r="BO109" s="11"/>
      <c r="BP109" s="11"/>
      <c r="BQ109" s="213"/>
      <c r="BR109" s="11" t="s">
        <v>1235</v>
      </c>
      <c r="BS109" s="11"/>
      <c r="BT109" s="11"/>
      <c r="BU109" s="11"/>
      <c r="BV109" s="11"/>
      <c r="BW109" s="11"/>
      <c r="BX109" s="11"/>
      <c r="BY109" s="11"/>
      <c r="BZ109" s="11"/>
      <c r="CA109" s="195"/>
      <c r="CB109" s="11"/>
      <c r="CC109" s="11"/>
      <c r="CD109" s="11"/>
      <c r="CE109" s="11"/>
      <c r="CF109" s="11"/>
      <c r="CG109" s="11"/>
      <c r="CH109" s="11"/>
      <c r="CI109" s="11"/>
      <c r="CJ109" s="11"/>
      <c r="CK109" s="213" t="s">
        <v>1235</v>
      </c>
      <c r="CL109" s="11"/>
      <c r="CM109" s="11"/>
      <c r="CN109" s="11"/>
      <c r="CO109" s="11"/>
      <c r="CP109" s="11"/>
      <c r="CQ109" s="11"/>
      <c r="CR109" s="11"/>
      <c r="CS109" s="11"/>
      <c r="CT109" s="11"/>
      <c r="CU109" s="11"/>
      <c r="CV109" s="11"/>
      <c r="CW109" s="213"/>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213"/>
      <c r="EM109" s="11"/>
      <c r="EN109" s="11"/>
      <c r="EO109" s="11"/>
      <c r="EP109" s="11"/>
      <c r="EQ109" s="11"/>
      <c r="ER109" s="11"/>
      <c r="ES109" s="11"/>
      <c r="ET109" s="11"/>
      <c r="EU109" s="11"/>
      <c r="EV109" s="11"/>
      <c r="EW109" s="213" t="s">
        <v>1235</v>
      </c>
      <c r="EX109" s="11"/>
      <c r="EY109" s="11"/>
      <c r="EZ109" s="11"/>
      <c r="FA109" s="213"/>
      <c r="FB109" s="11"/>
      <c r="FC109" s="11"/>
      <c r="FD109" s="11"/>
      <c r="FE109" s="11"/>
      <c r="FF109" s="11"/>
      <c r="FG109" s="11"/>
      <c r="FH109" s="11"/>
      <c r="FI109" s="213"/>
      <c r="FJ109" s="11"/>
      <c r="FK109" s="11"/>
      <c r="FL109" s="11"/>
      <c r="FM109" s="11"/>
      <c r="FN109" s="11"/>
      <c r="FO109" s="11"/>
      <c r="FP109" s="11"/>
      <c r="FQ109" s="11"/>
      <c r="FR109" s="11"/>
      <c r="FS109" s="11"/>
      <c r="FT109" s="213"/>
      <c r="FU109" s="11"/>
      <c r="FV109" s="11"/>
      <c r="FW109" s="11"/>
      <c r="FX109" s="11"/>
      <c r="FY109" s="11"/>
      <c r="FZ109" s="213"/>
      <c r="GA109" s="11"/>
      <c r="GB109" s="11"/>
      <c r="GC109" s="11"/>
      <c r="GD109" s="11"/>
      <c r="GE109" s="11"/>
      <c r="GF109" s="11"/>
      <c r="GG109" s="11"/>
      <c r="GH109" s="11"/>
      <c r="GI109" s="11"/>
      <c r="GJ109" s="11"/>
      <c r="GK109" s="11"/>
      <c r="GL109" s="11"/>
      <c r="GM109" s="11"/>
      <c r="GN109" s="11"/>
      <c r="GO109" s="11"/>
      <c r="GP109" s="152"/>
    </row>
    <row r="110" spans="1:198" x14ac:dyDescent="0.2">
      <c r="A110" s="74" t="s">
        <v>1867</v>
      </c>
      <c r="B110" s="11" t="str">
        <f t="shared" si="4"/>
        <v>-</v>
      </c>
      <c r="C110" s="11" t="s">
        <v>1235</v>
      </c>
      <c r="D110" s="11"/>
      <c r="E110" s="11"/>
      <c r="F110" s="11" t="s">
        <v>2812</v>
      </c>
      <c r="G110" s="213"/>
      <c r="H110" s="11" t="s">
        <v>1235</v>
      </c>
      <c r="I110" s="11"/>
      <c r="J110" s="11"/>
      <c r="K110" s="11"/>
      <c r="L110" s="11"/>
      <c r="M110" s="11"/>
      <c r="N110" s="11"/>
      <c r="O110" s="11"/>
      <c r="P110" s="11"/>
      <c r="Q110" s="11" t="s">
        <v>1235</v>
      </c>
      <c r="R110" s="11"/>
      <c r="S110" s="11"/>
      <c r="T110" s="11"/>
      <c r="U110" s="11"/>
      <c r="V110" s="11"/>
      <c r="W110" s="11"/>
      <c r="X110" s="11"/>
      <c r="Y110" s="213"/>
      <c r="Z110" s="11" t="s">
        <v>1235</v>
      </c>
      <c r="AA110" s="11"/>
      <c r="AB110" s="11"/>
      <c r="AC110" s="11" t="s">
        <v>1235</v>
      </c>
      <c r="AD110" s="11"/>
      <c r="AE110" s="11"/>
      <c r="AF110" s="11"/>
      <c r="AG110" s="11"/>
      <c r="AH110" s="11"/>
      <c r="AI110" s="11"/>
      <c r="AJ110" s="11"/>
      <c r="AK110" s="11"/>
      <c r="AL110" s="11"/>
      <c r="AM110" s="11"/>
      <c r="AN110" s="11"/>
      <c r="AO110" s="11"/>
      <c r="AP110" s="11"/>
      <c r="AQ110" s="11"/>
      <c r="AR110" s="11"/>
      <c r="AS110" s="11"/>
      <c r="AT110" s="213" t="s">
        <v>1235</v>
      </c>
      <c r="AU110" s="11"/>
      <c r="AV110" s="11"/>
      <c r="AW110" s="11"/>
      <c r="AX110" s="11"/>
      <c r="AY110" s="11"/>
      <c r="AZ110" s="11"/>
      <c r="BA110" s="11"/>
      <c r="BB110" s="11"/>
      <c r="BC110" s="11"/>
      <c r="BD110" s="11"/>
      <c r="BE110" s="213"/>
      <c r="BF110" s="11"/>
      <c r="BG110" s="11"/>
      <c r="BH110" s="11"/>
      <c r="BI110" s="11"/>
      <c r="BJ110" s="11"/>
      <c r="BK110" s="11"/>
      <c r="BL110" s="11"/>
      <c r="BM110" s="11"/>
      <c r="BN110" s="11"/>
      <c r="BO110" s="11"/>
      <c r="BP110" s="11"/>
      <c r="BQ110" s="213"/>
      <c r="BR110" s="11" t="s">
        <v>1235</v>
      </c>
      <c r="BS110" s="11"/>
      <c r="BT110" s="11" t="s">
        <v>1235</v>
      </c>
      <c r="BU110" s="11"/>
      <c r="BV110" s="11"/>
      <c r="BW110" s="11"/>
      <c r="BX110" s="11"/>
      <c r="BY110" s="11"/>
      <c r="BZ110" s="11"/>
      <c r="CA110" s="195"/>
      <c r="CB110" s="11"/>
      <c r="CC110" s="11"/>
      <c r="CD110" s="11"/>
      <c r="CE110" s="11"/>
      <c r="CF110" s="11"/>
      <c r="CG110" s="11"/>
      <c r="CH110" s="11"/>
      <c r="CI110" s="11"/>
      <c r="CJ110" s="11"/>
      <c r="CK110" s="213" t="s">
        <v>1235</v>
      </c>
      <c r="CL110" s="11"/>
      <c r="CM110" s="11"/>
      <c r="CN110" s="11"/>
      <c r="CO110" s="11"/>
      <c r="CP110" s="11"/>
      <c r="CQ110" s="11"/>
      <c r="CR110" s="11"/>
      <c r="CS110" s="11"/>
      <c r="CT110" s="11"/>
      <c r="CU110" s="11"/>
      <c r="CV110" s="11"/>
      <c r="CW110" s="213"/>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213"/>
      <c r="EM110" s="11"/>
      <c r="EN110" s="11"/>
      <c r="EO110" s="11"/>
      <c r="EP110" s="11"/>
      <c r="EQ110" s="11"/>
      <c r="ER110" s="11"/>
      <c r="ES110" s="11"/>
      <c r="ET110" s="11"/>
      <c r="EU110" s="11"/>
      <c r="EV110" s="11"/>
      <c r="EW110" s="213"/>
      <c r="EX110" s="11"/>
      <c r="EY110" s="11"/>
      <c r="EZ110" s="11"/>
      <c r="FA110" s="213"/>
      <c r="FB110" s="11"/>
      <c r="FC110" s="11"/>
      <c r="FD110" s="11"/>
      <c r="FE110" s="11"/>
      <c r="FF110" s="11"/>
      <c r="FG110" s="11"/>
      <c r="FH110" s="11"/>
      <c r="FI110" s="213"/>
      <c r="FJ110" s="11"/>
      <c r="FK110" s="11"/>
      <c r="FL110" s="11"/>
      <c r="FM110" s="11"/>
      <c r="FN110" s="11"/>
      <c r="FO110" s="11"/>
      <c r="FP110" s="11"/>
      <c r="FQ110" s="11"/>
      <c r="FR110" s="11"/>
      <c r="FS110" s="11"/>
      <c r="FT110" s="213"/>
      <c r="FU110" s="11"/>
      <c r="FV110" s="11"/>
      <c r="FW110" s="11"/>
      <c r="FX110" s="11"/>
      <c r="FY110" s="11"/>
      <c r="FZ110" s="213"/>
      <c r="GA110" s="11"/>
      <c r="GB110" s="11"/>
      <c r="GC110" s="11"/>
      <c r="GD110" s="11"/>
      <c r="GE110" s="11"/>
      <c r="GF110" s="11"/>
      <c r="GG110" s="11"/>
      <c r="GH110" s="11"/>
      <c r="GI110" s="11"/>
      <c r="GJ110" s="11"/>
      <c r="GK110" s="11"/>
      <c r="GL110" s="11"/>
      <c r="GM110" s="11"/>
      <c r="GN110" s="11"/>
      <c r="GO110" s="11"/>
      <c r="GP110" s="152"/>
    </row>
    <row r="111" spans="1:198" x14ac:dyDescent="0.2">
      <c r="A111" s="73" t="s">
        <v>1869</v>
      </c>
      <c r="B111" s="11" t="str">
        <f t="shared" si="4"/>
        <v>-</v>
      </c>
      <c r="C111" s="11" t="s">
        <v>1235</v>
      </c>
      <c r="D111" s="11"/>
      <c r="E111" s="11"/>
      <c r="F111" s="11" t="s">
        <v>2811</v>
      </c>
      <c r="G111" s="213"/>
      <c r="H111" s="11" t="s">
        <v>1235</v>
      </c>
      <c r="I111" s="11"/>
      <c r="J111" s="11"/>
      <c r="K111" s="11"/>
      <c r="L111" s="11"/>
      <c r="M111" s="11" t="s">
        <v>1235</v>
      </c>
      <c r="N111" s="11"/>
      <c r="O111" s="11"/>
      <c r="P111" s="11"/>
      <c r="Q111" s="11" t="s">
        <v>1235</v>
      </c>
      <c r="R111" s="11"/>
      <c r="S111" s="11"/>
      <c r="T111" s="11"/>
      <c r="U111" s="11"/>
      <c r="V111" s="11"/>
      <c r="W111" s="11" t="s">
        <v>1235</v>
      </c>
      <c r="X111" s="11"/>
      <c r="Y111" s="213"/>
      <c r="Z111" s="11" t="s">
        <v>1235</v>
      </c>
      <c r="AA111" s="11"/>
      <c r="AB111" s="11"/>
      <c r="AC111" s="11" t="s">
        <v>1235</v>
      </c>
      <c r="AD111" s="11"/>
      <c r="AE111" s="11"/>
      <c r="AF111" s="11"/>
      <c r="AG111" s="11"/>
      <c r="AH111" s="11" t="s">
        <v>1235</v>
      </c>
      <c r="AI111" s="11"/>
      <c r="AJ111" s="11"/>
      <c r="AK111" s="11"/>
      <c r="AL111" s="11"/>
      <c r="AM111" s="11"/>
      <c r="AN111" s="11"/>
      <c r="AO111" s="11"/>
      <c r="AP111" s="11"/>
      <c r="AQ111" s="11"/>
      <c r="AR111" s="11"/>
      <c r="AS111" s="11"/>
      <c r="AT111" s="213" t="s">
        <v>1235</v>
      </c>
      <c r="AU111" s="11"/>
      <c r="AV111" s="11"/>
      <c r="AW111" s="11"/>
      <c r="AX111" s="11"/>
      <c r="AY111" s="11"/>
      <c r="AZ111" s="11"/>
      <c r="BA111" s="11"/>
      <c r="BB111" s="11"/>
      <c r="BC111" s="11"/>
      <c r="BD111" s="11"/>
      <c r="BE111" s="213"/>
      <c r="BF111" s="11"/>
      <c r="BG111" s="11"/>
      <c r="BH111" s="11"/>
      <c r="BI111" s="11"/>
      <c r="BJ111" s="11"/>
      <c r="BK111" s="11"/>
      <c r="BL111" s="11"/>
      <c r="BM111" s="11"/>
      <c r="BN111" s="11"/>
      <c r="BO111" s="11" t="s">
        <v>1235</v>
      </c>
      <c r="BP111" s="11"/>
      <c r="BQ111" s="213"/>
      <c r="BR111" s="11" t="s">
        <v>1235</v>
      </c>
      <c r="BS111" s="11"/>
      <c r="BT111" s="11" t="s">
        <v>1235</v>
      </c>
      <c r="BU111" s="11" t="s">
        <v>1235</v>
      </c>
      <c r="BV111" s="11"/>
      <c r="BW111" s="11"/>
      <c r="BX111" s="11"/>
      <c r="BY111" s="11"/>
      <c r="BZ111" s="11"/>
      <c r="CA111" s="195"/>
      <c r="CB111" s="11"/>
      <c r="CC111" s="11"/>
      <c r="CD111" s="11"/>
      <c r="CE111" s="11"/>
      <c r="CF111" s="11"/>
      <c r="CG111" s="11"/>
      <c r="CH111" s="11"/>
      <c r="CI111" s="11"/>
      <c r="CJ111" s="11"/>
      <c r="CK111" s="213" t="s">
        <v>1235</v>
      </c>
      <c r="CL111" s="11"/>
      <c r="CM111" s="11"/>
      <c r="CN111" s="11"/>
      <c r="CO111" s="11"/>
      <c r="CP111" s="11"/>
      <c r="CQ111" s="11"/>
      <c r="CR111" s="11"/>
      <c r="CS111" s="11"/>
      <c r="CT111" s="11"/>
      <c r="CU111" s="11"/>
      <c r="CV111" s="11"/>
      <c r="CW111" s="213"/>
      <c r="CX111" s="11"/>
      <c r="CY111" s="11"/>
      <c r="CZ111" s="11"/>
      <c r="DA111" s="11"/>
      <c r="DB111" s="11"/>
      <c r="DC111" s="11"/>
      <c r="DD111" s="11"/>
      <c r="DE111" s="11"/>
      <c r="DF111" s="11"/>
      <c r="DG111" s="11"/>
      <c r="DH111" s="11"/>
      <c r="DI111" s="11"/>
      <c r="DJ111" s="11"/>
      <c r="DK111" s="11"/>
      <c r="DL111" s="11"/>
      <c r="DM111" s="11" t="s">
        <v>1235</v>
      </c>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213"/>
      <c r="EM111" s="11"/>
      <c r="EN111" s="11"/>
      <c r="EO111" s="11"/>
      <c r="EP111" s="11"/>
      <c r="EQ111" s="11"/>
      <c r="ER111" s="11"/>
      <c r="ES111" s="11"/>
      <c r="ET111" s="11"/>
      <c r="EU111" s="11"/>
      <c r="EV111" s="11"/>
      <c r="EW111" s="213"/>
      <c r="EX111" s="11" t="s">
        <v>1235</v>
      </c>
      <c r="EY111" s="11" t="s">
        <v>1235</v>
      </c>
      <c r="EZ111" s="11"/>
      <c r="FA111" s="213"/>
      <c r="FB111" s="11"/>
      <c r="FC111" s="11"/>
      <c r="FD111" s="11"/>
      <c r="FE111" s="11"/>
      <c r="FF111" s="11"/>
      <c r="FG111" s="11"/>
      <c r="FH111" s="11"/>
      <c r="FI111" s="213"/>
      <c r="FJ111" s="11"/>
      <c r="FK111" s="11"/>
      <c r="FL111" s="11"/>
      <c r="FM111" s="11"/>
      <c r="FN111" s="11"/>
      <c r="FO111" s="11"/>
      <c r="FP111" s="11"/>
      <c r="FQ111" s="11"/>
      <c r="FR111" s="11"/>
      <c r="FS111" s="11"/>
      <c r="FT111" s="213"/>
      <c r="FU111" s="11"/>
      <c r="FV111" s="11"/>
      <c r="FW111" s="11"/>
      <c r="FX111" s="11"/>
      <c r="FY111" s="11"/>
      <c r="FZ111" s="213"/>
      <c r="GA111" s="11"/>
      <c r="GB111" s="11"/>
      <c r="GC111" s="11"/>
      <c r="GD111" s="11"/>
      <c r="GE111" s="11"/>
      <c r="GF111" s="11"/>
      <c r="GG111" s="11"/>
      <c r="GH111" s="11"/>
      <c r="GI111" s="11"/>
      <c r="GJ111" s="11"/>
      <c r="GK111" s="11"/>
      <c r="GL111" s="11"/>
      <c r="GM111" s="11"/>
      <c r="GN111" s="11"/>
      <c r="GO111" s="11"/>
      <c r="GP111" s="152"/>
    </row>
    <row r="112" spans="1:198" x14ac:dyDescent="0.2">
      <c r="A112" s="74" t="s">
        <v>1871</v>
      </c>
      <c r="B112" s="11" t="str">
        <f t="shared" si="4"/>
        <v>-</v>
      </c>
      <c r="C112" s="11" t="s">
        <v>1235</v>
      </c>
      <c r="D112" s="11"/>
      <c r="E112" s="11"/>
      <c r="F112" s="11" t="s">
        <v>2812</v>
      </c>
      <c r="G112" s="213"/>
      <c r="H112" s="11" t="s">
        <v>1235</v>
      </c>
      <c r="I112" s="11"/>
      <c r="J112" s="11"/>
      <c r="K112" s="11"/>
      <c r="L112" s="11"/>
      <c r="M112" s="11"/>
      <c r="N112" s="11"/>
      <c r="O112" s="11"/>
      <c r="P112" s="11"/>
      <c r="Q112" s="11"/>
      <c r="R112" s="11"/>
      <c r="S112" s="11"/>
      <c r="T112" s="11"/>
      <c r="U112" s="11"/>
      <c r="V112" s="11"/>
      <c r="W112" s="11"/>
      <c r="X112" s="11"/>
      <c r="Y112" s="213"/>
      <c r="Z112" s="11" t="s">
        <v>1235</v>
      </c>
      <c r="AA112" s="11"/>
      <c r="AB112" s="11"/>
      <c r="AC112" s="11"/>
      <c r="AD112" s="11"/>
      <c r="AE112" s="11"/>
      <c r="AF112" s="11"/>
      <c r="AG112" s="11"/>
      <c r="AH112" s="11"/>
      <c r="AI112" s="11"/>
      <c r="AJ112" s="11"/>
      <c r="AK112" s="11"/>
      <c r="AL112" s="11"/>
      <c r="AM112" s="11"/>
      <c r="AN112" s="11"/>
      <c r="AO112" s="11"/>
      <c r="AP112" s="11"/>
      <c r="AQ112" s="11"/>
      <c r="AR112" s="11"/>
      <c r="AS112" s="11"/>
      <c r="AT112" s="213"/>
      <c r="AU112" s="11"/>
      <c r="AV112" s="11"/>
      <c r="AW112" s="11"/>
      <c r="AX112" s="11"/>
      <c r="AY112" s="11"/>
      <c r="AZ112" s="11"/>
      <c r="BA112" s="11"/>
      <c r="BB112" s="11"/>
      <c r="BC112" s="11"/>
      <c r="BD112" s="11"/>
      <c r="BE112" s="213"/>
      <c r="BF112" s="11"/>
      <c r="BG112" s="11"/>
      <c r="BH112" s="11"/>
      <c r="BI112" s="11"/>
      <c r="BJ112" s="11"/>
      <c r="BK112" s="11"/>
      <c r="BL112" s="11"/>
      <c r="BM112" s="11"/>
      <c r="BN112" s="11"/>
      <c r="BO112" s="11"/>
      <c r="BP112" s="11"/>
      <c r="BQ112" s="213"/>
      <c r="BR112" s="11"/>
      <c r="BS112" s="11"/>
      <c r="BT112" s="11"/>
      <c r="BU112" s="11"/>
      <c r="BV112" s="11"/>
      <c r="BW112" s="11"/>
      <c r="BX112" s="11"/>
      <c r="BY112" s="11"/>
      <c r="BZ112" s="11"/>
      <c r="CA112" s="195"/>
      <c r="CB112" s="11"/>
      <c r="CC112" s="11"/>
      <c r="CD112" s="11"/>
      <c r="CE112" s="11"/>
      <c r="CF112" s="11"/>
      <c r="CG112" s="11"/>
      <c r="CH112" s="11"/>
      <c r="CI112" s="11"/>
      <c r="CJ112" s="11"/>
      <c r="CK112" s="213" t="s">
        <v>1235</v>
      </c>
      <c r="CL112" s="11"/>
      <c r="CM112" s="11"/>
      <c r="CN112" s="11"/>
      <c r="CO112" s="11"/>
      <c r="CP112" s="11"/>
      <c r="CQ112" s="11"/>
      <c r="CR112" s="11"/>
      <c r="CS112" s="11"/>
      <c r="CT112" s="11"/>
      <c r="CU112" s="11"/>
      <c r="CV112" s="11"/>
      <c r="CW112" s="213"/>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213"/>
      <c r="EM112" s="11"/>
      <c r="EN112" s="11"/>
      <c r="EO112" s="11"/>
      <c r="EP112" s="11"/>
      <c r="EQ112" s="11"/>
      <c r="ER112" s="11"/>
      <c r="ES112" s="11"/>
      <c r="ET112" s="11"/>
      <c r="EU112" s="11"/>
      <c r="EV112" s="11"/>
      <c r="EW112" s="213"/>
      <c r="EX112" s="11"/>
      <c r="EY112" s="11"/>
      <c r="EZ112" s="11"/>
      <c r="FA112" s="213"/>
      <c r="FB112" s="11"/>
      <c r="FC112" s="11"/>
      <c r="FD112" s="11"/>
      <c r="FE112" s="11"/>
      <c r="FF112" s="11"/>
      <c r="FG112" s="11"/>
      <c r="FH112" s="11"/>
      <c r="FI112" s="213"/>
      <c r="FJ112" s="11"/>
      <c r="FK112" s="11"/>
      <c r="FL112" s="11"/>
      <c r="FM112" s="11"/>
      <c r="FN112" s="11"/>
      <c r="FO112" s="11"/>
      <c r="FP112" s="11"/>
      <c r="FQ112" s="11"/>
      <c r="FR112" s="11"/>
      <c r="FS112" s="11"/>
      <c r="FT112" s="213"/>
      <c r="FU112" s="11"/>
      <c r="FV112" s="11"/>
      <c r="FW112" s="11"/>
      <c r="FX112" s="11"/>
      <c r="FY112" s="11"/>
      <c r="FZ112" s="213"/>
      <c r="GA112" s="11"/>
      <c r="GB112" s="11"/>
      <c r="GC112" s="11"/>
      <c r="GD112" s="11"/>
      <c r="GE112" s="11"/>
      <c r="GF112" s="11"/>
      <c r="GG112" s="11"/>
      <c r="GH112" s="11"/>
      <c r="GI112" s="11"/>
      <c r="GJ112" s="11"/>
      <c r="GK112" s="11"/>
      <c r="GL112" s="11"/>
      <c r="GM112" s="11"/>
      <c r="GN112" s="11"/>
      <c r="GO112" s="11"/>
      <c r="GP112" s="152"/>
    </row>
    <row r="113" spans="1:199" x14ac:dyDescent="0.2">
      <c r="A113" s="74" t="s">
        <v>1873</v>
      </c>
      <c r="B113" s="11" t="str">
        <f t="shared" si="4"/>
        <v>-</v>
      </c>
      <c r="C113" s="11" t="s">
        <v>1235</v>
      </c>
      <c r="D113" s="11"/>
      <c r="E113" s="11"/>
      <c r="F113" s="11" t="s">
        <v>2812</v>
      </c>
      <c r="G113" s="213"/>
      <c r="H113" s="11" t="s">
        <v>1235</v>
      </c>
      <c r="I113" s="11"/>
      <c r="J113" s="11"/>
      <c r="K113" s="11"/>
      <c r="L113" s="11"/>
      <c r="M113" s="11" t="s">
        <v>1235</v>
      </c>
      <c r="N113" s="11"/>
      <c r="O113" s="11"/>
      <c r="P113" s="11"/>
      <c r="Q113" s="11" t="s">
        <v>1235</v>
      </c>
      <c r="R113" s="11"/>
      <c r="S113" s="11"/>
      <c r="T113" s="11"/>
      <c r="U113" s="11"/>
      <c r="V113" s="11" t="s">
        <v>1235</v>
      </c>
      <c r="W113" s="11"/>
      <c r="X113" s="11"/>
      <c r="Y113" s="213"/>
      <c r="Z113" s="11" t="s">
        <v>1235</v>
      </c>
      <c r="AA113" s="11"/>
      <c r="AB113" s="11"/>
      <c r="AC113" s="11" t="s">
        <v>1235</v>
      </c>
      <c r="AD113" s="11"/>
      <c r="AE113" s="11"/>
      <c r="AF113" s="11"/>
      <c r="AG113" s="11"/>
      <c r="AH113" s="11" t="s">
        <v>1235</v>
      </c>
      <c r="AI113" s="11"/>
      <c r="AJ113" s="11" t="s">
        <v>1235</v>
      </c>
      <c r="AK113" s="11"/>
      <c r="AL113" s="11"/>
      <c r="AM113" s="11"/>
      <c r="AN113" s="11"/>
      <c r="AO113" s="11"/>
      <c r="AP113" s="11"/>
      <c r="AQ113" s="11"/>
      <c r="AR113" s="11"/>
      <c r="AS113" s="11"/>
      <c r="AT113" s="213" t="s">
        <v>1235</v>
      </c>
      <c r="AU113" s="11"/>
      <c r="AV113" s="11"/>
      <c r="AW113" s="11"/>
      <c r="AX113" s="11" t="s">
        <v>1235</v>
      </c>
      <c r="AY113" s="11"/>
      <c r="AZ113" s="11" t="s">
        <v>1235</v>
      </c>
      <c r="BA113" s="11"/>
      <c r="BB113" s="11"/>
      <c r="BC113" s="11"/>
      <c r="BD113" s="11"/>
      <c r="BE113" s="213"/>
      <c r="BF113" s="11"/>
      <c r="BG113" s="11"/>
      <c r="BH113" s="11"/>
      <c r="BI113" s="11"/>
      <c r="BJ113" s="11"/>
      <c r="BK113" s="11"/>
      <c r="BL113" s="11"/>
      <c r="BM113" s="11"/>
      <c r="BN113" s="11"/>
      <c r="BO113" s="11" t="s">
        <v>1235</v>
      </c>
      <c r="BP113" s="11"/>
      <c r="BQ113" s="213"/>
      <c r="BR113" s="11" t="s">
        <v>1235</v>
      </c>
      <c r="BS113" s="11" t="s">
        <v>1235</v>
      </c>
      <c r="BT113" s="11" t="s">
        <v>1235</v>
      </c>
      <c r="BU113" s="11" t="s">
        <v>1235</v>
      </c>
      <c r="BV113" s="11"/>
      <c r="BW113" s="11"/>
      <c r="BX113" s="11" t="s">
        <v>1235</v>
      </c>
      <c r="BY113" s="11" t="s">
        <v>1235</v>
      </c>
      <c r="BZ113" s="11"/>
      <c r="CA113" s="195"/>
      <c r="CB113" s="11"/>
      <c r="CC113" s="11" t="s">
        <v>1235</v>
      </c>
      <c r="CD113" s="11" t="s">
        <v>1235</v>
      </c>
      <c r="CE113" s="11" t="s">
        <v>1235</v>
      </c>
      <c r="CF113" s="11"/>
      <c r="CG113" s="11" t="s">
        <v>1235</v>
      </c>
      <c r="CH113" s="11"/>
      <c r="CI113" s="11"/>
      <c r="CJ113" s="11"/>
      <c r="CK113" s="213" t="s">
        <v>1235</v>
      </c>
      <c r="CL113" s="11"/>
      <c r="CM113" s="11"/>
      <c r="CN113" s="11"/>
      <c r="CO113" s="11"/>
      <c r="CP113" s="11"/>
      <c r="CQ113" s="11"/>
      <c r="CR113" s="11"/>
      <c r="CS113" s="11"/>
      <c r="CT113" s="11"/>
      <c r="CU113" s="11"/>
      <c r="CV113" s="11"/>
      <c r="CW113" s="213"/>
      <c r="CX113" s="11" t="s">
        <v>1235</v>
      </c>
      <c r="CY113" s="11"/>
      <c r="CZ113" s="11" t="s">
        <v>1235</v>
      </c>
      <c r="DA113" s="11"/>
      <c r="DB113" s="11" t="s">
        <v>1235</v>
      </c>
      <c r="DC113" s="11"/>
      <c r="DD113" s="11"/>
      <c r="DE113" s="11" t="s">
        <v>1235</v>
      </c>
      <c r="DF113" s="11" t="s">
        <v>1235</v>
      </c>
      <c r="DG113" s="11"/>
      <c r="DH113" s="11"/>
      <c r="DI113" s="11"/>
      <c r="DJ113" s="11"/>
      <c r="DK113" s="11" t="s">
        <v>1235</v>
      </c>
      <c r="DL113" s="11"/>
      <c r="DM113" s="11" t="s">
        <v>1235</v>
      </c>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213"/>
      <c r="EM113" s="11" t="s">
        <v>1235</v>
      </c>
      <c r="EN113" s="11" t="s">
        <v>1235</v>
      </c>
      <c r="EO113" s="11"/>
      <c r="EP113" s="11"/>
      <c r="EQ113" s="11"/>
      <c r="ER113" s="11" t="s">
        <v>1235</v>
      </c>
      <c r="ES113" s="11"/>
      <c r="ET113" s="11"/>
      <c r="EU113" s="11"/>
      <c r="EV113" s="11"/>
      <c r="EW113" s="213"/>
      <c r="EX113" s="11" t="s">
        <v>1235</v>
      </c>
      <c r="EY113" s="11" t="s">
        <v>1235</v>
      </c>
      <c r="EZ113" s="11"/>
      <c r="FA113" s="213"/>
      <c r="FB113" s="11"/>
      <c r="FC113" s="11"/>
      <c r="FD113" s="11"/>
      <c r="FE113" s="11"/>
      <c r="FF113" s="11"/>
      <c r="FG113" s="11"/>
      <c r="FH113" s="11"/>
      <c r="FI113" s="213"/>
      <c r="FJ113" s="11"/>
      <c r="FK113" s="11"/>
      <c r="FL113" s="11"/>
      <c r="FM113" s="11"/>
      <c r="FN113" s="11"/>
      <c r="FO113" s="11"/>
      <c r="FP113" s="11"/>
      <c r="FQ113" s="11"/>
      <c r="FR113" s="11"/>
      <c r="FS113" s="11"/>
      <c r="FT113" s="213"/>
      <c r="FU113" s="11" t="s">
        <v>1235</v>
      </c>
      <c r="FV113" s="11"/>
      <c r="FW113" s="11"/>
      <c r="FX113" s="11"/>
      <c r="FY113" s="11"/>
      <c r="FZ113" s="213"/>
      <c r="GA113" s="11"/>
      <c r="GB113" s="11"/>
      <c r="GC113" s="11"/>
      <c r="GD113" s="11"/>
      <c r="GE113" s="11"/>
      <c r="GF113" s="11"/>
      <c r="GG113" s="11"/>
      <c r="GH113" s="11"/>
      <c r="GI113" s="11"/>
      <c r="GJ113" s="11"/>
      <c r="GK113" s="11"/>
      <c r="GL113" s="11"/>
      <c r="GM113" s="11"/>
      <c r="GN113" s="11"/>
      <c r="GO113" s="11"/>
      <c r="GP113" s="152"/>
    </row>
    <row r="114" spans="1:199" x14ac:dyDescent="0.2">
      <c r="A114" s="74" t="s">
        <v>1875</v>
      </c>
      <c r="B114" s="11" t="str">
        <f t="shared" si="4"/>
        <v>-</v>
      </c>
      <c r="C114" s="11" t="s">
        <v>1235</v>
      </c>
      <c r="D114" s="11"/>
      <c r="E114" s="11"/>
      <c r="F114" s="11" t="s">
        <v>2812</v>
      </c>
      <c r="G114" s="213"/>
      <c r="H114" s="11" t="s">
        <v>1235</v>
      </c>
      <c r="I114" s="11"/>
      <c r="J114" s="11"/>
      <c r="K114" s="11"/>
      <c r="L114" s="11"/>
      <c r="M114" s="11"/>
      <c r="N114" s="11"/>
      <c r="O114" s="11"/>
      <c r="P114" s="11"/>
      <c r="Q114" s="11"/>
      <c r="R114" s="11"/>
      <c r="S114" s="11"/>
      <c r="T114" s="11"/>
      <c r="U114" s="11"/>
      <c r="V114" s="11"/>
      <c r="W114" s="11"/>
      <c r="X114" s="11"/>
      <c r="Y114" s="213"/>
      <c r="Z114" s="11"/>
      <c r="AA114" s="11"/>
      <c r="AB114" s="11"/>
      <c r="AC114" s="11" t="s">
        <v>1235</v>
      </c>
      <c r="AD114" s="11"/>
      <c r="AE114" s="11"/>
      <c r="AF114" s="11"/>
      <c r="AG114" s="11"/>
      <c r="AH114" s="11"/>
      <c r="AI114" s="11"/>
      <c r="AJ114" s="11"/>
      <c r="AK114" s="11"/>
      <c r="AL114" s="11"/>
      <c r="AM114" s="11"/>
      <c r="AN114" s="11"/>
      <c r="AO114" s="11"/>
      <c r="AP114" s="11"/>
      <c r="AQ114" s="11"/>
      <c r="AR114" s="11"/>
      <c r="AS114" s="11"/>
      <c r="AT114" s="213"/>
      <c r="AU114" s="11"/>
      <c r="AV114" s="11"/>
      <c r="AW114" s="11"/>
      <c r="AX114" s="11"/>
      <c r="AY114" s="11"/>
      <c r="AZ114" s="11"/>
      <c r="BA114" s="11"/>
      <c r="BB114" s="11"/>
      <c r="BC114" s="11"/>
      <c r="BD114" s="11"/>
      <c r="BE114" s="213"/>
      <c r="BF114" s="11"/>
      <c r="BG114" s="11"/>
      <c r="BH114" s="11"/>
      <c r="BI114" s="11"/>
      <c r="BJ114" s="11"/>
      <c r="BK114" s="11"/>
      <c r="BL114" s="11"/>
      <c r="BM114" s="11"/>
      <c r="BN114" s="11"/>
      <c r="BO114" s="11"/>
      <c r="BP114" s="11"/>
      <c r="BQ114" s="213"/>
      <c r="BR114" s="11"/>
      <c r="BS114" s="11"/>
      <c r="BT114" s="11"/>
      <c r="BU114" s="11"/>
      <c r="BV114" s="11"/>
      <c r="BW114" s="11"/>
      <c r="BX114" s="11"/>
      <c r="BY114" s="11"/>
      <c r="BZ114" s="11"/>
      <c r="CA114" s="195"/>
      <c r="CB114" s="11"/>
      <c r="CC114" s="11"/>
      <c r="CD114" s="11"/>
      <c r="CE114" s="11"/>
      <c r="CF114" s="11"/>
      <c r="CG114" s="11"/>
      <c r="CH114" s="11"/>
      <c r="CI114" s="11"/>
      <c r="CJ114" s="11"/>
      <c r="CK114" s="213"/>
      <c r="CL114" s="11"/>
      <c r="CM114" s="11"/>
      <c r="CN114" s="11"/>
      <c r="CO114" s="11"/>
      <c r="CP114" s="11"/>
      <c r="CQ114" s="11"/>
      <c r="CR114" s="11"/>
      <c r="CS114" s="11"/>
      <c r="CT114" s="11"/>
      <c r="CU114" s="11"/>
      <c r="CV114" s="11"/>
      <c r="CW114" s="213"/>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213"/>
      <c r="EM114" s="11"/>
      <c r="EN114" s="11"/>
      <c r="EO114" s="11"/>
      <c r="EP114" s="11"/>
      <c r="EQ114" s="11"/>
      <c r="ER114" s="11"/>
      <c r="ES114" s="11"/>
      <c r="ET114" s="11"/>
      <c r="EU114" s="11"/>
      <c r="EV114" s="11"/>
      <c r="EW114" s="213"/>
      <c r="EX114" s="11"/>
      <c r="EY114" s="11"/>
      <c r="EZ114" s="11"/>
      <c r="FA114" s="213"/>
      <c r="FB114" s="11"/>
      <c r="FC114" s="11"/>
      <c r="FD114" s="11"/>
      <c r="FE114" s="11"/>
      <c r="FF114" s="11"/>
      <c r="FG114" s="11"/>
      <c r="FH114" s="11"/>
      <c r="FI114" s="213"/>
      <c r="FJ114" s="11"/>
      <c r="FK114" s="11"/>
      <c r="FL114" s="11"/>
      <c r="FM114" s="11"/>
      <c r="FN114" s="11"/>
      <c r="FO114" s="11"/>
      <c r="FP114" s="11"/>
      <c r="FQ114" s="11"/>
      <c r="FR114" s="11"/>
      <c r="FS114" s="11"/>
      <c r="FT114" s="213"/>
      <c r="FU114" s="11"/>
      <c r="FV114" s="11"/>
      <c r="FW114" s="11"/>
      <c r="FX114" s="11"/>
      <c r="FY114" s="11"/>
      <c r="FZ114" s="213"/>
      <c r="GA114" s="11"/>
      <c r="GB114" s="11"/>
      <c r="GC114" s="11"/>
      <c r="GD114" s="11"/>
      <c r="GE114" s="11"/>
      <c r="GF114" s="11"/>
      <c r="GG114" s="11"/>
      <c r="GH114" s="11"/>
      <c r="GI114" s="11"/>
      <c r="GJ114" s="11"/>
      <c r="GK114" s="11"/>
      <c r="GL114" s="11"/>
      <c r="GM114" s="11"/>
      <c r="GN114" s="11"/>
      <c r="GO114" s="11"/>
      <c r="GP114" s="152"/>
    </row>
    <row r="115" spans="1:199" x14ac:dyDescent="0.2">
      <c r="A115" s="74" t="s">
        <v>1877</v>
      </c>
      <c r="B115" s="11" t="str">
        <f>IF(AND(ISTEXT("https://github.com/SmartcontractTest/MuIESC"),"https://github.com/SmartcontractTest/MuIESC"&lt;&gt;""), HYPERLINK("https://github.com/SmartcontractTest/MuIESC", "Link"),"-")</f>
        <v>Link</v>
      </c>
      <c r="C115" s="11"/>
      <c r="D115" s="11" t="s">
        <v>1235</v>
      </c>
      <c r="E115" s="11" t="s">
        <v>1235</v>
      </c>
      <c r="F115" s="11" t="s">
        <v>2812</v>
      </c>
      <c r="G115" s="213"/>
      <c r="H115" s="11"/>
      <c r="I115" s="11"/>
      <c r="J115" s="11"/>
      <c r="K115" s="11"/>
      <c r="L115" s="11"/>
      <c r="M115" s="11"/>
      <c r="N115" s="11"/>
      <c r="O115" s="11"/>
      <c r="P115" s="11"/>
      <c r="Q115" s="11"/>
      <c r="R115" s="11"/>
      <c r="S115" s="11"/>
      <c r="T115" s="11"/>
      <c r="U115" s="11"/>
      <c r="V115" s="11"/>
      <c r="W115" s="11"/>
      <c r="X115" s="11"/>
      <c r="Y115" s="213"/>
      <c r="Z115" s="11"/>
      <c r="AA115" s="11"/>
      <c r="AB115" s="11"/>
      <c r="AC115" s="11"/>
      <c r="AD115" s="11"/>
      <c r="AE115" s="11"/>
      <c r="AF115" s="11"/>
      <c r="AG115" s="11"/>
      <c r="AH115" s="11"/>
      <c r="AI115" s="11"/>
      <c r="AJ115" s="11"/>
      <c r="AK115" s="11"/>
      <c r="AL115" s="11"/>
      <c r="AM115" s="11"/>
      <c r="AN115" s="11"/>
      <c r="AO115" s="11"/>
      <c r="AP115" s="11"/>
      <c r="AQ115" s="11"/>
      <c r="AR115" s="11"/>
      <c r="AS115" s="11"/>
      <c r="AT115" s="213"/>
      <c r="AU115" s="11"/>
      <c r="AV115" s="11"/>
      <c r="AW115" s="11"/>
      <c r="AX115" s="11"/>
      <c r="AY115" s="11"/>
      <c r="AZ115" s="11"/>
      <c r="BA115" s="11"/>
      <c r="BB115" s="11"/>
      <c r="BC115" s="11"/>
      <c r="BD115" s="11"/>
      <c r="BE115" s="213"/>
      <c r="BF115" s="11"/>
      <c r="BG115" s="11"/>
      <c r="BH115" s="11"/>
      <c r="BI115" s="11"/>
      <c r="BJ115" s="11"/>
      <c r="BK115" s="11"/>
      <c r="BL115" s="11"/>
      <c r="BM115" s="11"/>
      <c r="BN115" s="11"/>
      <c r="BO115" s="11"/>
      <c r="BP115" s="11"/>
      <c r="BQ115" s="213"/>
      <c r="BR115" s="11"/>
      <c r="BS115" s="11"/>
      <c r="BT115" s="11"/>
      <c r="BU115" s="11"/>
      <c r="BV115" s="11"/>
      <c r="BW115" s="11"/>
      <c r="BX115" s="11"/>
      <c r="BY115" s="11"/>
      <c r="BZ115" s="11"/>
      <c r="CA115" s="195"/>
      <c r="CB115" s="11"/>
      <c r="CC115" s="11"/>
      <c r="CD115" s="11"/>
      <c r="CE115" s="11"/>
      <c r="CF115" s="11"/>
      <c r="CG115" s="11"/>
      <c r="CH115" s="11"/>
      <c r="CI115" s="11"/>
      <c r="CJ115" s="11"/>
      <c r="CK115" s="213" t="s">
        <v>1235</v>
      </c>
      <c r="CL115" s="11"/>
      <c r="CM115" s="11"/>
      <c r="CN115" s="11"/>
      <c r="CO115" s="11"/>
      <c r="CP115" s="11"/>
      <c r="CQ115" s="11"/>
      <c r="CR115" s="11"/>
      <c r="CS115" s="11"/>
      <c r="CT115" s="11"/>
      <c r="CU115" s="11"/>
      <c r="CV115" s="11"/>
      <c r="CW115" s="213"/>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213"/>
      <c r="EM115" s="11"/>
      <c r="EN115" s="11"/>
      <c r="EO115" s="11"/>
      <c r="EP115" s="11"/>
      <c r="EQ115" s="11"/>
      <c r="ER115" s="11"/>
      <c r="ES115" s="11"/>
      <c r="ET115" s="11"/>
      <c r="EU115" s="11"/>
      <c r="EV115" s="11"/>
      <c r="EW115" s="213"/>
      <c r="EX115" s="11"/>
      <c r="EY115" s="11"/>
      <c r="EZ115" s="11"/>
      <c r="FA115" s="213"/>
      <c r="FB115" s="11"/>
      <c r="FC115" s="11"/>
      <c r="FD115" s="11"/>
      <c r="FE115" s="11"/>
      <c r="FF115" s="11"/>
      <c r="FG115" s="11"/>
      <c r="FH115" s="11"/>
      <c r="FI115" s="213"/>
      <c r="FJ115" s="11"/>
      <c r="FK115" s="11"/>
      <c r="FL115" s="11"/>
      <c r="FM115" s="11"/>
      <c r="FN115" s="11"/>
      <c r="FO115" s="11"/>
      <c r="FP115" s="11"/>
      <c r="FQ115" s="11"/>
      <c r="FR115" s="11"/>
      <c r="FS115" s="11"/>
      <c r="FT115" s="213"/>
      <c r="FU115" s="11"/>
      <c r="FV115" s="11"/>
      <c r="FW115" s="11"/>
      <c r="FX115" s="11"/>
      <c r="FY115" s="11"/>
      <c r="FZ115" s="213"/>
      <c r="GA115" s="11"/>
      <c r="GB115" s="11"/>
      <c r="GC115" s="11"/>
      <c r="GD115" s="11"/>
      <c r="GE115" s="11"/>
      <c r="GF115" s="11"/>
      <c r="GG115" s="11"/>
      <c r="GH115" s="11"/>
      <c r="GI115" s="11"/>
      <c r="GJ115" s="11"/>
      <c r="GK115" s="11"/>
      <c r="GL115" s="11"/>
      <c r="GM115" s="11"/>
      <c r="GN115" s="11"/>
      <c r="GO115" s="11"/>
      <c r="GP115" s="152"/>
    </row>
    <row r="116" spans="1:199" x14ac:dyDescent="0.2">
      <c r="A116" s="74" t="s">
        <v>1880</v>
      </c>
      <c r="B116" s="11" t="str">
        <f>IF(AND(ISTEXT(""),""&lt;&gt;""), HYPERLINK("", "Link"),"-")</f>
        <v>-</v>
      </c>
      <c r="C116" s="11" t="s">
        <v>1235</v>
      </c>
      <c r="D116" s="11"/>
      <c r="E116" s="11"/>
      <c r="F116" s="11" t="s">
        <v>2812</v>
      </c>
      <c r="G116" s="213"/>
      <c r="H116" s="11" t="s">
        <v>1235</v>
      </c>
      <c r="I116" s="11"/>
      <c r="J116" s="11"/>
      <c r="K116" s="11"/>
      <c r="L116" s="11"/>
      <c r="M116" s="11"/>
      <c r="N116" s="11"/>
      <c r="O116" s="11"/>
      <c r="P116" s="11"/>
      <c r="Q116" s="11"/>
      <c r="R116" s="11"/>
      <c r="S116" s="11"/>
      <c r="T116" s="11"/>
      <c r="U116" s="11"/>
      <c r="V116" s="11"/>
      <c r="W116" s="11"/>
      <c r="X116" s="11"/>
      <c r="Y116" s="213"/>
      <c r="Z116" s="11" t="s">
        <v>1235</v>
      </c>
      <c r="AA116" s="11"/>
      <c r="AB116" s="11"/>
      <c r="AC116" s="11" t="s">
        <v>1235</v>
      </c>
      <c r="AD116" s="11"/>
      <c r="AE116" s="11"/>
      <c r="AF116" s="11"/>
      <c r="AG116" s="11"/>
      <c r="AH116" s="11"/>
      <c r="AI116" s="11"/>
      <c r="AJ116" s="11"/>
      <c r="AK116" s="11"/>
      <c r="AL116" s="11"/>
      <c r="AM116" s="11"/>
      <c r="AN116" s="11"/>
      <c r="AO116" s="11"/>
      <c r="AP116" s="11"/>
      <c r="AQ116" s="11"/>
      <c r="AR116" s="11"/>
      <c r="AS116" s="11"/>
      <c r="AT116" s="213"/>
      <c r="AU116" s="11"/>
      <c r="AV116" s="11"/>
      <c r="AW116" s="11"/>
      <c r="AX116" s="11"/>
      <c r="AY116" s="11"/>
      <c r="AZ116" s="11"/>
      <c r="BA116" s="11"/>
      <c r="BB116" s="11"/>
      <c r="BC116" s="11"/>
      <c r="BD116" s="11"/>
      <c r="BE116" s="213"/>
      <c r="BF116" s="11"/>
      <c r="BG116" s="11"/>
      <c r="BH116" s="11"/>
      <c r="BI116" s="11"/>
      <c r="BJ116" s="11"/>
      <c r="BK116" s="11"/>
      <c r="BL116" s="11"/>
      <c r="BM116" s="11"/>
      <c r="BN116" s="11"/>
      <c r="BO116" s="11"/>
      <c r="BP116" s="11"/>
      <c r="BQ116" s="213"/>
      <c r="BR116" s="11"/>
      <c r="BS116" s="11"/>
      <c r="BT116" s="11"/>
      <c r="BU116" s="11"/>
      <c r="BV116" s="11"/>
      <c r="BW116" s="11"/>
      <c r="BX116" s="11"/>
      <c r="BY116" s="11"/>
      <c r="BZ116" s="11"/>
      <c r="CA116" s="195"/>
      <c r="CB116" s="11"/>
      <c r="CC116" s="11"/>
      <c r="CD116" s="11"/>
      <c r="CE116" s="11"/>
      <c r="CF116" s="11"/>
      <c r="CG116" s="11"/>
      <c r="CH116" s="11"/>
      <c r="CI116" s="11"/>
      <c r="CJ116" s="11"/>
      <c r="CK116" s="213"/>
      <c r="CL116" s="11"/>
      <c r="CM116" s="11"/>
      <c r="CN116" s="11"/>
      <c r="CO116" s="11"/>
      <c r="CP116" s="11"/>
      <c r="CQ116" s="11"/>
      <c r="CR116" s="11"/>
      <c r="CS116" s="11"/>
      <c r="CT116" s="11"/>
      <c r="CU116" s="11"/>
      <c r="CV116" s="11"/>
      <c r="CW116" s="213"/>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213"/>
      <c r="EM116" s="11"/>
      <c r="EN116" s="11"/>
      <c r="EO116" s="11"/>
      <c r="EP116" s="11"/>
      <c r="EQ116" s="11"/>
      <c r="ER116" s="11"/>
      <c r="ES116" s="11"/>
      <c r="ET116" s="11"/>
      <c r="EU116" s="11"/>
      <c r="EV116" s="11"/>
      <c r="EW116" s="213"/>
      <c r="EX116" s="11"/>
      <c r="EY116" s="11"/>
      <c r="EZ116" s="11"/>
      <c r="FA116" s="213"/>
      <c r="FB116" s="11"/>
      <c r="FC116" s="11"/>
      <c r="FD116" s="11"/>
      <c r="FE116" s="11"/>
      <c r="FF116" s="11"/>
      <c r="FG116" s="11"/>
      <c r="FH116" s="11"/>
      <c r="FI116" s="213"/>
      <c r="FJ116" s="11"/>
      <c r="FK116" s="11"/>
      <c r="FL116" s="11"/>
      <c r="FM116" s="11"/>
      <c r="FN116" s="11"/>
      <c r="FO116" s="11"/>
      <c r="FP116" s="11"/>
      <c r="FQ116" s="11"/>
      <c r="FR116" s="11"/>
      <c r="FS116" s="11"/>
      <c r="FT116" s="213"/>
      <c r="FU116" s="11"/>
      <c r="FV116" s="11"/>
      <c r="FW116" s="11"/>
      <c r="FX116" s="11"/>
      <c r="FY116" s="11"/>
      <c r="FZ116" s="213"/>
      <c r="GA116" s="11"/>
      <c r="GB116" s="11"/>
      <c r="GC116" s="11"/>
      <c r="GD116" s="11"/>
      <c r="GE116" s="11"/>
      <c r="GF116" s="11"/>
      <c r="GG116" s="11"/>
      <c r="GH116" s="11"/>
      <c r="GI116" s="11"/>
      <c r="GJ116" s="11"/>
      <c r="GK116" s="11"/>
      <c r="GL116" s="11"/>
      <c r="GM116" s="11"/>
      <c r="GN116" s="11"/>
      <c r="GO116" s="11"/>
      <c r="GP116" s="152"/>
    </row>
    <row r="117" spans="1:199" x14ac:dyDescent="0.2">
      <c r="A117" s="74" t="s">
        <v>1885</v>
      </c>
      <c r="B117" s="11" t="str">
        <f>IF(AND(ISTEXT("https://github.com/gasgauge/gasgauge.github.io"),"https://github.com/gasgauge/gasgauge.github.io"&lt;&gt;""), HYPERLINK("https://github.com/gasgauge/gasgauge.github.io", "Link"),"-")</f>
        <v>Link</v>
      </c>
      <c r="C117" s="11" t="s">
        <v>1235</v>
      </c>
      <c r="D117" s="11" t="s">
        <v>1235</v>
      </c>
      <c r="E117" s="11" t="s">
        <v>1235</v>
      </c>
      <c r="F117" s="11" t="s">
        <v>2812</v>
      </c>
      <c r="G117" s="213"/>
      <c r="H117" s="11"/>
      <c r="I117" s="11"/>
      <c r="J117" s="11"/>
      <c r="K117" s="11"/>
      <c r="L117" s="11"/>
      <c r="M117" s="11"/>
      <c r="N117" s="11"/>
      <c r="O117" s="11"/>
      <c r="P117" s="11"/>
      <c r="Q117" s="11"/>
      <c r="R117" s="11"/>
      <c r="S117" s="11"/>
      <c r="T117" s="11"/>
      <c r="U117" s="11"/>
      <c r="V117" s="11"/>
      <c r="W117" s="11"/>
      <c r="X117" s="11"/>
      <c r="Y117" s="213"/>
      <c r="Z117" s="11"/>
      <c r="AA117" s="11"/>
      <c r="AB117" s="11"/>
      <c r="AC117" s="11"/>
      <c r="AD117" s="11"/>
      <c r="AE117" s="11"/>
      <c r="AF117" s="11"/>
      <c r="AG117" s="11"/>
      <c r="AH117" s="11"/>
      <c r="AI117" s="11"/>
      <c r="AJ117" s="11"/>
      <c r="AK117" s="11"/>
      <c r="AL117" s="11"/>
      <c r="AM117" s="11"/>
      <c r="AN117" s="11"/>
      <c r="AO117" s="11"/>
      <c r="AP117" s="11"/>
      <c r="AQ117" s="11"/>
      <c r="AR117" s="11"/>
      <c r="AS117" s="11"/>
      <c r="AT117" s="213"/>
      <c r="AU117" s="11"/>
      <c r="AV117" s="11"/>
      <c r="AW117" s="11"/>
      <c r="AX117" s="11"/>
      <c r="AY117" s="11"/>
      <c r="AZ117" s="11"/>
      <c r="BA117" s="11"/>
      <c r="BB117" s="11"/>
      <c r="BC117" s="11"/>
      <c r="BD117" s="11"/>
      <c r="BE117" s="213"/>
      <c r="BF117" s="11"/>
      <c r="BG117" s="11"/>
      <c r="BH117" s="11"/>
      <c r="BI117" s="11"/>
      <c r="BJ117" s="11"/>
      <c r="BK117" s="11"/>
      <c r="BL117" s="11"/>
      <c r="BM117" s="11"/>
      <c r="BN117" s="11"/>
      <c r="BO117" s="11" t="s">
        <v>1235</v>
      </c>
      <c r="BP117" s="11"/>
      <c r="BQ117" s="213"/>
      <c r="BR117" s="11"/>
      <c r="BS117" s="11"/>
      <c r="BT117" s="11"/>
      <c r="BU117" s="11"/>
      <c r="BV117" s="11"/>
      <c r="BW117" s="11"/>
      <c r="BX117" s="11"/>
      <c r="BY117" s="11"/>
      <c r="BZ117" s="11"/>
      <c r="CA117" s="195"/>
      <c r="CB117" s="11"/>
      <c r="CC117" s="11"/>
      <c r="CD117" s="11"/>
      <c r="CE117" s="11"/>
      <c r="CF117" s="11"/>
      <c r="CG117" s="11"/>
      <c r="CH117" s="11"/>
      <c r="CI117" s="11"/>
      <c r="CJ117" s="11"/>
      <c r="CK117" s="213"/>
      <c r="CL117" s="11"/>
      <c r="CM117" s="11"/>
      <c r="CN117" s="11"/>
      <c r="CO117" s="11"/>
      <c r="CP117" s="11"/>
      <c r="CQ117" s="11"/>
      <c r="CR117" s="11"/>
      <c r="CS117" s="11"/>
      <c r="CT117" s="11"/>
      <c r="CU117" s="11"/>
      <c r="CV117" s="11"/>
      <c r="CW117" s="213"/>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213"/>
      <c r="EM117" s="11"/>
      <c r="EN117" s="11"/>
      <c r="EO117" s="11"/>
      <c r="EP117" s="11"/>
      <c r="EQ117" s="11"/>
      <c r="ER117" s="11"/>
      <c r="ES117" s="11"/>
      <c r="ET117" s="11"/>
      <c r="EU117" s="11"/>
      <c r="EV117" s="11"/>
      <c r="EW117" s="213"/>
      <c r="EX117" s="11"/>
      <c r="EY117" s="11"/>
      <c r="EZ117" s="11"/>
      <c r="FA117" s="213"/>
      <c r="FB117" s="11"/>
      <c r="FC117" s="11"/>
      <c r="FD117" s="11"/>
      <c r="FE117" s="11"/>
      <c r="FF117" s="11"/>
      <c r="FG117" s="11"/>
      <c r="FH117" s="11"/>
      <c r="FI117" s="213"/>
      <c r="FJ117" s="11"/>
      <c r="FK117" s="11"/>
      <c r="FL117" s="11"/>
      <c r="FM117" s="11"/>
      <c r="FN117" s="11"/>
      <c r="FO117" s="11"/>
      <c r="FP117" s="11"/>
      <c r="FQ117" s="11"/>
      <c r="FR117" s="11"/>
      <c r="FS117" s="11"/>
      <c r="FT117" s="213"/>
      <c r="FU117" s="11"/>
      <c r="FV117" s="11"/>
      <c r="FW117" s="11"/>
      <c r="FX117" s="11"/>
      <c r="FY117" s="11"/>
      <c r="FZ117" s="213"/>
      <c r="GA117" s="11"/>
      <c r="GB117" s="11"/>
      <c r="GC117" s="11"/>
      <c r="GD117" s="11"/>
      <c r="GE117" s="11"/>
      <c r="GF117" s="11"/>
      <c r="GG117" s="11"/>
      <c r="GH117" s="11"/>
      <c r="GI117" s="11"/>
      <c r="GJ117" s="11"/>
      <c r="GK117" s="11"/>
      <c r="GL117" s="11"/>
      <c r="GM117" s="11"/>
      <c r="GN117" s="11"/>
      <c r="GO117" s="11"/>
      <c r="GP117" s="152"/>
    </row>
    <row r="118" spans="1:199" x14ac:dyDescent="0.2">
      <c r="A118" s="74" t="s">
        <v>1891</v>
      </c>
      <c r="B118" s="11" t="str">
        <f>IF(AND(ISTEXT(""),""&lt;&gt;""), HYPERLINK("", "Link"),"-")</f>
        <v>-</v>
      </c>
      <c r="C118" s="11" t="s">
        <v>1235</v>
      </c>
      <c r="D118" s="11"/>
      <c r="E118" s="11"/>
      <c r="F118" s="11" t="s">
        <v>2812</v>
      </c>
      <c r="G118" s="213"/>
      <c r="H118" s="11"/>
      <c r="I118" s="11"/>
      <c r="J118" s="11"/>
      <c r="K118" s="11"/>
      <c r="L118" s="11"/>
      <c r="M118" s="11"/>
      <c r="N118" s="11"/>
      <c r="O118" s="11"/>
      <c r="P118" s="11"/>
      <c r="Q118" s="11"/>
      <c r="R118" s="11" t="s">
        <v>1235</v>
      </c>
      <c r="S118" s="11"/>
      <c r="T118" s="11"/>
      <c r="U118" s="11"/>
      <c r="V118" s="11"/>
      <c r="W118" s="11"/>
      <c r="X118" s="11"/>
      <c r="Y118" s="213"/>
      <c r="Z118" s="11"/>
      <c r="AA118" s="11"/>
      <c r="AB118" s="11"/>
      <c r="AC118" s="11"/>
      <c r="AD118" s="11"/>
      <c r="AE118" s="11"/>
      <c r="AF118" s="11"/>
      <c r="AG118" s="11"/>
      <c r="AH118" s="11"/>
      <c r="AI118" s="11"/>
      <c r="AJ118" s="11"/>
      <c r="AK118" s="11"/>
      <c r="AL118" s="11"/>
      <c r="AM118" s="11"/>
      <c r="AN118" s="11"/>
      <c r="AO118" s="11"/>
      <c r="AP118" s="11"/>
      <c r="AQ118" s="11"/>
      <c r="AR118" s="11"/>
      <c r="AS118" s="11"/>
      <c r="AT118" s="213"/>
      <c r="AU118" s="11"/>
      <c r="AV118" s="11"/>
      <c r="AW118" s="11"/>
      <c r="AX118" s="11"/>
      <c r="AY118" s="11"/>
      <c r="AZ118" s="11"/>
      <c r="BA118" s="11"/>
      <c r="BB118" s="11"/>
      <c r="BC118" s="11"/>
      <c r="BD118" s="11"/>
      <c r="BE118" s="213"/>
      <c r="BF118" s="11"/>
      <c r="BG118" s="11"/>
      <c r="BH118" s="11"/>
      <c r="BI118" s="11" t="s">
        <v>1235</v>
      </c>
      <c r="BJ118" s="11"/>
      <c r="BK118" s="11"/>
      <c r="BL118" s="11"/>
      <c r="BM118" s="11"/>
      <c r="BN118" s="11"/>
      <c r="BO118" s="11"/>
      <c r="BP118" s="11"/>
      <c r="BQ118" s="213"/>
      <c r="BR118" s="11"/>
      <c r="BS118" s="11"/>
      <c r="BT118" s="11"/>
      <c r="BU118" s="11"/>
      <c r="BV118" s="11"/>
      <c r="BW118" s="11"/>
      <c r="BX118" s="11"/>
      <c r="BY118" s="11"/>
      <c r="BZ118" s="11"/>
      <c r="CA118" s="195"/>
      <c r="CB118" s="11"/>
      <c r="CC118" s="11"/>
      <c r="CD118" s="11"/>
      <c r="CE118" s="11"/>
      <c r="CF118" s="11"/>
      <c r="CG118" s="11"/>
      <c r="CH118" s="11"/>
      <c r="CI118" s="11"/>
      <c r="CJ118" s="11"/>
      <c r="CK118" s="213"/>
      <c r="CL118" s="11"/>
      <c r="CM118" s="11"/>
      <c r="CN118" s="11"/>
      <c r="CO118" s="11"/>
      <c r="CP118" s="11"/>
      <c r="CQ118" s="11"/>
      <c r="CR118" s="11"/>
      <c r="CS118" s="11"/>
      <c r="CT118" s="11"/>
      <c r="CU118" s="11"/>
      <c r="CV118" s="11"/>
      <c r="CW118" s="213"/>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t="s">
        <v>1235</v>
      </c>
      <c r="EJ118" s="11"/>
      <c r="EK118" s="11"/>
      <c r="EL118" s="213"/>
      <c r="EM118" s="11"/>
      <c r="EN118" s="11"/>
      <c r="EO118" s="11"/>
      <c r="EP118" s="11"/>
      <c r="EQ118" s="11"/>
      <c r="ER118" s="11"/>
      <c r="ES118" s="11"/>
      <c r="ET118" s="11"/>
      <c r="EU118" s="11"/>
      <c r="EV118" s="11"/>
      <c r="EW118" s="213"/>
      <c r="EX118" s="11"/>
      <c r="EY118" s="11"/>
      <c r="EZ118" s="11"/>
      <c r="FA118" s="213"/>
      <c r="FB118" s="11"/>
      <c r="FC118" s="11"/>
      <c r="FD118" s="11"/>
      <c r="FE118" s="11"/>
      <c r="FF118" s="11"/>
      <c r="FG118" s="11"/>
      <c r="FH118" s="11"/>
      <c r="FI118" s="213"/>
      <c r="FJ118" s="11"/>
      <c r="FK118" s="11"/>
      <c r="FL118" s="11"/>
      <c r="FM118" s="11"/>
      <c r="FN118" s="11"/>
      <c r="FO118" s="11"/>
      <c r="FP118" s="11"/>
      <c r="FQ118" s="11"/>
      <c r="FR118" s="11"/>
      <c r="FS118" s="11"/>
      <c r="FT118" s="213"/>
      <c r="FU118" s="11"/>
      <c r="FV118" s="11"/>
      <c r="FW118" s="11"/>
      <c r="FX118" s="11"/>
      <c r="FY118" s="11"/>
      <c r="FZ118" s="213"/>
      <c r="GA118" s="11"/>
      <c r="GB118" s="11"/>
      <c r="GC118" s="11"/>
      <c r="GD118" s="11"/>
      <c r="GE118" s="11"/>
      <c r="GF118" s="11"/>
      <c r="GG118" s="11"/>
      <c r="GH118" s="11"/>
      <c r="GI118" s="11"/>
      <c r="GJ118" s="11"/>
      <c r="GK118" s="11"/>
      <c r="GL118" s="11"/>
      <c r="GM118" s="11"/>
      <c r="GN118" s="11"/>
      <c r="GO118" s="11"/>
      <c r="GP118" s="152"/>
    </row>
    <row r="119" spans="1:199" x14ac:dyDescent="0.2">
      <c r="A119" s="74" t="s">
        <v>1900</v>
      </c>
      <c r="B119" s="11" t="str">
        <f>IF(AND(ISTEXT(""),""&lt;&gt;""), HYPERLINK("", "Link"),"-")</f>
        <v>-</v>
      </c>
      <c r="C119" s="11" t="s">
        <v>1235</v>
      </c>
      <c r="D119" s="11"/>
      <c r="E119" s="11"/>
      <c r="F119" s="11" t="s">
        <v>2812</v>
      </c>
      <c r="G119" s="213"/>
      <c r="H119" s="11" t="s">
        <v>1235</v>
      </c>
      <c r="I119" s="11"/>
      <c r="J119" s="11"/>
      <c r="K119" s="11"/>
      <c r="L119" s="11"/>
      <c r="M119" s="11"/>
      <c r="N119" s="11"/>
      <c r="O119" s="11"/>
      <c r="P119" s="11"/>
      <c r="Q119" s="11"/>
      <c r="R119" s="11"/>
      <c r="S119" s="11"/>
      <c r="T119" s="11"/>
      <c r="U119" s="11"/>
      <c r="V119" s="11"/>
      <c r="W119" s="11"/>
      <c r="X119" s="11"/>
      <c r="Y119" s="213"/>
      <c r="Z119" s="11" t="s">
        <v>1235</v>
      </c>
      <c r="AA119" s="11"/>
      <c r="AB119" s="11"/>
      <c r="AC119" s="11" t="s">
        <v>1235</v>
      </c>
      <c r="AD119" s="11"/>
      <c r="AE119" s="11"/>
      <c r="AF119" s="11"/>
      <c r="AG119" s="11"/>
      <c r="AH119" s="11"/>
      <c r="AI119" s="11"/>
      <c r="AJ119" s="11"/>
      <c r="AK119" s="11"/>
      <c r="AL119" s="11"/>
      <c r="AM119" s="11"/>
      <c r="AN119" s="11"/>
      <c r="AO119" s="11"/>
      <c r="AP119" s="11"/>
      <c r="AQ119" s="11"/>
      <c r="AR119" s="11"/>
      <c r="AS119" s="11"/>
      <c r="AT119" s="213" t="s">
        <v>1235</v>
      </c>
      <c r="AU119" s="11"/>
      <c r="AV119" s="11"/>
      <c r="AW119" s="11"/>
      <c r="AX119" s="11"/>
      <c r="AY119" s="11"/>
      <c r="AZ119" s="11"/>
      <c r="BA119" s="11"/>
      <c r="BB119" s="11"/>
      <c r="BC119" s="11"/>
      <c r="BD119" s="11"/>
      <c r="BE119" s="213"/>
      <c r="BF119" s="11"/>
      <c r="BG119" s="11"/>
      <c r="BH119" s="11"/>
      <c r="BI119" s="11"/>
      <c r="BJ119" s="11"/>
      <c r="BK119" s="11"/>
      <c r="BL119" s="11"/>
      <c r="BM119" s="11"/>
      <c r="BN119" s="11"/>
      <c r="BO119" s="11"/>
      <c r="BP119" s="11"/>
      <c r="BQ119" s="213"/>
      <c r="BR119" s="11"/>
      <c r="BS119" s="11"/>
      <c r="BT119" s="11"/>
      <c r="BU119" s="11"/>
      <c r="BV119" s="11"/>
      <c r="BW119" s="11"/>
      <c r="BX119" s="11"/>
      <c r="BY119" s="11"/>
      <c r="BZ119" s="11"/>
      <c r="CA119" s="195"/>
      <c r="CB119" s="11"/>
      <c r="CC119" s="11"/>
      <c r="CD119" s="11"/>
      <c r="CE119" s="11"/>
      <c r="CF119" s="11"/>
      <c r="CG119" s="11"/>
      <c r="CH119" s="11"/>
      <c r="CI119" s="11"/>
      <c r="CJ119" s="11"/>
      <c r="CK119" s="213"/>
      <c r="CL119" s="11"/>
      <c r="CM119" s="11"/>
      <c r="CN119" s="11"/>
      <c r="CO119" s="11"/>
      <c r="CP119" s="11"/>
      <c r="CQ119" s="11"/>
      <c r="CR119" s="11"/>
      <c r="CS119" s="11"/>
      <c r="CT119" s="11"/>
      <c r="CU119" s="11"/>
      <c r="CV119" s="11"/>
      <c r="CW119" s="213"/>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213"/>
      <c r="EM119" s="11"/>
      <c r="EN119" s="11"/>
      <c r="EO119" s="11"/>
      <c r="EP119" s="11"/>
      <c r="EQ119" s="11"/>
      <c r="ER119" s="11"/>
      <c r="ES119" s="11"/>
      <c r="ET119" s="11"/>
      <c r="EU119" s="11"/>
      <c r="EV119" s="11"/>
      <c r="EW119" s="213"/>
      <c r="EX119" s="11"/>
      <c r="EY119" s="11"/>
      <c r="EZ119" s="11"/>
      <c r="FA119" s="213"/>
      <c r="FB119" s="11"/>
      <c r="FC119" s="11"/>
      <c r="FD119" s="11"/>
      <c r="FE119" s="11"/>
      <c r="FF119" s="11"/>
      <c r="FG119" s="11"/>
      <c r="FH119" s="11"/>
      <c r="FI119" s="213"/>
      <c r="FJ119" s="11"/>
      <c r="FK119" s="11"/>
      <c r="FL119" s="11"/>
      <c r="FM119" s="11"/>
      <c r="FN119" s="11"/>
      <c r="FO119" s="11"/>
      <c r="FP119" s="11"/>
      <c r="FQ119" s="11"/>
      <c r="FR119" s="11"/>
      <c r="FS119" s="11"/>
      <c r="FT119" s="213"/>
      <c r="FU119" s="11"/>
      <c r="FV119" s="11"/>
      <c r="FW119" s="11"/>
      <c r="FX119" s="11"/>
      <c r="FY119" s="11"/>
      <c r="FZ119" s="213"/>
      <c r="GA119" s="11"/>
      <c r="GB119" s="11"/>
      <c r="GC119" s="11"/>
      <c r="GD119" s="11"/>
      <c r="GE119" s="11"/>
      <c r="GF119" s="11"/>
      <c r="GG119" s="11"/>
      <c r="GH119" s="11"/>
      <c r="GI119" s="11"/>
      <c r="GJ119" s="11"/>
      <c r="GK119" s="11"/>
      <c r="GL119" s="11"/>
      <c r="GM119" s="11"/>
      <c r="GN119" s="11"/>
      <c r="GO119" s="11"/>
      <c r="GP119" s="152"/>
    </row>
    <row r="120" spans="1:199" x14ac:dyDescent="0.2">
      <c r="A120" s="74" t="s">
        <v>1902</v>
      </c>
      <c r="B120" s="11" t="str">
        <f>IF(AND(ISTEXT(""),""&lt;&gt;""), HYPERLINK("", "Link"),"-")</f>
        <v>-</v>
      </c>
      <c r="C120" s="11" t="s">
        <v>1235</v>
      </c>
      <c r="D120" s="11"/>
      <c r="E120" s="11"/>
      <c r="F120" s="11" t="s">
        <v>2812</v>
      </c>
      <c r="G120" s="213"/>
      <c r="H120" s="11" t="s">
        <v>1235</v>
      </c>
      <c r="I120" s="11"/>
      <c r="J120" s="11"/>
      <c r="K120" s="11"/>
      <c r="L120" s="11"/>
      <c r="M120" s="11"/>
      <c r="N120" s="11"/>
      <c r="O120" s="11"/>
      <c r="P120" s="11"/>
      <c r="Q120" s="11"/>
      <c r="R120" s="11"/>
      <c r="S120" s="11"/>
      <c r="T120" s="11"/>
      <c r="U120" s="11"/>
      <c r="V120" s="11"/>
      <c r="W120" s="11"/>
      <c r="X120" s="11"/>
      <c r="Y120" s="213"/>
      <c r="Z120" s="11" t="s">
        <v>1235</v>
      </c>
      <c r="AA120" s="11"/>
      <c r="AB120" s="11"/>
      <c r="AC120" s="11" t="s">
        <v>1235</v>
      </c>
      <c r="AD120" s="11"/>
      <c r="AE120" s="11"/>
      <c r="AF120" s="11"/>
      <c r="AG120" s="11"/>
      <c r="AH120" s="11"/>
      <c r="AI120" s="11"/>
      <c r="AJ120" s="11"/>
      <c r="AK120" s="11"/>
      <c r="AL120" s="11"/>
      <c r="AM120" s="11"/>
      <c r="AN120" s="11"/>
      <c r="AO120" s="11"/>
      <c r="AP120" s="11"/>
      <c r="AQ120" s="11"/>
      <c r="AR120" s="11"/>
      <c r="AS120" s="11"/>
      <c r="AT120" s="213" t="s">
        <v>1235</v>
      </c>
      <c r="AU120" s="11"/>
      <c r="AV120" s="11"/>
      <c r="AW120" s="11"/>
      <c r="AX120" s="11"/>
      <c r="AY120" s="11"/>
      <c r="AZ120" s="11"/>
      <c r="BA120" s="11"/>
      <c r="BB120" s="11"/>
      <c r="BC120" s="11"/>
      <c r="BD120" s="11"/>
      <c r="BE120" s="213"/>
      <c r="BF120" s="11"/>
      <c r="BG120" s="11"/>
      <c r="BH120" s="11"/>
      <c r="BI120" s="11"/>
      <c r="BJ120" s="11"/>
      <c r="BK120" s="11"/>
      <c r="BL120" s="11"/>
      <c r="BM120" s="11"/>
      <c r="BN120" s="11"/>
      <c r="BO120" s="11"/>
      <c r="BP120" s="11"/>
      <c r="BQ120" s="213"/>
      <c r="BR120" s="11"/>
      <c r="BS120" s="11"/>
      <c r="BT120" s="11"/>
      <c r="BU120" s="11"/>
      <c r="BV120" s="11"/>
      <c r="BW120" s="11"/>
      <c r="BX120" s="11"/>
      <c r="BY120" s="11"/>
      <c r="BZ120" s="11"/>
      <c r="CA120" s="195"/>
      <c r="CB120" s="11"/>
      <c r="CC120" s="11"/>
      <c r="CD120" s="11"/>
      <c r="CE120" s="11"/>
      <c r="CF120" s="11"/>
      <c r="CG120" s="11"/>
      <c r="CH120" s="11"/>
      <c r="CI120" s="11"/>
      <c r="CJ120" s="11"/>
      <c r="CK120" s="213"/>
      <c r="CL120" s="11"/>
      <c r="CM120" s="11"/>
      <c r="CN120" s="11"/>
      <c r="CO120" s="11"/>
      <c r="CP120" s="11"/>
      <c r="CQ120" s="11"/>
      <c r="CR120" s="11"/>
      <c r="CS120" s="11"/>
      <c r="CT120" s="11"/>
      <c r="CU120" s="11"/>
      <c r="CV120" s="11"/>
      <c r="CW120" s="213"/>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213"/>
      <c r="EM120" s="11"/>
      <c r="EN120" s="11"/>
      <c r="EO120" s="11"/>
      <c r="EP120" s="11"/>
      <c r="EQ120" s="11"/>
      <c r="ER120" s="11"/>
      <c r="ES120" s="11"/>
      <c r="ET120" s="11"/>
      <c r="EU120" s="11"/>
      <c r="EV120" s="11"/>
      <c r="EW120" s="213"/>
      <c r="EX120" s="11"/>
      <c r="EY120" s="11"/>
      <c r="EZ120" s="11"/>
      <c r="FA120" s="213"/>
      <c r="FB120" s="11"/>
      <c r="FC120" s="11"/>
      <c r="FD120" s="11"/>
      <c r="FE120" s="11"/>
      <c r="FF120" s="11"/>
      <c r="FG120" s="11"/>
      <c r="FH120" s="11"/>
      <c r="FI120" s="213"/>
      <c r="FJ120" s="11"/>
      <c r="FK120" s="11"/>
      <c r="FL120" s="11"/>
      <c r="FM120" s="11"/>
      <c r="FN120" s="11"/>
      <c r="FO120" s="11"/>
      <c r="FP120" s="11"/>
      <c r="FQ120" s="11"/>
      <c r="FR120" s="11"/>
      <c r="FS120" s="11"/>
      <c r="FT120" s="213"/>
      <c r="FU120" s="11"/>
      <c r="FV120" s="11"/>
      <c r="FW120" s="11"/>
      <c r="FX120" s="11"/>
      <c r="FY120" s="11"/>
      <c r="FZ120" s="213"/>
      <c r="GA120" s="11"/>
      <c r="GB120" s="11"/>
      <c r="GC120" s="11"/>
      <c r="GD120" s="11"/>
      <c r="GE120" s="11"/>
      <c r="GF120" s="11"/>
      <c r="GG120" s="11"/>
      <c r="GH120" s="11"/>
      <c r="GI120" s="11"/>
      <c r="GJ120" s="11"/>
      <c r="GK120" s="11"/>
      <c r="GL120" s="11"/>
      <c r="GM120" s="11"/>
      <c r="GN120" s="11"/>
      <c r="GO120" s="11"/>
      <c r="GP120" s="152"/>
    </row>
    <row r="121" spans="1:199" x14ac:dyDescent="0.2">
      <c r="A121" s="74" t="s">
        <v>1907</v>
      </c>
      <c r="B121" s="11" t="str">
        <f>IF(AND(ISTEXT("https://github.com/SmartcontractTest/ConFuzzius-BI/tree/main"),"https://github.com/SmartcontractTest/ConFuzzius-BI/tree/main"&lt;&gt;""), HYPERLINK("https://github.com/SmartcontractTest/ConFuzzius-BI/tree/main", "Link"),"-")</f>
        <v>Link</v>
      </c>
      <c r="C121" s="11" t="s">
        <v>1235</v>
      </c>
      <c r="D121" s="11" t="s">
        <v>1235</v>
      </c>
      <c r="E121" s="11" t="s">
        <v>1235</v>
      </c>
      <c r="F121" s="11" t="s">
        <v>2812</v>
      </c>
      <c r="G121" s="213"/>
      <c r="H121" s="11" t="s">
        <v>1235</v>
      </c>
      <c r="I121" s="11"/>
      <c r="J121" s="11"/>
      <c r="K121" s="11"/>
      <c r="L121" s="11"/>
      <c r="M121" s="11"/>
      <c r="N121" s="11"/>
      <c r="O121" s="11"/>
      <c r="P121" s="11"/>
      <c r="Q121" s="11" t="s">
        <v>1235</v>
      </c>
      <c r="R121" s="11"/>
      <c r="S121" s="11"/>
      <c r="T121" s="11"/>
      <c r="U121" s="11"/>
      <c r="V121" s="11"/>
      <c r="W121" s="11" t="s">
        <v>1235</v>
      </c>
      <c r="X121" s="11"/>
      <c r="Y121" s="213" t="s">
        <v>1235</v>
      </c>
      <c r="Z121" s="11"/>
      <c r="AA121" s="11"/>
      <c r="AB121" s="11"/>
      <c r="AC121" s="11" t="s">
        <v>1235</v>
      </c>
      <c r="AD121" s="11"/>
      <c r="AE121" s="11"/>
      <c r="AF121" s="11"/>
      <c r="AG121" s="11"/>
      <c r="AH121" s="11"/>
      <c r="AI121" s="11"/>
      <c r="AJ121" s="11"/>
      <c r="AK121" s="11"/>
      <c r="AL121" s="11"/>
      <c r="AM121" s="11"/>
      <c r="AN121" s="11"/>
      <c r="AO121" s="11"/>
      <c r="AP121" s="11"/>
      <c r="AQ121" s="11"/>
      <c r="AR121" s="11"/>
      <c r="AS121" s="11"/>
      <c r="AT121" s="213" t="s">
        <v>1235</v>
      </c>
      <c r="AU121" s="11"/>
      <c r="AV121" s="11"/>
      <c r="AW121" s="11"/>
      <c r="AX121" s="11"/>
      <c r="AY121" s="11"/>
      <c r="AZ121" s="11" t="s">
        <v>1235</v>
      </c>
      <c r="BA121" s="11"/>
      <c r="BB121" s="11"/>
      <c r="BC121" s="11"/>
      <c r="BD121" s="11"/>
      <c r="BE121" s="213"/>
      <c r="BF121" s="11"/>
      <c r="BG121" s="11"/>
      <c r="BH121" s="11"/>
      <c r="BI121" s="11"/>
      <c r="BJ121" s="11"/>
      <c r="BK121" s="11"/>
      <c r="BL121" s="11"/>
      <c r="BM121" s="11"/>
      <c r="BN121" s="11"/>
      <c r="BO121" s="11"/>
      <c r="BP121" s="11"/>
      <c r="BQ121" s="213"/>
      <c r="BR121" s="11"/>
      <c r="BS121" s="11"/>
      <c r="BT121" s="11" t="s">
        <v>1235</v>
      </c>
      <c r="BU121" s="11"/>
      <c r="BV121" s="11"/>
      <c r="BW121" s="11"/>
      <c r="BX121" s="11"/>
      <c r="BY121" s="11"/>
      <c r="BZ121" s="11"/>
      <c r="CA121" s="195"/>
      <c r="CB121" s="11"/>
      <c r="CC121" s="11"/>
      <c r="CD121" s="11"/>
      <c r="CE121" s="11"/>
      <c r="CF121" s="11"/>
      <c r="CG121" s="11"/>
      <c r="CH121" s="11"/>
      <c r="CI121" s="11"/>
      <c r="CJ121" s="11"/>
      <c r="CK121" s="213" t="s">
        <v>1235</v>
      </c>
      <c r="CL121" s="11"/>
      <c r="CM121" s="11"/>
      <c r="CN121" s="11"/>
      <c r="CO121" s="11"/>
      <c r="CP121" s="11"/>
      <c r="CQ121" s="11"/>
      <c r="CR121" s="11"/>
      <c r="CS121" s="11"/>
      <c r="CT121" s="11"/>
      <c r="CU121" s="11"/>
      <c r="CV121" s="11"/>
      <c r="CW121" s="213"/>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213"/>
      <c r="EM121" s="11"/>
      <c r="EN121" s="11"/>
      <c r="EO121" s="11"/>
      <c r="EP121" s="11"/>
      <c r="EQ121" s="11"/>
      <c r="ER121" s="11"/>
      <c r="ES121" s="11"/>
      <c r="ET121" s="11"/>
      <c r="EU121" s="11"/>
      <c r="EV121" s="11"/>
      <c r="EW121" s="213"/>
      <c r="EX121" s="11"/>
      <c r="EY121" s="11"/>
      <c r="EZ121" s="11"/>
      <c r="FA121" s="213"/>
      <c r="FB121" s="11"/>
      <c r="FC121" s="11"/>
      <c r="FD121" s="11"/>
      <c r="FE121" s="11"/>
      <c r="FF121" s="11"/>
      <c r="FG121" s="11"/>
      <c r="FH121" s="11"/>
      <c r="FI121" s="213"/>
      <c r="FJ121" s="11"/>
      <c r="FK121" s="11"/>
      <c r="FL121" s="11"/>
      <c r="FM121" s="11"/>
      <c r="FN121" s="11"/>
      <c r="FO121" s="11"/>
      <c r="FP121" s="11"/>
      <c r="FQ121" s="11"/>
      <c r="FR121" s="11"/>
      <c r="FS121" s="11"/>
      <c r="FT121" s="213"/>
      <c r="FU121" s="11"/>
      <c r="FV121" s="11"/>
      <c r="FW121" s="11"/>
      <c r="FX121" s="11"/>
      <c r="FY121" s="11"/>
      <c r="FZ121" s="213"/>
      <c r="GA121" s="11"/>
      <c r="GB121" s="11"/>
      <c r="GC121" s="11"/>
      <c r="GD121" s="11"/>
      <c r="GE121" s="11"/>
      <c r="GF121" s="11"/>
      <c r="GG121" s="11"/>
      <c r="GH121" s="11"/>
      <c r="GI121" s="11"/>
      <c r="GJ121" s="11"/>
      <c r="GK121" s="11"/>
      <c r="GL121" s="11"/>
      <c r="GM121" s="11"/>
      <c r="GN121" s="11"/>
      <c r="GO121" s="11"/>
      <c r="GP121" s="152"/>
    </row>
    <row r="122" spans="1:199" x14ac:dyDescent="0.2">
      <c r="A122" s="76" t="s">
        <v>1910</v>
      </c>
      <c r="B122" s="11" t="str">
        <f>IF(AND(ISTEXT("https://github.com/christoftorres/Horus"),"https://github.com/christoftorres/Horus"&lt;&gt;""), HYPERLINK("https://github.com/christoftorres/Horus", "Link"),"-")</f>
        <v>Link</v>
      </c>
      <c r="C122" s="11"/>
      <c r="D122" s="11" t="s">
        <v>1235</v>
      </c>
      <c r="E122" s="11" t="s">
        <v>1235</v>
      </c>
      <c r="F122" s="11" t="s">
        <v>2811</v>
      </c>
      <c r="G122" s="213"/>
      <c r="H122" s="11" t="s">
        <v>1235</v>
      </c>
      <c r="I122" s="11"/>
      <c r="J122" s="11"/>
      <c r="K122" s="11"/>
      <c r="L122" s="11"/>
      <c r="M122" s="11"/>
      <c r="N122" s="11"/>
      <c r="O122" s="11"/>
      <c r="P122" s="11"/>
      <c r="Q122" s="11"/>
      <c r="R122" s="11"/>
      <c r="S122" s="11"/>
      <c r="T122" s="11"/>
      <c r="U122" s="11"/>
      <c r="V122" s="11"/>
      <c r="W122" s="11"/>
      <c r="X122" s="11"/>
      <c r="Y122" s="213"/>
      <c r="Z122" s="11"/>
      <c r="AA122" s="11"/>
      <c r="AB122" s="11"/>
      <c r="AC122" s="11"/>
      <c r="AD122" s="11"/>
      <c r="AE122" s="11"/>
      <c r="AF122" s="11"/>
      <c r="AG122" s="11"/>
      <c r="AH122" s="11"/>
      <c r="AI122" s="11"/>
      <c r="AJ122" s="11"/>
      <c r="AK122" s="11"/>
      <c r="AL122" s="11"/>
      <c r="AM122" s="11"/>
      <c r="AN122" s="11"/>
      <c r="AO122" s="11"/>
      <c r="AP122" s="11"/>
      <c r="AQ122" s="11"/>
      <c r="AR122" s="11"/>
      <c r="AS122" s="11"/>
      <c r="AT122" s="213" t="s">
        <v>1235</v>
      </c>
      <c r="AU122" s="11"/>
      <c r="AV122" s="11"/>
      <c r="AW122" s="11"/>
      <c r="AX122" s="11"/>
      <c r="AY122" s="11"/>
      <c r="AZ122" s="11"/>
      <c r="BA122" s="11"/>
      <c r="BB122" s="11"/>
      <c r="BC122" s="11"/>
      <c r="BD122" s="11"/>
      <c r="BE122" s="213"/>
      <c r="BF122" s="11"/>
      <c r="BG122" s="11"/>
      <c r="BH122" s="11"/>
      <c r="BI122" s="11"/>
      <c r="BJ122" s="11"/>
      <c r="BK122" s="11"/>
      <c r="BL122" s="11"/>
      <c r="BM122" s="11"/>
      <c r="BN122" s="11"/>
      <c r="BO122" s="11"/>
      <c r="BP122" s="11"/>
      <c r="BQ122" s="213"/>
      <c r="BR122" s="11"/>
      <c r="BS122" s="11"/>
      <c r="BT122" s="11"/>
      <c r="BU122" s="11"/>
      <c r="BV122" s="11"/>
      <c r="BW122" s="11"/>
      <c r="BX122" s="11"/>
      <c r="BY122" s="11"/>
      <c r="BZ122" s="11"/>
      <c r="CA122" s="195"/>
      <c r="CB122" s="11"/>
      <c r="CC122" s="11"/>
      <c r="CD122" s="11"/>
      <c r="CE122" s="11"/>
      <c r="CF122" s="11"/>
      <c r="CG122" s="11"/>
      <c r="CH122" s="11"/>
      <c r="CI122" s="11"/>
      <c r="CJ122" s="11"/>
      <c r="CK122" s="213" t="s">
        <v>1235</v>
      </c>
      <c r="CL122" s="11"/>
      <c r="CM122" s="11"/>
      <c r="CN122" s="11"/>
      <c r="CO122" s="11"/>
      <c r="CP122" s="11"/>
      <c r="CQ122" s="11"/>
      <c r="CR122" s="11"/>
      <c r="CS122" s="11"/>
      <c r="CT122" s="11"/>
      <c r="CU122" s="11"/>
      <c r="CV122" s="11"/>
      <c r="CW122" s="213"/>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213" t="s">
        <v>1235</v>
      </c>
      <c r="EM122" s="11"/>
      <c r="EN122" s="11"/>
      <c r="EO122" s="11"/>
      <c r="EP122" s="11"/>
      <c r="EQ122" s="11"/>
      <c r="ER122" s="11"/>
      <c r="ES122" s="11"/>
      <c r="ET122" s="11"/>
      <c r="EU122" s="11"/>
      <c r="EV122" s="11"/>
      <c r="EW122" s="213"/>
      <c r="EX122" s="11"/>
      <c r="EY122" s="11"/>
      <c r="EZ122" s="11"/>
      <c r="FA122" s="213"/>
      <c r="FB122" s="11"/>
      <c r="FC122" s="11"/>
      <c r="FD122" s="11"/>
      <c r="FE122" s="11"/>
      <c r="FF122" s="11"/>
      <c r="FG122" s="11"/>
      <c r="FH122" s="11"/>
      <c r="FI122" s="213"/>
      <c r="FJ122" s="11"/>
      <c r="FK122" s="11"/>
      <c r="FL122" s="11"/>
      <c r="FM122" s="11"/>
      <c r="FN122" s="11"/>
      <c r="FO122" s="11"/>
      <c r="FP122" s="11"/>
      <c r="FQ122" s="11"/>
      <c r="FR122" s="11"/>
      <c r="FS122" s="11"/>
      <c r="FT122" s="213"/>
      <c r="FU122" s="11"/>
      <c r="FV122" s="11"/>
      <c r="FW122" s="11"/>
      <c r="FX122" s="11"/>
      <c r="FY122" s="11"/>
      <c r="FZ122" s="213"/>
      <c r="GA122" s="11"/>
      <c r="GB122" s="11"/>
      <c r="GC122" s="11"/>
      <c r="GD122" s="11"/>
      <c r="GE122" s="11"/>
      <c r="GF122" s="11"/>
      <c r="GG122" s="11"/>
      <c r="GH122" s="11"/>
      <c r="GI122" s="11"/>
      <c r="GJ122" s="11"/>
      <c r="GK122" s="11"/>
      <c r="GL122" s="11"/>
      <c r="GM122" s="11"/>
      <c r="GN122" s="11"/>
      <c r="GO122" s="11"/>
      <c r="GP122" s="152"/>
    </row>
    <row r="123" spans="1:199" x14ac:dyDescent="0.2">
      <c r="A123" s="77" t="s">
        <v>1913</v>
      </c>
      <c r="B123" s="11" t="str">
        <f>IF(AND(ISTEXT(""),""&lt;&gt;""), HYPERLINK("", "Link"),"-")</f>
        <v>-</v>
      </c>
      <c r="C123" s="11" t="s">
        <v>1235</v>
      </c>
      <c r="D123" s="11"/>
      <c r="E123" s="11"/>
      <c r="F123" s="11" t="s">
        <v>2812</v>
      </c>
      <c r="G123" s="213"/>
      <c r="H123" s="11" t="s">
        <v>1235</v>
      </c>
      <c r="I123" s="11"/>
      <c r="J123" s="11"/>
      <c r="K123" s="11"/>
      <c r="L123" s="11"/>
      <c r="M123" s="11"/>
      <c r="N123" s="11"/>
      <c r="O123" s="11"/>
      <c r="P123" s="11"/>
      <c r="Q123" s="11"/>
      <c r="R123" s="11"/>
      <c r="S123" s="11"/>
      <c r="T123" s="11"/>
      <c r="U123" s="11"/>
      <c r="V123" s="11"/>
      <c r="W123" s="11"/>
      <c r="X123" s="11"/>
      <c r="Y123" s="213"/>
      <c r="Z123" s="11" t="s">
        <v>1235</v>
      </c>
      <c r="AA123" s="11"/>
      <c r="AB123" s="11"/>
      <c r="AC123" s="11"/>
      <c r="AD123" s="11"/>
      <c r="AE123" s="11"/>
      <c r="AF123" s="11"/>
      <c r="AG123" s="11"/>
      <c r="AH123" s="11"/>
      <c r="AI123" s="11"/>
      <c r="AJ123" s="11"/>
      <c r="AK123" s="11"/>
      <c r="AL123" s="11"/>
      <c r="AM123" s="11"/>
      <c r="AN123" s="11"/>
      <c r="AO123" s="11"/>
      <c r="AP123" s="11"/>
      <c r="AQ123" s="11"/>
      <c r="AR123" s="11"/>
      <c r="AS123" s="11"/>
      <c r="AT123" s="213" t="s">
        <v>1235</v>
      </c>
      <c r="AU123" s="11"/>
      <c r="AV123" s="11"/>
      <c r="AW123" s="11"/>
      <c r="AX123" s="11"/>
      <c r="AY123" s="11"/>
      <c r="AZ123" s="11"/>
      <c r="BA123" s="11"/>
      <c r="BB123" s="11"/>
      <c r="BC123" s="11"/>
      <c r="BD123" s="11"/>
      <c r="BE123" s="213"/>
      <c r="BF123" s="11"/>
      <c r="BG123" s="11"/>
      <c r="BH123" s="11"/>
      <c r="BI123" s="11"/>
      <c r="BJ123" s="11"/>
      <c r="BK123" s="11"/>
      <c r="BL123" s="11"/>
      <c r="BM123" s="11"/>
      <c r="BN123" s="11"/>
      <c r="BO123" s="11"/>
      <c r="BP123" s="11"/>
      <c r="BQ123" s="213"/>
      <c r="BR123" s="11"/>
      <c r="BS123" s="11"/>
      <c r="BT123" s="11"/>
      <c r="BU123" s="11"/>
      <c r="BV123" s="11"/>
      <c r="BW123" s="11"/>
      <c r="BX123" s="11"/>
      <c r="BY123" s="11"/>
      <c r="BZ123" s="11"/>
      <c r="CA123" s="195"/>
      <c r="CB123" s="11"/>
      <c r="CC123" s="11"/>
      <c r="CD123" s="11"/>
      <c r="CE123" s="11"/>
      <c r="CF123" s="11"/>
      <c r="CG123" s="11"/>
      <c r="CH123" s="11"/>
      <c r="CI123" s="11"/>
      <c r="CJ123" s="11"/>
      <c r="CK123" s="213" t="s">
        <v>1235</v>
      </c>
      <c r="CL123" s="11"/>
      <c r="CM123" s="11"/>
      <c r="CN123" s="11"/>
      <c r="CO123" s="11"/>
      <c r="CP123" s="11"/>
      <c r="CQ123" s="11"/>
      <c r="CR123" s="11"/>
      <c r="CS123" s="11"/>
      <c r="CT123" s="11"/>
      <c r="CU123" s="11"/>
      <c r="CV123" s="11"/>
      <c r="CW123" s="213"/>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213"/>
      <c r="EM123" s="11"/>
      <c r="EN123" s="11"/>
      <c r="EO123" s="11"/>
      <c r="EP123" s="11"/>
      <c r="EQ123" s="11"/>
      <c r="ER123" s="11"/>
      <c r="ES123" s="11"/>
      <c r="ET123" s="11"/>
      <c r="EU123" s="11"/>
      <c r="EV123" s="11"/>
      <c r="EW123" s="213"/>
      <c r="EX123" s="11"/>
      <c r="EY123" s="11"/>
      <c r="EZ123" s="11"/>
      <c r="FA123" s="213"/>
      <c r="FB123" s="11"/>
      <c r="FC123" s="11"/>
      <c r="FD123" s="11"/>
      <c r="FE123" s="11"/>
      <c r="FF123" s="11"/>
      <c r="FG123" s="11"/>
      <c r="FH123" s="11"/>
      <c r="FI123" s="213"/>
      <c r="FJ123" s="11"/>
      <c r="FK123" s="11"/>
      <c r="FL123" s="11"/>
      <c r="FM123" s="11"/>
      <c r="FN123" s="11"/>
      <c r="FO123" s="11"/>
      <c r="FP123" s="11"/>
      <c r="FQ123" s="11"/>
      <c r="FR123" s="11"/>
      <c r="FS123" s="11"/>
      <c r="FT123" s="213"/>
      <c r="FU123" s="11"/>
      <c r="FV123" s="11"/>
      <c r="FW123" s="11"/>
      <c r="FX123" s="11"/>
      <c r="FY123" s="11"/>
      <c r="FZ123" s="213"/>
      <c r="GA123" s="11"/>
      <c r="GB123" s="11"/>
      <c r="GC123" s="11"/>
      <c r="GD123" s="11"/>
      <c r="GE123" s="11"/>
      <c r="GF123" s="11"/>
      <c r="GG123" s="11"/>
      <c r="GH123" s="11"/>
      <c r="GI123" s="11"/>
      <c r="GJ123" s="11"/>
      <c r="GK123" s="11"/>
      <c r="GL123" s="11"/>
      <c r="GM123" s="11"/>
      <c r="GN123" s="11"/>
      <c r="GO123" s="11"/>
      <c r="GP123" s="152"/>
    </row>
    <row r="124" spans="1:199" x14ac:dyDescent="0.2">
      <c r="A124" s="76" t="s">
        <v>1917</v>
      </c>
      <c r="B124" s="11" t="str">
        <f>IF(AND(ISTEXT("https://github.com/LaoSuanNaii/DL4SC"),"https://github.com/LaoSuanNaii/DL4SC"&lt;&gt;""), HYPERLINK("https://github.com/LaoSuanNaii/DL4SC", "Link"),"-")</f>
        <v>Link</v>
      </c>
      <c r="C124" s="11" t="s">
        <v>1235</v>
      </c>
      <c r="D124" s="11"/>
      <c r="E124" s="11" t="s">
        <v>1235</v>
      </c>
      <c r="F124" s="11" t="s">
        <v>2811</v>
      </c>
      <c r="G124" s="213"/>
      <c r="H124" s="11" t="s">
        <v>1235</v>
      </c>
      <c r="I124" s="11"/>
      <c r="J124" s="11"/>
      <c r="K124" s="11"/>
      <c r="L124" s="11"/>
      <c r="M124" s="11"/>
      <c r="N124" s="11"/>
      <c r="O124" s="11"/>
      <c r="P124" s="11"/>
      <c r="Q124" s="11"/>
      <c r="R124" s="11"/>
      <c r="S124" s="11"/>
      <c r="T124" s="11"/>
      <c r="U124" s="11"/>
      <c r="V124" s="11"/>
      <c r="W124" s="11"/>
      <c r="X124" s="11"/>
      <c r="Y124" s="213"/>
      <c r="Z124" s="11" t="s">
        <v>1235</v>
      </c>
      <c r="AA124" s="11"/>
      <c r="AB124" s="11"/>
      <c r="AC124" s="11"/>
      <c r="AD124" s="11"/>
      <c r="AE124" s="11"/>
      <c r="AF124" s="11"/>
      <c r="AG124" s="11"/>
      <c r="AH124" s="11"/>
      <c r="AI124" s="11"/>
      <c r="AJ124" s="11"/>
      <c r="AK124" s="11"/>
      <c r="AL124" s="11"/>
      <c r="AM124" s="11"/>
      <c r="AN124" s="11"/>
      <c r="AO124" s="11"/>
      <c r="AP124" s="11"/>
      <c r="AQ124" s="11"/>
      <c r="AR124" s="11"/>
      <c r="AS124" s="11"/>
      <c r="AT124" s="213"/>
      <c r="AU124" s="11"/>
      <c r="AV124" s="11"/>
      <c r="AW124" s="11"/>
      <c r="AX124" s="11"/>
      <c r="AY124" s="11"/>
      <c r="AZ124" s="11"/>
      <c r="BA124" s="11"/>
      <c r="BB124" s="11"/>
      <c r="BC124" s="11"/>
      <c r="BD124" s="11"/>
      <c r="BE124" s="213"/>
      <c r="BF124" s="11"/>
      <c r="BG124" s="11"/>
      <c r="BH124" s="11"/>
      <c r="BI124" s="11"/>
      <c r="BJ124" s="11"/>
      <c r="BK124" s="11"/>
      <c r="BL124" s="11"/>
      <c r="BM124" s="11"/>
      <c r="BN124" s="11"/>
      <c r="BO124" s="11"/>
      <c r="BP124" s="11"/>
      <c r="BQ124" s="213"/>
      <c r="BR124" s="11"/>
      <c r="BS124" s="11"/>
      <c r="BT124" s="11"/>
      <c r="BU124" s="11"/>
      <c r="BV124" s="11"/>
      <c r="BW124" s="11"/>
      <c r="BX124" s="11"/>
      <c r="BY124" s="11"/>
      <c r="BZ124" s="11"/>
      <c r="CA124" s="195"/>
      <c r="CB124" s="11"/>
      <c r="CC124" s="11"/>
      <c r="CD124" s="11"/>
      <c r="CE124" s="11"/>
      <c r="CF124" s="11"/>
      <c r="CG124" s="11"/>
      <c r="CH124" s="11"/>
      <c r="CI124" s="11"/>
      <c r="CJ124" s="11"/>
      <c r="CK124" s="213"/>
      <c r="CL124" s="11"/>
      <c r="CM124" s="11"/>
      <c r="CN124" s="11"/>
      <c r="CO124" s="11"/>
      <c r="CP124" s="11"/>
      <c r="CQ124" s="11"/>
      <c r="CR124" s="11"/>
      <c r="CS124" s="11"/>
      <c r="CT124" s="11"/>
      <c r="CU124" s="11"/>
      <c r="CV124" s="11"/>
      <c r="CW124" s="213"/>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213"/>
      <c r="EM124" s="11"/>
      <c r="EN124" s="11"/>
      <c r="EO124" s="11"/>
      <c r="EP124" s="11"/>
      <c r="EQ124" s="11"/>
      <c r="ER124" s="11"/>
      <c r="ES124" s="11"/>
      <c r="ET124" s="11"/>
      <c r="EU124" s="11"/>
      <c r="EV124" s="11"/>
      <c r="EW124" s="213"/>
      <c r="EX124" s="11"/>
      <c r="EY124" s="11"/>
      <c r="EZ124" s="11"/>
      <c r="FA124" s="213"/>
      <c r="FB124" s="11"/>
      <c r="FC124" s="11"/>
      <c r="FD124" s="11"/>
      <c r="FE124" s="11"/>
      <c r="FF124" s="11"/>
      <c r="FG124" s="11"/>
      <c r="FH124" s="11"/>
      <c r="FI124" s="213"/>
      <c r="FJ124" s="11"/>
      <c r="FK124" s="11"/>
      <c r="FL124" s="11"/>
      <c r="FM124" s="11"/>
      <c r="FN124" s="11"/>
      <c r="FO124" s="11"/>
      <c r="FP124" s="11"/>
      <c r="FQ124" s="11"/>
      <c r="FR124" s="11"/>
      <c r="FS124" s="11"/>
      <c r="FT124" s="213"/>
      <c r="FU124" s="11"/>
      <c r="FV124" s="11"/>
      <c r="FW124" s="11"/>
      <c r="FX124" s="11"/>
      <c r="FY124" s="11"/>
      <c r="FZ124" s="213"/>
      <c r="GA124" s="11"/>
      <c r="GB124" s="11"/>
      <c r="GC124" s="11"/>
      <c r="GD124" s="11"/>
      <c r="GE124" s="11"/>
      <c r="GF124" s="11"/>
      <c r="GG124" s="11"/>
      <c r="GH124" s="11"/>
      <c r="GI124" s="11"/>
      <c r="GJ124" s="11"/>
      <c r="GK124" s="11"/>
      <c r="GL124" s="11"/>
      <c r="GM124" s="11"/>
      <c r="GN124" s="11"/>
      <c r="GO124" s="11"/>
      <c r="GP124" s="152"/>
    </row>
    <row r="125" spans="1:199" x14ac:dyDescent="0.2">
      <c r="A125" s="77" t="s">
        <v>1919</v>
      </c>
      <c r="B125" s="11" t="str">
        <f>IF(AND(ISTEXT(""),""&lt;&gt;""), HYPERLINK("", "Link"),"-")</f>
        <v>-</v>
      </c>
      <c r="C125" s="11" t="s">
        <v>1235</v>
      </c>
      <c r="D125" s="11"/>
      <c r="E125" s="11"/>
      <c r="F125" s="11" t="s">
        <v>2812</v>
      </c>
      <c r="G125" s="213"/>
      <c r="H125" s="11" t="s">
        <v>1235</v>
      </c>
      <c r="I125" s="11"/>
      <c r="J125" s="11"/>
      <c r="K125" s="11"/>
      <c r="L125" s="11"/>
      <c r="M125" s="11"/>
      <c r="N125" s="11"/>
      <c r="O125" s="11"/>
      <c r="P125" s="11"/>
      <c r="Q125" s="11"/>
      <c r="R125" s="11"/>
      <c r="S125" s="11"/>
      <c r="T125" s="11"/>
      <c r="U125" s="11"/>
      <c r="V125" s="11"/>
      <c r="W125" s="11"/>
      <c r="X125" s="11"/>
      <c r="Y125" s="213"/>
      <c r="Z125" s="11"/>
      <c r="AA125" s="11"/>
      <c r="AB125" s="11"/>
      <c r="AC125" s="11"/>
      <c r="AD125" s="11"/>
      <c r="AE125" s="11"/>
      <c r="AF125" s="11"/>
      <c r="AG125" s="11"/>
      <c r="AH125" s="11"/>
      <c r="AI125" s="11"/>
      <c r="AJ125" s="11"/>
      <c r="AK125" s="11"/>
      <c r="AL125" s="11"/>
      <c r="AM125" s="11"/>
      <c r="AN125" s="11"/>
      <c r="AO125" s="11"/>
      <c r="AP125" s="11"/>
      <c r="AQ125" s="11"/>
      <c r="AR125" s="11"/>
      <c r="AS125" s="11"/>
      <c r="AT125" s="213"/>
      <c r="AU125" s="11"/>
      <c r="AV125" s="11"/>
      <c r="AW125" s="11"/>
      <c r="AX125" s="11"/>
      <c r="AY125" s="11"/>
      <c r="AZ125" s="11"/>
      <c r="BA125" s="11"/>
      <c r="BB125" s="11"/>
      <c r="BC125" s="11"/>
      <c r="BD125" s="11"/>
      <c r="BE125" s="213"/>
      <c r="BF125" s="11"/>
      <c r="BG125" s="11"/>
      <c r="BH125" s="11"/>
      <c r="BI125" s="11"/>
      <c r="BJ125" s="11"/>
      <c r="BK125" s="11"/>
      <c r="BL125" s="11"/>
      <c r="BM125" s="11"/>
      <c r="BN125" s="11"/>
      <c r="BO125" s="11"/>
      <c r="BP125" s="11"/>
      <c r="BQ125" s="213"/>
      <c r="BR125" s="11"/>
      <c r="BS125" s="11"/>
      <c r="BT125" s="11"/>
      <c r="BU125" s="11"/>
      <c r="BV125" s="11"/>
      <c r="BW125" s="11"/>
      <c r="BX125" s="11"/>
      <c r="BY125" s="11"/>
      <c r="BZ125" s="11"/>
      <c r="CA125" s="195"/>
      <c r="CB125" s="11"/>
      <c r="CC125" s="11"/>
      <c r="CD125" s="11"/>
      <c r="CE125" s="11"/>
      <c r="CF125" s="11"/>
      <c r="CG125" s="11"/>
      <c r="CH125" s="11"/>
      <c r="CI125" s="11"/>
      <c r="CJ125" s="11"/>
      <c r="CK125" s="213"/>
      <c r="CL125" s="11"/>
      <c r="CM125" s="11"/>
      <c r="CN125" s="11"/>
      <c r="CO125" s="11"/>
      <c r="CP125" s="11"/>
      <c r="CQ125" s="11"/>
      <c r="CR125" s="11"/>
      <c r="CS125" s="11"/>
      <c r="CT125" s="11"/>
      <c r="CU125" s="11"/>
      <c r="CV125" s="11"/>
      <c r="CW125" s="213"/>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213"/>
      <c r="EM125" s="11"/>
      <c r="EN125" s="11"/>
      <c r="EO125" s="11"/>
      <c r="EP125" s="11"/>
      <c r="EQ125" s="11"/>
      <c r="ER125" s="11"/>
      <c r="ES125" s="11"/>
      <c r="ET125" s="11"/>
      <c r="EU125" s="11"/>
      <c r="EV125" s="11"/>
      <c r="EW125" s="213"/>
      <c r="EX125" s="11"/>
      <c r="EY125" s="11"/>
      <c r="EZ125" s="11"/>
      <c r="FA125" s="213"/>
      <c r="FB125" s="11"/>
      <c r="FC125" s="11"/>
      <c r="FD125" s="11"/>
      <c r="FE125" s="11"/>
      <c r="FF125" s="11"/>
      <c r="FG125" s="11"/>
      <c r="FH125" s="11"/>
      <c r="FI125" s="213"/>
      <c r="FJ125" s="11"/>
      <c r="FK125" s="11"/>
      <c r="FL125" s="11"/>
      <c r="FM125" s="11"/>
      <c r="FN125" s="11"/>
      <c r="FO125" s="11"/>
      <c r="FP125" s="11"/>
      <c r="FQ125" s="11"/>
      <c r="FR125" s="11"/>
      <c r="FS125" s="11"/>
      <c r="FT125" s="213"/>
      <c r="FU125" s="11"/>
      <c r="FV125" s="11"/>
      <c r="FW125" s="11"/>
      <c r="FX125" s="11"/>
      <c r="FY125" s="11"/>
      <c r="FZ125" s="213"/>
      <c r="GA125" s="11"/>
      <c r="GB125" s="11"/>
      <c r="GC125" s="11"/>
      <c r="GD125" s="11"/>
      <c r="GE125" s="11"/>
      <c r="GF125" s="11"/>
      <c r="GG125" s="11"/>
      <c r="GH125" s="11"/>
      <c r="GI125" s="11"/>
      <c r="GJ125" s="11"/>
      <c r="GK125" s="11"/>
      <c r="GL125" s="11"/>
      <c r="GM125" s="11"/>
      <c r="GN125" s="11"/>
      <c r="GO125" s="11"/>
      <c r="GP125" s="152"/>
    </row>
    <row r="126" spans="1:199" x14ac:dyDescent="0.2">
      <c r="A126" s="78" t="s">
        <v>1923</v>
      </c>
      <c r="B126" s="11" t="str">
        <f>IF(AND(ISTEXT("https://github.com/chenpp1881/Clear"),"https://github.com/chenpp1881/Clear"&lt;&gt;""), HYPERLINK("https://github.com/chenpp1881/Clear", "Link"),"-")</f>
        <v>Link</v>
      </c>
      <c r="C126" s="11" t="s">
        <v>1235</v>
      </c>
      <c r="D126" s="11"/>
      <c r="E126" s="11" t="s">
        <v>1235</v>
      </c>
      <c r="F126" s="11" t="s">
        <v>2812</v>
      </c>
      <c r="G126" s="213"/>
      <c r="H126" s="11" t="s">
        <v>1235</v>
      </c>
      <c r="I126" s="11"/>
      <c r="J126" s="11"/>
      <c r="K126" s="11"/>
      <c r="L126" s="11"/>
      <c r="M126" s="11"/>
      <c r="N126" s="11"/>
      <c r="O126" s="11"/>
      <c r="P126" s="11"/>
      <c r="Q126" s="11"/>
      <c r="R126" s="11"/>
      <c r="S126" s="11"/>
      <c r="T126" s="11"/>
      <c r="U126" s="11"/>
      <c r="V126" s="11"/>
      <c r="W126" s="11"/>
      <c r="X126" s="11"/>
      <c r="Y126" s="213"/>
      <c r="Z126" s="11" t="s">
        <v>1235</v>
      </c>
      <c r="AA126" s="11"/>
      <c r="AB126" s="11"/>
      <c r="AC126" s="11"/>
      <c r="AD126" s="11"/>
      <c r="AE126" s="11"/>
      <c r="AF126" s="11"/>
      <c r="AG126" s="11"/>
      <c r="AH126" s="11"/>
      <c r="AI126" s="11"/>
      <c r="AJ126" s="11"/>
      <c r="AK126" s="11"/>
      <c r="AL126" s="11"/>
      <c r="AM126" s="11"/>
      <c r="AN126" s="11"/>
      <c r="AO126" s="11"/>
      <c r="AP126" s="11"/>
      <c r="AQ126" s="11"/>
      <c r="AR126" s="11"/>
      <c r="AS126" s="11"/>
      <c r="AT126" s="213"/>
      <c r="AU126" s="11"/>
      <c r="AV126" s="11"/>
      <c r="AW126" s="11"/>
      <c r="AX126" s="11"/>
      <c r="AY126" s="11"/>
      <c r="AZ126" s="11"/>
      <c r="BA126" s="11"/>
      <c r="BB126" s="11"/>
      <c r="BC126" s="11"/>
      <c r="BD126" s="11"/>
      <c r="BE126" s="213"/>
      <c r="BF126" s="11"/>
      <c r="BG126" s="11"/>
      <c r="BH126" s="11"/>
      <c r="BI126" s="11"/>
      <c r="BJ126" s="11"/>
      <c r="BK126" s="11"/>
      <c r="BL126" s="11"/>
      <c r="BM126" s="11"/>
      <c r="BN126" s="11"/>
      <c r="BO126" s="11"/>
      <c r="BP126" s="11"/>
      <c r="BQ126" s="213"/>
      <c r="BR126" s="11"/>
      <c r="BS126" s="11"/>
      <c r="BT126" s="11"/>
      <c r="BU126" s="11"/>
      <c r="BV126" s="11"/>
      <c r="BW126" s="11"/>
      <c r="BX126" s="11"/>
      <c r="BY126" s="11"/>
      <c r="BZ126" s="11"/>
      <c r="CA126" s="195"/>
      <c r="CB126" s="11"/>
      <c r="CC126" s="11"/>
      <c r="CD126" s="11"/>
      <c r="CE126" s="11"/>
      <c r="CF126" s="11"/>
      <c r="CG126" s="11"/>
      <c r="CH126" s="11"/>
      <c r="CI126" s="11"/>
      <c r="CJ126" s="11"/>
      <c r="CK126" s="213" t="s">
        <v>1235</v>
      </c>
      <c r="CL126" s="11"/>
      <c r="CM126" s="11"/>
      <c r="CN126" s="11"/>
      <c r="CO126" s="11"/>
      <c r="CP126" s="11"/>
      <c r="CQ126" s="11"/>
      <c r="CR126" s="11"/>
      <c r="CS126" s="11"/>
      <c r="CT126" s="11"/>
      <c r="CU126" s="11"/>
      <c r="CV126" s="11"/>
      <c r="CW126" s="213"/>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213"/>
      <c r="EM126" s="11"/>
      <c r="EN126" s="11"/>
      <c r="EO126" s="11"/>
      <c r="EP126" s="11"/>
      <c r="EQ126" s="11"/>
      <c r="ER126" s="11"/>
      <c r="ES126" s="11"/>
      <c r="ET126" s="11"/>
      <c r="EU126" s="11"/>
      <c r="EV126" s="11"/>
      <c r="EW126" s="213"/>
      <c r="EX126" s="11"/>
      <c r="EY126" s="11"/>
      <c r="EZ126" s="11"/>
      <c r="FA126" s="213"/>
      <c r="FB126" s="11"/>
      <c r="FC126" s="11"/>
      <c r="FD126" s="11"/>
      <c r="FE126" s="11"/>
      <c r="FF126" s="11"/>
      <c r="FG126" s="11"/>
      <c r="FH126" s="11"/>
      <c r="FI126" s="213"/>
      <c r="FJ126" s="11"/>
      <c r="FK126" s="11"/>
      <c r="FL126" s="11"/>
      <c r="FM126" s="11"/>
      <c r="FN126" s="11"/>
      <c r="FO126" s="11"/>
      <c r="FP126" s="11"/>
      <c r="FQ126" s="11"/>
      <c r="FR126" s="11"/>
      <c r="FS126" s="11"/>
      <c r="FT126" s="213"/>
      <c r="FU126" s="11"/>
      <c r="FV126" s="11"/>
      <c r="FW126" s="11"/>
      <c r="FX126" s="11"/>
      <c r="FY126" s="11"/>
      <c r="FZ126" s="213"/>
      <c r="GA126" s="11"/>
      <c r="GB126" s="11"/>
      <c r="GC126" s="11"/>
      <c r="GD126" s="11"/>
      <c r="GE126" s="11"/>
      <c r="GF126" s="11"/>
      <c r="GG126" s="11"/>
      <c r="GH126" s="11"/>
      <c r="GI126" s="11"/>
      <c r="GJ126" s="11"/>
      <c r="GK126" s="11"/>
      <c r="GL126" s="11"/>
      <c r="GM126" s="11"/>
      <c r="GN126" s="11"/>
      <c r="GO126" s="11"/>
      <c r="GP126" s="152"/>
    </row>
    <row r="127" spans="1:199" x14ac:dyDescent="0.2">
      <c r="A127" s="79" t="s">
        <v>1929</v>
      </c>
      <c r="B127" s="11" t="str">
        <f>IF(AND(ISTEXT(""),""&lt;&gt;""), HYPERLINK("", "Link"),"-")</f>
        <v>-</v>
      </c>
      <c r="C127" s="11" t="s">
        <v>1235</v>
      </c>
      <c r="D127" s="11"/>
      <c r="E127" s="11"/>
      <c r="F127" s="11" t="s">
        <v>2812</v>
      </c>
      <c r="G127" s="213"/>
      <c r="H127" s="11"/>
      <c r="I127" s="11"/>
      <c r="J127" s="11"/>
      <c r="K127" s="11"/>
      <c r="L127" s="11"/>
      <c r="M127" s="11"/>
      <c r="N127" s="11"/>
      <c r="O127" s="11"/>
      <c r="P127" s="11"/>
      <c r="Q127" s="11"/>
      <c r="R127" s="11"/>
      <c r="S127" s="11"/>
      <c r="T127" s="11"/>
      <c r="U127" s="11"/>
      <c r="V127" s="11"/>
      <c r="W127" s="11"/>
      <c r="X127" s="11"/>
      <c r="Y127" s="213"/>
      <c r="Z127" s="11"/>
      <c r="AA127" s="11"/>
      <c r="AB127" s="11"/>
      <c r="AC127" s="11"/>
      <c r="AD127" s="11"/>
      <c r="AE127" s="11"/>
      <c r="AF127" s="11"/>
      <c r="AG127" s="11"/>
      <c r="AH127" s="11"/>
      <c r="AI127" s="11"/>
      <c r="AJ127" s="11"/>
      <c r="AK127" s="11"/>
      <c r="AL127" s="11"/>
      <c r="AM127" s="11"/>
      <c r="AN127" s="11"/>
      <c r="AO127" s="11"/>
      <c r="AP127" s="11"/>
      <c r="AQ127" s="11"/>
      <c r="AR127" s="11"/>
      <c r="AS127" s="11"/>
      <c r="AT127" s="213"/>
      <c r="AU127" s="11"/>
      <c r="AV127" s="11"/>
      <c r="AW127" s="11"/>
      <c r="AX127" s="11"/>
      <c r="AY127" s="11"/>
      <c r="AZ127" s="11"/>
      <c r="BA127" s="11"/>
      <c r="BB127" s="11"/>
      <c r="BC127" s="11"/>
      <c r="BD127" s="11"/>
      <c r="BE127" s="213"/>
      <c r="BF127" s="11"/>
      <c r="BG127" s="11"/>
      <c r="BH127" s="11"/>
      <c r="BI127" s="11"/>
      <c r="BJ127" s="11"/>
      <c r="BK127" s="11"/>
      <c r="BL127" s="11"/>
      <c r="BM127" s="11"/>
      <c r="BN127" s="11"/>
      <c r="BO127" s="11"/>
      <c r="BP127" s="11"/>
      <c r="BQ127" s="213"/>
      <c r="BR127" s="11"/>
      <c r="BS127" s="11"/>
      <c r="BT127" s="11"/>
      <c r="BU127" s="11"/>
      <c r="BV127" s="11"/>
      <c r="BW127" s="11"/>
      <c r="BX127" s="11"/>
      <c r="BY127" s="11"/>
      <c r="BZ127" s="11"/>
      <c r="CA127" s="195"/>
      <c r="CB127" s="11"/>
      <c r="CC127" s="11"/>
      <c r="CD127" s="11"/>
      <c r="CE127" s="11"/>
      <c r="CF127" s="11"/>
      <c r="CG127" s="11"/>
      <c r="CH127" s="11"/>
      <c r="CI127" s="11"/>
      <c r="CJ127" s="11"/>
      <c r="CK127" s="213"/>
      <c r="CL127" s="11"/>
      <c r="CM127" s="11"/>
      <c r="CN127" s="11"/>
      <c r="CO127" s="11"/>
      <c r="CP127" s="11"/>
      <c r="CQ127" s="11"/>
      <c r="CR127" s="11"/>
      <c r="CS127" s="11"/>
      <c r="CT127" s="11"/>
      <c r="CU127" s="11"/>
      <c r="CV127" s="11"/>
      <c r="CW127" s="213"/>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213"/>
      <c r="EM127" s="11"/>
      <c r="EN127" s="11"/>
      <c r="EO127" s="11"/>
      <c r="EP127" s="11"/>
      <c r="EQ127" s="11"/>
      <c r="ER127" s="11"/>
      <c r="ES127" s="11"/>
      <c r="ET127" s="11"/>
      <c r="EU127" s="11"/>
      <c r="EV127" s="11"/>
      <c r="EW127" s="213"/>
      <c r="EX127" s="11"/>
      <c r="EY127" s="11"/>
      <c r="EZ127" s="11"/>
      <c r="FA127" s="213"/>
      <c r="FB127" s="11"/>
      <c r="FC127" s="11"/>
      <c r="FD127" s="11"/>
      <c r="FE127" s="11"/>
      <c r="FF127" s="11"/>
      <c r="FG127" s="11"/>
      <c r="FH127" s="11"/>
      <c r="FI127" s="213" t="s">
        <v>1235</v>
      </c>
      <c r="FJ127" s="11"/>
      <c r="FK127" s="11"/>
      <c r="FL127" s="11" t="s">
        <v>1235</v>
      </c>
      <c r="FM127" s="11" t="s">
        <v>1235</v>
      </c>
      <c r="FN127" s="11" t="s">
        <v>1235</v>
      </c>
      <c r="FO127" s="11" t="s">
        <v>1235</v>
      </c>
      <c r="FP127" s="11" t="s">
        <v>1235</v>
      </c>
      <c r="FQ127" s="11"/>
      <c r="FR127" s="11"/>
      <c r="FS127" s="11"/>
      <c r="FT127" s="213"/>
      <c r="FU127" s="11"/>
      <c r="FV127" s="11"/>
      <c r="FW127" s="11"/>
      <c r="FX127" s="11"/>
      <c r="FY127" s="11"/>
      <c r="FZ127" s="213"/>
      <c r="GA127" s="11"/>
      <c r="GB127" s="11"/>
      <c r="GC127" s="11"/>
      <c r="GD127" s="11"/>
      <c r="GE127" s="11"/>
      <c r="GF127" s="11"/>
      <c r="GG127" s="11"/>
      <c r="GH127" s="11"/>
      <c r="GI127" s="11"/>
      <c r="GJ127" s="11"/>
      <c r="GK127" s="11"/>
      <c r="GL127" s="11"/>
      <c r="GM127" s="11"/>
      <c r="GN127" s="11"/>
      <c r="GO127" s="11"/>
      <c r="GP127" s="152"/>
      <c r="GQ127" s="41"/>
    </row>
    <row r="128" spans="1:199" x14ac:dyDescent="0.2">
      <c r="A128" s="79" t="s">
        <v>1931</v>
      </c>
      <c r="B128" s="11" t="str">
        <f>IF(AND(ISTEXT("https://figshare.com/articles/software/scvhunter/24566893/1?file=43154218"),"https://figshare.com/articles/software/scvhunter/24566893/1?file=43154218"&lt;&gt;""), HYPERLINK("https://figshare.com/articles/software/scvhunter/24566893/1?file=43154218", "Link"),"-")</f>
        <v>Link</v>
      </c>
      <c r="C128" s="11" t="s">
        <v>1235</v>
      </c>
      <c r="D128" s="11"/>
      <c r="E128" s="11" t="s">
        <v>1235</v>
      </c>
      <c r="F128" s="11" t="s">
        <v>2812</v>
      </c>
      <c r="G128" s="213"/>
      <c r="H128" s="11" t="s">
        <v>1235</v>
      </c>
      <c r="I128" s="11"/>
      <c r="J128" s="11"/>
      <c r="K128" s="11"/>
      <c r="L128" s="11"/>
      <c r="M128" s="11"/>
      <c r="N128" s="11"/>
      <c r="O128" s="11"/>
      <c r="P128" s="11"/>
      <c r="Q128" s="11"/>
      <c r="R128" s="11"/>
      <c r="S128" s="11"/>
      <c r="T128" s="11"/>
      <c r="U128" s="11"/>
      <c r="V128" s="11"/>
      <c r="W128" s="11"/>
      <c r="X128" s="11"/>
      <c r="Y128" s="213" t="s">
        <v>1235</v>
      </c>
      <c r="Z128" s="11"/>
      <c r="AA128" s="11"/>
      <c r="AB128" s="11"/>
      <c r="AC128" s="11"/>
      <c r="AD128" s="11"/>
      <c r="AE128" s="11"/>
      <c r="AF128" s="11"/>
      <c r="AG128" s="11"/>
      <c r="AH128" s="11"/>
      <c r="AI128" s="11"/>
      <c r="AJ128" s="11"/>
      <c r="AK128" s="11"/>
      <c r="AL128" s="11"/>
      <c r="AM128" s="11"/>
      <c r="AN128" s="11"/>
      <c r="AO128" s="11"/>
      <c r="AP128" s="11"/>
      <c r="AQ128" s="11"/>
      <c r="AR128" s="11"/>
      <c r="AS128" s="11"/>
      <c r="AT128" s="213"/>
      <c r="AU128" s="11"/>
      <c r="AV128" s="11"/>
      <c r="AW128" s="11"/>
      <c r="AX128" s="11"/>
      <c r="AY128" s="11"/>
      <c r="AZ128" s="11"/>
      <c r="BA128" s="11"/>
      <c r="BB128" s="11"/>
      <c r="BC128" s="11"/>
      <c r="BD128" s="11"/>
      <c r="BE128" s="213" t="s">
        <v>1235</v>
      </c>
      <c r="BF128" s="11"/>
      <c r="BG128" s="11"/>
      <c r="BH128" s="11"/>
      <c r="BI128" s="11"/>
      <c r="BJ128" s="11"/>
      <c r="BK128" s="11"/>
      <c r="BL128" s="11"/>
      <c r="BM128" s="11"/>
      <c r="BN128" s="11"/>
      <c r="BO128" s="11"/>
      <c r="BP128" s="11"/>
      <c r="BQ128" s="213"/>
      <c r="BR128" s="11" t="s">
        <v>1235</v>
      </c>
      <c r="BS128" s="11"/>
      <c r="BT128" s="11"/>
      <c r="BU128" s="11"/>
      <c r="BV128" s="11"/>
      <c r="BW128" s="11"/>
      <c r="BX128" s="11"/>
      <c r="BY128" s="11"/>
      <c r="BZ128" s="11"/>
      <c r="CA128" s="195"/>
      <c r="CB128" s="11"/>
      <c r="CC128" s="11"/>
      <c r="CD128" s="11"/>
      <c r="CE128" s="11"/>
      <c r="CF128" s="11"/>
      <c r="CG128" s="11"/>
      <c r="CH128" s="11"/>
      <c r="CI128" s="11"/>
      <c r="CJ128" s="11"/>
      <c r="CK128" s="213"/>
      <c r="CL128" s="11"/>
      <c r="CM128" s="11"/>
      <c r="CN128" s="11"/>
      <c r="CO128" s="11"/>
      <c r="CP128" s="11"/>
      <c r="CQ128" s="11"/>
      <c r="CR128" s="11"/>
      <c r="CS128" s="11"/>
      <c r="CT128" s="11"/>
      <c r="CU128" s="11"/>
      <c r="CV128" s="11"/>
      <c r="CW128" s="213"/>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213"/>
      <c r="EM128" s="11"/>
      <c r="EN128" s="11"/>
      <c r="EO128" s="11"/>
      <c r="EP128" s="11"/>
      <c r="EQ128" s="11"/>
      <c r="ER128" s="11"/>
      <c r="ES128" s="11"/>
      <c r="ET128" s="11"/>
      <c r="EU128" s="11"/>
      <c r="EV128" s="11"/>
      <c r="EW128" s="213"/>
      <c r="EX128" s="11"/>
      <c r="EY128" s="11"/>
      <c r="EZ128" s="11"/>
      <c r="FA128" s="213"/>
      <c r="FB128" s="11"/>
      <c r="FC128" s="11"/>
      <c r="FD128" s="11"/>
      <c r="FE128" s="11"/>
      <c r="FF128" s="11"/>
      <c r="FG128" s="11"/>
      <c r="FH128" s="11"/>
      <c r="FI128" s="213"/>
      <c r="FJ128" s="11"/>
      <c r="FK128" s="11"/>
      <c r="FL128" s="11"/>
      <c r="FM128" s="11"/>
      <c r="FN128" s="11"/>
      <c r="FO128" s="11"/>
      <c r="FP128" s="11"/>
      <c r="FQ128" s="11"/>
      <c r="FR128" s="11"/>
      <c r="FS128" s="11"/>
      <c r="FT128" s="213"/>
      <c r="FU128" s="11"/>
      <c r="FV128" s="11"/>
      <c r="FW128" s="11"/>
      <c r="FX128" s="11"/>
      <c r="FY128" s="11"/>
      <c r="FZ128" s="213"/>
      <c r="GA128" s="11"/>
      <c r="GB128" s="11"/>
      <c r="GC128" s="11"/>
      <c r="GD128" s="11"/>
      <c r="GE128" s="11"/>
      <c r="GF128" s="11"/>
      <c r="GG128" s="11"/>
      <c r="GH128" s="11"/>
      <c r="GI128" s="11"/>
      <c r="GJ128" s="11"/>
      <c r="GK128" s="11"/>
      <c r="GL128" s="11"/>
      <c r="GM128" s="11"/>
      <c r="GN128" s="11"/>
      <c r="GO128" s="11"/>
      <c r="GP128" s="152"/>
    </row>
    <row r="129" spans="1:198" x14ac:dyDescent="0.2">
      <c r="A129" s="79" t="s">
        <v>1937</v>
      </c>
      <c r="B129" s="11" t="str">
        <f>IF(AND(ISTEXT("https://github.com/shuo-young/BlockWatchdog"),"https://github.com/shuo-young/BlockWatchdog"&lt;&gt;""), HYPERLINK("https://github.com/shuo-young/BlockWatchdog", "Link"),"-")</f>
        <v>Link</v>
      </c>
      <c r="C129" s="11"/>
      <c r="D129" s="11"/>
      <c r="E129" s="11" t="s">
        <v>1235</v>
      </c>
      <c r="F129" s="11" t="s">
        <v>2812</v>
      </c>
      <c r="G129" s="213"/>
      <c r="H129" s="11" t="s">
        <v>1235</v>
      </c>
      <c r="I129" s="11"/>
      <c r="J129" s="11"/>
      <c r="K129" s="11"/>
      <c r="L129" s="11"/>
      <c r="M129" s="11"/>
      <c r="N129" s="11"/>
      <c r="O129" s="11"/>
      <c r="P129" s="11"/>
      <c r="Q129" s="11"/>
      <c r="R129" s="11"/>
      <c r="S129" s="11"/>
      <c r="T129" s="11"/>
      <c r="U129" s="11"/>
      <c r="V129" s="11"/>
      <c r="W129" s="11"/>
      <c r="X129" s="11"/>
      <c r="Y129" s="213"/>
      <c r="Z129" s="11"/>
      <c r="AA129" s="11"/>
      <c r="AB129" s="11"/>
      <c r="AC129" s="11"/>
      <c r="AD129" s="11"/>
      <c r="AE129" s="11"/>
      <c r="AF129" s="11"/>
      <c r="AG129" s="11"/>
      <c r="AH129" s="11"/>
      <c r="AI129" s="11"/>
      <c r="AJ129" s="11"/>
      <c r="AK129" s="11"/>
      <c r="AL129" s="11"/>
      <c r="AM129" s="11"/>
      <c r="AN129" s="11"/>
      <c r="AO129" s="11"/>
      <c r="AP129" s="11"/>
      <c r="AQ129" s="11"/>
      <c r="AR129" s="11"/>
      <c r="AS129" s="11"/>
      <c r="AT129" s="213"/>
      <c r="AU129" s="11"/>
      <c r="AV129" s="11"/>
      <c r="AW129" s="11"/>
      <c r="AX129" s="11"/>
      <c r="AY129" s="11"/>
      <c r="AZ129" s="11"/>
      <c r="BA129" s="11"/>
      <c r="BB129" s="11"/>
      <c r="BC129" s="11"/>
      <c r="BD129" s="11"/>
      <c r="BE129" s="213"/>
      <c r="BF129" s="11"/>
      <c r="BG129" s="11"/>
      <c r="BH129" s="11"/>
      <c r="BI129" s="11"/>
      <c r="BJ129" s="11"/>
      <c r="BK129" s="11"/>
      <c r="BL129" s="11"/>
      <c r="BM129" s="11"/>
      <c r="BN129" s="11"/>
      <c r="BO129" s="11"/>
      <c r="BP129" s="11"/>
      <c r="BQ129" s="213"/>
      <c r="BR129" s="11"/>
      <c r="BS129" s="11"/>
      <c r="BT129" s="11"/>
      <c r="BU129" s="11"/>
      <c r="BV129" s="11"/>
      <c r="BW129" s="11"/>
      <c r="BX129" s="11"/>
      <c r="BY129" s="11"/>
      <c r="BZ129" s="11"/>
      <c r="CA129" s="195"/>
      <c r="CB129" s="11"/>
      <c r="CC129" s="11"/>
      <c r="CD129" s="11"/>
      <c r="CE129" s="11"/>
      <c r="CF129" s="11"/>
      <c r="CG129" s="11"/>
      <c r="CH129" s="11"/>
      <c r="CI129" s="11"/>
      <c r="CJ129" s="11"/>
      <c r="CK129" s="213"/>
      <c r="CL129" s="11"/>
      <c r="CM129" s="11"/>
      <c r="CN129" s="11"/>
      <c r="CO129" s="11"/>
      <c r="CP129" s="11"/>
      <c r="CQ129" s="11"/>
      <c r="CR129" s="11"/>
      <c r="CS129" s="11"/>
      <c r="CT129" s="11"/>
      <c r="CU129" s="11"/>
      <c r="CV129" s="11"/>
      <c r="CW129" s="213"/>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c r="EK129" s="11"/>
      <c r="EL129" s="213"/>
      <c r="EM129" s="11"/>
      <c r="EN129" s="11"/>
      <c r="EO129" s="11"/>
      <c r="EP129" s="11"/>
      <c r="EQ129" s="11"/>
      <c r="ER129" s="11"/>
      <c r="ES129" s="11"/>
      <c r="ET129" s="11"/>
      <c r="EU129" s="11"/>
      <c r="EV129" s="11"/>
      <c r="EW129" s="213"/>
      <c r="EX129" s="11"/>
      <c r="EY129" s="11"/>
      <c r="EZ129" s="11"/>
      <c r="FA129" s="213"/>
      <c r="FB129" s="11"/>
      <c r="FC129" s="11"/>
      <c r="FD129" s="11"/>
      <c r="FE129" s="11"/>
      <c r="FF129" s="11"/>
      <c r="FG129" s="11"/>
      <c r="FH129" s="11"/>
      <c r="FI129" s="213"/>
      <c r="FJ129" s="11"/>
      <c r="FK129" s="11"/>
      <c r="FL129" s="11"/>
      <c r="FM129" s="11"/>
      <c r="FN129" s="11"/>
      <c r="FO129" s="11"/>
      <c r="FP129" s="11"/>
      <c r="FQ129" s="11"/>
      <c r="FR129" s="11"/>
      <c r="FS129" s="11"/>
      <c r="FT129" s="213"/>
      <c r="FU129" s="11"/>
      <c r="FV129" s="11"/>
      <c r="FW129" s="11"/>
      <c r="FX129" s="11"/>
      <c r="FY129" s="11"/>
      <c r="FZ129" s="213"/>
      <c r="GA129" s="11"/>
      <c r="GB129" s="11"/>
      <c r="GC129" s="11"/>
      <c r="GD129" s="11"/>
      <c r="GE129" s="11"/>
      <c r="GF129" s="11"/>
      <c r="GG129" s="11"/>
      <c r="GH129" s="11"/>
      <c r="GI129" s="11"/>
      <c r="GJ129" s="11"/>
      <c r="GK129" s="11"/>
      <c r="GL129" s="11"/>
      <c r="GM129" s="11"/>
      <c r="GN129" s="11"/>
      <c r="GO129" s="11"/>
      <c r="GP129" s="152"/>
    </row>
    <row r="130" spans="1:198" x14ac:dyDescent="0.2">
      <c r="A130" s="79" t="s">
        <v>1939</v>
      </c>
      <c r="B130" s="11" t="str">
        <f>IF(AND(ISTEXT("http://figshare.com/s/6143dfd54a3d3eadde31"),"http://figshare.com/s/6143dfd54a3d3eadde31"&lt;&gt;""), HYPERLINK("http://figshare.com/s/6143dfd54a3d3eadde31", "Link"),"-")</f>
        <v>Link</v>
      </c>
      <c r="C130" s="11" t="s">
        <v>1235</v>
      </c>
      <c r="D130" s="11"/>
      <c r="E130" s="11" t="s">
        <v>1235</v>
      </c>
      <c r="F130" s="11" t="s">
        <v>2812</v>
      </c>
      <c r="G130" s="213"/>
      <c r="H130" s="11" t="s">
        <v>1235</v>
      </c>
      <c r="I130" s="11"/>
      <c r="J130" s="11"/>
      <c r="K130" s="11"/>
      <c r="L130" s="11"/>
      <c r="M130" s="11"/>
      <c r="N130" s="11"/>
      <c r="O130" s="11"/>
      <c r="P130" s="11"/>
      <c r="Q130" s="11"/>
      <c r="R130" s="11"/>
      <c r="S130" s="11"/>
      <c r="T130" s="11"/>
      <c r="U130" s="11"/>
      <c r="V130" s="11"/>
      <c r="W130" s="11"/>
      <c r="X130" s="11"/>
      <c r="Y130" s="213"/>
      <c r="Z130" s="11"/>
      <c r="AA130" s="11"/>
      <c r="AB130" s="11"/>
      <c r="AC130" s="11"/>
      <c r="AD130" s="11"/>
      <c r="AE130" s="11"/>
      <c r="AF130" s="11"/>
      <c r="AG130" s="11"/>
      <c r="AH130" s="11"/>
      <c r="AI130" s="11"/>
      <c r="AJ130" s="11"/>
      <c r="AK130" s="11"/>
      <c r="AL130" s="11"/>
      <c r="AM130" s="11"/>
      <c r="AN130" s="11"/>
      <c r="AO130" s="11"/>
      <c r="AP130" s="11"/>
      <c r="AQ130" s="11"/>
      <c r="AR130" s="11"/>
      <c r="AS130" s="11"/>
      <c r="AT130" s="213"/>
      <c r="AU130" s="11"/>
      <c r="AV130" s="11"/>
      <c r="AW130" s="11"/>
      <c r="AX130" s="11"/>
      <c r="AY130" s="11"/>
      <c r="AZ130" s="11"/>
      <c r="BA130" s="11"/>
      <c r="BB130" s="11"/>
      <c r="BC130" s="11"/>
      <c r="BD130" s="11"/>
      <c r="BE130" s="213"/>
      <c r="BF130" s="11"/>
      <c r="BG130" s="11"/>
      <c r="BH130" s="11"/>
      <c r="BI130" s="11"/>
      <c r="BJ130" s="11"/>
      <c r="BK130" s="11"/>
      <c r="BL130" s="11"/>
      <c r="BM130" s="11"/>
      <c r="BN130" s="11"/>
      <c r="BO130" s="11"/>
      <c r="BP130" s="11"/>
      <c r="BQ130" s="213"/>
      <c r="BR130" s="11"/>
      <c r="BS130" s="11"/>
      <c r="BT130" s="11"/>
      <c r="BU130" s="11"/>
      <c r="BV130" s="11"/>
      <c r="BW130" s="11"/>
      <c r="BX130" s="11"/>
      <c r="BY130" s="11"/>
      <c r="BZ130" s="11"/>
      <c r="CA130" s="195"/>
      <c r="CB130" s="11"/>
      <c r="CC130" s="11"/>
      <c r="CD130" s="11"/>
      <c r="CE130" s="11"/>
      <c r="CF130" s="11"/>
      <c r="CG130" s="11"/>
      <c r="CH130" s="11"/>
      <c r="CI130" s="11"/>
      <c r="CJ130" s="11"/>
      <c r="CK130" s="213"/>
      <c r="CL130" s="11"/>
      <c r="CM130" s="11"/>
      <c r="CN130" s="11"/>
      <c r="CO130" s="11"/>
      <c r="CP130" s="11"/>
      <c r="CQ130" s="11"/>
      <c r="CR130" s="11"/>
      <c r="CS130" s="11"/>
      <c r="CT130" s="11"/>
      <c r="CU130" s="11"/>
      <c r="CV130" s="11"/>
      <c r="CW130" s="213"/>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213"/>
      <c r="EM130" s="11"/>
      <c r="EN130" s="11"/>
      <c r="EO130" s="11"/>
      <c r="EP130" s="11"/>
      <c r="EQ130" s="11"/>
      <c r="ER130" s="11"/>
      <c r="ES130" s="11"/>
      <c r="ET130" s="11"/>
      <c r="EU130" s="11"/>
      <c r="EV130" s="11"/>
      <c r="EW130" s="213"/>
      <c r="EX130" s="11"/>
      <c r="EY130" s="11"/>
      <c r="EZ130" s="11"/>
      <c r="FA130" s="213"/>
      <c r="FB130" s="11"/>
      <c r="FC130" s="11"/>
      <c r="FD130" s="11"/>
      <c r="FE130" s="11"/>
      <c r="FF130" s="11"/>
      <c r="FG130" s="11"/>
      <c r="FH130" s="11"/>
      <c r="FI130" s="213" t="s">
        <v>1235</v>
      </c>
      <c r="FJ130" s="11"/>
      <c r="FK130" s="11"/>
      <c r="FL130" s="11"/>
      <c r="FM130" s="11"/>
      <c r="FN130" s="11"/>
      <c r="FO130" s="11"/>
      <c r="FP130" s="11"/>
      <c r="FQ130" s="11"/>
      <c r="FR130" s="11"/>
      <c r="FS130" s="11"/>
      <c r="FT130" s="213"/>
      <c r="FU130" s="11"/>
      <c r="FV130" s="11"/>
      <c r="FW130" s="11"/>
      <c r="FX130" s="11"/>
      <c r="FY130" s="11"/>
      <c r="FZ130" s="213"/>
      <c r="GA130" s="11"/>
      <c r="GB130" s="11"/>
      <c r="GC130" s="11"/>
      <c r="GD130" s="11"/>
      <c r="GE130" s="11"/>
      <c r="GF130" s="11"/>
      <c r="GG130" s="11"/>
      <c r="GH130" s="11"/>
      <c r="GI130" s="11"/>
      <c r="GJ130" s="11"/>
      <c r="GK130" s="11"/>
      <c r="GL130" s="11"/>
      <c r="GM130" s="11"/>
      <c r="GN130" s="11"/>
      <c r="GO130" s="11"/>
      <c r="GP130" s="152"/>
    </row>
    <row r="131" spans="1:198" x14ac:dyDescent="0.2">
      <c r="A131" s="80" t="s">
        <v>1941</v>
      </c>
      <c r="B131" s="11" t="str">
        <f>IF(AND(ISTEXT("https://github.com/jeffchen006/OpenTracer"),"https://github.com/jeffchen006/OpenTracer"&lt;&gt;""), HYPERLINK("https://github.com/jeffchen006/OpenTracer", "Link"),"-")</f>
        <v>Link</v>
      </c>
      <c r="C131" s="11"/>
      <c r="D131" s="11" t="s">
        <v>1235</v>
      </c>
      <c r="E131" s="11" t="s">
        <v>1235</v>
      </c>
      <c r="F131" s="11" t="s">
        <v>2811</v>
      </c>
      <c r="G131" s="213"/>
      <c r="H131" s="11" t="s">
        <v>1235</v>
      </c>
      <c r="I131" s="11"/>
      <c r="J131" s="11"/>
      <c r="K131" s="11"/>
      <c r="L131" s="11"/>
      <c r="M131" s="11"/>
      <c r="N131" s="11"/>
      <c r="O131" s="11"/>
      <c r="P131" s="11"/>
      <c r="Q131" s="11"/>
      <c r="R131" s="11"/>
      <c r="S131" s="11"/>
      <c r="T131" s="11"/>
      <c r="U131" s="11"/>
      <c r="V131" s="11"/>
      <c r="W131" s="11"/>
      <c r="X131" s="11"/>
      <c r="Y131" s="213"/>
      <c r="Z131" s="11" t="s">
        <v>1235</v>
      </c>
      <c r="AA131" s="11"/>
      <c r="AB131" s="11"/>
      <c r="AC131" s="11"/>
      <c r="AD131" s="11"/>
      <c r="AE131" s="11"/>
      <c r="AF131" s="11"/>
      <c r="AG131" s="11"/>
      <c r="AH131" s="11"/>
      <c r="AI131" s="11"/>
      <c r="AJ131" s="11"/>
      <c r="AK131" s="11"/>
      <c r="AL131" s="11"/>
      <c r="AM131" s="11"/>
      <c r="AN131" s="11"/>
      <c r="AO131" s="11"/>
      <c r="AP131" s="11"/>
      <c r="AQ131" s="11"/>
      <c r="AR131" s="11"/>
      <c r="AS131" s="11"/>
      <c r="AT131" s="213"/>
      <c r="AU131" s="11"/>
      <c r="AV131" s="11"/>
      <c r="AW131" s="11"/>
      <c r="AX131" s="11"/>
      <c r="AY131" s="11"/>
      <c r="AZ131" s="11"/>
      <c r="BA131" s="11"/>
      <c r="BB131" s="11"/>
      <c r="BC131" s="11"/>
      <c r="BD131" s="11"/>
      <c r="BE131" s="213"/>
      <c r="BF131" s="11"/>
      <c r="BG131" s="11"/>
      <c r="BH131" s="11"/>
      <c r="BI131" s="11"/>
      <c r="BJ131" s="11"/>
      <c r="BK131" s="11"/>
      <c r="BL131" s="11"/>
      <c r="BM131" s="11"/>
      <c r="BN131" s="11"/>
      <c r="BO131" s="11"/>
      <c r="BP131" s="11"/>
      <c r="BQ131" s="213"/>
      <c r="BR131" s="11"/>
      <c r="BS131" s="11"/>
      <c r="BT131" s="11"/>
      <c r="BU131" s="11"/>
      <c r="BV131" s="11"/>
      <c r="BW131" s="11"/>
      <c r="BX131" s="11"/>
      <c r="BY131" s="11"/>
      <c r="BZ131" s="11"/>
      <c r="CA131" s="195"/>
      <c r="CB131" s="11"/>
      <c r="CC131" s="11"/>
      <c r="CD131" s="11"/>
      <c r="CE131" s="11"/>
      <c r="CF131" s="11"/>
      <c r="CG131" s="11"/>
      <c r="CH131" s="11"/>
      <c r="CI131" s="11"/>
      <c r="CJ131" s="11"/>
      <c r="CK131" s="213"/>
      <c r="CL131" s="11"/>
      <c r="CM131" s="11"/>
      <c r="CN131" s="11"/>
      <c r="CO131" s="11"/>
      <c r="CP131" s="11"/>
      <c r="CQ131" s="11"/>
      <c r="CR131" s="11"/>
      <c r="CS131" s="11"/>
      <c r="CT131" s="11"/>
      <c r="CU131" s="11"/>
      <c r="CV131" s="11"/>
      <c r="CW131" s="213"/>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213"/>
      <c r="EM131" s="11"/>
      <c r="EN131" s="11"/>
      <c r="EO131" s="11"/>
      <c r="EP131" s="11"/>
      <c r="EQ131" s="11"/>
      <c r="ER131" s="11"/>
      <c r="ES131" s="11"/>
      <c r="ET131" s="11"/>
      <c r="EU131" s="11"/>
      <c r="EV131" s="11"/>
      <c r="EW131" s="213"/>
      <c r="EX131" s="11"/>
      <c r="EY131" s="11"/>
      <c r="EZ131" s="11"/>
      <c r="FA131" s="213"/>
      <c r="FB131" s="11"/>
      <c r="FC131" s="11"/>
      <c r="FD131" s="11"/>
      <c r="FE131" s="11"/>
      <c r="FF131" s="11"/>
      <c r="FG131" s="11"/>
      <c r="FH131" s="11"/>
      <c r="FI131" s="213"/>
      <c r="FJ131" s="11"/>
      <c r="FK131" s="11"/>
      <c r="FL131" s="11"/>
      <c r="FM131" s="11"/>
      <c r="FN131" s="11"/>
      <c r="FO131" s="11"/>
      <c r="FP131" s="11"/>
      <c r="FQ131" s="11"/>
      <c r="FR131" s="11"/>
      <c r="FS131" s="11"/>
      <c r="FT131" s="213"/>
      <c r="FU131" s="11"/>
      <c r="FV131" s="11"/>
      <c r="FW131" s="11"/>
      <c r="FX131" s="11"/>
      <c r="FY131" s="11"/>
      <c r="FZ131" s="213"/>
      <c r="GA131" s="11"/>
      <c r="GB131" s="11"/>
      <c r="GC131" s="11"/>
      <c r="GD131" s="11"/>
      <c r="GE131" s="11"/>
      <c r="GF131" s="11"/>
      <c r="GG131" s="11"/>
      <c r="GH131" s="11"/>
      <c r="GI131" s="11"/>
      <c r="GJ131" s="11"/>
      <c r="GK131" s="11"/>
      <c r="GL131" s="11"/>
      <c r="GM131" s="11"/>
      <c r="GN131" s="11"/>
      <c r="GO131" s="11"/>
      <c r="GP131" s="152"/>
    </row>
    <row r="132" spans="1:198" x14ac:dyDescent="0.2">
      <c r="A132" s="79" t="s">
        <v>1945</v>
      </c>
      <c r="B132" s="11" t="str">
        <f>IF(AND(ISTEXT("https://figshare.com/s/3f864a6e7c6245ad9704"),"https://figshare.com/s/3f864a6e7c6245ad9704"&lt;&gt;""), HYPERLINK("https://figshare.com/s/3f864a6e7c6245ad9704", "Link"),"-")</f>
        <v>Link</v>
      </c>
      <c r="C132" s="11" t="s">
        <v>1235</v>
      </c>
      <c r="D132" s="11"/>
      <c r="E132" s="11" t="s">
        <v>1235</v>
      </c>
      <c r="F132" s="11" t="s">
        <v>2812</v>
      </c>
      <c r="G132" s="213"/>
      <c r="H132" s="11" t="s">
        <v>1235</v>
      </c>
      <c r="I132" s="11"/>
      <c r="J132" s="11"/>
      <c r="K132" s="11"/>
      <c r="L132" s="11"/>
      <c r="M132" s="11"/>
      <c r="N132" s="11"/>
      <c r="O132" s="11"/>
      <c r="P132" s="11"/>
      <c r="Q132" s="11"/>
      <c r="R132" s="11"/>
      <c r="S132" s="11"/>
      <c r="T132" s="11"/>
      <c r="U132" s="11"/>
      <c r="V132" s="11"/>
      <c r="W132" s="11"/>
      <c r="X132" s="11"/>
      <c r="Y132" s="213"/>
      <c r="Z132" s="11"/>
      <c r="AA132" s="11"/>
      <c r="AB132" s="11"/>
      <c r="AC132" s="11"/>
      <c r="AD132" s="11"/>
      <c r="AE132" s="11"/>
      <c r="AF132" s="11"/>
      <c r="AG132" s="11"/>
      <c r="AH132" s="11"/>
      <c r="AI132" s="11"/>
      <c r="AJ132" s="11"/>
      <c r="AK132" s="11"/>
      <c r="AL132" s="11"/>
      <c r="AM132" s="11"/>
      <c r="AN132" s="11"/>
      <c r="AO132" s="11"/>
      <c r="AP132" s="11"/>
      <c r="AQ132" s="11"/>
      <c r="AR132" s="11"/>
      <c r="AS132" s="11"/>
      <c r="AT132" s="213"/>
      <c r="AU132" s="11"/>
      <c r="AV132" s="11"/>
      <c r="AW132" s="11"/>
      <c r="AX132" s="11"/>
      <c r="AY132" s="11"/>
      <c r="AZ132" s="11"/>
      <c r="BA132" s="11"/>
      <c r="BB132" s="11"/>
      <c r="BC132" s="11"/>
      <c r="BD132" s="11"/>
      <c r="BE132" s="213"/>
      <c r="BF132" s="11"/>
      <c r="BG132" s="11"/>
      <c r="BH132" s="11"/>
      <c r="BI132" s="11"/>
      <c r="BJ132" s="11"/>
      <c r="BK132" s="11"/>
      <c r="BL132" s="11"/>
      <c r="BM132" s="11"/>
      <c r="BN132" s="11"/>
      <c r="BO132" s="11"/>
      <c r="BP132" s="11"/>
      <c r="BQ132" s="213"/>
      <c r="BR132" s="11"/>
      <c r="BS132" s="11"/>
      <c r="BT132" s="11"/>
      <c r="BU132" s="11"/>
      <c r="BV132" s="11"/>
      <c r="BW132" s="11"/>
      <c r="BX132" s="11"/>
      <c r="BY132" s="11"/>
      <c r="BZ132" s="11"/>
      <c r="CA132" s="195"/>
      <c r="CB132" s="11"/>
      <c r="CC132" s="11"/>
      <c r="CD132" s="11"/>
      <c r="CE132" s="11"/>
      <c r="CF132" s="11"/>
      <c r="CG132" s="11"/>
      <c r="CH132" s="11"/>
      <c r="CI132" s="11"/>
      <c r="CJ132" s="11"/>
      <c r="CK132" s="213"/>
      <c r="CL132" s="11"/>
      <c r="CM132" s="11"/>
      <c r="CN132" s="11"/>
      <c r="CO132" s="11"/>
      <c r="CP132" s="11"/>
      <c r="CQ132" s="11"/>
      <c r="CR132" s="11"/>
      <c r="CS132" s="11"/>
      <c r="CT132" s="11"/>
      <c r="CU132" s="11"/>
      <c r="CV132" s="11"/>
      <c r="CW132" s="213"/>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213"/>
      <c r="EM132" s="11"/>
      <c r="EN132" s="11"/>
      <c r="EO132" s="11"/>
      <c r="EP132" s="11"/>
      <c r="EQ132" s="11"/>
      <c r="ER132" s="11"/>
      <c r="ES132" s="11"/>
      <c r="ET132" s="11"/>
      <c r="EU132" s="11"/>
      <c r="EV132" s="11"/>
      <c r="EW132" s="213"/>
      <c r="EX132" s="11"/>
      <c r="EY132" s="11"/>
      <c r="EZ132" s="11"/>
      <c r="FA132" s="213"/>
      <c r="FB132" s="11"/>
      <c r="FC132" s="11"/>
      <c r="FD132" s="11"/>
      <c r="FE132" s="11"/>
      <c r="FF132" s="11"/>
      <c r="FG132" s="11"/>
      <c r="FH132" s="11"/>
      <c r="FI132" s="213"/>
      <c r="FJ132" s="11"/>
      <c r="FK132" s="11"/>
      <c r="FL132" s="11"/>
      <c r="FM132" s="11"/>
      <c r="FN132" s="11"/>
      <c r="FO132" s="11"/>
      <c r="FP132" s="11"/>
      <c r="FQ132" s="11"/>
      <c r="FR132" s="11"/>
      <c r="FS132" s="11"/>
      <c r="FT132" s="213"/>
      <c r="FU132" s="11"/>
      <c r="FV132" s="11"/>
      <c r="FW132" s="11"/>
      <c r="FX132" s="11"/>
      <c r="FY132" s="11"/>
      <c r="FZ132" s="213"/>
      <c r="GA132" s="11"/>
      <c r="GB132" s="11"/>
      <c r="GC132" s="11"/>
      <c r="GD132" s="11"/>
      <c r="GE132" s="11"/>
      <c r="GF132" s="11"/>
      <c r="GG132" s="11"/>
      <c r="GH132" s="11"/>
      <c r="GI132" s="11"/>
      <c r="GJ132" s="11"/>
      <c r="GK132" s="11"/>
      <c r="GL132" s="11"/>
      <c r="GM132" s="11"/>
      <c r="GN132" s="11"/>
      <c r="GO132" s="11"/>
      <c r="GP132" s="152"/>
    </row>
    <row r="133" spans="1:198" x14ac:dyDescent="0.2">
      <c r="A133" s="80" t="s">
        <v>2014</v>
      </c>
      <c r="B133" s="11" t="str">
        <f>IF(AND(ISTEXT("https://github.com/BugmakerCC/SOChecker"),"https://github.com/BugmakerCC/SOChecker"&lt;&gt;""), HYPERLINK("https://github.com/BugmakerCC/SOChecker", "Link"),"-")</f>
        <v>Link</v>
      </c>
      <c r="C133" s="11" t="s">
        <v>1235</v>
      </c>
      <c r="D133" s="11"/>
      <c r="E133" s="11" t="s">
        <v>1235</v>
      </c>
      <c r="F133" s="11" t="s">
        <v>2811</v>
      </c>
      <c r="G133" s="213"/>
      <c r="H133" s="11" t="s">
        <v>1235</v>
      </c>
      <c r="I133" s="11"/>
      <c r="J133" s="11"/>
      <c r="K133" s="11"/>
      <c r="L133" s="11"/>
      <c r="M133" s="11"/>
      <c r="N133" s="11"/>
      <c r="O133" s="11"/>
      <c r="P133" s="11"/>
      <c r="Q133" s="11"/>
      <c r="R133" s="11"/>
      <c r="S133" s="11"/>
      <c r="T133" s="11"/>
      <c r="U133" s="11"/>
      <c r="V133" s="11"/>
      <c r="W133" s="11"/>
      <c r="X133" s="11"/>
      <c r="Y133" s="213"/>
      <c r="Z133" s="11" t="s">
        <v>1235</v>
      </c>
      <c r="AA133" s="11"/>
      <c r="AB133" s="11"/>
      <c r="AC133" s="11"/>
      <c r="AD133" s="11"/>
      <c r="AE133" s="11"/>
      <c r="AF133" s="11"/>
      <c r="AG133" s="11"/>
      <c r="AH133" s="181" t="s">
        <v>1235</v>
      </c>
      <c r="AI133" s="11"/>
      <c r="AJ133" s="11"/>
      <c r="AK133" s="11"/>
      <c r="AL133" s="11"/>
      <c r="AM133" s="11"/>
      <c r="AN133" s="11"/>
      <c r="AO133" s="11"/>
      <c r="AP133" s="11"/>
      <c r="AQ133" s="11"/>
      <c r="AR133" s="11"/>
      <c r="AS133" s="11"/>
      <c r="AT133" s="213" t="s">
        <v>1235</v>
      </c>
      <c r="AU133" s="11"/>
      <c r="AV133" s="11"/>
      <c r="AW133" s="11"/>
      <c r="AX133" s="11"/>
      <c r="AY133" s="11"/>
      <c r="AZ133" s="11"/>
      <c r="BA133" s="11"/>
      <c r="BB133" s="11"/>
      <c r="BC133" s="11"/>
      <c r="BD133" s="11"/>
      <c r="BE133" s="213"/>
      <c r="BF133" s="11"/>
      <c r="BG133" s="11"/>
      <c r="BH133" s="11"/>
      <c r="BI133" s="11"/>
      <c r="BJ133" s="11"/>
      <c r="BK133" s="11"/>
      <c r="BL133" s="11"/>
      <c r="BM133" s="11"/>
      <c r="BN133" s="11"/>
      <c r="BO133" s="11"/>
      <c r="BP133" s="11"/>
      <c r="BQ133" s="213"/>
      <c r="BR133" s="11"/>
      <c r="BS133" s="11"/>
      <c r="BT133" s="11"/>
      <c r="BU133" s="11"/>
      <c r="BV133" s="11"/>
      <c r="BW133" s="11"/>
      <c r="BX133" s="11"/>
      <c r="BY133" s="11"/>
      <c r="BZ133" s="11"/>
      <c r="CA133" s="195"/>
      <c r="CB133" s="11"/>
      <c r="CC133" s="11"/>
      <c r="CD133" s="11"/>
      <c r="CE133" s="11"/>
      <c r="CF133" s="11"/>
      <c r="CG133" s="11"/>
      <c r="CH133" s="11"/>
      <c r="CI133" s="11"/>
      <c r="CJ133" s="11"/>
      <c r="CK133" s="213"/>
      <c r="CL133" s="11"/>
      <c r="CM133" s="11"/>
      <c r="CN133" s="11"/>
      <c r="CO133" s="11"/>
      <c r="CP133" s="11"/>
      <c r="CQ133" s="11"/>
      <c r="CR133" s="11"/>
      <c r="CS133" s="11"/>
      <c r="CT133" s="11"/>
      <c r="CU133" s="11"/>
      <c r="CV133" s="11"/>
      <c r="CW133" s="213"/>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213"/>
      <c r="EM133" s="11"/>
      <c r="EN133" s="11"/>
      <c r="EO133" s="11"/>
      <c r="EP133" s="11"/>
      <c r="EQ133" s="11"/>
      <c r="ER133" s="11"/>
      <c r="ES133" s="11"/>
      <c r="ET133" s="11"/>
      <c r="EU133" s="11"/>
      <c r="EV133" s="11"/>
      <c r="EW133" s="213"/>
      <c r="EX133" s="11"/>
      <c r="EY133" s="11"/>
      <c r="EZ133" s="11"/>
      <c r="FA133" s="213"/>
      <c r="FB133" s="11"/>
      <c r="FC133" s="11"/>
      <c r="FD133" s="11"/>
      <c r="FE133" s="11"/>
      <c r="FF133" s="11"/>
      <c r="FG133" s="11"/>
      <c r="FH133" s="11"/>
      <c r="FI133" s="213"/>
      <c r="FJ133" s="11"/>
      <c r="FK133" s="11"/>
      <c r="FL133" s="11"/>
      <c r="FM133" s="11"/>
      <c r="FN133" s="11"/>
      <c r="FO133" s="11"/>
      <c r="FP133" s="11"/>
      <c r="FQ133" s="11"/>
      <c r="FR133" s="11"/>
      <c r="FS133" s="11"/>
      <c r="FT133" s="213"/>
      <c r="FU133" s="11"/>
      <c r="FV133" s="11"/>
      <c r="FW133" s="11"/>
      <c r="FX133" s="11"/>
      <c r="FY133" s="11"/>
      <c r="FZ133" s="213"/>
      <c r="GA133" s="11"/>
      <c r="GB133" s="11"/>
      <c r="GC133" s="11"/>
      <c r="GD133" s="11"/>
      <c r="GE133" s="11"/>
      <c r="GF133" s="11"/>
      <c r="GG133" s="11"/>
      <c r="GH133" s="11"/>
      <c r="GI133" s="11"/>
      <c r="GJ133" s="11"/>
      <c r="GK133" s="11"/>
      <c r="GL133" s="11"/>
      <c r="GM133" s="11"/>
      <c r="GN133" s="11"/>
      <c r="GO133" s="11"/>
      <c r="GP133" s="152"/>
    </row>
    <row r="134" spans="1:198" x14ac:dyDescent="0.2">
      <c r="A134" s="80" t="s">
        <v>1966</v>
      </c>
      <c r="B134" s="11" t="str">
        <f>IF(AND(ISTEXT("https://github.com/Anonymous123xx/RLRep"),"https://github.com/Anonymous123xx/RLRep"&lt;&gt;""), HYPERLINK("https://github.com/Anonymous123xx/RLRep", "Link"),"-")</f>
        <v>Link</v>
      </c>
      <c r="C134" s="11"/>
      <c r="D134" s="11"/>
      <c r="E134" s="11" t="s">
        <v>1235</v>
      </c>
      <c r="F134" s="11" t="s">
        <v>2811</v>
      </c>
      <c r="G134" s="213"/>
      <c r="H134" s="11" t="s">
        <v>1235</v>
      </c>
      <c r="I134" s="11"/>
      <c r="J134" s="11"/>
      <c r="K134" s="11"/>
      <c r="L134" s="11"/>
      <c r="M134" s="11"/>
      <c r="N134" s="11"/>
      <c r="O134" s="11"/>
      <c r="P134" s="11"/>
      <c r="Q134" s="11"/>
      <c r="R134" s="11"/>
      <c r="S134" s="11"/>
      <c r="T134" s="11"/>
      <c r="U134" s="11"/>
      <c r="V134" s="11"/>
      <c r="W134" s="11"/>
      <c r="X134" s="11"/>
      <c r="Y134" s="213"/>
      <c r="Z134" s="11"/>
      <c r="AA134" s="11"/>
      <c r="AB134" s="11"/>
      <c r="AC134" s="11" t="s">
        <v>1235</v>
      </c>
      <c r="AD134" s="11"/>
      <c r="AE134" s="11"/>
      <c r="AF134" s="11"/>
      <c r="AG134" s="11"/>
      <c r="AH134" s="11"/>
      <c r="AI134" s="11"/>
      <c r="AJ134" s="11"/>
      <c r="AK134" s="11"/>
      <c r="AL134" s="11"/>
      <c r="AM134" s="11"/>
      <c r="AN134" s="11"/>
      <c r="AO134" s="11"/>
      <c r="AP134" s="11"/>
      <c r="AQ134" s="11"/>
      <c r="AR134" s="11"/>
      <c r="AS134" s="11"/>
      <c r="AT134" s="213"/>
      <c r="AU134" s="11"/>
      <c r="AV134" s="11"/>
      <c r="AW134" s="11"/>
      <c r="AX134" s="11"/>
      <c r="AY134" s="11"/>
      <c r="AZ134" s="11"/>
      <c r="BA134" s="11"/>
      <c r="BB134" s="11"/>
      <c r="BC134" s="11"/>
      <c r="BD134" s="11"/>
      <c r="BE134" s="213"/>
      <c r="BF134" s="11"/>
      <c r="BG134" s="11"/>
      <c r="BH134" s="11"/>
      <c r="BI134" s="11"/>
      <c r="BJ134" s="11"/>
      <c r="BK134" s="11"/>
      <c r="BL134" s="11"/>
      <c r="BM134" s="11"/>
      <c r="BN134" s="11"/>
      <c r="BO134" s="11"/>
      <c r="BP134" s="11"/>
      <c r="BQ134" s="213"/>
      <c r="BR134" s="181" t="s">
        <v>1235</v>
      </c>
      <c r="BS134" s="11"/>
      <c r="BT134" s="11"/>
      <c r="BU134" s="11"/>
      <c r="BV134" s="11"/>
      <c r="BW134" s="11"/>
      <c r="BX134" s="11"/>
      <c r="BY134" s="11"/>
      <c r="BZ134" s="11"/>
      <c r="CA134" s="195"/>
      <c r="CB134" s="11"/>
      <c r="CC134" s="11"/>
      <c r="CD134" s="11"/>
      <c r="CE134" s="11"/>
      <c r="CF134" s="11"/>
      <c r="CG134" s="11"/>
      <c r="CH134" s="11"/>
      <c r="CI134" s="11"/>
      <c r="CJ134" s="11"/>
      <c r="CK134" s="213" t="s">
        <v>1235</v>
      </c>
      <c r="CL134" s="11"/>
      <c r="CM134" s="11"/>
      <c r="CN134" s="11"/>
      <c r="CO134" s="11"/>
      <c r="CP134" s="11"/>
      <c r="CQ134" s="11"/>
      <c r="CR134" s="11"/>
      <c r="CS134" s="11"/>
      <c r="CT134" s="11"/>
      <c r="CU134" s="11"/>
      <c r="CV134" s="11"/>
      <c r="CW134" s="213"/>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c r="EK134" s="11"/>
      <c r="EL134" s="213"/>
      <c r="EM134" s="11"/>
      <c r="EN134" s="11"/>
      <c r="EO134" s="11"/>
      <c r="EP134" s="11"/>
      <c r="EQ134" s="11"/>
      <c r="ER134" s="11"/>
      <c r="ES134" s="11"/>
      <c r="ET134" s="11"/>
      <c r="EU134" s="11"/>
      <c r="EV134" s="11"/>
      <c r="EW134" s="213"/>
      <c r="EX134" s="11"/>
      <c r="EY134" s="11"/>
      <c r="EZ134" s="11"/>
      <c r="FA134" s="213"/>
      <c r="FB134" s="11"/>
      <c r="FC134" s="11"/>
      <c r="FD134" s="11"/>
      <c r="FE134" s="11"/>
      <c r="FF134" s="11"/>
      <c r="FG134" s="11"/>
      <c r="FH134" s="11"/>
      <c r="FI134" s="213"/>
      <c r="FJ134" s="11"/>
      <c r="FK134" s="11"/>
      <c r="FL134" s="11"/>
      <c r="FM134" s="11"/>
      <c r="FN134" s="11"/>
      <c r="FO134" s="11"/>
      <c r="FP134" s="11"/>
      <c r="FQ134" s="11"/>
      <c r="FR134" s="11"/>
      <c r="FS134" s="11"/>
      <c r="FT134" s="213"/>
      <c r="FU134" s="11"/>
      <c r="FV134" s="11"/>
      <c r="FW134" s="11"/>
      <c r="FX134" s="11"/>
      <c r="FY134" s="11"/>
      <c r="FZ134" s="213"/>
      <c r="GA134" s="11"/>
      <c r="GB134" s="11"/>
      <c r="GC134" s="11"/>
      <c r="GD134" s="11"/>
      <c r="GE134" s="11"/>
      <c r="GF134" s="11"/>
      <c r="GG134" s="11"/>
      <c r="GH134" s="11"/>
      <c r="GI134" s="11"/>
      <c r="GJ134" s="11"/>
      <c r="GK134" s="11"/>
      <c r="GL134" s="11"/>
      <c r="GM134" s="11"/>
      <c r="GN134" s="11"/>
      <c r="GO134" s="11"/>
      <c r="GP134" s="152"/>
    </row>
    <row r="135" spans="1:198" x14ac:dyDescent="0.2">
      <c r="A135" s="80" t="s">
        <v>1968</v>
      </c>
      <c r="B135" s="11" t="str">
        <f>IF(AND(ISTEXT("https://github.com/MingxiYe/FunFuzz/"),"https://github.com/MingxiYe/FunFuzz/"&lt;&gt;""), HYPERLINK("https://github.com/MingxiYe/FunFuzz/", "Link"),"-")</f>
        <v>Link</v>
      </c>
      <c r="C135" s="11"/>
      <c r="D135" s="11" t="s">
        <v>1235</v>
      </c>
      <c r="E135" s="11" t="s">
        <v>1235</v>
      </c>
      <c r="F135" s="11" t="s">
        <v>2811</v>
      </c>
      <c r="G135" s="213"/>
      <c r="H135" s="11" t="s">
        <v>1235</v>
      </c>
      <c r="I135" s="11"/>
      <c r="J135" s="11"/>
      <c r="K135" s="11"/>
      <c r="L135" s="11"/>
      <c r="M135" s="11"/>
      <c r="N135" s="11"/>
      <c r="O135" s="11"/>
      <c r="P135" s="11"/>
      <c r="Q135" s="11" t="s">
        <v>1235</v>
      </c>
      <c r="R135" s="11"/>
      <c r="S135" s="11"/>
      <c r="T135" s="11"/>
      <c r="U135" s="11"/>
      <c r="V135" s="11"/>
      <c r="W135" s="11" t="s">
        <v>1235</v>
      </c>
      <c r="X135" s="11"/>
      <c r="Y135" s="213"/>
      <c r="Z135" s="11" t="s">
        <v>1235</v>
      </c>
      <c r="AA135" s="11" t="s">
        <v>1235</v>
      </c>
      <c r="AB135" s="11"/>
      <c r="AC135" s="11"/>
      <c r="AD135" s="11"/>
      <c r="AE135" s="11"/>
      <c r="AF135" s="11"/>
      <c r="AG135" s="11"/>
      <c r="AH135" s="11"/>
      <c r="AI135" s="11"/>
      <c r="AJ135" s="11"/>
      <c r="AK135" s="11"/>
      <c r="AL135" s="11"/>
      <c r="AM135" s="11"/>
      <c r="AN135" s="11"/>
      <c r="AO135" s="11"/>
      <c r="AP135" s="11"/>
      <c r="AQ135" s="11"/>
      <c r="AR135" s="11"/>
      <c r="AS135" s="11"/>
      <c r="AT135" s="213"/>
      <c r="AU135" s="11"/>
      <c r="AV135" s="11"/>
      <c r="AW135" s="11"/>
      <c r="AX135" s="11"/>
      <c r="AY135" s="11" t="s">
        <v>1235</v>
      </c>
      <c r="AZ135" s="11"/>
      <c r="BA135" s="11"/>
      <c r="BB135" s="11"/>
      <c r="BC135" s="11"/>
      <c r="BD135" s="11"/>
      <c r="BE135" s="213"/>
      <c r="BF135" s="11"/>
      <c r="BG135" s="11"/>
      <c r="BH135" s="11"/>
      <c r="BI135" s="11"/>
      <c r="BJ135" s="11"/>
      <c r="BK135" s="11"/>
      <c r="BL135" s="11"/>
      <c r="BM135" s="11"/>
      <c r="BN135" s="11"/>
      <c r="BO135" s="11"/>
      <c r="BP135" s="11"/>
      <c r="BQ135" s="213"/>
      <c r="BR135" s="11"/>
      <c r="BS135" s="11"/>
      <c r="BT135" s="11" t="s">
        <v>1235</v>
      </c>
      <c r="BU135" s="11"/>
      <c r="BV135" s="11"/>
      <c r="BW135" s="11"/>
      <c r="BX135" s="11"/>
      <c r="BY135" s="11"/>
      <c r="BZ135" s="11"/>
      <c r="CA135" s="195"/>
      <c r="CB135" s="11"/>
      <c r="CC135" s="11"/>
      <c r="CD135" s="11"/>
      <c r="CE135" s="11"/>
      <c r="CF135" s="11"/>
      <c r="CG135" s="11"/>
      <c r="CH135" s="11"/>
      <c r="CI135" s="11"/>
      <c r="CJ135" s="11"/>
      <c r="CK135" s="213"/>
      <c r="CL135" s="11"/>
      <c r="CM135" s="11"/>
      <c r="CN135" s="11"/>
      <c r="CO135" s="11"/>
      <c r="CP135" s="11"/>
      <c r="CQ135" s="11"/>
      <c r="CR135" s="11"/>
      <c r="CS135" s="11"/>
      <c r="CT135" s="11"/>
      <c r="CU135" s="11"/>
      <c r="CV135" s="11"/>
      <c r="CW135" s="213"/>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213"/>
      <c r="EM135" s="11"/>
      <c r="EN135" s="11"/>
      <c r="EO135" s="11"/>
      <c r="EP135" s="11"/>
      <c r="EQ135" s="11"/>
      <c r="ER135" s="11"/>
      <c r="ES135" s="11"/>
      <c r="ET135" s="11"/>
      <c r="EU135" s="11"/>
      <c r="EV135" s="11"/>
      <c r="EW135" s="213"/>
      <c r="EX135" s="11"/>
      <c r="EY135" s="11"/>
      <c r="EZ135" s="11"/>
      <c r="FA135" s="213"/>
      <c r="FB135" s="11"/>
      <c r="FC135" s="11"/>
      <c r="FD135" s="11"/>
      <c r="FE135" s="11"/>
      <c r="FF135" s="11"/>
      <c r="FG135" s="11"/>
      <c r="FH135" s="11"/>
      <c r="FI135" s="213"/>
      <c r="FJ135" s="11"/>
      <c r="FK135" s="11"/>
      <c r="FL135" s="11"/>
      <c r="FM135" s="11"/>
      <c r="FN135" s="11"/>
      <c r="FO135" s="11"/>
      <c r="FP135" s="11"/>
      <c r="FQ135" s="11"/>
      <c r="FR135" s="11"/>
      <c r="FS135" s="11"/>
      <c r="FT135" s="213"/>
      <c r="FU135" s="11"/>
      <c r="FV135" s="11"/>
      <c r="FW135" s="11"/>
      <c r="FX135" s="11"/>
      <c r="FY135" s="11"/>
      <c r="FZ135" s="213"/>
      <c r="GA135" s="11"/>
      <c r="GB135" s="11"/>
      <c r="GC135" s="11"/>
      <c r="GD135" s="11"/>
      <c r="GE135" s="11"/>
      <c r="GF135" s="11"/>
      <c r="GG135" s="11"/>
      <c r="GH135" s="11"/>
      <c r="GI135" s="11"/>
      <c r="GJ135" s="11"/>
      <c r="GK135" s="11"/>
      <c r="GL135" s="11"/>
      <c r="GM135" s="11"/>
      <c r="GN135" s="11"/>
      <c r="GO135" s="11"/>
      <c r="GP135" s="152"/>
    </row>
    <row r="136" spans="1:198" x14ac:dyDescent="0.2">
      <c r="A136" s="80" t="s">
        <v>1970</v>
      </c>
      <c r="B136" s="11" t="str">
        <f>IF(AND(ISTEXT(""),""&lt;&gt;""), HYPERLINK("", "Link"),"-")</f>
        <v>-</v>
      </c>
      <c r="C136" s="11" t="s">
        <v>1235</v>
      </c>
      <c r="D136" s="11"/>
      <c r="E136" s="11"/>
      <c r="F136" s="11" t="s">
        <v>2811</v>
      </c>
      <c r="G136" s="213"/>
      <c r="H136" s="11" t="s">
        <v>1235</v>
      </c>
      <c r="I136" s="11"/>
      <c r="J136" s="11"/>
      <c r="K136" s="11"/>
      <c r="L136" s="11"/>
      <c r="M136" s="11"/>
      <c r="N136" s="11"/>
      <c r="O136" s="11"/>
      <c r="P136" s="11"/>
      <c r="Q136" s="11"/>
      <c r="R136" s="11"/>
      <c r="S136" s="11"/>
      <c r="T136" s="11"/>
      <c r="U136" s="11"/>
      <c r="V136" s="11"/>
      <c r="W136" s="11"/>
      <c r="X136" s="11"/>
      <c r="Y136" s="213"/>
      <c r="Z136" s="11"/>
      <c r="AA136" s="11"/>
      <c r="AB136" s="11"/>
      <c r="AC136" s="11" t="s">
        <v>1235</v>
      </c>
      <c r="AD136" s="11"/>
      <c r="AE136" s="11"/>
      <c r="AF136" s="11"/>
      <c r="AG136" s="11"/>
      <c r="AH136" s="11"/>
      <c r="AI136" s="11"/>
      <c r="AJ136" s="11"/>
      <c r="AK136" s="11"/>
      <c r="AL136" s="11"/>
      <c r="AM136" s="11"/>
      <c r="AN136" s="11"/>
      <c r="AO136" s="11"/>
      <c r="AP136" s="11"/>
      <c r="AQ136" s="11"/>
      <c r="AR136" s="11"/>
      <c r="AS136" s="11"/>
      <c r="AT136" s="213"/>
      <c r="AU136" s="11"/>
      <c r="AV136" s="11"/>
      <c r="AW136" s="11"/>
      <c r="AX136" s="11"/>
      <c r="AY136" s="11"/>
      <c r="AZ136" s="11"/>
      <c r="BA136" s="11"/>
      <c r="BB136" s="11"/>
      <c r="BC136" s="11"/>
      <c r="BD136" s="11"/>
      <c r="BE136" s="213"/>
      <c r="BF136" s="11"/>
      <c r="BG136" s="11"/>
      <c r="BH136" s="11"/>
      <c r="BI136" s="11"/>
      <c r="BJ136" s="11"/>
      <c r="BK136" s="11"/>
      <c r="BL136" s="11"/>
      <c r="BM136" s="11"/>
      <c r="BN136" s="11"/>
      <c r="BO136" s="11"/>
      <c r="BP136" s="11"/>
      <c r="BQ136" s="213"/>
      <c r="BR136" s="11"/>
      <c r="BS136" s="11"/>
      <c r="BT136" s="11"/>
      <c r="BU136" s="11"/>
      <c r="BV136" s="11"/>
      <c r="BW136" s="11"/>
      <c r="BX136" s="11"/>
      <c r="BY136" s="11"/>
      <c r="BZ136" s="11"/>
      <c r="CA136" s="195"/>
      <c r="CB136" s="11"/>
      <c r="CC136" s="11"/>
      <c r="CD136" s="11"/>
      <c r="CE136" s="11"/>
      <c r="CF136" s="11"/>
      <c r="CG136" s="11"/>
      <c r="CH136" s="11"/>
      <c r="CI136" s="11"/>
      <c r="CJ136" s="11"/>
      <c r="CK136" s="213"/>
      <c r="CL136" s="11"/>
      <c r="CM136" s="11"/>
      <c r="CN136" s="11"/>
      <c r="CO136" s="11"/>
      <c r="CP136" s="11"/>
      <c r="CQ136" s="11"/>
      <c r="CR136" s="11"/>
      <c r="CS136" s="11"/>
      <c r="CT136" s="11"/>
      <c r="CU136" s="11"/>
      <c r="CV136" s="11"/>
      <c r="CW136" s="213"/>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213"/>
      <c r="EM136" s="11"/>
      <c r="EN136" s="11"/>
      <c r="EO136" s="11"/>
      <c r="EP136" s="11"/>
      <c r="EQ136" s="11"/>
      <c r="ER136" s="11"/>
      <c r="ES136" s="11"/>
      <c r="ET136" s="11"/>
      <c r="EU136" s="11"/>
      <c r="EV136" s="11"/>
      <c r="EW136" s="213"/>
      <c r="EX136" s="11"/>
      <c r="EY136" s="11"/>
      <c r="EZ136" s="11"/>
      <c r="FA136" s="213"/>
      <c r="FB136" s="11"/>
      <c r="FC136" s="11"/>
      <c r="FD136" s="11"/>
      <c r="FE136" s="11"/>
      <c r="FF136" s="11"/>
      <c r="FG136" s="11"/>
      <c r="FH136" s="11"/>
      <c r="FI136" s="213"/>
      <c r="FJ136" s="11"/>
      <c r="FK136" s="11"/>
      <c r="FL136" s="11"/>
      <c r="FM136" s="11"/>
      <c r="FN136" s="11"/>
      <c r="FO136" s="11"/>
      <c r="FP136" s="11"/>
      <c r="FQ136" s="11"/>
      <c r="FR136" s="11"/>
      <c r="FS136" s="11"/>
      <c r="FT136" s="213"/>
      <c r="FU136" s="11"/>
      <c r="FV136" s="11"/>
      <c r="FW136" s="11"/>
      <c r="FX136" s="11"/>
      <c r="FY136" s="11"/>
      <c r="FZ136" s="213"/>
      <c r="GA136" s="11"/>
      <c r="GB136" s="11"/>
      <c r="GC136" s="11"/>
      <c r="GD136" s="11"/>
      <c r="GE136" s="11"/>
      <c r="GF136" s="11"/>
      <c r="GG136" s="11"/>
      <c r="GH136" s="11"/>
      <c r="GI136" s="11"/>
      <c r="GJ136" s="11"/>
      <c r="GK136" s="11"/>
      <c r="GL136" s="11"/>
      <c r="GM136" s="11"/>
      <c r="GN136" s="11"/>
      <c r="GO136" s="11"/>
      <c r="GP136" s="152"/>
    </row>
    <row r="137" spans="1:198" x14ac:dyDescent="0.2">
      <c r="A137" s="80" t="s">
        <v>1972</v>
      </c>
      <c r="B137" s="11" t="str">
        <f>IF(AND(ISTEXT(""),""&lt;&gt;""), HYPERLINK("", "Link"),"-")</f>
        <v>-</v>
      </c>
      <c r="C137" s="11" t="s">
        <v>1235</v>
      </c>
      <c r="D137" s="11"/>
      <c r="E137" s="11"/>
      <c r="F137" s="11" t="s">
        <v>2811</v>
      </c>
      <c r="G137" s="213"/>
      <c r="H137" s="11" t="s">
        <v>1235</v>
      </c>
      <c r="I137" s="11"/>
      <c r="J137" s="11"/>
      <c r="K137" s="11"/>
      <c r="L137" s="11"/>
      <c r="M137" s="11"/>
      <c r="N137" s="11"/>
      <c r="O137" s="11"/>
      <c r="P137" s="11"/>
      <c r="Q137" s="11"/>
      <c r="R137" s="11"/>
      <c r="S137" s="11"/>
      <c r="T137" s="11"/>
      <c r="U137" s="11"/>
      <c r="V137" s="11"/>
      <c r="W137" s="11"/>
      <c r="X137" s="11"/>
      <c r="Y137" s="213"/>
      <c r="Z137" s="11" t="s">
        <v>1235</v>
      </c>
      <c r="AA137" s="11"/>
      <c r="AB137" s="11"/>
      <c r="AC137" s="11" t="s">
        <v>1235</v>
      </c>
      <c r="AD137" s="11"/>
      <c r="AE137" s="11"/>
      <c r="AF137" s="11"/>
      <c r="AG137" s="11"/>
      <c r="AH137" s="11" t="s">
        <v>1235</v>
      </c>
      <c r="AI137" s="11"/>
      <c r="AJ137" s="11"/>
      <c r="AK137" s="11"/>
      <c r="AL137" s="11"/>
      <c r="AM137" s="11"/>
      <c r="AN137" s="11"/>
      <c r="AO137" s="11"/>
      <c r="AP137" s="11"/>
      <c r="AQ137" s="11"/>
      <c r="AR137" s="11"/>
      <c r="AS137" s="11"/>
      <c r="AT137" s="213" t="s">
        <v>1235</v>
      </c>
      <c r="AU137" s="11"/>
      <c r="AV137" s="11"/>
      <c r="AW137" s="11"/>
      <c r="AX137" s="11"/>
      <c r="AY137" s="11"/>
      <c r="AZ137" s="11"/>
      <c r="BA137" s="11"/>
      <c r="BB137" s="11"/>
      <c r="BC137" s="11"/>
      <c r="BD137" s="11"/>
      <c r="BE137" s="213"/>
      <c r="BF137" s="11"/>
      <c r="BG137" s="11"/>
      <c r="BH137" s="11"/>
      <c r="BI137" s="11"/>
      <c r="BJ137" s="11"/>
      <c r="BK137" s="11"/>
      <c r="BL137" s="11"/>
      <c r="BM137" s="11"/>
      <c r="BN137" s="11"/>
      <c r="BO137" s="11"/>
      <c r="BP137" s="11"/>
      <c r="BQ137" s="213"/>
      <c r="BR137" s="11"/>
      <c r="BS137" s="11"/>
      <c r="BT137" s="11" t="s">
        <v>1235</v>
      </c>
      <c r="BU137" s="11"/>
      <c r="BV137" s="11"/>
      <c r="BW137" s="11"/>
      <c r="BX137" s="11"/>
      <c r="BY137" s="11"/>
      <c r="BZ137" s="11"/>
      <c r="CA137" s="195"/>
      <c r="CB137" s="11"/>
      <c r="CC137" s="11"/>
      <c r="CD137" s="11"/>
      <c r="CE137" s="11"/>
      <c r="CF137" s="11"/>
      <c r="CG137" s="11"/>
      <c r="CH137" s="11"/>
      <c r="CI137" s="11"/>
      <c r="CJ137" s="11"/>
      <c r="CK137" s="213" t="s">
        <v>1235</v>
      </c>
      <c r="CL137" s="11" t="s">
        <v>1235</v>
      </c>
      <c r="CM137" s="11" t="s">
        <v>1235</v>
      </c>
      <c r="CN137" s="11"/>
      <c r="CO137" s="11"/>
      <c r="CP137" s="11"/>
      <c r="CQ137" s="11"/>
      <c r="CR137" s="11"/>
      <c r="CS137" s="11"/>
      <c r="CT137" s="11"/>
      <c r="CU137" s="11"/>
      <c r="CV137" s="11"/>
      <c r="CW137" s="213"/>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213"/>
      <c r="EM137" s="11"/>
      <c r="EN137" s="11"/>
      <c r="EO137" s="11"/>
      <c r="EP137" s="11"/>
      <c r="EQ137" s="11"/>
      <c r="ER137" s="11"/>
      <c r="ES137" s="11"/>
      <c r="ET137" s="11"/>
      <c r="EU137" s="11"/>
      <c r="EV137" s="11"/>
      <c r="EW137" s="213" t="s">
        <v>1235</v>
      </c>
      <c r="EX137" s="11"/>
      <c r="EY137" s="11"/>
      <c r="EZ137" s="11"/>
      <c r="FA137" s="213"/>
      <c r="FB137" s="11"/>
      <c r="FC137" s="11"/>
      <c r="FD137" s="11"/>
      <c r="FE137" s="11"/>
      <c r="FF137" s="11"/>
      <c r="FG137" s="11"/>
      <c r="FH137" s="11"/>
      <c r="FI137" s="213"/>
      <c r="FJ137" s="11"/>
      <c r="FK137" s="11"/>
      <c r="FL137" s="11"/>
      <c r="FM137" s="11"/>
      <c r="FN137" s="11"/>
      <c r="FO137" s="11"/>
      <c r="FP137" s="11"/>
      <c r="FQ137" s="11"/>
      <c r="FR137" s="11"/>
      <c r="FS137" s="11"/>
      <c r="FT137" s="213"/>
      <c r="FU137" s="11"/>
      <c r="FV137" s="11"/>
      <c r="FW137" s="11"/>
      <c r="FX137" s="11"/>
      <c r="FY137" s="11"/>
      <c r="FZ137" s="213"/>
      <c r="GA137" s="11"/>
      <c r="GB137" s="11"/>
      <c r="GC137" s="11"/>
      <c r="GD137" s="11"/>
      <c r="GE137" s="11"/>
      <c r="GF137" s="11"/>
      <c r="GG137" s="11"/>
      <c r="GH137" s="11"/>
      <c r="GI137" s="11"/>
      <c r="GJ137" s="11"/>
      <c r="GK137" s="11"/>
      <c r="GL137" s="11"/>
      <c r="GM137" s="11"/>
      <c r="GN137" s="11"/>
      <c r="GO137" s="11"/>
      <c r="GP137" s="152"/>
    </row>
    <row r="138" spans="1:198" x14ac:dyDescent="0.2">
      <c r="A138" s="80" t="s">
        <v>1974</v>
      </c>
      <c r="B138" s="11" t="str">
        <f>IF(AND(ISTEXT("https://github.com/uni-due-syssec/efcf-framework/"),"https://github.com/uni-due-syssec/efcf-framework/"&lt;&gt;""), HYPERLINK("https://github.com/uni-due-syssec/efcf-framework/", "Link"),"-")</f>
        <v>Link</v>
      </c>
      <c r="C138" s="11"/>
      <c r="D138" s="11" t="s">
        <v>1235</v>
      </c>
      <c r="E138" s="11" t="s">
        <v>1235</v>
      </c>
      <c r="F138" s="11" t="s">
        <v>2811</v>
      </c>
      <c r="G138" s="213"/>
      <c r="H138" s="11" t="s">
        <v>1235</v>
      </c>
      <c r="I138" s="11"/>
      <c r="J138" s="11"/>
      <c r="K138" s="11"/>
      <c r="L138" s="11"/>
      <c r="M138" s="11"/>
      <c r="N138" s="11"/>
      <c r="O138" s="11"/>
      <c r="P138" s="11"/>
      <c r="Q138" s="11"/>
      <c r="R138" s="11"/>
      <c r="S138" s="11"/>
      <c r="T138" s="11"/>
      <c r="U138" s="11"/>
      <c r="V138" s="11"/>
      <c r="W138" s="11"/>
      <c r="X138" s="11"/>
      <c r="Y138" s="213"/>
      <c r="Z138" s="11"/>
      <c r="AA138" s="11"/>
      <c r="AB138" s="11"/>
      <c r="AC138" s="11"/>
      <c r="AD138" s="11"/>
      <c r="AE138" s="11"/>
      <c r="AF138" s="11"/>
      <c r="AG138" s="11"/>
      <c r="AH138" s="11"/>
      <c r="AI138" s="11"/>
      <c r="AJ138" s="11"/>
      <c r="AK138" s="11"/>
      <c r="AL138" s="11"/>
      <c r="AM138" s="11"/>
      <c r="AN138" s="11"/>
      <c r="AO138" s="11"/>
      <c r="AP138" s="11"/>
      <c r="AQ138" s="11"/>
      <c r="AR138" s="11"/>
      <c r="AS138" s="11"/>
      <c r="AT138" s="213"/>
      <c r="AU138" s="11"/>
      <c r="AV138" s="11"/>
      <c r="AW138" s="11"/>
      <c r="AX138" s="11"/>
      <c r="AY138" s="11"/>
      <c r="AZ138" s="11"/>
      <c r="BA138" s="11"/>
      <c r="BB138" s="11"/>
      <c r="BC138" s="11"/>
      <c r="BD138" s="11"/>
      <c r="BE138" s="213"/>
      <c r="BF138" s="11"/>
      <c r="BG138" s="11"/>
      <c r="BH138" s="11"/>
      <c r="BI138" s="11"/>
      <c r="BJ138" s="11"/>
      <c r="BK138" s="11"/>
      <c r="BL138" s="11"/>
      <c r="BM138" s="11"/>
      <c r="BN138" s="11"/>
      <c r="BO138" s="11"/>
      <c r="BP138" s="11"/>
      <c r="BQ138" s="213"/>
      <c r="BR138" s="11"/>
      <c r="BS138" s="11"/>
      <c r="BT138" s="11"/>
      <c r="BU138" s="11"/>
      <c r="BV138" s="11"/>
      <c r="BW138" s="11"/>
      <c r="BX138" s="11"/>
      <c r="BY138" s="11"/>
      <c r="BZ138" s="11"/>
      <c r="CA138" s="195"/>
      <c r="CB138" s="11"/>
      <c r="CC138" s="11"/>
      <c r="CD138" s="11"/>
      <c r="CE138" s="11"/>
      <c r="CF138" s="11"/>
      <c r="CG138" s="11"/>
      <c r="CH138" s="11"/>
      <c r="CI138" s="11"/>
      <c r="CJ138" s="11"/>
      <c r="CK138" s="213"/>
      <c r="CL138" s="11"/>
      <c r="CM138" s="11"/>
      <c r="CN138" s="11"/>
      <c r="CO138" s="11"/>
      <c r="CP138" s="11"/>
      <c r="CQ138" s="11"/>
      <c r="CR138" s="11"/>
      <c r="CS138" s="11"/>
      <c r="CT138" s="11"/>
      <c r="CU138" s="11"/>
      <c r="CV138" s="11"/>
      <c r="CW138" s="213"/>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213"/>
      <c r="EM138" s="11"/>
      <c r="EN138" s="11"/>
      <c r="EO138" s="11"/>
      <c r="EP138" s="11"/>
      <c r="EQ138" s="11"/>
      <c r="ER138" s="11"/>
      <c r="ES138" s="11"/>
      <c r="ET138" s="11"/>
      <c r="EU138" s="11"/>
      <c r="EV138" s="11"/>
      <c r="EW138" s="213"/>
      <c r="EX138" s="11"/>
      <c r="EY138" s="11"/>
      <c r="EZ138" s="11"/>
      <c r="FA138" s="213"/>
      <c r="FB138" s="11"/>
      <c r="FC138" s="11"/>
      <c r="FD138" s="11"/>
      <c r="FE138" s="11"/>
      <c r="FF138" s="11"/>
      <c r="FG138" s="11"/>
      <c r="FH138" s="11"/>
      <c r="FI138" s="213"/>
      <c r="FJ138" s="11"/>
      <c r="FK138" s="11"/>
      <c r="FL138" s="11"/>
      <c r="FM138" s="11"/>
      <c r="FN138" s="11"/>
      <c r="FO138" s="11"/>
      <c r="FP138" s="11"/>
      <c r="FQ138" s="11"/>
      <c r="FR138" s="11"/>
      <c r="FS138" s="11"/>
      <c r="FT138" s="213"/>
      <c r="FU138" s="11"/>
      <c r="FV138" s="11"/>
      <c r="FW138" s="11"/>
      <c r="FX138" s="11"/>
      <c r="FY138" s="11"/>
      <c r="FZ138" s="213"/>
      <c r="GA138" s="11"/>
      <c r="GB138" s="11"/>
      <c r="GC138" s="11"/>
      <c r="GD138" s="11"/>
      <c r="GE138" s="11"/>
      <c r="GF138" s="11"/>
      <c r="GG138" s="11"/>
      <c r="GH138" s="11"/>
      <c r="GI138" s="11"/>
      <c r="GJ138" s="11"/>
      <c r="GK138" s="11"/>
      <c r="GL138" s="11"/>
      <c r="GM138" s="11"/>
      <c r="GN138" s="11"/>
      <c r="GO138" s="11"/>
      <c r="GP138" s="152"/>
    </row>
    <row r="139" spans="1:198" x14ac:dyDescent="0.2">
      <c r="A139" s="79" t="s">
        <v>1981</v>
      </c>
      <c r="B139" s="11" t="str">
        <f>IF(AND(ISTEXT(""),""&lt;&gt;""), HYPERLINK("", "Link"),"-")</f>
        <v>-</v>
      </c>
      <c r="C139" s="11" t="s">
        <v>1235</v>
      </c>
      <c r="D139" s="11"/>
      <c r="E139" s="11"/>
      <c r="F139" s="11" t="s">
        <v>2812</v>
      </c>
      <c r="G139" s="213"/>
      <c r="H139" s="11"/>
      <c r="I139" s="11"/>
      <c r="J139" s="11"/>
      <c r="K139" s="11"/>
      <c r="L139" s="11"/>
      <c r="M139" s="11"/>
      <c r="N139" s="11"/>
      <c r="O139" s="11"/>
      <c r="P139" s="11"/>
      <c r="Q139" s="11"/>
      <c r="R139" s="11"/>
      <c r="S139" s="11"/>
      <c r="T139" s="11"/>
      <c r="U139" s="11"/>
      <c r="V139" s="11"/>
      <c r="W139" s="11"/>
      <c r="X139" s="11"/>
      <c r="Y139" s="213"/>
      <c r="Z139" s="11"/>
      <c r="AA139" s="11"/>
      <c r="AB139" s="11"/>
      <c r="AC139" s="11"/>
      <c r="AD139" s="11"/>
      <c r="AE139" s="11"/>
      <c r="AF139" s="11"/>
      <c r="AG139" s="11"/>
      <c r="AH139" s="11"/>
      <c r="AI139" s="11"/>
      <c r="AJ139" s="11"/>
      <c r="AK139" s="11"/>
      <c r="AL139" s="11"/>
      <c r="AM139" s="11"/>
      <c r="AN139" s="11"/>
      <c r="AO139" s="11"/>
      <c r="AP139" s="11"/>
      <c r="AQ139" s="11"/>
      <c r="AR139" s="11"/>
      <c r="AS139" s="11"/>
      <c r="AT139" s="213"/>
      <c r="AU139" s="11"/>
      <c r="AV139" s="11"/>
      <c r="AW139" s="11"/>
      <c r="AX139" s="11"/>
      <c r="AY139" s="11"/>
      <c r="AZ139" s="11"/>
      <c r="BA139" s="11"/>
      <c r="BB139" s="11"/>
      <c r="BC139" s="11"/>
      <c r="BD139" s="11"/>
      <c r="BE139" s="213"/>
      <c r="BF139" s="11"/>
      <c r="BG139" s="11"/>
      <c r="BH139" s="11"/>
      <c r="BI139" s="11"/>
      <c r="BJ139" s="11"/>
      <c r="BK139" s="11"/>
      <c r="BL139" s="11"/>
      <c r="BM139" s="11"/>
      <c r="BN139" s="11"/>
      <c r="BO139" s="11"/>
      <c r="BP139" s="11"/>
      <c r="BQ139" s="213"/>
      <c r="BR139" s="11" t="s">
        <v>1235</v>
      </c>
      <c r="BS139" s="11"/>
      <c r="BT139" s="11"/>
      <c r="BU139" s="11"/>
      <c r="BV139" s="11"/>
      <c r="BW139" s="11"/>
      <c r="BX139" s="11"/>
      <c r="BY139" s="11"/>
      <c r="BZ139" s="11"/>
      <c r="CA139" s="195"/>
      <c r="CB139" s="11"/>
      <c r="CC139" s="11"/>
      <c r="CD139" s="11"/>
      <c r="CE139" s="11"/>
      <c r="CF139" s="11"/>
      <c r="CG139" s="11"/>
      <c r="CH139" s="11"/>
      <c r="CI139" s="11"/>
      <c r="CJ139" s="11"/>
      <c r="CK139" s="213" t="s">
        <v>1235</v>
      </c>
      <c r="CL139" s="11" t="s">
        <v>1235</v>
      </c>
      <c r="CM139" s="11" t="s">
        <v>1235</v>
      </c>
      <c r="CN139" s="11"/>
      <c r="CO139" s="11"/>
      <c r="CP139" s="11"/>
      <c r="CQ139" s="11"/>
      <c r="CR139" s="11"/>
      <c r="CS139" s="11"/>
      <c r="CT139" s="11"/>
      <c r="CU139" s="11"/>
      <c r="CV139" s="11"/>
      <c r="CW139" s="213"/>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213"/>
      <c r="EM139" s="11"/>
      <c r="EN139" s="11"/>
      <c r="EO139" s="11"/>
      <c r="EP139" s="11"/>
      <c r="EQ139" s="11"/>
      <c r="ER139" s="11"/>
      <c r="ES139" s="11"/>
      <c r="ET139" s="11"/>
      <c r="EU139" s="11"/>
      <c r="EV139" s="11"/>
      <c r="EW139" s="213"/>
      <c r="EX139" s="11"/>
      <c r="EY139" s="11"/>
      <c r="EZ139" s="11"/>
      <c r="FA139" s="213"/>
      <c r="FB139" s="11"/>
      <c r="FC139" s="11"/>
      <c r="FD139" s="11"/>
      <c r="FE139" s="11"/>
      <c r="FF139" s="11"/>
      <c r="FG139" s="11"/>
      <c r="FH139" s="11"/>
      <c r="FI139" s="213"/>
      <c r="FJ139" s="11"/>
      <c r="FK139" s="11"/>
      <c r="FL139" s="11"/>
      <c r="FM139" s="11"/>
      <c r="FN139" s="11"/>
      <c r="FO139" s="11"/>
      <c r="FP139" s="11"/>
      <c r="FQ139" s="11"/>
      <c r="FR139" s="11"/>
      <c r="FS139" s="11"/>
      <c r="FT139" s="213"/>
      <c r="FU139" s="11"/>
      <c r="FV139" s="11"/>
      <c r="FW139" s="11" t="s">
        <v>1235</v>
      </c>
      <c r="FX139" s="11" t="s">
        <v>1235</v>
      </c>
      <c r="FY139" s="11"/>
      <c r="FZ139" s="213"/>
      <c r="GA139" s="11"/>
      <c r="GB139" s="11"/>
      <c r="GC139" s="11"/>
      <c r="GD139" s="11"/>
      <c r="GE139" s="11"/>
      <c r="GF139" s="11"/>
      <c r="GG139" s="11"/>
      <c r="GH139" s="11"/>
      <c r="GI139" s="11"/>
      <c r="GJ139" s="11"/>
      <c r="GK139" s="11"/>
      <c r="GL139" s="11"/>
      <c r="GM139" s="11"/>
      <c r="GN139" s="11"/>
      <c r="GO139" s="11"/>
      <c r="GP139" s="152"/>
    </row>
    <row r="140" spans="1:198" x14ac:dyDescent="0.2">
      <c r="A140" s="79" t="s">
        <v>2015</v>
      </c>
      <c r="B140" s="11" t="str">
        <f>IF(AND(ISTEXT("https://github.com/SliSE-SC/SliSE"),"https://github.com/SliSE-SC/SliSE"&lt;&gt;""), HYPERLINK("https://github.com/SliSE-SC/SliSE", "Link"),"-")</f>
        <v>Link</v>
      </c>
      <c r="C140" s="11" t="s">
        <v>1235</v>
      </c>
      <c r="D140" s="11"/>
      <c r="E140" s="11" t="s">
        <v>1235</v>
      </c>
      <c r="F140" s="11" t="s">
        <v>2812</v>
      </c>
      <c r="G140" s="213"/>
      <c r="H140" s="11" t="s">
        <v>1235</v>
      </c>
      <c r="I140" s="11"/>
      <c r="J140" s="11"/>
      <c r="K140" s="11"/>
      <c r="L140" s="11"/>
      <c r="M140" s="11"/>
      <c r="N140" s="11"/>
      <c r="O140" s="11"/>
      <c r="P140" s="11"/>
      <c r="Q140" s="11"/>
      <c r="R140" s="11"/>
      <c r="S140" s="11"/>
      <c r="T140" s="11"/>
      <c r="U140" s="11"/>
      <c r="V140" s="11"/>
      <c r="W140" s="11"/>
      <c r="X140" s="11"/>
      <c r="Y140" s="213"/>
      <c r="Z140" s="11"/>
      <c r="AA140" s="11"/>
      <c r="AB140" s="11"/>
      <c r="AC140" s="11"/>
      <c r="AD140" s="11"/>
      <c r="AE140" s="11"/>
      <c r="AF140" s="11"/>
      <c r="AG140" s="11"/>
      <c r="AH140" s="11"/>
      <c r="AI140" s="11"/>
      <c r="AJ140" s="11"/>
      <c r="AK140" s="11"/>
      <c r="AL140" s="11"/>
      <c r="AM140" s="11"/>
      <c r="AN140" s="11"/>
      <c r="AO140" s="11"/>
      <c r="AP140" s="11"/>
      <c r="AQ140" s="11"/>
      <c r="AR140" s="11"/>
      <c r="AS140" s="11"/>
      <c r="AT140" s="213"/>
      <c r="AU140" s="11"/>
      <c r="AV140" s="11"/>
      <c r="AW140" s="11"/>
      <c r="AX140" s="11"/>
      <c r="AY140" s="11"/>
      <c r="AZ140" s="11"/>
      <c r="BA140" s="11"/>
      <c r="BB140" s="11"/>
      <c r="BC140" s="11"/>
      <c r="BD140" s="11"/>
      <c r="BE140" s="213"/>
      <c r="BF140" s="11"/>
      <c r="BG140" s="11"/>
      <c r="BH140" s="11"/>
      <c r="BI140" s="11"/>
      <c r="BJ140" s="11"/>
      <c r="BK140" s="11"/>
      <c r="BL140" s="11"/>
      <c r="BM140" s="11"/>
      <c r="BN140" s="11"/>
      <c r="BO140" s="11"/>
      <c r="BP140" s="11"/>
      <c r="BQ140" s="213"/>
      <c r="BR140" s="11"/>
      <c r="BS140" s="11"/>
      <c r="BT140" s="11"/>
      <c r="BU140" s="11"/>
      <c r="BV140" s="11"/>
      <c r="BW140" s="11"/>
      <c r="BX140" s="11"/>
      <c r="BY140" s="11"/>
      <c r="BZ140" s="11"/>
      <c r="CA140" s="195"/>
      <c r="CB140" s="11"/>
      <c r="CC140" s="11"/>
      <c r="CD140" s="11"/>
      <c r="CE140" s="11"/>
      <c r="CF140" s="11"/>
      <c r="CG140" s="11"/>
      <c r="CH140" s="11"/>
      <c r="CI140" s="11"/>
      <c r="CJ140" s="11"/>
      <c r="CK140" s="213"/>
      <c r="CL140" s="11"/>
      <c r="CM140" s="11"/>
      <c r="CN140" s="11"/>
      <c r="CO140" s="11"/>
      <c r="CP140" s="11"/>
      <c r="CQ140" s="11"/>
      <c r="CR140" s="11"/>
      <c r="CS140" s="11"/>
      <c r="CT140" s="11"/>
      <c r="CU140" s="11"/>
      <c r="CV140" s="11"/>
      <c r="CW140" s="213"/>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213"/>
      <c r="EM140" s="11"/>
      <c r="EN140" s="11"/>
      <c r="EO140" s="11"/>
      <c r="EP140" s="11"/>
      <c r="EQ140" s="11"/>
      <c r="ER140" s="11"/>
      <c r="ES140" s="11"/>
      <c r="ET140" s="11"/>
      <c r="EU140" s="11"/>
      <c r="EV140" s="11"/>
      <c r="EW140" s="213"/>
      <c r="EX140" s="11"/>
      <c r="EY140" s="11"/>
      <c r="EZ140" s="11"/>
      <c r="FA140" s="213"/>
      <c r="FB140" s="11"/>
      <c r="FC140" s="11"/>
      <c r="FD140" s="11"/>
      <c r="FE140" s="11"/>
      <c r="FF140" s="11"/>
      <c r="FG140" s="11"/>
      <c r="FH140" s="11"/>
      <c r="FI140" s="213"/>
      <c r="FJ140" s="11"/>
      <c r="FK140" s="11"/>
      <c r="FL140" s="11"/>
      <c r="FM140" s="11"/>
      <c r="FN140" s="11"/>
      <c r="FO140" s="11"/>
      <c r="FP140" s="11"/>
      <c r="FQ140" s="11"/>
      <c r="FR140" s="11"/>
      <c r="FS140" s="11"/>
      <c r="FT140" s="213"/>
      <c r="FU140" s="11"/>
      <c r="FV140" s="11"/>
      <c r="FW140" s="11"/>
      <c r="FX140" s="11"/>
      <c r="FY140" s="11"/>
      <c r="FZ140" s="213"/>
      <c r="GA140" s="11"/>
      <c r="GB140" s="11"/>
      <c r="GC140" s="11"/>
      <c r="GD140" s="11"/>
      <c r="GE140" s="11"/>
      <c r="GF140" s="11"/>
      <c r="GG140" s="11"/>
      <c r="GH140" s="11"/>
      <c r="GI140" s="11"/>
      <c r="GJ140" s="11"/>
      <c r="GK140" s="11"/>
      <c r="GL140" s="11"/>
      <c r="GM140" s="11"/>
      <c r="GN140" s="11"/>
      <c r="GO140" s="11"/>
      <c r="GP140" s="152"/>
    </row>
    <row r="141" spans="1:198" x14ac:dyDescent="0.2">
      <c r="A141" s="80" t="s">
        <v>2000</v>
      </c>
      <c r="B141" s="11" t="str">
        <f>IF(AND(ISTEXT("https://github.com/hitew/ContractCheck"),"https://github.com/hitew/ContractCheck"&lt;&gt;""), HYPERLINK("https://github.com/hitew/ContractCheck", "Link"),"-")</f>
        <v>Link</v>
      </c>
      <c r="C141" s="11" t="s">
        <v>1235</v>
      </c>
      <c r="D141" s="11"/>
      <c r="E141" s="11" t="s">
        <v>1235</v>
      </c>
      <c r="F141" s="11" t="s">
        <v>2811</v>
      </c>
      <c r="G141" s="213"/>
      <c r="H141" s="11"/>
      <c r="I141" s="11"/>
      <c r="J141" s="11"/>
      <c r="K141" s="11"/>
      <c r="L141" s="11"/>
      <c r="M141" s="11"/>
      <c r="N141" s="11"/>
      <c r="O141" s="11"/>
      <c r="P141" s="11"/>
      <c r="Q141" s="11"/>
      <c r="R141" s="11"/>
      <c r="S141" s="11"/>
      <c r="T141" s="11"/>
      <c r="U141" s="11"/>
      <c r="V141" s="11"/>
      <c r="W141" s="11"/>
      <c r="X141" s="11"/>
      <c r="Y141" s="213"/>
      <c r="Z141" s="11" t="s">
        <v>1235</v>
      </c>
      <c r="AA141" s="11"/>
      <c r="AB141" s="11"/>
      <c r="AC141" s="11"/>
      <c r="AD141" s="11"/>
      <c r="AE141" s="11"/>
      <c r="AF141" s="11"/>
      <c r="AG141" s="11"/>
      <c r="AH141" s="11"/>
      <c r="AI141" s="11"/>
      <c r="AJ141" s="11"/>
      <c r="AK141" s="11"/>
      <c r="AL141" s="11"/>
      <c r="AM141" s="11"/>
      <c r="AN141" s="11"/>
      <c r="AO141" s="11"/>
      <c r="AP141" s="11"/>
      <c r="AQ141" s="11"/>
      <c r="AR141" s="11"/>
      <c r="AS141" s="11"/>
      <c r="AT141" s="213"/>
      <c r="AU141" s="11"/>
      <c r="AV141" s="11"/>
      <c r="AW141" s="11"/>
      <c r="AX141" s="11"/>
      <c r="AY141" s="11"/>
      <c r="AZ141" s="11"/>
      <c r="BA141" s="11"/>
      <c r="BB141" s="11"/>
      <c r="BC141" s="11"/>
      <c r="BD141" s="11"/>
      <c r="BE141" s="213"/>
      <c r="BF141" s="11"/>
      <c r="BG141" s="11"/>
      <c r="BH141" s="11"/>
      <c r="BI141" s="11"/>
      <c r="BJ141" s="11"/>
      <c r="BK141" s="11"/>
      <c r="BL141" s="11"/>
      <c r="BM141" s="11"/>
      <c r="BN141" s="11"/>
      <c r="BO141" s="11"/>
      <c r="BP141" s="11"/>
      <c r="BQ141" s="213"/>
      <c r="BR141" s="11" t="s">
        <v>1235</v>
      </c>
      <c r="BS141" s="11"/>
      <c r="BT141" s="11"/>
      <c r="BU141" s="11"/>
      <c r="BV141" s="11"/>
      <c r="BW141" s="11"/>
      <c r="BX141" s="11"/>
      <c r="BY141" s="11"/>
      <c r="BZ141" s="11"/>
      <c r="CA141" s="195"/>
      <c r="CB141" s="11"/>
      <c r="CC141" s="11"/>
      <c r="CD141" s="11"/>
      <c r="CE141" s="11"/>
      <c r="CF141" s="11"/>
      <c r="CG141" s="11"/>
      <c r="CH141" s="11"/>
      <c r="CI141" s="11"/>
      <c r="CJ141" s="11"/>
      <c r="CK141" s="213" t="s">
        <v>1235</v>
      </c>
      <c r="CL141" s="11"/>
      <c r="CM141" s="11"/>
      <c r="CN141" s="11"/>
      <c r="CO141" s="11"/>
      <c r="CP141" s="11"/>
      <c r="CQ141" s="11"/>
      <c r="CR141" s="11"/>
      <c r="CS141" s="11"/>
      <c r="CT141" s="11"/>
      <c r="CU141" s="11"/>
      <c r="CV141" s="11"/>
      <c r="CW141" s="213"/>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213"/>
      <c r="EM141" s="11"/>
      <c r="EN141" s="11"/>
      <c r="EO141" s="11"/>
      <c r="EP141" s="11"/>
      <c r="EQ141" s="11"/>
      <c r="ER141" s="11"/>
      <c r="ES141" s="11"/>
      <c r="ET141" s="11"/>
      <c r="EU141" s="11"/>
      <c r="EV141" s="11"/>
      <c r="EW141" s="213"/>
      <c r="EX141" s="11"/>
      <c r="EY141" s="11"/>
      <c r="EZ141" s="11"/>
      <c r="FA141" s="213"/>
      <c r="FB141" s="11"/>
      <c r="FC141" s="11"/>
      <c r="FD141" s="11"/>
      <c r="FE141" s="11"/>
      <c r="FF141" s="11"/>
      <c r="FG141" s="11"/>
      <c r="FH141" s="11"/>
      <c r="FI141" s="213"/>
      <c r="FJ141" s="11"/>
      <c r="FK141" s="11"/>
      <c r="FL141" s="11"/>
      <c r="FM141" s="11"/>
      <c r="FN141" s="11"/>
      <c r="FO141" s="11"/>
      <c r="FP141" s="11"/>
      <c r="FQ141" s="11"/>
      <c r="FR141" s="11"/>
      <c r="FS141" s="11"/>
      <c r="FT141" s="213"/>
      <c r="FU141" s="11"/>
      <c r="FV141" s="11"/>
      <c r="FW141" s="11"/>
      <c r="FX141" s="11"/>
      <c r="FY141" s="11"/>
      <c r="FZ141" s="213"/>
      <c r="GA141" s="11"/>
      <c r="GB141" s="11"/>
      <c r="GC141" s="11"/>
      <c r="GD141" s="11"/>
      <c r="GE141" s="11"/>
      <c r="GF141" s="11"/>
      <c r="GG141" s="11"/>
      <c r="GH141" s="11"/>
      <c r="GI141" s="11"/>
      <c r="GJ141" s="11"/>
      <c r="GK141" s="11"/>
      <c r="GL141" s="11"/>
      <c r="GM141" s="11"/>
      <c r="GN141" s="11"/>
      <c r="GO141" s="11"/>
      <c r="GP141" s="152"/>
    </row>
    <row r="142" spans="1:198" x14ac:dyDescent="0.2">
      <c r="A142" s="79" t="s">
        <v>2006</v>
      </c>
      <c r="B142" s="11" t="str">
        <f>IF(AND(ISTEXT(""),""&lt;&gt;""), HYPERLINK("", "Link"),"-")</f>
        <v>-</v>
      </c>
      <c r="C142" s="11"/>
      <c r="D142" s="11"/>
      <c r="E142" s="11"/>
      <c r="F142" s="11" t="s">
        <v>2812</v>
      </c>
      <c r="G142" s="213"/>
      <c r="H142" s="181" t="s">
        <v>1235</v>
      </c>
      <c r="I142" s="181"/>
      <c r="J142" s="181"/>
      <c r="K142" s="181"/>
      <c r="L142" s="181"/>
      <c r="M142" s="11"/>
      <c r="N142" s="11"/>
      <c r="O142" s="11"/>
      <c r="P142" s="11"/>
      <c r="Q142" s="181" t="s">
        <v>1235</v>
      </c>
      <c r="R142" s="11"/>
      <c r="S142" s="11"/>
      <c r="T142" s="11"/>
      <c r="U142" s="11"/>
      <c r="V142" s="11"/>
      <c r="W142" s="181" t="s">
        <v>1235</v>
      </c>
      <c r="X142" s="11"/>
      <c r="Y142" s="213"/>
      <c r="Z142" s="181" t="s">
        <v>1235</v>
      </c>
      <c r="AA142" s="181" t="s">
        <v>1235</v>
      </c>
      <c r="AB142" s="11"/>
      <c r="AC142" s="11"/>
      <c r="AD142" s="11"/>
      <c r="AE142" s="11"/>
      <c r="AF142" s="11"/>
      <c r="AG142" s="11"/>
      <c r="AH142" s="11"/>
      <c r="AI142" s="11"/>
      <c r="AJ142" s="11"/>
      <c r="AK142" s="11"/>
      <c r="AL142" s="11"/>
      <c r="AM142" s="11"/>
      <c r="AN142" s="11"/>
      <c r="AO142" s="11"/>
      <c r="AP142" s="11"/>
      <c r="AQ142" s="11"/>
      <c r="AR142" s="11"/>
      <c r="AS142" s="11"/>
      <c r="AT142" s="213"/>
      <c r="AU142" s="11"/>
      <c r="AV142" s="11"/>
      <c r="AW142" s="11"/>
      <c r="AX142" s="11"/>
      <c r="AY142" s="11"/>
      <c r="AZ142" s="11"/>
      <c r="BA142" s="11"/>
      <c r="BB142" s="11"/>
      <c r="BC142" s="11"/>
      <c r="BD142" s="11"/>
      <c r="BE142" s="213"/>
      <c r="BF142" s="11"/>
      <c r="BG142" s="11"/>
      <c r="BH142" s="11"/>
      <c r="BI142" s="11"/>
      <c r="BJ142" s="11"/>
      <c r="BK142" s="11"/>
      <c r="BL142" s="11"/>
      <c r="BM142" s="11"/>
      <c r="BN142" s="11"/>
      <c r="BO142" s="11"/>
      <c r="BP142" s="11"/>
      <c r="BQ142" s="213"/>
      <c r="BR142" s="11"/>
      <c r="BS142" s="11"/>
      <c r="BT142" s="11"/>
      <c r="BU142" s="11"/>
      <c r="BV142" s="11"/>
      <c r="BW142" s="11"/>
      <c r="BX142" s="11"/>
      <c r="BY142" s="11"/>
      <c r="BZ142" s="11"/>
      <c r="CA142" s="195"/>
      <c r="CB142" s="11"/>
      <c r="CC142" s="11"/>
      <c r="CD142" s="11"/>
      <c r="CE142" s="11"/>
      <c r="CF142" s="11"/>
      <c r="CG142" s="11"/>
      <c r="CH142" s="11"/>
      <c r="CI142" s="11"/>
      <c r="CJ142" s="11"/>
      <c r="CK142" s="218" t="s">
        <v>1235</v>
      </c>
      <c r="CL142" s="181"/>
      <c r="CM142" s="181"/>
      <c r="CN142" s="11"/>
      <c r="CO142" s="11"/>
      <c r="CP142" s="11"/>
      <c r="CQ142" s="11"/>
      <c r="CR142" s="11"/>
      <c r="CS142" s="11"/>
      <c r="CT142" s="11"/>
      <c r="CU142" s="11"/>
      <c r="CV142" s="11"/>
      <c r="CW142" s="213"/>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213"/>
      <c r="EM142" s="11"/>
      <c r="EN142" s="11"/>
      <c r="EO142" s="11"/>
      <c r="EP142" s="11"/>
      <c r="EQ142" s="11"/>
      <c r="ER142" s="11"/>
      <c r="ES142" s="11"/>
      <c r="ET142" s="11"/>
      <c r="EU142" s="11"/>
      <c r="EV142" s="11"/>
      <c r="EW142" s="213"/>
      <c r="EX142" s="11"/>
      <c r="EY142" s="11"/>
      <c r="EZ142" s="11"/>
      <c r="FA142" s="213"/>
      <c r="FB142" s="11"/>
      <c r="FC142" s="11"/>
      <c r="FD142" s="11"/>
      <c r="FE142" s="11"/>
      <c r="FF142" s="11"/>
      <c r="FG142" s="11"/>
      <c r="FH142" s="11"/>
      <c r="FI142" s="213"/>
      <c r="FJ142" s="11"/>
      <c r="FK142" s="11"/>
      <c r="FL142" s="11"/>
      <c r="FM142" s="11"/>
      <c r="FN142" s="11"/>
      <c r="FO142" s="11"/>
      <c r="FP142" s="11"/>
      <c r="FQ142" s="11"/>
      <c r="FR142" s="11"/>
      <c r="FS142" s="11"/>
      <c r="FT142" s="213"/>
      <c r="FU142" s="11"/>
      <c r="FV142" s="11"/>
      <c r="FW142" s="11"/>
      <c r="FX142" s="11"/>
      <c r="FY142" s="11"/>
      <c r="FZ142" s="213"/>
      <c r="GA142" s="11"/>
      <c r="GB142" s="11"/>
      <c r="GC142" s="11"/>
      <c r="GD142" s="11"/>
      <c r="GE142" s="11"/>
      <c r="GF142" s="11"/>
      <c r="GG142" s="11"/>
      <c r="GH142" s="11"/>
      <c r="GI142" s="11"/>
      <c r="GJ142" s="11"/>
      <c r="GK142" s="11"/>
      <c r="GL142" s="11"/>
      <c r="GM142" s="11"/>
      <c r="GN142" s="11"/>
      <c r="GO142" s="11"/>
      <c r="GP142" s="152"/>
    </row>
    <row r="143" spans="1:198" x14ac:dyDescent="0.2">
      <c r="A143" s="79" t="s">
        <v>2212</v>
      </c>
      <c r="B143" s="11" t="str">
        <f>IF(AND(ISTEXT(""),""&lt;&gt;""), HYPERLINK("", "Link"),"-")</f>
        <v>-</v>
      </c>
      <c r="C143" s="11" t="s">
        <v>1235</v>
      </c>
      <c r="D143" s="11"/>
      <c r="E143" s="11"/>
      <c r="F143" s="11" t="s">
        <v>2812</v>
      </c>
      <c r="G143" s="213"/>
      <c r="H143" s="11" t="s">
        <v>1235</v>
      </c>
      <c r="I143" s="11"/>
      <c r="J143" s="11"/>
      <c r="K143" s="11"/>
      <c r="L143" s="11"/>
      <c r="M143" s="11" t="s">
        <v>2793</v>
      </c>
      <c r="N143" s="11"/>
      <c r="O143" s="11"/>
      <c r="P143" s="11"/>
      <c r="Q143" s="11"/>
      <c r="R143" s="11"/>
      <c r="S143" s="11"/>
      <c r="T143" s="11"/>
      <c r="U143" s="11"/>
      <c r="V143" s="11"/>
      <c r="W143" s="11"/>
      <c r="X143" s="11"/>
      <c r="Y143" s="213"/>
      <c r="Z143" s="11"/>
      <c r="AA143" s="11"/>
      <c r="AB143" s="11"/>
      <c r="AC143" s="11"/>
      <c r="AD143" s="11"/>
      <c r="AE143" s="11"/>
      <c r="AF143" s="11"/>
      <c r="AG143" s="11"/>
      <c r="AH143" s="11"/>
      <c r="AI143" s="11"/>
      <c r="AJ143" s="11"/>
      <c r="AK143" s="11"/>
      <c r="AL143" s="11"/>
      <c r="AM143" s="11"/>
      <c r="AN143" s="11"/>
      <c r="AO143" s="11"/>
      <c r="AP143" s="11"/>
      <c r="AQ143" s="11"/>
      <c r="AR143" s="11"/>
      <c r="AS143" s="11"/>
      <c r="AT143" s="213" t="s">
        <v>1235</v>
      </c>
      <c r="AU143" s="11"/>
      <c r="AV143" s="11"/>
      <c r="AW143" s="11"/>
      <c r="AX143" s="11"/>
      <c r="AY143" s="11"/>
      <c r="AZ143" s="11"/>
      <c r="BA143" s="11"/>
      <c r="BB143" s="11"/>
      <c r="BC143" s="11"/>
      <c r="BD143" s="11"/>
      <c r="BE143" s="213"/>
      <c r="BF143" s="11"/>
      <c r="BG143" s="11"/>
      <c r="BH143" s="11"/>
      <c r="BI143" s="11"/>
      <c r="BJ143" s="11"/>
      <c r="BK143" s="11"/>
      <c r="BL143" s="11"/>
      <c r="BM143" s="11"/>
      <c r="BN143" s="11"/>
      <c r="BO143" s="11"/>
      <c r="BP143" s="11"/>
      <c r="BQ143" s="213"/>
      <c r="BR143" s="11" t="s">
        <v>1235</v>
      </c>
      <c r="BS143" s="11"/>
      <c r="BT143" s="11" t="s">
        <v>1235</v>
      </c>
      <c r="BU143" s="11"/>
      <c r="BV143" s="11"/>
      <c r="BW143" s="11"/>
      <c r="BX143" s="11"/>
      <c r="BY143" s="11"/>
      <c r="BZ143" s="11"/>
      <c r="CA143" s="195"/>
      <c r="CB143" s="11"/>
      <c r="CC143" s="11"/>
      <c r="CD143" s="11"/>
      <c r="CE143" s="11"/>
      <c r="CF143" s="11"/>
      <c r="CG143" s="11"/>
      <c r="CH143" s="11"/>
      <c r="CI143" s="11"/>
      <c r="CJ143" s="11"/>
      <c r="CK143" s="213" t="s">
        <v>1235</v>
      </c>
      <c r="CL143" s="11"/>
      <c r="CM143" s="11"/>
      <c r="CN143" s="11"/>
      <c r="CO143" s="11"/>
      <c r="CP143" s="11"/>
      <c r="CQ143" s="11"/>
      <c r="CR143" s="11"/>
      <c r="CS143" s="11"/>
      <c r="CT143" s="11"/>
      <c r="CU143" s="11"/>
      <c r="CV143" s="11"/>
      <c r="CW143" s="213"/>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213"/>
      <c r="EM143" s="11"/>
      <c r="EN143" s="11"/>
      <c r="EO143" s="11"/>
      <c r="EP143" s="11"/>
      <c r="EQ143" s="11"/>
      <c r="ER143" s="11"/>
      <c r="ES143" s="11"/>
      <c r="ET143" s="11"/>
      <c r="EU143" s="11"/>
      <c r="EV143" s="11"/>
      <c r="EW143" s="213"/>
      <c r="EX143" s="11"/>
      <c r="EY143" s="11"/>
      <c r="EZ143" s="11"/>
      <c r="FA143" s="213"/>
      <c r="FB143" s="11"/>
      <c r="FC143" s="11"/>
      <c r="FD143" s="11"/>
      <c r="FE143" s="11"/>
      <c r="FF143" s="11"/>
      <c r="FG143" s="11"/>
      <c r="FH143" s="11"/>
      <c r="FI143" s="213"/>
      <c r="FJ143" s="11"/>
      <c r="FK143" s="11"/>
      <c r="FL143" s="11"/>
      <c r="FM143" s="11"/>
      <c r="FN143" s="11"/>
      <c r="FO143" s="11"/>
      <c r="FP143" s="11"/>
      <c r="FQ143" s="11"/>
      <c r="FR143" s="11"/>
      <c r="FS143" s="11"/>
      <c r="FT143" s="213"/>
      <c r="FU143" s="11"/>
      <c r="FV143" s="11"/>
      <c r="FW143" s="11"/>
      <c r="FX143" s="11"/>
      <c r="FY143" s="11"/>
      <c r="FZ143" s="213"/>
      <c r="GA143" s="11"/>
      <c r="GB143" s="11"/>
      <c r="GC143" s="11"/>
      <c r="GD143" s="11"/>
      <c r="GE143" s="11"/>
      <c r="GF143" s="11"/>
      <c r="GG143" s="11"/>
      <c r="GH143" s="11"/>
      <c r="GI143" s="11"/>
      <c r="GJ143" s="11"/>
      <c r="GK143" s="11"/>
      <c r="GL143" s="11"/>
      <c r="GM143" s="11"/>
      <c r="GN143" s="11"/>
      <c r="GO143" s="11"/>
      <c r="GP143" s="152"/>
    </row>
    <row r="144" spans="1:198" x14ac:dyDescent="0.2">
      <c r="A144" s="80" t="s">
        <v>2217</v>
      </c>
      <c r="B144" s="11" t="str">
        <f>IF(AND(ISTEXT(""),""&lt;&gt;""), HYPERLINK("", "Link"),"-")</f>
        <v>-</v>
      </c>
      <c r="C144" s="11" t="s">
        <v>1235</v>
      </c>
      <c r="D144" s="11" t="s">
        <v>1235</v>
      </c>
      <c r="E144" s="11"/>
      <c r="F144" s="11" t="s">
        <v>2811</v>
      </c>
      <c r="G144" s="213"/>
      <c r="H144" s="11" t="s">
        <v>1235</v>
      </c>
      <c r="I144" s="11"/>
      <c r="J144" s="11"/>
      <c r="K144" s="11"/>
      <c r="L144" s="11"/>
      <c r="M144" s="11"/>
      <c r="N144" s="11"/>
      <c r="O144" s="11"/>
      <c r="P144" s="11"/>
      <c r="Q144" s="11" t="s">
        <v>1235</v>
      </c>
      <c r="R144" s="11"/>
      <c r="S144" s="11"/>
      <c r="T144" s="11"/>
      <c r="U144" s="11"/>
      <c r="V144" s="11"/>
      <c r="W144" s="11"/>
      <c r="X144" s="11"/>
      <c r="Y144" s="213"/>
      <c r="Z144" s="11" t="s">
        <v>1235</v>
      </c>
      <c r="AA144" s="11"/>
      <c r="AB144" s="11"/>
      <c r="AC144" s="11"/>
      <c r="AD144" s="11"/>
      <c r="AE144" s="11"/>
      <c r="AF144" s="11"/>
      <c r="AG144" s="11"/>
      <c r="AH144" s="11"/>
      <c r="AI144" s="11"/>
      <c r="AJ144" s="11"/>
      <c r="AK144" s="11"/>
      <c r="AL144" s="11"/>
      <c r="AM144" s="11"/>
      <c r="AN144" s="11"/>
      <c r="AO144" s="11"/>
      <c r="AP144" s="11"/>
      <c r="AQ144" s="11"/>
      <c r="AR144" s="11"/>
      <c r="AS144" s="11"/>
      <c r="AT144" s="213" t="s">
        <v>1235</v>
      </c>
      <c r="AU144" s="11"/>
      <c r="AV144" s="11"/>
      <c r="AW144" s="11"/>
      <c r="AX144" s="11"/>
      <c r="AY144" s="11" t="s">
        <v>1235</v>
      </c>
      <c r="AZ144" s="11"/>
      <c r="BA144" s="11"/>
      <c r="BB144" s="11"/>
      <c r="BC144" s="11"/>
      <c r="BD144" s="11"/>
      <c r="BE144" s="213"/>
      <c r="BF144" s="11"/>
      <c r="BG144" s="11"/>
      <c r="BH144" s="11"/>
      <c r="BI144" s="11"/>
      <c r="BJ144" s="11"/>
      <c r="BK144" s="11"/>
      <c r="BL144" s="11"/>
      <c r="BM144" s="11"/>
      <c r="BN144" s="11"/>
      <c r="BO144" s="11"/>
      <c r="BP144" s="11"/>
      <c r="BQ144" s="213"/>
      <c r="BR144" s="11"/>
      <c r="BS144" s="11"/>
      <c r="BT144" s="11"/>
      <c r="BU144" s="11"/>
      <c r="BV144" s="11"/>
      <c r="BW144" s="11"/>
      <c r="BX144" s="11"/>
      <c r="BY144" s="11"/>
      <c r="BZ144" s="11"/>
      <c r="CA144" s="195"/>
      <c r="CB144" s="11"/>
      <c r="CC144" s="11"/>
      <c r="CD144" s="11"/>
      <c r="CE144" s="11"/>
      <c r="CF144" s="11"/>
      <c r="CG144" s="11"/>
      <c r="CH144" s="11"/>
      <c r="CI144" s="11"/>
      <c r="CJ144" s="11"/>
      <c r="CK144" s="213"/>
      <c r="CL144" s="11"/>
      <c r="CM144" s="11"/>
      <c r="CN144" s="11"/>
      <c r="CO144" s="11"/>
      <c r="CP144" s="11"/>
      <c r="CQ144" s="11"/>
      <c r="CR144" s="11"/>
      <c r="CS144" s="11"/>
      <c r="CT144" s="11"/>
      <c r="CU144" s="11"/>
      <c r="CV144" s="11"/>
      <c r="CW144" s="213"/>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213"/>
      <c r="EM144" s="11"/>
      <c r="EN144" s="11"/>
      <c r="EO144" s="11"/>
      <c r="EP144" s="11"/>
      <c r="EQ144" s="11"/>
      <c r="ER144" s="11"/>
      <c r="ES144" s="11"/>
      <c r="ET144" s="11"/>
      <c r="EU144" s="11"/>
      <c r="EV144" s="11"/>
      <c r="EW144" s="213"/>
      <c r="EX144" s="11"/>
      <c r="EY144" s="11"/>
      <c r="EZ144" s="11"/>
      <c r="FA144" s="213"/>
      <c r="FB144" s="11"/>
      <c r="FC144" s="11"/>
      <c r="FD144" s="11"/>
      <c r="FE144" s="11"/>
      <c r="FF144" s="11"/>
      <c r="FG144" s="11"/>
      <c r="FH144" s="11"/>
      <c r="FI144" s="213"/>
      <c r="FJ144" s="11"/>
      <c r="FK144" s="11"/>
      <c r="FL144" s="11"/>
      <c r="FM144" s="11"/>
      <c r="FN144" s="11"/>
      <c r="FO144" s="11"/>
      <c r="FP144" s="11"/>
      <c r="FQ144" s="11"/>
      <c r="FR144" s="11"/>
      <c r="FS144" s="11"/>
      <c r="FT144" s="213"/>
      <c r="FU144" s="11"/>
      <c r="FV144" s="11"/>
      <c r="FW144" s="11"/>
      <c r="FX144" s="11"/>
      <c r="FY144" s="11"/>
      <c r="FZ144" s="213"/>
      <c r="GA144" s="11"/>
      <c r="GB144" s="11"/>
      <c r="GC144" s="11"/>
      <c r="GD144" s="11"/>
      <c r="GE144" s="11"/>
      <c r="GF144" s="11"/>
      <c r="GG144" s="11"/>
      <c r="GH144" s="11"/>
      <c r="GI144" s="11"/>
      <c r="GJ144" s="11"/>
      <c r="GK144" s="11"/>
      <c r="GL144" s="11"/>
      <c r="GM144" s="11"/>
      <c r="GN144" s="11"/>
      <c r="GO144" s="11"/>
      <c r="GP144" s="152"/>
    </row>
    <row r="145" spans="1:198" x14ac:dyDescent="0.2">
      <c r="A145" s="80" t="s">
        <v>2220</v>
      </c>
      <c r="B145" s="11" t="str">
        <f>IF(AND(ISTEXT(""),""&lt;&gt;""), HYPERLINK("", "Link"),"-")</f>
        <v>-</v>
      </c>
      <c r="C145" s="11"/>
      <c r="D145" s="11"/>
      <c r="E145" s="11"/>
      <c r="F145" s="11" t="s">
        <v>2811</v>
      </c>
      <c r="G145" s="213" t="s">
        <v>1235</v>
      </c>
      <c r="H145" s="11" t="s">
        <v>1235</v>
      </c>
      <c r="I145" s="11"/>
      <c r="J145" s="11"/>
      <c r="K145" s="11"/>
      <c r="L145" s="11"/>
      <c r="M145" s="11"/>
      <c r="N145" s="11"/>
      <c r="O145" s="11"/>
      <c r="P145" s="11"/>
      <c r="Q145" s="11"/>
      <c r="R145" s="11"/>
      <c r="S145" s="11"/>
      <c r="T145" s="11"/>
      <c r="U145" s="11"/>
      <c r="V145" s="11"/>
      <c r="W145" s="11"/>
      <c r="X145" s="11"/>
      <c r="Y145" s="213"/>
      <c r="Z145" s="11" t="s">
        <v>1235</v>
      </c>
      <c r="AA145" s="11"/>
      <c r="AB145" s="11"/>
      <c r="AC145" s="11" t="s">
        <v>1235</v>
      </c>
      <c r="AD145" s="11"/>
      <c r="AE145" s="11"/>
      <c r="AF145" s="11"/>
      <c r="AG145" s="11"/>
      <c r="AH145" s="11"/>
      <c r="AI145" s="11"/>
      <c r="AJ145" s="11"/>
      <c r="AK145" s="11"/>
      <c r="AL145" s="11"/>
      <c r="AM145" s="11"/>
      <c r="AN145" s="11"/>
      <c r="AO145" s="11"/>
      <c r="AP145" s="11"/>
      <c r="AQ145" s="11"/>
      <c r="AR145" s="11"/>
      <c r="AS145" s="11"/>
      <c r="AT145" s="213"/>
      <c r="AU145" s="11"/>
      <c r="AV145" s="11"/>
      <c r="AW145" s="11"/>
      <c r="AX145" s="11"/>
      <c r="AY145" s="11"/>
      <c r="AZ145" s="11"/>
      <c r="BA145" s="11"/>
      <c r="BB145" s="11"/>
      <c r="BC145" s="11"/>
      <c r="BD145" s="11"/>
      <c r="BE145" s="213"/>
      <c r="BF145" s="11"/>
      <c r="BG145" s="11"/>
      <c r="BH145" s="11"/>
      <c r="BI145" s="11"/>
      <c r="BJ145" s="11"/>
      <c r="BK145" s="11"/>
      <c r="BL145" s="11"/>
      <c r="BM145" s="11"/>
      <c r="BN145" s="11"/>
      <c r="BO145" s="11"/>
      <c r="BP145" s="11"/>
      <c r="BQ145" s="213"/>
      <c r="BR145" s="11"/>
      <c r="BS145" s="11"/>
      <c r="BT145" s="11"/>
      <c r="BU145" s="11"/>
      <c r="BV145" s="11"/>
      <c r="BW145" s="11"/>
      <c r="BX145" s="11"/>
      <c r="BY145" s="11"/>
      <c r="BZ145" s="11"/>
      <c r="CA145" s="195"/>
      <c r="CB145" s="11"/>
      <c r="CC145" s="11"/>
      <c r="CD145" s="11"/>
      <c r="CE145" s="11"/>
      <c r="CF145" s="11"/>
      <c r="CG145" s="11"/>
      <c r="CH145" s="11"/>
      <c r="CI145" s="11"/>
      <c r="CJ145" s="11"/>
      <c r="CK145" s="213" t="s">
        <v>1235</v>
      </c>
      <c r="CL145" s="11"/>
      <c r="CM145" s="11"/>
      <c r="CN145" s="11"/>
      <c r="CO145" s="11"/>
      <c r="CP145" s="11"/>
      <c r="CQ145" s="11"/>
      <c r="CR145" s="11"/>
      <c r="CS145" s="11"/>
      <c r="CT145" s="11"/>
      <c r="CU145" s="11"/>
      <c r="CV145" s="11"/>
      <c r="CW145" s="213"/>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213"/>
      <c r="EM145" s="11"/>
      <c r="EN145" s="11"/>
      <c r="EO145" s="11"/>
      <c r="EP145" s="11"/>
      <c r="EQ145" s="11"/>
      <c r="ER145" s="11"/>
      <c r="ES145" s="11"/>
      <c r="ET145" s="11"/>
      <c r="EU145" s="11"/>
      <c r="EV145" s="11"/>
      <c r="EW145" s="213"/>
      <c r="EX145" s="11"/>
      <c r="EY145" s="11"/>
      <c r="EZ145" s="11"/>
      <c r="FA145" s="213"/>
      <c r="FB145" s="11"/>
      <c r="FC145" s="11"/>
      <c r="FD145" s="11"/>
      <c r="FE145" s="11"/>
      <c r="FF145" s="11"/>
      <c r="FG145" s="11"/>
      <c r="FH145" s="11"/>
      <c r="FI145" s="213"/>
      <c r="FJ145" s="11"/>
      <c r="FK145" s="11"/>
      <c r="FL145" s="11"/>
      <c r="FM145" s="11"/>
      <c r="FN145" s="11"/>
      <c r="FO145" s="11"/>
      <c r="FP145" s="11"/>
      <c r="FQ145" s="11"/>
      <c r="FR145" s="11"/>
      <c r="FS145" s="11"/>
      <c r="FT145" s="213"/>
      <c r="FU145" s="11"/>
      <c r="FV145" s="11"/>
      <c r="FW145" s="11"/>
      <c r="FX145" s="11"/>
      <c r="FY145" s="11"/>
      <c r="FZ145" s="213"/>
      <c r="GA145" s="11"/>
      <c r="GB145" s="11"/>
      <c r="GC145" s="11"/>
      <c r="GD145" s="11"/>
      <c r="GE145" s="11"/>
      <c r="GF145" s="11"/>
      <c r="GG145" s="11"/>
      <c r="GH145" s="11"/>
      <c r="GI145" s="11"/>
      <c r="GJ145" s="11"/>
      <c r="GK145" s="11"/>
      <c r="GL145" s="11"/>
      <c r="GM145" s="11"/>
      <c r="GN145" s="11"/>
      <c r="GO145" s="11"/>
      <c r="GP145" s="152"/>
    </row>
    <row r="146" spans="1:198" x14ac:dyDescent="0.2">
      <c r="A146" s="79" t="s">
        <v>2226</v>
      </c>
      <c r="B146" s="11" t="str">
        <f>IF(AND(ISTEXT("https://github.com/helloswx/EVM-Shield"),"https://github.com/helloswx/EVM-Shield"&lt;&gt;""), HYPERLINK("https://github.com/helloswx/EVM-Shield", "Link"),"-")</f>
        <v>Link</v>
      </c>
      <c r="C146" s="11" t="s">
        <v>1235</v>
      </c>
      <c r="D146" s="11" t="s">
        <v>1235</v>
      </c>
      <c r="E146" s="11" t="s">
        <v>1235</v>
      </c>
      <c r="F146" s="11" t="s">
        <v>2812</v>
      </c>
      <c r="G146" s="213"/>
      <c r="H146" s="11" t="s">
        <v>1235</v>
      </c>
      <c r="I146" s="11"/>
      <c r="J146" s="11"/>
      <c r="K146" s="11"/>
      <c r="L146" s="11"/>
      <c r="M146" s="11"/>
      <c r="N146" s="11"/>
      <c r="O146" s="11"/>
      <c r="P146" s="11"/>
      <c r="Q146" s="181" t="s">
        <v>1235</v>
      </c>
      <c r="R146" s="11"/>
      <c r="S146" s="11"/>
      <c r="T146" s="11"/>
      <c r="U146" s="11"/>
      <c r="V146" s="11"/>
      <c r="W146" s="11" t="s">
        <v>1235</v>
      </c>
      <c r="X146" s="11"/>
      <c r="Y146" s="213"/>
      <c r="Z146" s="11"/>
      <c r="AA146" s="11"/>
      <c r="AB146" s="11"/>
      <c r="AC146" s="11" t="s">
        <v>1235</v>
      </c>
      <c r="AD146" s="11"/>
      <c r="AE146" s="11"/>
      <c r="AF146" s="11"/>
      <c r="AG146" s="11"/>
      <c r="AH146" s="11"/>
      <c r="AI146" s="11"/>
      <c r="AJ146" s="11"/>
      <c r="AK146" s="11"/>
      <c r="AL146" s="11"/>
      <c r="AM146" s="11"/>
      <c r="AN146" s="11"/>
      <c r="AO146" s="11"/>
      <c r="AP146" s="11"/>
      <c r="AQ146" s="11"/>
      <c r="AR146" s="11"/>
      <c r="AS146" s="11"/>
      <c r="AT146" s="213"/>
      <c r="AU146" s="11"/>
      <c r="AV146" s="11"/>
      <c r="AW146" s="11"/>
      <c r="AX146" s="11"/>
      <c r="AY146" s="11"/>
      <c r="AZ146" s="11"/>
      <c r="BA146" s="11"/>
      <c r="BB146" s="11"/>
      <c r="BC146" s="11"/>
      <c r="BD146" s="11"/>
      <c r="BE146" s="213"/>
      <c r="BF146" s="11"/>
      <c r="BG146" s="11"/>
      <c r="BH146" s="11"/>
      <c r="BI146" s="11"/>
      <c r="BJ146" s="11"/>
      <c r="BK146" s="11"/>
      <c r="BL146" s="11"/>
      <c r="BM146" s="11"/>
      <c r="BN146" s="11"/>
      <c r="BO146" s="11"/>
      <c r="BP146" s="11"/>
      <c r="BQ146" s="213"/>
      <c r="BR146" s="11" t="s">
        <v>1235</v>
      </c>
      <c r="BS146" s="11"/>
      <c r="BT146" s="11" t="s">
        <v>1235</v>
      </c>
      <c r="BU146" s="11" t="s">
        <v>1235</v>
      </c>
      <c r="BV146" s="11"/>
      <c r="BW146" s="11"/>
      <c r="BX146" s="11"/>
      <c r="BY146" s="11"/>
      <c r="BZ146" s="11"/>
      <c r="CA146" s="195"/>
      <c r="CB146" s="11"/>
      <c r="CC146" s="11"/>
      <c r="CD146" s="11"/>
      <c r="CE146" s="11"/>
      <c r="CF146" s="11"/>
      <c r="CG146" s="11"/>
      <c r="CH146" s="11"/>
      <c r="CI146" s="11"/>
      <c r="CJ146" s="11"/>
      <c r="CK146" s="213" t="s">
        <v>1235</v>
      </c>
      <c r="CL146" s="11"/>
      <c r="CM146" s="11"/>
      <c r="CN146" s="11"/>
      <c r="CO146" s="11"/>
      <c r="CP146" s="11"/>
      <c r="CQ146" s="11"/>
      <c r="CR146" s="11"/>
      <c r="CS146" s="11"/>
      <c r="CT146" s="11"/>
      <c r="CU146" s="11"/>
      <c r="CV146" s="11"/>
      <c r="CW146" s="213"/>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t="s">
        <v>1235</v>
      </c>
      <c r="DT146" s="11"/>
      <c r="DU146" s="11"/>
      <c r="DV146" s="11"/>
      <c r="DW146" s="11"/>
      <c r="DX146" s="11"/>
      <c r="DY146" s="11"/>
      <c r="DZ146" s="11"/>
      <c r="EA146" s="11"/>
      <c r="EB146" s="11"/>
      <c r="EC146" s="11"/>
      <c r="ED146" s="11"/>
      <c r="EE146" s="11"/>
      <c r="EF146" s="11"/>
      <c r="EG146" s="11"/>
      <c r="EH146" s="11"/>
      <c r="EI146" s="11"/>
      <c r="EJ146" s="11"/>
      <c r="EK146" s="11"/>
      <c r="EL146" s="213"/>
      <c r="EM146" s="11"/>
      <c r="EN146" s="11"/>
      <c r="EO146" s="11"/>
      <c r="EP146" s="11"/>
      <c r="EQ146" s="11"/>
      <c r="ER146" s="11"/>
      <c r="ES146" s="11"/>
      <c r="ET146" s="11"/>
      <c r="EU146" s="11"/>
      <c r="EV146" s="11"/>
      <c r="EW146" s="213"/>
      <c r="EX146" s="11"/>
      <c r="EY146" s="11"/>
      <c r="EZ146" s="11"/>
      <c r="FA146" s="213"/>
      <c r="FB146" s="11"/>
      <c r="FC146" s="11"/>
      <c r="FD146" s="11"/>
      <c r="FE146" s="11"/>
      <c r="FF146" s="11"/>
      <c r="FG146" s="11"/>
      <c r="FH146" s="11"/>
      <c r="FI146" s="213"/>
      <c r="FJ146" s="11"/>
      <c r="FK146" s="11"/>
      <c r="FL146" s="11"/>
      <c r="FM146" s="11"/>
      <c r="FN146" s="11" t="s">
        <v>1235</v>
      </c>
      <c r="FO146" s="11" t="s">
        <v>1235</v>
      </c>
      <c r="FP146" s="11"/>
      <c r="FQ146" s="11"/>
      <c r="FR146" s="11"/>
      <c r="FS146" s="11"/>
      <c r="FT146" s="213"/>
      <c r="FU146" s="11" t="s">
        <v>1235</v>
      </c>
      <c r="FV146" s="11"/>
      <c r="FW146" s="11"/>
      <c r="FX146" s="11"/>
      <c r="FY146" s="11"/>
      <c r="FZ146" s="213"/>
      <c r="GA146" s="11"/>
      <c r="GB146" s="11"/>
      <c r="GC146" s="11"/>
      <c r="GD146" s="11"/>
      <c r="GE146" s="11"/>
      <c r="GF146" s="11"/>
      <c r="GG146" s="11"/>
      <c r="GH146" s="11"/>
      <c r="GI146" s="11"/>
      <c r="GJ146" s="11"/>
      <c r="GK146" s="11"/>
      <c r="GL146" s="11"/>
      <c r="GM146" s="11"/>
      <c r="GN146" s="11"/>
      <c r="GO146" s="11"/>
      <c r="GP146" s="152"/>
    </row>
    <row r="147" spans="1:198" x14ac:dyDescent="0.2">
      <c r="A147" s="80" t="s">
        <v>2235</v>
      </c>
      <c r="B147" s="11" t="str">
        <f>IF(AND(ISTEXT(""),""&lt;&gt;""), HYPERLINK("", "Link"),"-")</f>
        <v>-</v>
      </c>
      <c r="C147" s="11"/>
      <c r="D147" s="11"/>
      <c r="E147" s="11"/>
      <c r="F147" s="11" t="s">
        <v>2811</v>
      </c>
      <c r="G147" s="213"/>
      <c r="H147" s="11" t="s">
        <v>1235</v>
      </c>
      <c r="I147" s="11"/>
      <c r="J147" s="11"/>
      <c r="K147" s="11"/>
      <c r="L147" s="11"/>
      <c r="M147" s="11"/>
      <c r="N147" s="11"/>
      <c r="O147" s="11"/>
      <c r="P147" s="11"/>
      <c r="Q147" s="11" t="s">
        <v>1235</v>
      </c>
      <c r="R147" s="11"/>
      <c r="S147" s="11"/>
      <c r="T147" s="11"/>
      <c r="U147" s="11"/>
      <c r="V147" s="11"/>
      <c r="W147" s="11"/>
      <c r="X147" s="11"/>
      <c r="Y147" s="213"/>
      <c r="Z147" s="11" t="s">
        <v>1235</v>
      </c>
      <c r="AA147" s="11"/>
      <c r="AB147" s="11"/>
      <c r="AC147" s="11" t="s">
        <v>1235</v>
      </c>
      <c r="AD147" s="11"/>
      <c r="AE147" s="11"/>
      <c r="AF147" s="11"/>
      <c r="AG147" s="11"/>
      <c r="AH147" s="11"/>
      <c r="AI147" s="11"/>
      <c r="AJ147" s="11"/>
      <c r="AK147" s="11"/>
      <c r="AL147" s="11"/>
      <c r="AM147" s="11"/>
      <c r="AN147" s="11"/>
      <c r="AO147" s="11"/>
      <c r="AP147" s="11"/>
      <c r="AQ147" s="11"/>
      <c r="AR147" s="11"/>
      <c r="AS147" s="11"/>
      <c r="AT147" s="213"/>
      <c r="AU147" s="11"/>
      <c r="AV147" s="11"/>
      <c r="AW147" s="11"/>
      <c r="AX147" s="11"/>
      <c r="AY147" s="11"/>
      <c r="AZ147" s="11"/>
      <c r="BA147" s="11"/>
      <c r="BB147" s="11"/>
      <c r="BC147" s="11"/>
      <c r="BD147" s="11"/>
      <c r="BE147" s="213"/>
      <c r="BF147" s="11"/>
      <c r="BG147" s="11"/>
      <c r="BH147" s="11"/>
      <c r="BI147" s="11"/>
      <c r="BJ147" s="11"/>
      <c r="BK147" s="11"/>
      <c r="BL147" s="11"/>
      <c r="BM147" s="11"/>
      <c r="BN147" s="11"/>
      <c r="BO147" s="11"/>
      <c r="BP147" s="11"/>
      <c r="BQ147" s="213"/>
      <c r="BR147" s="11"/>
      <c r="BS147" s="11"/>
      <c r="BT147" s="11" t="s">
        <v>1235</v>
      </c>
      <c r="BU147" s="11"/>
      <c r="BV147" s="11"/>
      <c r="BW147" s="11"/>
      <c r="BX147" s="11"/>
      <c r="BY147" s="11"/>
      <c r="BZ147" s="11"/>
      <c r="CA147" s="195"/>
      <c r="CB147" s="11"/>
      <c r="CC147" s="11"/>
      <c r="CD147" s="11"/>
      <c r="CE147" s="11"/>
      <c r="CF147" s="11"/>
      <c r="CG147" s="11"/>
      <c r="CH147" s="11"/>
      <c r="CI147" s="11"/>
      <c r="CJ147" s="11"/>
      <c r="CK147" s="213"/>
      <c r="CL147" s="11"/>
      <c r="CM147" s="11"/>
      <c r="CN147" s="11"/>
      <c r="CO147" s="11"/>
      <c r="CP147" s="11"/>
      <c r="CQ147" s="11"/>
      <c r="CR147" s="11"/>
      <c r="CS147" s="11"/>
      <c r="CT147" s="11"/>
      <c r="CU147" s="11"/>
      <c r="CV147" s="11"/>
      <c r="CW147" s="213"/>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213"/>
      <c r="EM147" s="11"/>
      <c r="EN147" s="11"/>
      <c r="EO147" s="11"/>
      <c r="EP147" s="11"/>
      <c r="EQ147" s="11"/>
      <c r="ER147" s="11"/>
      <c r="ES147" s="11"/>
      <c r="ET147" s="11"/>
      <c r="EU147" s="11"/>
      <c r="EV147" s="11"/>
      <c r="EW147" s="213"/>
      <c r="EX147" s="11"/>
      <c r="EY147" s="11"/>
      <c r="EZ147" s="11"/>
      <c r="FA147" s="213"/>
      <c r="FB147" s="11"/>
      <c r="FC147" s="11"/>
      <c r="FD147" s="11"/>
      <c r="FE147" s="11"/>
      <c r="FF147" s="11"/>
      <c r="FG147" s="11"/>
      <c r="FH147" s="11"/>
      <c r="FI147" s="213"/>
      <c r="FJ147" s="11"/>
      <c r="FK147" s="11"/>
      <c r="FL147" s="11"/>
      <c r="FM147" s="11"/>
      <c r="FN147" s="11"/>
      <c r="FO147" s="11"/>
      <c r="FP147" s="11"/>
      <c r="FQ147" s="11"/>
      <c r="FR147" s="11"/>
      <c r="FS147" s="11"/>
      <c r="FT147" s="213"/>
      <c r="FU147" s="11"/>
      <c r="FV147" s="11"/>
      <c r="FW147" s="11"/>
      <c r="FX147" s="11"/>
      <c r="FY147" s="11"/>
      <c r="FZ147" s="213"/>
      <c r="GA147" s="11"/>
      <c r="GB147" s="11"/>
      <c r="GC147" s="11"/>
      <c r="GD147" s="11"/>
      <c r="GE147" s="11"/>
      <c r="GF147" s="11"/>
      <c r="GG147" s="11"/>
      <c r="GH147" s="11"/>
      <c r="GI147" s="11"/>
      <c r="GJ147" s="11"/>
      <c r="GK147" s="11"/>
      <c r="GL147" s="11"/>
      <c r="GM147" s="11"/>
      <c r="GN147" s="11"/>
      <c r="GO147" s="11"/>
      <c r="GP147" s="152"/>
    </row>
    <row r="148" spans="1:198" x14ac:dyDescent="0.2">
      <c r="A148" s="79" t="s">
        <v>2240</v>
      </c>
      <c r="B148" s="11" t="str">
        <f>IF(AND(ISTEXT("https://github.com/GRY-Code/MM4ID"),"https://github.com/GRY-Code/MM4ID"&lt;&gt;""), HYPERLINK("https://github.com/GRY-Code/MM4ID", "Link"),"-")</f>
        <v>Link</v>
      </c>
      <c r="C148" s="11" t="s">
        <v>1235</v>
      </c>
      <c r="D148" s="11"/>
      <c r="E148" s="11" t="s">
        <v>1235</v>
      </c>
      <c r="F148" s="11" t="s">
        <v>2812</v>
      </c>
      <c r="G148" s="213"/>
      <c r="H148" s="11" t="s">
        <v>1235</v>
      </c>
      <c r="I148" s="11"/>
      <c r="J148" s="11"/>
      <c r="K148" s="11"/>
      <c r="L148" s="11"/>
      <c r="M148" s="11"/>
      <c r="N148" s="11"/>
      <c r="O148" s="11"/>
      <c r="P148" s="11"/>
      <c r="Q148" s="11" t="s">
        <v>1235</v>
      </c>
      <c r="R148" s="11"/>
      <c r="S148" s="11"/>
      <c r="T148" s="11"/>
      <c r="U148" s="11"/>
      <c r="V148" s="11"/>
      <c r="W148" s="11"/>
      <c r="X148" s="11"/>
      <c r="Y148" s="213"/>
      <c r="Z148" s="11" t="s">
        <v>1235</v>
      </c>
      <c r="AA148" s="11"/>
      <c r="AB148" s="11"/>
      <c r="AC148" s="11"/>
      <c r="AD148" s="11"/>
      <c r="AE148" s="11"/>
      <c r="AF148" s="11"/>
      <c r="AG148" s="11"/>
      <c r="AH148" s="11"/>
      <c r="AI148" s="11"/>
      <c r="AJ148" s="11"/>
      <c r="AK148" s="11"/>
      <c r="AL148" s="11"/>
      <c r="AM148" s="11"/>
      <c r="AN148" s="11"/>
      <c r="AO148" s="11"/>
      <c r="AP148" s="11"/>
      <c r="AQ148" s="11"/>
      <c r="AR148" s="11"/>
      <c r="AS148" s="11"/>
      <c r="AT148" s="213"/>
      <c r="AU148" s="11"/>
      <c r="AV148" s="11"/>
      <c r="AW148" s="11"/>
      <c r="AX148" s="11"/>
      <c r="AY148" s="11"/>
      <c r="AZ148" s="11"/>
      <c r="BA148" s="11"/>
      <c r="BB148" s="11"/>
      <c r="BC148" s="11"/>
      <c r="BD148" s="11"/>
      <c r="BE148" s="213"/>
      <c r="BF148" s="11"/>
      <c r="BG148" s="11"/>
      <c r="BH148" s="11"/>
      <c r="BI148" s="11"/>
      <c r="BJ148" s="11"/>
      <c r="BK148" s="11"/>
      <c r="BL148" s="11"/>
      <c r="BM148" s="11"/>
      <c r="BN148" s="11"/>
      <c r="BO148" s="11"/>
      <c r="BP148" s="11"/>
      <c r="BQ148" s="213"/>
      <c r="BR148" s="11"/>
      <c r="BS148" s="11"/>
      <c r="BT148" s="11"/>
      <c r="BU148" s="11"/>
      <c r="BV148" s="11"/>
      <c r="BW148" s="11"/>
      <c r="BX148" s="11"/>
      <c r="BY148" s="11"/>
      <c r="BZ148" s="11"/>
      <c r="CA148" s="195"/>
      <c r="CB148" s="11"/>
      <c r="CC148" s="11"/>
      <c r="CD148" s="11"/>
      <c r="CE148" s="11"/>
      <c r="CF148" s="11"/>
      <c r="CG148" s="11"/>
      <c r="CH148" s="11"/>
      <c r="CI148" s="11"/>
      <c r="CJ148" s="11"/>
      <c r="CK148" s="213"/>
      <c r="CL148" s="11" t="s">
        <v>1235</v>
      </c>
      <c r="CM148" s="11"/>
      <c r="CN148" s="11"/>
      <c r="CO148" s="11"/>
      <c r="CP148" s="11"/>
      <c r="CQ148" s="11"/>
      <c r="CR148" s="11"/>
      <c r="CS148" s="11"/>
      <c r="CT148" s="11"/>
      <c r="CU148" s="11"/>
      <c r="CV148" s="11"/>
      <c r="CW148" s="213"/>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213"/>
      <c r="EM148" s="11"/>
      <c r="EN148" s="11"/>
      <c r="EO148" s="11"/>
      <c r="EP148" s="11"/>
      <c r="EQ148" s="11"/>
      <c r="ER148" s="11"/>
      <c r="ES148" s="11"/>
      <c r="ET148" s="11"/>
      <c r="EU148" s="11"/>
      <c r="EV148" s="11"/>
      <c r="EW148" s="213"/>
      <c r="EX148" s="11"/>
      <c r="EY148" s="11"/>
      <c r="EZ148" s="11"/>
      <c r="FA148" s="213"/>
      <c r="FB148" s="11"/>
      <c r="FC148" s="11"/>
      <c r="FD148" s="11"/>
      <c r="FE148" s="11"/>
      <c r="FF148" s="11"/>
      <c r="FG148" s="11"/>
      <c r="FH148" s="11"/>
      <c r="FI148" s="213"/>
      <c r="FJ148" s="11"/>
      <c r="FK148" s="11"/>
      <c r="FL148" s="11"/>
      <c r="FM148" s="11"/>
      <c r="FN148" s="11"/>
      <c r="FO148" s="11"/>
      <c r="FP148" s="11"/>
      <c r="FQ148" s="11"/>
      <c r="FR148" s="11"/>
      <c r="FS148" s="11"/>
      <c r="FT148" s="213"/>
      <c r="FU148" s="11"/>
      <c r="FV148" s="11"/>
      <c r="FW148" s="11"/>
      <c r="FX148" s="11"/>
      <c r="FY148" s="11"/>
      <c r="FZ148" s="213"/>
      <c r="GA148" s="11"/>
      <c r="GB148" s="11"/>
      <c r="GC148" s="11"/>
      <c r="GD148" s="11"/>
      <c r="GE148" s="11"/>
      <c r="GF148" s="11"/>
      <c r="GG148" s="11"/>
      <c r="GH148" s="11"/>
      <c r="GI148" s="11"/>
      <c r="GJ148" s="11"/>
      <c r="GK148" s="11"/>
      <c r="GL148" s="11"/>
      <c r="GM148" s="11"/>
      <c r="GN148" s="11"/>
      <c r="GO148" s="11"/>
      <c r="GP148" s="152"/>
    </row>
    <row r="149" spans="1:198" x14ac:dyDescent="0.2">
      <c r="A149" s="79" t="s">
        <v>2242</v>
      </c>
      <c r="B149" s="11" t="str">
        <f t="shared" ref="B149:B159" si="5">IF(AND(ISTEXT(""),""&lt;&gt;""), HYPERLINK("", "Link"),"-")</f>
        <v>-</v>
      </c>
      <c r="C149" s="11" t="s">
        <v>1235</v>
      </c>
      <c r="D149" s="11"/>
      <c r="E149" s="11"/>
      <c r="F149" s="11" t="s">
        <v>2812</v>
      </c>
      <c r="G149" s="213"/>
      <c r="H149" s="11" t="s">
        <v>1235</v>
      </c>
      <c r="I149" s="11"/>
      <c r="J149" s="11"/>
      <c r="K149" s="11"/>
      <c r="L149" s="11"/>
      <c r="M149" s="11"/>
      <c r="N149" s="11"/>
      <c r="O149" s="11"/>
      <c r="P149" s="11"/>
      <c r="Q149" s="11"/>
      <c r="R149" s="11"/>
      <c r="S149" s="11"/>
      <c r="T149" s="11"/>
      <c r="U149" s="11"/>
      <c r="V149" s="11"/>
      <c r="W149" s="11"/>
      <c r="X149" s="11"/>
      <c r="Y149" s="213"/>
      <c r="Z149" s="11"/>
      <c r="AA149" s="11"/>
      <c r="AB149" s="11"/>
      <c r="AC149" s="11"/>
      <c r="AD149" s="11"/>
      <c r="AE149" s="11"/>
      <c r="AF149" s="11"/>
      <c r="AG149" s="11"/>
      <c r="AH149" s="11"/>
      <c r="AI149" s="11"/>
      <c r="AJ149" s="11"/>
      <c r="AK149" s="11"/>
      <c r="AL149" s="11"/>
      <c r="AM149" s="11"/>
      <c r="AN149" s="11"/>
      <c r="AO149" s="11"/>
      <c r="AP149" s="11"/>
      <c r="AQ149" s="11"/>
      <c r="AR149" s="11"/>
      <c r="AS149" s="11"/>
      <c r="AT149" s="213"/>
      <c r="AU149" s="11"/>
      <c r="AV149" s="11"/>
      <c r="AW149" s="11"/>
      <c r="AX149" s="11"/>
      <c r="AY149" s="11"/>
      <c r="AZ149" s="11"/>
      <c r="BA149" s="11"/>
      <c r="BB149" s="11"/>
      <c r="BC149" s="11"/>
      <c r="BD149" s="11"/>
      <c r="BE149" s="213"/>
      <c r="BF149" s="11"/>
      <c r="BG149" s="11"/>
      <c r="BH149" s="11"/>
      <c r="BI149" s="11"/>
      <c r="BJ149" s="11"/>
      <c r="BK149" s="11"/>
      <c r="BL149" s="11"/>
      <c r="BM149" s="11"/>
      <c r="BN149" s="11"/>
      <c r="BO149" s="11"/>
      <c r="BP149" s="11"/>
      <c r="BQ149" s="213"/>
      <c r="BR149" s="11"/>
      <c r="BS149" s="11"/>
      <c r="BT149" s="11"/>
      <c r="BU149" s="11"/>
      <c r="BV149" s="11"/>
      <c r="BW149" s="11"/>
      <c r="BX149" s="11"/>
      <c r="BY149" s="11"/>
      <c r="BZ149" s="11"/>
      <c r="CA149" s="195"/>
      <c r="CB149" s="11"/>
      <c r="CC149" s="11"/>
      <c r="CD149" s="11"/>
      <c r="CE149" s="11"/>
      <c r="CF149" s="11"/>
      <c r="CG149" s="11"/>
      <c r="CH149" s="11"/>
      <c r="CI149" s="11"/>
      <c r="CJ149" s="11"/>
      <c r="CK149" s="213"/>
      <c r="CL149" s="11"/>
      <c r="CM149" s="11"/>
      <c r="CN149" s="11"/>
      <c r="CO149" s="11"/>
      <c r="CP149" s="11"/>
      <c r="CQ149" s="11"/>
      <c r="CR149" s="11"/>
      <c r="CS149" s="11"/>
      <c r="CT149" s="11"/>
      <c r="CU149" s="11"/>
      <c r="CV149" s="11"/>
      <c r="CW149" s="213"/>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213"/>
      <c r="EM149" s="11"/>
      <c r="EN149" s="11"/>
      <c r="EO149" s="11"/>
      <c r="EP149" s="11"/>
      <c r="EQ149" s="11"/>
      <c r="ER149" s="11"/>
      <c r="ES149" s="11"/>
      <c r="ET149" s="11"/>
      <c r="EU149" s="11"/>
      <c r="EV149" s="11"/>
      <c r="EW149" s="213"/>
      <c r="EX149" s="11"/>
      <c r="EY149" s="11"/>
      <c r="EZ149" s="11"/>
      <c r="FA149" s="213"/>
      <c r="FB149" s="11"/>
      <c r="FC149" s="11"/>
      <c r="FD149" s="11"/>
      <c r="FE149" s="11"/>
      <c r="FF149" s="11"/>
      <c r="FG149" s="11"/>
      <c r="FH149" s="11"/>
      <c r="FI149" s="213"/>
      <c r="FJ149" s="11"/>
      <c r="FK149" s="11"/>
      <c r="FL149" s="11"/>
      <c r="FM149" s="11"/>
      <c r="FN149" s="11"/>
      <c r="FO149" s="11"/>
      <c r="FP149" s="11"/>
      <c r="FQ149" s="11"/>
      <c r="FR149" s="11"/>
      <c r="FS149" s="11"/>
      <c r="FT149" s="213"/>
      <c r="FU149" s="11"/>
      <c r="FV149" s="11"/>
      <c r="FW149" s="11"/>
      <c r="FX149" s="11"/>
      <c r="FY149" s="11"/>
      <c r="FZ149" s="213"/>
      <c r="GA149" s="11"/>
      <c r="GB149" s="11"/>
      <c r="GC149" s="11"/>
      <c r="GD149" s="11"/>
      <c r="GE149" s="11"/>
      <c r="GF149" s="11"/>
      <c r="GG149" s="11"/>
      <c r="GH149" s="11"/>
      <c r="GI149" s="11"/>
      <c r="GJ149" s="11"/>
      <c r="GK149" s="11"/>
      <c r="GL149" s="11"/>
      <c r="GM149" s="11"/>
      <c r="GN149" s="11"/>
      <c r="GO149" s="11"/>
      <c r="GP149" s="152"/>
    </row>
    <row r="150" spans="1:198" x14ac:dyDescent="0.2">
      <c r="A150" s="79" t="s">
        <v>2245</v>
      </c>
      <c r="B150" s="11" t="str">
        <f t="shared" si="5"/>
        <v>-</v>
      </c>
      <c r="C150" s="11"/>
      <c r="D150" s="11" t="s">
        <v>1235</v>
      </c>
      <c r="E150" s="11"/>
      <c r="F150" s="11" t="s">
        <v>2812</v>
      </c>
      <c r="G150" s="213"/>
      <c r="H150" s="11"/>
      <c r="I150" s="11"/>
      <c r="J150" s="11"/>
      <c r="K150" s="11"/>
      <c r="L150" s="11"/>
      <c r="M150" s="11"/>
      <c r="N150" s="11"/>
      <c r="O150" s="11"/>
      <c r="P150" s="11"/>
      <c r="Q150" s="11"/>
      <c r="R150" s="11"/>
      <c r="S150" s="11"/>
      <c r="T150" s="11"/>
      <c r="U150" s="11"/>
      <c r="V150" s="11"/>
      <c r="W150" s="11"/>
      <c r="X150" s="11"/>
      <c r="Y150" s="213"/>
      <c r="Z150" s="11" t="s">
        <v>1235</v>
      </c>
      <c r="AA150" s="11" t="s">
        <v>1235</v>
      </c>
      <c r="AB150" s="11"/>
      <c r="AC150" s="11"/>
      <c r="AD150" s="11"/>
      <c r="AE150" s="11"/>
      <c r="AF150" s="11"/>
      <c r="AG150" s="11"/>
      <c r="AH150" s="11"/>
      <c r="AI150" s="11"/>
      <c r="AJ150" s="11"/>
      <c r="AK150" s="11"/>
      <c r="AL150" s="11"/>
      <c r="AM150" s="11"/>
      <c r="AN150" s="11"/>
      <c r="AO150" s="11"/>
      <c r="AP150" s="11"/>
      <c r="AQ150" s="11"/>
      <c r="AR150" s="11"/>
      <c r="AS150" s="11"/>
      <c r="AT150" s="213"/>
      <c r="AU150" s="11"/>
      <c r="AV150" s="11"/>
      <c r="AW150" s="11"/>
      <c r="AX150" s="11"/>
      <c r="AY150" s="11" t="s">
        <v>1235</v>
      </c>
      <c r="AZ150" s="11"/>
      <c r="BA150" s="11"/>
      <c r="BB150" s="11"/>
      <c r="BC150" s="11"/>
      <c r="BD150" s="11"/>
      <c r="BE150" s="213"/>
      <c r="BF150" s="11"/>
      <c r="BG150" s="11"/>
      <c r="BH150" s="11"/>
      <c r="BI150" s="11"/>
      <c r="BJ150" s="11"/>
      <c r="BK150" s="11"/>
      <c r="BL150" s="11"/>
      <c r="BM150" s="11"/>
      <c r="BN150" s="11"/>
      <c r="BO150" s="11"/>
      <c r="BP150" s="11"/>
      <c r="BQ150" s="213"/>
      <c r="BR150" s="11"/>
      <c r="BS150" s="11"/>
      <c r="BT150" s="11"/>
      <c r="BU150" s="11"/>
      <c r="BV150" s="11"/>
      <c r="BW150" s="11"/>
      <c r="BX150" s="11"/>
      <c r="BY150" s="11"/>
      <c r="BZ150" s="11"/>
      <c r="CA150" s="195"/>
      <c r="CB150" s="11"/>
      <c r="CC150" s="11"/>
      <c r="CD150" s="11"/>
      <c r="CE150" s="11"/>
      <c r="CF150" s="11"/>
      <c r="CG150" s="11"/>
      <c r="CH150" s="11"/>
      <c r="CI150" s="11"/>
      <c r="CJ150" s="11"/>
      <c r="CK150" s="213" t="s">
        <v>1235</v>
      </c>
      <c r="CL150" s="11" t="s">
        <v>1235</v>
      </c>
      <c r="CM150" s="11" t="s">
        <v>1235</v>
      </c>
      <c r="CN150" s="11"/>
      <c r="CO150" s="11"/>
      <c r="CP150" s="11"/>
      <c r="CQ150" s="11"/>
      <c r="CR150" s="11"/>
      <c r="CS150" s="11"/>
      <c r="CT150" s="11"/>
      <c r="CU150" s="11"/>
      <c r="CV150" s="11"/>
      <c r="CW150" s="213"/>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213"/>
      <c r="EM150" s="11"/>
      <c r="EN150" s="11"/>
      <c r="EO150" s="11"/>
      <c r="EP150" s="11"/>
      <c r="EQ150" s="11"/>
      <c r="ER150" s="11"/>
      <c r="ES150" s="11"/>
      <c r="ET150" s="11"/>
      <c r="EU150" s="11"/>
      <c r="EV150" s="11"/>
      <c r="EW150" s="213"/>
      <c r="EX150" s="11"/>
      <c r="EY150" s="11"/>
      <c r="EZ150" s="11"/>
      <c r="FA150" s="213"/>
      <c r="FB150" s="11"/>
      <c r="FC150" s="11"/>
      <c r="FD150" s="11"/>
      <c r="FE150" s="11"/>
      <c r="FF150" s="11"/>
      <c r="FG150" s="11"/>
      <c r="FH150" s="11"/>
      <c r="FI150" s="213"/>
      <c r="FJ150" s="11"/>
      <c r="FK150" s="11"/>
      <c r="FL150" s="11"/>
      <c r="FM150" s="11"/>
      <c r="FN150" s="11"/>
      <c r="FO150" s="11"/>
      <c r="FP150" s="11"/>
      <c r="FQ150" s="11"/>
      <c r="FR150" s="11"/>
      <c r="FS150" s="11"/>
      <c r="FT150" s="213"/>
      <c r="FU150" s="11"/>
      <c r="FV150" s="11"/>
      <c r="FW150" s="11"/>
      <c r="FX150" s="11"/>
      <c r="FY150" s="11"/>
      <c r="FZ150" s="213"/>
      <c r="GA150" s="11"/>
      <c r="GB150" s="11"/>
      <c r="GC150" s="11"/>
      <c r="GD150" s="11"/>
      <c r="GE150" s="11"/>
      <c r="GF150" s="11"/>
      <c r="GG150" s="11"/>
      <c r="GH150" s="11"/>
      <c r="GI150" s="11"/>
      <c r="GJ150" s="11"/>
      <c r="GK150" s="11"/>
      <c r="GL150" s="11"/>
      <c r="GM150" s="11"/>
      <c r="GN150" s="11"/>
      <c r="GO150" s="11"/>
      <c r="GP150" s="152"/>
    </row>
    <row r="151" spans="1:198" x14ac:dyDescent="0.2">
      <c r="A151" s="79" t="s">
        <v>2251</v>
      </c>
      <c r="B151" s="11" t="str">
        <f t="shared" si="5"/>
        <v>-</v>
      </c>
      <c r="C151" s="11" t="s">
        <v>1235</v>
      </c>
      <c r="D151" s="11"/>
      <c r="E151" s="11"/>
      <c r="F151" s="11" t="s">
        <v>2812</v>
      </c>
      <c r="G151" s="213"/>
      <c r="H151" s="11" t="s">
        <v>1235</v>
      </c>
      <c r="I151" s="11"/>
      <c r="J151" s="11"/>
      <c r="K151" s="11"/>
      <c r="L151" s="11"/>
      <c r="M151" s="11"/>
      <c r="N151" s="11"/>
      <c r="O151" s="11"/>
      <c r="P151" s="11"/>
      <c r="Q151" s="11" t="s">
        <v>1235</v>
      </c>
      <c r="R151" s="11"/>
      <c r="S151" s="11"/>
      <c r="T151" s="11"/>
      <c r="U151" s="11"/>
      <c r="V151" s="11"/>
      <c r="W151" s="11"/>
      <c r="X151" s="11"/>
      <c r="Y151" s="213"/>
      <c r="Z151" s="11" t="s">
        <v>1235</v>
      </c>
      <c r="AA151" s="11"/>
      <c r="AB151" s="11"/>
      <c r="AC151" s="11"/>
      <c r="AD151" s="11"/>
      <c r="AE151" s="11"/>
      <c r="AF151" s="11"/>
      <c r="AG151" s="11"/>
      <c r="AH151" s="11"/>
      <c r="AI151" s="11"/>
      <c r="AJ151" s="11"/>
      <c r="AK151" s="11"/>
      <c r="AL151" s="11"/>
      <c r="AM151" s="11"/>
      <c r="AN151" s="11"/>
      <c r="AO151" s="11"/>
      <c r="AP151" s="11"/>
      <c r="AQ151" s="11"/>
      <c r="AR151" s="11"/>
      <c r="AS151" s="11"/>
      <c r="AT151" s="213"/>
      <c r="AU151" s="11"/>
      <c r="AV151" s="11"/>
      <c r="AW151" s="11"/>
      <c r="AX151" s="11"/>
      <c r="AY151" s="11"/>
      <c r="AZ151" s="11"/>
      <c r="BA151" s="11"/>
      <c r="BB151" s="11"/>
      <c r="BC151" s="11"/>
      <c r="BD151" s="11"/>
      <c r="BE151" s="213"/>
      <c r="BF151" s="11"/>
      <c r="BG151" s="11"/>
      <c r="BH151" s="11"/>
      <c r="BI151" s="11"/>
      <c r="BJ151" s="11"/>
      <c r="BK151" s="11"/>
      <c r="BL151" s="11"/>
      <c r="BM151" s="11"/>
      <c r="BN151" s="11"/>
      <c r="BO151" s="11"/>
      <c r="BP151" s="11"/>
      <c r="BQ151" s="213"/>
      <c r="BR151" s="11" t="s">
        <v>1235</v>
      </c>
      <c r="BS151" s="11"/>
      <c r="BT151" s="11"/>
      <c r="BU151" s="11"/>
      <c r="BV151" s="11"/>
      <c r="BW151" s="11"/>
      <c r="BX151" s="11"/>
      <c r="BY151" s="11"/>
      <c r="BZ151" s="11"/>
      <c r="CA151" s="195"/>
      <c r="CB151" s="11"/>
      <c r="CC151" s="11"/>
      <c r="CD151" s="11"/>
      <c r="CE151" s="11"/>
      <c r="CF151" s="11"/>
      <c r="CG151" s="11"/>
      <c r="CH151" s="11"/>
      <c r="CI151" s="11"/>
      <c r="CJ151" s="11"/>
      <c r="CK151" s="213"/>
      <c r="CL151" s="11"/>
      <c r="CM151" s="11"/>
      <c r="CN151" s="11"/>
      <c r="CO151" s="11"/>
      <c r="CP151" s="11"/>
      <c r="CQ151" s="11"/>
      <c r="CR151" s="11"/>
      <c r="CS151" s="11"/>
      <c r="CT151" s="11"/>
      <c r="CU151" s="11"/>
      <c r="CV151" s="11"/>
      <c r="CW151" s="213"/>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213"/>
      <c r="EM151" s="11"/>
      <c r="EN151" s="11"/>
      <c r="EO151" s="11"/>
      <c r="EP151" s="11"/>
      <c r="EQ151" s="11"/>
      <c r="ER151" s="11"/>
      <c r="ES151" s="11"/>
      <c r="ET151" s="11"/>
      <c r="EU151" s="11"/>
      <c r="EV151" s="11"/>
      <c r="EW151" s="213"/>
      <c r="EX151" s="11"/>
      <c r="EY151" s="11"/>
      <c r="EZ151" s="11"/>
      <c r="FA151" s="213"/>
      <c r="FB151" s="11"/>
      <c r="FC151" s="11"/>
      <c r="FD151" s="11"/>
      <c r="FE151" s="11"/>
      <c r="FF151" s="11"/>
      <c r="FG151" s="11"/>
      <c r="FH151" s="11"/>
      <c r="FI151" s="213"/>
      <c r="FJ151" s="11"/>
      <c r="FK151" s="11"/>
      <c r="FL151" s="11"/>
      <c r="FM151" s="11"/>
      <c r="FN151" s="11"/>
      <c r="FO151" s="11"/>
      <c r="FP151" s="11"/>
      <c r="FQ151" s="11"/>
      <c r="FR151" s="11"/>
      <c r="FS151" s="11"/>
      <c r="FT151" s="213"/>
      <c r="FU151" s="11"/>
      <c r="FV151" s="11"/>
      <c r="FW151" s="11"/>
      <c r="FX151" s="11"/>
      <c r="FY151" s="11"/>
      <c r="FZ151" s="213"/>
      <c r="GA151" s="11"/>
      <c r="GB151" s="11"/>
      <c r="GC151" s="11"/>
      <c r="GD151" s="11"/>
      <c r="GE151" s="11"/>
      <c r="GF151" s="11"/>
      <c r="GG151" s="11"/>
      <c r="GH151" s="11"/>
      <c r="GI151" s="11"/>
      <c r="GJ151" s="11"/>
      <c r="GK151" s="11"/>
      <c r="GL151" s="11"/>
      <c r="GM151" s="11"/>
      <c r="GN151" s="11"/>
      <c r="GO151" s="11"/>
      <c r="GP151" s="152"/>
    </row>
    <row r="152" spans="1:198" x14ac:dyDescent="0.2">
      <c r="A152" s="79" t="s">
        <v>2256</v>
      </c>
      <c r="B152" s="11" t="str">
        <f t="shared" si="5"/>
        <v>-</v>
      </c>
      <c r="C152" s="11"/>
      <c r="D152" s="11" t="s">
        <v>1235</v>
      </c>
      <c r="E152" s="11"/>
      <c r="F152" s="11" t="s">
        <v>2812</v>
      </c>
      <c r="G152" s="213"/>
      <c r="H152" s="11" t="s">
        <v>1235</v>
      </c>
      <c r="I152" s="11"/>
      <c r="J152" s="11"/>
      <c r="K152" s="11"/>
      <c r="L152" s="11"/>
      <c r="M152" s="11" t="s">
        <v>1235</v>
      </c>
      <c r="N152" s="11"/>
      <c r="O152" s="11"/>
      <c r="P152" s="11"/>
      <c r="Q152" s="11" t="s">
        <v>1235</v>
      </c>
      <c r="R152" s="11"/>
      <c r="S152" s="11"/>
      <c r="T152" s="11"/>
      <c r="U152" s="11"/>
      <c r="V152" s="11"/>
      <c r="W152" s="11" t="s">
        <v>1235</v>
      </c>
      <c r="X152" s="11"/>
      <c r="Y152" s="213"/>
      <c r="Z152" s="11" t="s">
        <v>1235</v>
      </c>
      <c r="AA152" s="11" t="s">
        <v>1235</v>
      </c>
      <c r="AB152" s="11"/>
      <c r="AC152" s="11"/>
      <c r="AD152" s="11"/>
      <c r="AE152" s="11"/>
      <c r="AF152" s="11"/>
      <c r="AG152" s="11"/>
      <c r="AH152" s="11"/>
      <c r="AI152" s="11"/>
      <c r="AJ152" s="11"/>
      <c r="AK152" s="11"/>
      <c r="AL152" s="11"/>
      <c r="AM152" s="11"/>
      <c r="AN152" s="11"/>
      <c r="AO152" s="11"/>
      <c r="AP152" s="11"/>
      <c r="AQ152" s="11"/>
      <c r="AR152" s="11"/>
      <c r="AS152" s="11"/>
      <c r="AT152" s="213" t="s">
        <v>1235</v>
      </c>
      <c r="AU152" s="11"/>
      <c r="AV152" s="11"/>
      <c r="AW152" s="11"/>
      <c r="AX152" s="11"/>
      <c r="AY152" s="11"/>
      <c r="AZ152" s="11"/>
      <c r="BA152" s="11"/>
      <c r="BB152" s="11"/>
      <c r="BC152" s="11"/>
      <c r="BD152" s="11"/>
      <c r="BE152" s="213"/>
      <c r="BF152" s="11"/>
      <c r="BG152" s="11"/>
      <c r="BH152" s="11"/>
      <c r="BI152" s="11"/>
      <c r="BJ152" s="11"/>
      <c r="BK152" s="11"/>
      <c r="BL152" s="11"/>
      <c r="BM152" s="11"/>
      <c r="BN152" s="11"/>
      <c r="BO152" s="11"/>
      <c r="BP152" s="11"/>
      <c r="BQ152" s="213"/>
      <c r="BR152" s="11" t="s">
        <v>1235</v>
      </c>
      <c r="BS152" s="11"/>
      <c r="BT152" s="11" t="s">
        <v>1235</v>
      </c>
      <c r="BU152" s="11"/>
      <c r="BV152" s="11"/>
      <c r="BW152" s="11"/>
      <c r="BX152" s="11"/>
      <c r="BY152" s="11"/>
      <c r="BZ152" s="11"/>
      <c r="CA152" s="195"/>
      <c r="CB152" s="11"/>
      <c r="CC152" s="11"/>
      <c r="CD152" s="11"/>
      <c r="CE152" s="11"/>
      <c r="CF152" s="11"/>
      <c r="CG152" s="11"/>
      <c r="CH152" s="11"/>
      <c r="CI152" s="11"/>
      <c r="CJ152" s="11"/>
      <c r="CK152" s="213" t="s">
        <v>1235</v>
      </c>
      <c r="CL152" s="11"/>
      <c r="CM152" s="11"/>
      <c r="CN152" s="11"/>
      <c r="CO152" s="11"/>
      <c r="CP152" s="11"/>
      <c r="CQ152" s="11"/>
      <c r="CR152" s="11"/>
      <c r="CS152" s="11"/>
      <c r="CT152" s="11"/>
      <c r="CU152" s="11"/>
      <c r="CV152" s="11"/>
      <c r="CW152" s="213"/>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213"/>
      <c r="EM152" s="11"/>
      <c r="EN152" s="11"/>
      <c r="EO152" s="11"/>
      <c r="EP152" s="11"/>
      <c r="EQ152" s="11"/>
      <c r="ER152" s="11"/>
      <c r="ES152" s="11"/>
      <c r="ET152" s="11"/>
      <c r="EU152" s="11"/>
      <c r="EV152" s="11"/>
      <c r="EW152" s="213"/>
      <c r="EX152" s="11"/>
      <c r="EY152" s="11"/>
      <c r="EZ152" s="11"/>
      <c r="FA152" s="213"/>
      <c r="FB152" s="11"/>
      <c r="FC152" s="11"/>
      <c r="FD152" s="11"/>
      <c r="FE152" s="11"/>
      <c r="FF152" s="11"/>
      <c r="FG152" s="11"/>
      <c r="FH152" s="11"/>
      <c r="FI152" s="213"/>
      <c r="FJ152" s="11"/>
      <c r="FK152" s="11"/>
      <c r="FL152" s="11"/>
      <c r="FM152" s="11"/>
      <c r="FN152" s="11"/>
      <c r="FO152" s="11"/>
      <c r="FP152" s="11"/>
      <c r="FQ152" s="11"/>
      <c r="FR152" s="11"/>
      <c r="FS152" s="11"/>
      <c r="FT152" s="213"/>
      <c r="FU152" s="11"/>
      <c r="FV152" s="11"/>
      <c r="FW152" s="11"/>
      <c r="FX152" s="11"/>
      <c r="FY152" s="11"/>
      <c r="FZ152" s="213"/>
      <c r="GA152" s="11"/>
      <c r="GB152" s="11"/>
      <c r="GC152" s="11"/>
      <c r="GD152" s="11"/>
      <c r="GE152" s="11"/>
      <c r="GF152" s="11"/>
      <c r="GG152" s="11"/>
      <c r="GH152" s="11"/>
      <c r="GI152" s="11"/>
      <c r="GJ152" s="11"/>
      <c r="GK152" s="11"/>
      <c r="GL152" s="11"/>
      <c r="GM152" s="11"/>
      <c r="GN152" s="11"/>
      <c r="GO152" s="11"/>
      <c r="GP152" s="152"/>
    </row>
    <row r="153" spans="1:198" x14ac:dyDescent="0.2">
      <c r="A153" s="80" t="s">
        <v>2261</v>
      </c>
      <c r="B153" s="11" t="str">
        <f t="shared" si="5"/>
        <v>-</v>
      </c>
      <c r="C153" s="11" t="s">
        <v>1235</v>
      </c>
      <c r="D153" s="11"/>
      <c r="E153" s="11"/>
      <c r="F153" s="11" t="s">
        <v>2811</v>
      </c>
      <c r="G153" s="213"/>
      <c r="H153" s="11" t="s">
        <v>1235</v>
      </c>
      <c r="I153" s="11"/>
      <c r="J153" s="11"/>
      <c r="K153" s="11"/>
      <c r="L153" s="11"/>
      <c r="M153" s="11"/>
      <c r="N153" s="11"/>
      <c r="O153" s="11"/>
      <c r="P153" s="11" t="s">
        <v>1235</v>
      </c>
      <c r="Q153" s="11"/>
      <c r="R153" s="11"/>
      <c r="S153" s="11"/>
      <c r="T153" s="11"/>
      <c r="U153" s="11"/>
      <c r="V153" s="11"/>
      <c r="W153" s="11"/>
      <c r="X153" s="11"/>
      <c r="Y153" s="213"/>
      <c r="Z153" s="11"/>
      <c r="AA153" s="11"/>
      <c r="AB153" s="11"/>
      <c r="AC153" s="11"/>
      <c r="AD153" s="11"/>
      <c r="AE153" s="11"/>
      <c r="AF153" s="11"/>
      <c r="AG153" s="11"/>
      <c r="AH153" s="11"/>
      <c r="AI153" s="11"/>
      <c r="AJ153" s="11"/>
      <c r="AK153" s="11"/>
      <c r="AL153" s="11"/>
      <c r="AM153" s="11"/>
      <c r="AN153" s="11"/>
      <c r="AO153" s="11"/>
      <c r="AP153" s="11"/>
      <c r="AQ153" s="11"/>
      <c r="AR153" s="11"/>
      <c r="AS153" s="11"/>
      <c r="AT153" s="213" t="s">
        <v>1235</v>
      </c>
      <c r="AU153" s="11"/>
      <c r="AV153" s="11"/>
      <c r="AW153" s="11"/>
      <c r="AX153" s="11"/>
      <c r="AY153" s="11"/>
      <c r="AZ153" s="11"/>
      <c r="BA153" s="11"/>
      <c r="BB153" s="11"/>
      <c r="BC153" s="11"/>
      <c r="BD153" s="11"/>
      <c r="BE153" s="213"/>
      <c r="BF153" s="11"/>
      <c r="BG153" s="11"/>
      <c r="BH153" s="11"/>
      <c r="BI153" s="11"/>
      <c r="BJ153" s="11"/>
      <c r="BK153" s="11"/>
      <c r="BL153" s="11"/>
      <c r="BM153" s="11"/>
      <c r="BN153" s="11"/>
      <c r="BO153" s="11"/>
      <c r="BP153" s="11"/>
      <c r="BQ153" s="213"/>
      <c r="BR153" s="11"/>
      <c r="BS153" s="11"/>
      <c r="BT153" s="11"/>
      <c r="BU153" s="11"/>
      <c r="BV153" s="11"/>
      <c r="BW153" s="11"/>
      <c r="BX153" s="11"/>
      <c r="BY153" s="11"/>
      <c r="BZ153" s="11"/>
      <c r="CA153" s="195"/>
      <c r="CB153" s="11"/>
      <c r="CC153" s="11"/>
      <c r="CD153" s="11"/>
      <c r="CE153" s="11"/>
      <c r="CF153" s="11"/>
      <c r="CG153" s="11"/>
      <c r="CH153" s="11"/>
      <c r="CI153" s="11"/>
      <c r="CJ153" s="11"/>
      <c r="CK153" s="213"/>
      <c r="CL153" s="11"/>
      <c r="CM153" s="11"/>
      <c r="CN153" s="11"/>
      <c r="CO153" s="11"/>
      <c r="CP153" s="11"/>
      <c r="CQ153" s="11"/>
      <c r="CR153" s="11"/>
      <c r="CS153" s="11"/>
      <c r="CT153" s="11"/>
      <c r="CU153" s="11"/>
      <c r="CV153" s="11"/>
      <c r="CW153" s="213"/>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213"/>
      <c r="EM153" s="11"/>
      <c r="EN153" s="11"/>
      <c r="EO153" s="11"/>
      <c r="EP153" s="11"/>
      <c r="EQ153" s="11"/>
      <c r="ER153" s="11"/>
      <c r="ES153" s="11"/>
      <c r="ET153" s="11"/>
      <c r="EU153" s="11"/>
      <c r="EV153" s="11"/>
      <c r="EW153" s="213"/>
      <c r="EX153" s="11"/>
      <c r="EY153" s="11"/>
      <c r="EZ153" s="11"/>
      <c r="FA153" s="213"/>
      <c r="FB153" s="11"/>
      <c r="FC153" s="11"/>
      <c r="FD153" s="11"/>
      <c r="FE153" s="11"/>
      <c r="FF153" s="11"/>
      <c r="FG153" s="11"/>
      <c r="FH153" s="11"/>
      <c r="FI153" s="213" t="s">
        <v>1235</v>
      </c>
      <c r="FJ153" s="11"/>
      <c r="FK153" s="11"/>
      <c r="FL153" s="11"/>
      <c r="FM153" s="11"/>
      <c r="FN153" s="11"/>
      <c r="FO153" s="11"/>
      <c r="FP153" s="11"/>
      <c r="FQ153" s="11"/>
      <c r="FR153" s="11"/>
      <c r="FS153" s="11"/>
      <c r="FT153" s="213"/>
      <c r="FU153" s="11"/>
      <c r="FV153" s="11"/>
      <c r="FW153" s="11"/>
      <c r="FX153" s="11"/>
      <c r="FY153" s="11"/>
      <c r="FZ153" s="213"/>
      <c r="GA153" s="11"/>
      <c r="GB153" s="11"/>
      <c r="GC153" s="11"/>
      <c r="GD153" s="11"/>
      <c r="GE153" s="11"/>
      <c r="GF153" s="11"/>
      <c r="GG153" s="11"/>
      <c r="GH153" s="11"/>
      <c r="GI153" s="11"/>
      <c r="GJ153" s="11"/>
      <c r="GK153" s="11"/>
      <c r="GL153" s="11"/>
      <c r="GM153" s="11"/>
      <c r="GN153" s="11"/>
      <c r="GO153" s="11"/>
      <c r="GP153" s="152"/>
    </row>
    <row r="154" spans="1:198" x14ac:dyDescent="0.2">
      <c r="A154" s="79" t="s">
        <v>2268</v>
      </c>
      <c r="B154" s="11" t="str">
        <f t="shared" si="5"/>
        <v>-</v>
      </c>
      <c r="C154" s="11"/>
      <c r="D154" s="11" t="s">
        <v>1235</v>
      </c>
      <c r="E154" s="11"/>
      <c r="F154" s="11" t="s">
        <v>2812</v>
      </c>
      <c r="G154" s="213"/>
      <c r="H154" s="11" t="s">
        <v>1235</v>
      </c>
      <c r="I154" s="11"/>
      <c r="J154" s="11"/>
      <c r="K154" s="11"/>
      <c r="L154" s="11"/>
      <c r="M154" s="11"/>
      <c r="N154" s="11"/>
      <c r="O154" s="11"/>
      <c r="P154" s="11"/>
      <c r="Q154" s="11"/>
      <c r="R154" s="11"/>
      <c r="S154" s="11"/>
      <c r="T154" s="11"/>
      <c r="U154" s="11"/>
      <c r="V154" s="11"/>
      <c r="W154" s="11"/>
      <c r="X154" s="11"/>
      <c r="Y154" s="213"/>
      <c r="Z154" s="11"/>
      <c r="AA154" s="11"/>
      <c r="AB154" s="11"/>
      <c r="AC154" s="11"/>
      <c r="AD154" s="11"/>
      <c r="AE154" s="11"/>
      <c r="AF154" s="11"/>
      <c r="AG154" s="11"/>
      <c r="AH154" s="11"/>
      <c r="AI154" s="11"/>
      <c r="AJ154" s="11"/>
      <c r="AK154" s="11"/>
      <c r="AL154" s="11"/>
      <c r="AM154" s="11"/>
      <c r="AN154" s="11"/>
      <c r="AO154" s="11"/>
      <c r="AP154" s="11"/>
      <c r="AQ154" s="11"/>
      <c r="AR154" s="11"/>
      <c r="AS154" s="11"/>
      <c r="AT154" s="213"/>
      <c r="AU154" s="11"/>
      <c r="AV154" s="11"/>
      <c r="AW154" s="11"/>
      <c r="AX154" s="11"/>
      <c r="AY154" s="11"/>
      <c r="AZ154" s="11"/>
      <c r="BA154" s="11"/>
      <c r="BB154" s="11"/>
      <c r="BC154" s="11"/>
      <c r="BD154" s="11"/>
      <c r="BE154" s="213"/>
      <c r="BF154" s="11"/>
      <c r="BG154" s="11"/>
      <c r="BH154" s="11"/>
      <c r="BI154" s="11"/>
      <c r="BJ154" s="11"/>
      <c r="BK154" s="11"/>
      <c r="BL154" s="11"/>
      <c r="BM154" s="11"/>
      <c r="BN154" s="11"/>
      <c r="BO154" s="11"/>
      <c r="BP154" s="11"/>
      <c r="BQ154" s="213"/>
      <c r="BR154" s="11" t="s">
        <v>1235</v>
      </c>
      <c r="BS154" s="11"/>
      <c r="BT154" s="11"/>
      <c r="BU154" s="11"/>
      <c r="BV154" s="11"/>
      <c r="BW154" s="11"/>
      <c r="BX154" s="11"/>
      <c r="BY154" s="11"/>
      <c r="BZ154" s="11"/>
      <c r="CA154" s="195"/>
      <c r="CB154" s="11"/>
      <c r="CC154" s="11"/>
      <c r="CD154" s="11"/>
      <c r="CE154" s="11"/>
      <c r="CF154" s="11"/>
      <c r="CG154" s="11"/>
      <c r="CH154" s="11"/>
      <c r="CI154" s="11"/>
      <c r="CJ154" s="11"/>
      <c r="CK154" s="213"/>
      <c r="CL154" s="11"/>
      <c r="CM154" s="11"/>
      <c r="CN154" s="11"/>
      <c r="CO154" s="11"/>
      <c r="CP154" s="11"/>
      <c r="CQ154" s="11"/>
      <c r="CR154" s="11"/>
      <c r="CS154" s="11"/>
      <c r="CT154" s="11"/>
      <c r="CU154" s="11"/>
      <c r="CV154" s="11"/>
      <c r="CW154" s="213"/>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213"/>
      <c r="EM154" s="11"/>
      <c r="EN154" s="11"/>
      <c r="EO154" s="11"/>
      <c r="EP154" s="11"/>
      <c r="EQ154" s="11"/>
      <c r="ER154" s="11"/>
      <c r="ES154" s="11"/>
      <c r="ET154" s="11"/>
      <c r="EU154" s="11"/>
      <c r="EV154" s="11"/>
      <c r="EW154" s="213"/>
      <c r="EX154" s="11"/>
      <c r="EY154" s="11"/>
      <c r="EZ154" s="11"/>
      <c r="FA154" s="213"/>
      <c r="FB154" s="11"/>
      <c r="FC154" s="11"/>
      <c r="FD154" s="11"/>
      <c r="FE154" s="11"/>
      <c r="FF154" s="11"/>
      <c r="FG154" s="11"/>
      <c r="FH154" s="11"/>
      <c r="FI154" s="213"/>
      <c r="FJ154" s="11"/>
      <c r="FK154" s="11"/>
      <c r="FL154" s="11"/>
      <c r="FM154" s="11"/>
      <c r="FN154" s="11"/>
      <c r="FO154" s="11"/>
      <c r="FP154" s="11"/>
      <c r="FQ154" s="11"/>
      <c r="FR154" s="11"/>
      <c r="FS154" s="11"/>
      <c r="FT154" s="213"/>
      <c r="FU154" s="11"/>
      <c r="FV154" s="11"/>
      <c r="FW154" s="11"/>
      <c r="FX154" s="11"/>
      <c r="FY154" s="11"/>
      <c r="FZ154" s="213"/>
      <c r="GA154" s="11"/>
      <c r="GB154" s="11"/>
      <c r="GC154" s="11"/>
      <c r="GD154" s="11"/>
      <c r="GE154" s="11"/>
      <c r="GF154" s="11"/>
      <c r="GG154" s="11"/>
      <c r="GH154" s="11"/>
      <c r="GI154" s="11"/>
      <c r="GJ154" s="11"/>
      <c r="GK154" s="11"/>
      <c r="GL154" s="11"/>
      <c r="GM154" s="11"/>
      <c r="GN154" s="11"/>
      <c r="GO154" s="11"/>
      <c r="GP154" s="152"/>
    </row>
    <row r="155" spans="1:198" x14ac:dyDescent="0.2">
      <c r="A155" s="79" t="s">
        <v>2271</v>
      </c>
      <c r="B155" s="11" t="str">
        <f t="shared" si="5"/>
        <v>-</v>
      </c>
      <c r="C155" s="11" t="s">
        <v>1235</v>
      </c>
      <c r="D155" s="11"/>
      <c r="E155" s="11"/>
      <c r="F155" s="11" t="s">
        <v>2812</v>
      </c>
      <c r="G155" s="213"/>
      <c r="H155" s="11" t="s">
        <v>1235</v>
      </c>
      <c r="I155" s="11"/>
      <c r="J155" s="11"/>
      <c r="K155" s="11"/>
      <c r="L155" s="11"/>
      <c r="M155" s="11"/>
      <c r="N155" s="11"/>
      <c r="O155" s="11"/>
      <c r="P155" s="11"/>
      <c r="Q155" s="11"/>
      <c r="R155" s="11"/>
      <c r="S155" s="11"/>
      <c r="T155" s="11"/>
      <c r="U155" s="11"/>
      <c r="V155" s="11"/>
      <c r="W155" s="11"/>
      <c r="X155" s="11"/>
      <c r="Y155" s="213"/>
      <c r="Z155" s="11" t="s">
        <v>1235</v>
      </c>
      <c r="AA155" s="11"/>
      <c r="AB155" s="11"/>
      <c r="AC155" s="11"/>
      <c r="AD155" s="11"/>
      <c r="AE155" s="11"/>
      <c r="AF155" s="11"/>
      <c r="AG155" s="11"/>
      <c r="AH155" s="11"/>
      <c r="AI155" s="11"/>
      <c r="AJ155" s="11"/>
      <c r="AK155" s="11"/>
      <c r="AL155" s="11"/>
      <c r="AM155" s="11"/>
      <c r="AN155" s="11"/>
      <c r="AO155" s="11"/>
      <c r="AP155" s="11"/>
      <c r="AQ155" s="11"/>
      <c r="AR155" s="11"/>
      <c r="AS155" s="11"/>
      <c r="AT155" s="213"/>
      <c r="AU155" s="11"/>
      <c r="AV155" s="11"/>
      <c r="AW155" s="11"/>
      <c r="AX155" s="11"/>
      <c r="AY155" s="11"/>
      <c r="AZ155" s="11"/>
      <c r="BA155" s="11"/>
      <c r="BB155" s="11"/>
      <c r="BC155" s="11"/>
      <c r="BD155" s="11"/>
      <c r="BE155" s="213"/>
      <c r="BF155" s="11"/>
      <c r="BG155" s="11"/>
      <c r="BH155" s="11"/>
      <c r="BI155" s="11"/>
      <c r="BJ155" s="11"/>
      <c r="BK155" s="11"/>
      <c r="BL155" s="11"/>
      <c r="BM155" s="11"/>
      <c r="BN155" s="11"/>
      <c r="BO155" s="11"/>
      <c r="BP155" s="11"/>
      <c r="BQ155" s="213"/>
      <c r="BR155" s="11"/>
      <c r="BS155" s="11"/>
      <c r="BT155" s="11"/>
      <c r="BU155" s="11"/>
      <c r="BV155" s="11"/>
      <c r="BW155" s="11"/>
      <c r="BX155" s="11"/>
      <c r="BY155" s="11"/>
      <c r="BZ155" s="11"/>
      <c r="CA155" s="195"/>
      <c r="CB155" s="11"/>
      <c r="CC155" s="11"/>
      <c r="CD155" s="11"/>
      <c r="CE155" s="11"/>
      <c r="CF155" s="11"/>
      <c r="CG155" s="11"/>
      <c r="CH155" s="11"/>
      <c r="CI155" s="11"/>
      <c r="CJ155" s="11"/>
      <c r="CK155" s="213" t="s">
        <v>1235</v>
      </c>
      <c r="CL155" s="11"/>
      <c r="CM155" s="11"/>
      <c r="CN155" s="11"/>
      <c r="CO155" s="11"/>
      <c r="CP155" s="11"/>
      <c r="CQ155" s="11"/>
      <c r="CR155" s="11"/>
      <c r="CS155" s="11"/>
      <c r="CT155" s="11"/>
      <c r="CU155" s="11"/>
      <c r="CV155" s="11"/>
      <c r="CW155" s="213"/>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213"/>
      <c r="EM155" s="11"/>
      <c r="EN155" s="11"/>
      <c r="EO155" s="11"/>
      <c r="EP155" s="11"/>
      <c r="EQ155" s="11"/>
      <c r="ER155" s="11"/>
      <c r="ES155" s="11"/>
      <c r="ET155" s="11"/>
      <c r="EU155" s="11"/>
      <c r="EV155" s="11"/>
      <c r="EW155" s="213" t="s">
        <v>1235</v>
      </c>
      <c r="EX155" s="11"/>
      <c r="EY155" s="11"/>
      <c r="EZ155" s="11"/>
      <c r="FA155" s="213"/>
      <c r="FB155" s="11"/>
      <c r="FC155" s="11"/>
      <c r="FD155" s="11"/>
      <c r="FE155" s="11"/>
      <c r="FF155" s="11"/>
      <c r="FG155" s="11"/>
      <c r="FH155" s="11"/>
      <c r="FI155" s="213"/>
      <c r="FJ155" s="11"/>
      <c r="FK155" s="11"/>
      <c r="FL155" s="11"/>
      <c r="FM155" s="11"/>
      <c r="FN155" s="11"/>
      <c r="FO155" s="11"/>
      <c r="FP155" s="11"/>
      <c r="FQ155" s="11"/>
      <c r="FR155" s="11"/>
      <c r="FS155" s="11"/>
      <c r="FT155" s="213"/>
      <c r="FU155" s="11"/>
      <c r="FV155" s="11"/>
      <c r="FW155" s="11"/>
      <c r="FX155" s="11"/>
      <c r="FY155" s="11"/>
      <c r="FZ155" s="213"/>
      <c r="GA155" s="11"/>
      <c r="GB155" s="11"/>
      <c r="GC155" s="11"/>
      <c r="GD155" s="11"/>
      <c r="GE155" s="11"/>
      <c r="GF155" s="11"/>
      <c r="GG155" s="11"/>
      <c r="GH155" s="11"/>
      <c r="GI155" s="11"/>
      <c r="GJ155" s="11"/>
      <c r="GK155" s="11"/>
      <c r="GL155" s="11"/>
      <c r="GM155" s="11"/>
      <c r="GN155" s="11"/>
      <c r="GO155" s="11"/>
      <c r="GP155" s="152"/>
    </row>
    <row r="156" spans="1:198" x14ac:dyDescent="0.2">
      <c r="A156" s="79" t="s">
        <v>2277</v>
      </c>
      <c r="B156" s="11" t="str">
        <f t="shared" si="5"/>
        <v>-</v>
      </c>
      <c r="C156" s="11" t="s">
        <v>1235</v>
      </c>
      <c r="D156" s="11"/>
      <c r="E156" s="11"/>
      <c r="F156" s="11" t="s">
        <v>2812</v>
      </c>
      <c r="G156" s="213"/>
      <c r="H156" s="11" t="s">
        <v>1235</v>
      </c>
      <c r="I156" s="11"/>
      <c r="J156" s="11"/>
      <c r="K156" s="11"/>
      <c r="L156" s="11"/>
      <c r="M156" s="11"/>
      <c r="N156" s="11"/>
      <c r="O156" s="11"/>
      <c r="P156" s="11"/>
      <c r="Q156" s="11"/>
      <c r="R156" s="11"/>
      <c r="S156" s="11"/>
      <c r="T156" s="11"/>
      <c r="U156" s="11"/>
      <c r="V156" s="11"/>
      <c r="W156" s="11"/>
      <c r="X156" s="11"/>
      <c r="Y156" s="213"/>
      <c r="Z156" s="11" t="s">
        <v>1235</v>
      </c>
      <c r="AA156" s="11"/>
      <c r="AB156" s="11"/>
      <c r="AC156" s="11"/>
      <c r="AD156" s="11"/>
      <c r="AE156" s="11"/>
      <c r="AF156" s="11"/>
      <c r="AG156" s="11"/>
      <c r="AH156" s="11"/>
      <c r="AI156" s="11"/>
      <c r="AJ156" s="11"/>
      <c r="AK156" s="11"/>
      <c r="AL156" s="11"/>
      <c r="AM156" s="11"/>
      <c r="AN156" s="11"/>
      <c r="AO156" s="11"/>
      <c r="AP156" s="11"/>
      <c r="AQ156" s="11"/>
      <c r="AR156" s="11"/>
      <c r="AS156" s="11"/>
      <c r="AT156" s="213"/>
      <c r="AU156" s="11"/>
      <c r="AV156" s="11"/>
      <c r="AW156" s="11"/>
      <c r="AX156" s="11"/>
      <c r="AY156" s="11"/>
      <c r="AZ156" s="11"/>
      <c r="BA156" s="11"/>
      <c r="BB156" s="11"/>
      <c r="BC156" s="11"/>
      <c r="BD156" s="11"/>
      <c r="BE156" s="213"/>
      <c r="BF156" s="11"/>
      <c r="BG156" s="11"/>
      <c r="BH156" s="11"/>
      <c r="BI156" s="11"/>
      <c r="BJ156" s="11"/>
      <c r="BK156" s="11"/>
      <c r="BL156" s="11"/>
      <c r="BM156" s="11"/>
      <c r="BN156" s="11"/>
      <c r="BO156" s="11"/>
      <c r="BP156" s="11"/>
      <c r="BQ156" s="213"/>
      <c r="BR156" s="11"/>
      <c r="BS156" s="11"/>
      <c r="BT156" s="11"/>
      <c r="BU156" s="11"/>
      <c r="BV156" s="11"/>
      <c r="BW156" s="11"/>
      <c r="BX156" s="11"/>
      <c r="BY156" s="11"/>
      <c r="BZ156" s="11"/>
      <c r="CA156" s="195"/>
      <c r="CB156" s="11"/>
      <c r="CC156" s="11"/>
      <c r="CD156" s="11"/>
      <c r="CE156" s="11"/>
      <c r="CF156" s="11"/>
      <c r="CG156" s="11"/>
      <c r="CH156" s="11"/>
      <c r="CI156" s="11"/>
      <c r="CJ156" s="11"/>
      <c r="CK156" s="213"/>
      <c r="CL156" s="11"/>
      <c r="CM156" s="11"/>
      <c r="CN156" s="11"/>
      <c r="CO156" s="11"/>
      <c r="CP156" s="11"/>
      <c r="CQ156" s="11"/>
      <c r="CR156" s="11"/>
      <c r="CS156" s="11"/>
      <c r="CT156" s="11"/>
      <c r="CU156" s="11"/>
      <c r="CV156" s="11"/>
      <c r="CW156" s="213"/>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213"/>
      <c r="EM156" s="11"/>
      <c r="EN156" s="11"/>
      <c r="EO156" s="11"/>
      <c r="EP156" s="11"/>
      <c r="EQ156" s="11"/>
      <c r="ER156" s="11"/>
      <c r="ES156" s="11"/>
      <c r="ET156" s="11"/>
      <c r="EU156" s="11"/>
      <c r="EV156" s="11"/>
      <c r="EW156" s="213"/>
      <c r="EX156" s="11"/>
      <c r="EY156" s="11"/>
      <c r="EZ156" s="11"/>
      <c r="FA156" s="213"/>
      <c r="FB156" s="11"/>
      <c r="FC156" s="11"/>
      <c r="FD156" s="11"/>
      <c r="FE156" s="11"/>
      <c r="FF156" s="11"/>
      <c r="FG156" s="11"/>
      <c r="FH156" s="11"/>
      <c r="FI156" s="213"/>
      <c r="FJ156" s="11"/>
      <c r="FK156" s="11"/>
      <c r="FL156" s="11"/>
      <c r="FM156" s="11"/>
      <c r="FN156" s="11"/>
      <c r="FO156" s="11"/>
      <c r="FP156" s="11"/>
      <c r="FQ156" s="11"/>
      <c r="FR156" s="11"/>
      <c r="FS156" s="11"/>
      <c r="FT156" s="213"/>
      <c r="FU156" s="11"/>
      <c r="FV156" s="11"/>
      <c r="FW156" s="11"/>
      <c r="FX156" s="11"/>
      <c r="FY156" s="11"/>
      <c r="FZ156" s="213"/>
      <c r="GA156" s="11"/>
      <c r="GB156" s="11"/>
      <c r="GC156" s="11"/>
      <c r="GD156" s="11"/>
      <c r="GE156" s="11"/>
      <c r="GF156" s="11"/>
      <c r="GG156" s="11"/>
      <c r="GH156" s="11"/>
      <c r="GI156" s="11"/>
      <c r="GJ156" s="11"/>
      <c r="GK156" s="11"/>
      <c r="GL156" s="11"/>
      <c r="GM156" s="11"/>
      <c r="GN156" s="11"/>
      <c r="GO156" s="11"/>
      <c r="GP156" s="152"/>
    </row>
    <row r="157" spans="1:198" x14ac:dyDescent="0.2">
      <c r="A157" s="79" t="s">
        <v>2280</v>
      </c>
      <c r="B157" s="11" t="str">
        <f t="shared" si="5"/>
        <v>-</v>
      </c>
      <c r="C157" s="11" t="s">
        <v>1235</v>
      </c>
      <c r="D157" s="11"/>
      <c r="E157" s="11"/>
      <c r="F157" s="11" t="s">
        <v>2812</v>
      </c>
      <c r="G157" s="213"/>
      <c r="H157" s="11"/>
      <c r="I157" s="11"/>
      <c r="J157" s="11"/>
      <c r="K157" s="11"/>
      <c r="L157" s="11"/>
      <c r="M157" s="11"/>
      <c r="N157" s="11"/>
      <c r="O157" s="11"/>
      <c r="P157" s="11"/>
      <c r="Q157" s="11"/>
      <c r="R157" s="11"/>
      <c r="S157" s="11"/>
      <c r="T157" s="11"/>
      <c r="U157" s="11"/>
      <c r="V157" s="11"/>
      <c r="W157" s="11"/>
      <c r="X157" s="11"/>
      <c r="Y157" s="213"/>
      <c r="Z157" s="11" t="s">
        <v>1235</v>
      </c>
      <c r="AA157" s="11"/>
      <c r="AB157" s="11"/>
      <c r="AC157" s="11"/>
      <c r="AD157" s="11"/>
      <c r="AE157" s="11"/>
      <c r="AF157" s="11"/>
      <c r="AG157" s="11"/>
      <c r="AH157" s="11"/>
      <c r="AI157" s="11"/>
      <c r="AJ157" s="11"/>
      <c r="AK157" s="11"/>
      <c r="AL157" s="11"/>
      <c r="AM157" s="11"/>
      <c r="AN157" s="11"/>
      <c r="AO157" s="11"/>
      <c r="AP157" s="11"/>
      <c r="AQ157" s="11"/>
      <c r="AR157" s="11"/>
      <c r="AS157" s="11"/>
      <c r="AT157" s="213"/>
      <c r="AU157" s="11"/>
      <c r="AV157" s="11"/>
      <c r="AW157" s="11"/>
      <c r="AX157" s="11"/>
      <c r="AY157" s="11"/>
      <c r="AZ157" s="11"/>
      <c r="BA157" s="11"/>
      <c r="BB157" s="11"/>
      <c r="BC157" s="11"/>
      <c r="BD157" s="11"/>
      <c r="BE157" s="213"/>
      <c r="BF157" s="11"/>
      <c r="BG157" s="11"/>
      <c r="BH157" s="11"/>
      <c r="BI157" s="11"/>
      <c r="BJ157" s="11"/>
      <c r="BK157" s="11"/>
      <c r="BL157" s="11"/>
      <c r="BM157" s="11"/>
      <c r="BN157" s="11"/>
      <c r="BO157" s="11"/>
      <c r="BP157" s="11"/>
      <c r="BQ157" s="213"/>
      <c r="BR157" s="11"/>
      <c r="BS157" s="11"/>
      <c r="BT157" s="11"/>
      <c r="BU157" s="11"/>
      <c r="BV157" s="11"/>
      <c r="BW157" s="11"/>
      <c r="BX157" s="11"/>
      <c r="BY157" s="11"/>
      <c r="BZ157" s="11"/>
      <c r="CA157" s="195"/>
      <c r="CB157" s="11"/>
      <c r="CC157" s="11"/>
      <c r="CD157" s="11"/>
      <c r="CE157" s="11"/>
      <c r="CF157" s="11"/>
      <c r="CG157" s="11"/>
      <c r="CH157" s="11"/>
      <c r="CI157" s="11"/>
      <c r="CJ157" s="11"/>
      <c r="CK157" s="213"/>
      <c r="CL157" s="11"/>
      <c r="CM157" s="11"/>
      <c r="CN157" s="11"/>
      <c r="CO157" s="11"/>
      <c r="CP157" s="11"/>
      <c r="CQ157" s="11"/>
      <c r="CR157" s="11"/>
      <c r="CS157" s="11"/>
      <c r="CT157" s="11"/>
      <c r="CU157" s="11"/>
      <c r="CV157" s="11"/>
      <c r="CW157" s="213"/>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213"/>
      <c r="EM157" s="11"/>
      <c r="EN157" s="11"/>
      <c r="EO157" s="11"/>
      <c r="EP157" s="11"/>
      <c r="EQ157" s="11"/>
      <c r="ER157" s="11"/>
      <c r="ES157" s="11"/>
      <c r="ET157" s="11"/>
      <c r="EU157" s="11"/>
      <c r="EV157" s="11"/>
      <c r="EW157" s="213"/>
      <c r="EX157" s="11"/>
      <c r="EY157" s="11"/>
      <c r="EZ157" s="11"/>
      <c r="FA157" s="213"/>
      <c r="FB157" s="11"/>
      <c r="FC157" s="11"/>
      <c r="FD157" s="11"/>
      <c r="FE157" s="11"/>
      <c r="FF157" s="11"/>
      <c r="FG157" s="11"/>
      <c r="FH157" s="11"/>
      <c r="FI157" s="213"/>
      <c r="FJ157" s="11"/>
      <c r="FK157" s="11"/>
      <c r="FL157" s="11"/>
      <c r="FM157" s="11"/>
      <c r="FN157" s="11"/>
      <c r="FO157" s="11"/>
      <c r="FP157" s="11"/>
      <c r="FQ157" s="11"/>
      <c r="FR157" s="11"/>
      <c r="FS157" s="11"/>
      <c r="FT157" s="213"/>
      <c r="FU157" s="11"/>
      <c r="FV157" s="11"/>
      <c r="FW157" s="11"/>
      <c r="FX157" s="11"/>
      <c r="FY157" s="11"/>
      <c r="FZ157" s="213"/>
      <c r="GA157" s="11"/>
      <c r="GB157" s="11"/>
      <c r="GC157" s="11"/>
      <c r="GD157" s="11"/>
      <c r="GE157" s="11"/>
      <c r="GF157" s="11"/>
      <c r="GG157" s="11"/>
      <c r="GH157" s="11"/>
      <c r="GI157" s="11"/>
      <c r="GJ157" s="11"/>
      <c r="GK157" s="11"/>
      <c r="GL157" s="11"/>
      <c r="GM157" s="11"/>
      <c r="GN157" s="11"/>
      <c r="GO157" s="11"/>
      <c r="GP157" s="152"/>
    </row>
    <row r="158" spans="1:198" x14ac:dyDescent="0.2">
      <c r="A158" s="79" t="s">
        <v>2283</v>
      </c>
      <c r="B158" s="11" t="str">
        <f t="shared" si="5"/>
        <v>-</v>
      </c>
      <c r="C158" s="11" t="s">
        <v>1235</v>
      </c>
      <c r="D158" s="11"/>
      <c r="E158" s="11"/>
      <c r="F158" s="11" t="s">
        <v>2812</v>
      </c>
      <c r="G158" s="213"/>
      <c r="H158" s="11" t="s">
        <v>1235</v>
      </c>
      <c r="I158" s="11"/>
      <c r="J158" s="11"/>
      <c r="K158" s="11"/>
      <c r="L158" s="11"/>
      <c r="M158" s="11" t="s">
        <v>1235</v>
      </c>
      <c r="N158" s="11"/>
      <c r="O158" s="11"/>
      <c r="P158" s="11"/>
      <c r="Q158" s="11" t="s">
        <v>1235</v>
      </c>
      <c r="R158" s="11"/>
      <c r="S158" s="11"/>
      <c r="T158" s="11"/>
      <c r="U158" s="11"/>
      <c r="V158" s="11"/>
      <c r="W158" s="11" t="s">
        <v>1235</v>
      </c>
      <c r="X158" s="11"/>
      <c r="Y158" s="213"/>
      <c r="Z158" s="11" t="s">
        <v>1235</v>
      </c>
      <c r="AA158" s="11" t="s">
        <v>1235</v>
      </c>
      <c r="AB158" s="11"/>
      <c r="AC158" s="11"/>
      <c r="AD158" s="11"/>
      <c r="AE158" s="11"/>
      <c r="AF158" s="11"/>
      <c r="AG158" s="11"/>
      <c r="AH158" s="11"/>
      <c r="AI158" s="11"/>
      <c r="AJ158" s="11"/>
      <c r="AK158" s="11"/>
      <c r="AL158" s="11"/>
      <c r="AM158" s="11"/>
      <c r="AN158" s="11"/>
      <c r="AO158" s="11"/>
      <c r="AP158" s="11"/>
      <c r="AQ158" s="11"/>
      <c r="AR158" s="11"/>
      <c r="AS158" s="11"/>
      <c r="AT158" s="213" t="s">
        <v>1235</v>
      </c>
      <c r="AU158" s="11"/>
      <c r="AV158" s="11"/>
      <c r="AW158" s="11"/>
      <c r="AX158" s="11"/>
      <c r="AY158" s="11"/>
      <c r="AZ158" s="11"/>
      <c r="BA158" s="11"/>
      <c r="BB158" s="11"/>
      <c r="BC158" s="11"/>
      <c r="BD158" s="11"/>
      <c r="BE158" s="213"/>
      <c r="BF158" s="11"/>
      <c r="BG158" s="11"/>
      <c r="BH158" s="11"/>
      <c r="BI158" s="11"/>
      <c r="BJ158" s="11"/>
      <c r="BK158" s="11"/>
      <c r="BL158" s="11"/>
      <c r="BM158" s="11"/>
      <c r="BN158" s="11"/>
      <c r="BO158" s="11"/>
      <c r="BP158" s="11"/>
      <c r="BQ158" s="213"/>
      <c r="BR158" s="11"/>
      <c r="BS158" s="11"/>
      <c r="BT158" s="11"/>
      <c r="BU158" s="11"/>
      <c r="BV158" s="11"/>
      <c r="BW158" s="11"/>
      <c r="BX158" s="11"/>
      <c r="BY158" s="11"/>
      <c r="BZ158" s="11"/>
      <c r="CA158" s="195"/>
      <c r="CB158" s="11"/>
      <c r="CC158" s="11"/>
      <c r="CD158" s="11"/>
      <c r="CE158" s="11"/>
      <c r="CF158" s="11"/>
      <c r="CG158" s="11"/>
      <c r="CH158" s="11"/>
      <c r="CI158" s="11"/>
      <c r="CJ158" s="11"/>
      <c r="CK158" s="213" t="s">
        <v>1235</v>
      </c>
      <c r="CL158" s="11"/>
      <c r="CM158" s="11"/>
      <c r="CN158" s="11"/>
      <c r="CO158" s="11"/>
      <c r="CP158" s="11"/>
      <c r="CQ158" s="11"/>
      <c r="CR158" s="11"/>
      <c r="CS158" s="11"/>
      <c r="CT158" s="11"/>
      <c r="CU158" s="11"/>
      <c r="CV158" s="11"/>
      <c r="CW158" s="213"/>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213"/>
      <c r="EM158" s="11"/>
      <c r="EN158" s="11"/>
      <c r="EO158" s="11"/>
      <c r="EP158" s="11"/>
      <c r="EQ158" s="11"/>
      <c r="ER158" s="11"/>
      <c r="ES158" s="11"/>
      <c r="ET158" s="11"/>
      <c r="EU158" s="11"/>
      <c r="EV158" s="11"/>
      <c r="EW158" s="213"/>
      <c r="EX158" s="11"/>
      <c r="EY158" s="11"/>
      <c r="EZ158" s="11"/>
      <c r="FA158" s="213"/>
      <c r="FB158" s="11"/>
      <c r="FC158" s="11"/>
      <c r="FD158" s="11"/>
      <c r="FE158" s="11"/>
      <c r="FF158" s="11"/>
      <c r="FG158" s="11"/>
      <c r="FH158" s="11"/>
      <c r="FI158" s="213"/>
      <c r="FJ158" s="11"/>
      <c r="FK158" s="11"/>
      <c r="FL158" s="11"/>
      <c r="FM158" s="11"/>
      <c r="FN158" s="11"/>
      <c r="FO158" s="11"/>
      <c r="FP158" s="11"/>
      <c r="FQ158" s="11"/>
      <c r="FR158" s="11"/>
      <c r="FS158" s="11"/>
      <c r="FT158" s="213"/>
      <c r="FU158" s="11"/>
      <c r="FV158" s="11"/>
      <c r="FW158" s="11"/>
      <c r="FX158" s="11"/>
      <c r="FY158" s="11"/>
      <c r="FZ158" s="213"/>
      <c r="GA158" s="11"/>
      <c r="GB158" s="11"/>
      <c r="GC158" s="11"/>
      <c r="GD158" s="11"/>
      <c r="GE158" s="11"/>
      <c r="GF158" s="11"/>
      <c r="GG158" s="11"/>
      <c r="GH158" s="11"/>
      <c r="GI158" s="11"/>
      <c r="GJ158" s="11"/>
      <c r="GK158" s="11"/>
      <c r="GL158" s="11"/>
      <c r="GM158" s="11"/>
      <c r="GN158" s="11"/>
      <c r="GO158" s="11"/>
      <c r="GP158" s="152"/>
    </row>
    <row r="159" spans="1:198" x14ac:dyDescent="0.2">
      <c r="A159" s="79" t="s">
        <v>2287</v>
      </c>
      <c r="B159" s="11" t="str">
        <f t="shared" si="5"/>
        <v>-</v>
      </c>
      <c r="C159" s="11" t="s">
        <v>1235</v>
      </c>
      <c r="D159" s="11"/>
      <c r="E159" s="11"/>
      <c r="F159" s="11" t="s">
        <v>2812</v>
      </c>
      <c r="G159" s="213"/>
      <c r="H159" s="11"/>
      <c r="I159" s="11"/>
      <c r="J159" s="11"/>
      <c r="K159" s="11"/>
      <c r="L159" s="11"/>
      <c r="M159" s="11"/>
      <c r="N159" s="11"/>
      <c r="O159" s="11"/>
      <c r="P159" s="11"/>
      <c r="Q159" s="11"/>
      <c r="R159" s="11"/>
      <c r="S159" s="11"/>
      <c r="T159" s="11"/>
      <c r="U159" s="11"/>
      <c r="V159" s="11"/>
      <c r="W159" s="11"/>
      <c r="X159" s="11"/>
      <c r="Y159" s="213"/>
      <c r="Z159" s="11"/>
      <c r="AA159" s="11"/>
      <c r="AB159" s="11"/>
      <c r="AC159" s="11"/>
      <c r="AD159" s="11"/>
      <c r="AE159" s="11"/>
      <c r="AF159" s="11"/>
      <c r="AG159" s="11"/>
      <c r="AH159" s="11"/>
      <c r="AI159" s="11"/>
      <c r="AJ159" s="11"/>
      <c r="AK159" s="11"/>
      <c r="AL159" s="11"/>
      <c r="AM159" s="11"/>
      <c r="AN159" s="11"/>
      <c r="AO159" s="11"/>
      <c r="AP159" s="11"/>
      <c r="AQ159" s="11"/>
      <c r="AR159" s="11"/>
      <c r="AS159" s="11"/>
      <c r="AT159" s="213"/>
      <c r="AU159" s="11"/>
      <c r="AV159" s="11"/>
      <c r="AW159" s="11"/>
      <c r="AX159" s="11"/>
      <c r="AY159" s="11"/>
      <c r="AZ159" s="11"/>
      <c r="BA159" s="11"/>
      <c r="BB159" s="11"/>
      <c r="BC159" s="11"/>
      <c r="BD159" s="11"/>
      <c r="BE159" s="213"/>
      <c r="BF159" s="11"/>
      <c r="BG159" s="11"/>
      <c r="BH159" s="11"/>
      <c r="BI159" s="11"/>
      <c r="BJ159" s="11"/>
      <c r="BK159" s="11"/>
      <c r="BL159" s="11"/>
      <c r="BM159" s="11"/>
      <c r="BN159" s="11"/>
      <c r="BO159" s="11"/>
      <c r="BP159" s="11"/>
      <c r="BQ159" s="213"/>
      <c r="BR159" s="11"/>
      <c r="BS159" s="11"/>
      <c r="BT159" s="11"/>
      <c r="BU159" s="11"/>
      <c r="BV159" s="11"/>
      <c r="BW159" s="11"/>
      <c r="BX159" s="11"/>
      <c r="BY159" s="11"/>
      <c r="BZ159" s="11"/>
      <c r="CA159" s="195"/>
      <c r="CB159" s="11"/>
      <c r="CC159" s="11"/>
      <c r="CD159" s="11"/>
      <c r="CE159" s="11"/>
      <c r="CF159" s="11"/>
      <c r="CG159" s="11"/>
      <c r="CH159" s="11"/>
      <c r="CI159" s="11"/>
      <c r="CJ159" s="11"/>
      <c r="CK159" s="213"/>
      <c r="CL159" s="11"/>
      <c r="CM159" s="11"/>
      <c r="CN159" s="11"/>
      <c r="CO159" s="11"/>
      <c r="CP159" s="11"/>
      <c r="CQ159" s="11"/>
      <c r="CR159" s="11"/>
      <c r="CS159" s="11"/>
      <c r="CT159" s="11"/>
      <c r="CU159" s="11"/>
      <c r="CV159" s="11"/>
      <c r="CW159" s="213"/>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213"/>
      <c r="EM159" s="11"/>
      <c r="EN159" s="11"/>
      <c r="EO159" s="11"/>
      <c r="EP159" s="11"/>
      <c r="EQ159" s="11"/>
      <c r="ER159" s="11"/>
      <c r="ES159" s="11"/>
      <c r="ET159" s="11"/>
      <c r="EU159" s="11"/>
      <c r="EV159" s="11"/>
      <c r="EW159" s="213"/>
      <c r="EX159" s="11"/>
      <c r="EY159" s="11"/>
      <c r="EZ159" s="11"/>
      <c r="FA159" s="213"/>
      <c r="FB159" s="11"/>
      <c r="FC159" s="11"/>
      <c r="FD159" s="11"/>
      <c r="FE159" s="11"/>
      <c r="FF159" s="11"/>
      <c r="FG159" s="11"/>
      <c r="FH159" s="11"/>
      <c r="FI159" s="213" t="s">
        <v>1235</v>
      </c>
      <c r="FJ159" s="11"/>
      <c r="FK159" s="11"/>
      <c r="FL159" s="11"/>
      <c r="FM159" s="11"/>
      <c r="FN159" s="11"/>
      <c r="FO159" s="11"/>
      <c r="FP159" s="11"/>
      <c r="FQ159" s="11"/>
      <c r="FR159" s="11"/>
      <c r="FS159" s="11"/>
      <c r="FT159" s="213"/>
      <c r="FU159" s="11"/>
      <c r="FV159" s="11"/>
      <c r="FW159" s="11"/>
      <c r="FX159" s="11"/>
      <c r="FY159" s="11"/>
      <c r="FZ159" s="213"/>
      <c r="GA159" s="11"/>
      <c r="GB159" s="11"/>
      <c r="GC159" s="11"/>
      <c r="GD159" s="11"/>
      <c r="GE159" s="11"/>
      <c r="GF159" s="11"/>
      <c r="GG159" s="11"/>
      <c r="GH159" s="11"/>
      <c r="GI159" s="11"/>
      <c r="GJ159" s="11"/>
      <c r="GK159" s="11"/>
      <c r="GL159" s="11"/>
      <c r="GM159" s="11"/>
      <c r="GN159" s="11"/>
      <c r="GO159" s="11"/>
      <c r="GP159" s="152"/>
    </row>
    <row r="160" spans="1:198" x14ac:dyDescent="0.2">
      <c r="A160" s="79" t="s">
        <v>2295</v>
      </c>
      <c r="B160" s="11" t="str">
        <f>IF(AND(ISTEXT("https://github.com/Tourneso/DeepFusion"),"https://github.com/Tourneso/DeepFusion"&lt;&gt;""), HYPERLINK("https://github.com/Tourneso/DeepFusion", "Link"),"-")</f>
        <v>Link</v>
      </c>
      <c r="C160" s="11" t="s">
        <v>1235</v>
      </c>
      <c r="D160" s="11"/>
      <c r="E160" s="11" t="s">
        <v>1235</v>
      </c>
      <c r="F160" s="11" t="s">
        <v>2812</v>
      </c>
      <c r="G160" s="213"/>
      <c r="H160" s="11" t="s">
        <v>1235</v>
      </c>
      <c r="I160" s="11"/>
      <c r="J160" s="11"/>
      <c r="K160" s="11"/>
      <c r="L160" s="11"/>
      <c r="M160" s="11"/>
      <c r="N160" s="11"/>
      <c r="O160" s="11"/>
      <c r="P160" s="11"/>
      <c r="Q160" s="11"/>
      <c r="R160" s="11"/>
      <c r="S160" s="11"/>
      <c r="T160" s="11"/>
      <c r="U160" s="11"/>
      <c r="V160" s="11"/>
      <c r="W160" s="11"/>
      <c r="X160" s="11"/>
      <c r="Y160" s="213"/>
      <c r="Z160" s="11" t="s">
        <v>1235</v>
      </c>
      <c r="AA160" s="11"/>
      <c r="AB160" s="11"/>
      <c r="AC160" s="11"/>
      <c r="AD160" s="11"/>
      <c r="AE160" s="11"/>
      <c r="AF160" s="11"/>
      <c r="AG160" s="11"/>
      <c r="AH160" s="11"/>
      <c r="AI160" s="11"/>
      <c r="AJ160" s="11"/>
      <c r="AK160" s="11"/>
      <c r="AL160" s="11"/>
      <c r="AM160" s="11"/>
      <c r="AN160" s="11"/>
      <c r="AO160" s="11"/>
      <c r="AP160" s="11"/>
      <c r="AQ160" s="11"/>
      <c r="AR160" s="11"/>
      <c r="AS160" s="11"/>
      <c r="AT160" s="213"/>
      <c r="AU160" s="11"/>
      <c r="AV160" s="11"/>
      <c r="AW160" s="11"/>
      <c r="AX160" s="11"/>
      <c r="AY160" s="11"/>
      <c r="AZ160" s="11"/>
      <c r="BA160" s="11"/>
      <c r="BB160" s="11"/>
      <c r="BC160" s="11"/>
      <c r="BD160" s="11"/>
      <c r="BE160" s="213"/>
      <c r="BF160" s="11"/>
      <c r="BG160" s="11"/>
      <c r="BH160" s="11"/>
      <c r="BI160" s="11"/>
      <c r="BJ160" s="11"/>
      <c r="BK160" s="11"/>
      <c r="BL160" s="11"/>
      <c r="BM160" s="11"/>
      <c r="BN160" s="11"/>
      <c r="BO160" s="11"/>
      <c r="BP160" s="11"/>
      <c r="BQ160" s="213"/>
      <c r="BR160" s="11" t="s">
        <v>1235</v>
      </c>
      <c r="BS160" s="11"/>
      <c r="BT160" s="11" t="s">
        <v>1235</v>
      </c>
      <c r="BU160" s="11"/>
      <c r="BV160" s="11"/>
      <c r="BW160" s="11"/>
      <c r="BX160" s="11"/>
      <c r="BY160" s="11"/>
      <c r="BZ160" s="11"/>
      <c r="CA160" s="195"/>
      <c r="CB160" s="11"/>
      <c r="CC160" s="11"/>
      <c r="CD160" s="11"/>
      <c r="CE160" s="11"/>
      <c r="CF160" s="11"/>
      <c r="CG160" s="11"/>
      <c r="CH160" s="11"/>
      <c r="CI160" s="11"/>
      <c r="CJ160" s="11"/>
      <c r="CK160" s="213" t="s">
        <v>1235</v>
      </c>
      <c r="CL160" s="11"/>
      <c r="CM160" s="11"/>
      <c r="CN160" s="11"/>
      <c r="CO160" s="11"/>
      <c r="CP160" s="11"/>
      <c r="CQ160" s="11"/>
      <c r="CR160" s="11"/>
      <c r="CS160" s="11"/>
      <c r="CT160" s="11"/>
      <c r="CU160" s="11"/>
      <c r="CV160" s="11"/>
      <c r="CW160" s="213"/>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213"/>
      <c r="EM160" s="11"/>
      <c r="EN160" s="11"/>
      <c r="EO160" s="11"/>
      <c r="EP160" s="11"/>
      <c r="EQ160" s="11"/>
      <c r="ER160" s="11"/>
      <c r="ES160" s="11"/>
      <c r="ET160" s="11"/>
      <c r="EU160" s="11"/>
      <c r="EV160" s="11"/>
      <c r="EW160" s="213"/>
      <c r="EX160" s="11"/>
      <c r="EY160" s="11"/>
      <c r="EZ160" s="11"/>
      <c r="FA160" s="213"/>
      <c r="FB160" s="11"/>
      <c r="FC160" s="11"/>
      <c r="FD160" s="11"/>
      <c r="FE160" s="11"/>
      <c r="FF160" s="11"/>
      <c r="FG160" s="11"/>
      <c r="FH160" s="11"/>
      <c r="FI160" s="213"/>
      <c r="FJ160" s="11"/>
      <c r="FK160" s="11"/>
      <c r="FL160" s="11"/>
      <c r="FM160" s="11"/>
      <c r="FN160" s="11"/>
      <c r="FO160" s="11"/>
      <c r="FP160" s="11"/>
      <c r="FQ160" s="11"/>
      <c r="FR160" s="11"/>
      <c r="FS160" s="11"/>
      <c r="FT160" s="213"/>
      <c r="FU160" s="11"/>
      <c r="FV160" s="11"/>
      <c r="FW160" s="11"/>
      <c r="FX160" s="11"/>
      <c r="FY160" s="11"/>
      <c r="FZ160" s="213"/>
      <c r="GA160" s="11"/>
      <c r="GB160" s="11"/>
      <c r="GC160" s="11"/>
      <c r="GD160" s="11"/>
      <c r="GE160" s="11"/>
      <c r="GF160" s="11"/>
      <c r="GG160" s="11"/>
      <c r="GH160" s="11"/>
      <c r="GI160" s="11"/>
      <c r="GJ160" s="11"/>
      <c r="GK160" s="11"/>
      <c r="GL160" s="11"/>
      <c r="GM160" s="11"/>
      <c r="GN160" s="11"/>
      <c r="GO160" s="11"/>
      <c r="GP160" s="152"/>
    </row>
    <row r="161" spans="1:223" x14ac:dyDescent="0.2">
      <c r="A161" s="79" t="s">
        <v>2298</v>
      </c>
      <c r="B161" s="11" t="str">
        <f>IF(AND(ISTEXT("https://github.com/Wang-Yi-chen/ContractGNN"),"https://github.com/Wang-Yi-chen/ContractGNN"&lt;&gt;""), HYPERLINK("https://github.com/Wang-Yi-chen/ContractGNN", "Link"),"-")</f>
        <v>Link</v>
      </c>
      <c r="C161" s="11" t="s">
        <v>1235</v>
      </c>
      <c r="D161" s="11"/>
      <c r="E161" s="11" t="s">
        <v>1235</v>
      </c>
      <c r="F161" s="11" t="s">
        <v>2812</v>
      </c>
      <c r="G161" s="213"/>
      <c r="H161" s="11" t="s">
        <v>1235</v>
      </c>
      <c r="I161" s="11"/>
      <c r="J161" s="11"/>
      <c r="K161" s="11"/>
      <c r="L161" s="11"/>
      <c r="M161" s="11"/>
      <c r="N161" s="11"/>
      <c r="O161" s="11"/>
      <c r="P161" s="11"/>
      <c r="Q161" s="11"/>
      <c r="R161" s="11"/>
      <c r="S161" s="11"/>
      <c r="T161" s="11"/>
      <c r="U161" s="11"/>
      <c r="V161" s="11"/>
      <c r="W161" s="11"/>
      <c r="X161" s="11"/>
      <c r="Y161" s="213"/>
      <c r="Z161" s="11" t="s">
        <v>1235</v>
      </c>
      <c r="AA161" s="11"/>
      <c r="AB161" s="11"/>
      <c r="AC161" s="11"/>
      <c r="AD161" s="11"/>
      <c r="AE161" s="11"/>
      <c r="AF161" s="11"/>
      <c r="AG161" s="11"/>
      <c r="AH161" s="11"/>
      <c r="AI161" s="11"/>
      <c r="AJ161" s="11"/>
      <c r="AK161" s="11"/>
      <c r="AL161" s="11"/>
      <c r="AM161" s="11"/>
      <c r="AN161" s="11"/>
      <c r="AO161" s="11"/>
      <c r="AP161" s="11"/>
      <c r="AQ161" s="11"/>
      <c r="AR161" s="11"/>
      <c r="AS161" s="11"/>
      <c r="AT161" s="213"/>
      <c r="AU161" s="11"/>
      <c r="AV161" s="11"/>
      <c r="AW161" s="11"/>
      <c r="AX161" s="11"/>
      <c r="AY161" s="11"/>
      <c r="AZ161" s="11"/>
      <c r="BA161" s="11"/>
      <c r="BB161" s="11"/>
      <c r="BC161" s="11"/>
      <c r="BD161" s="11"/>
      <c r="BE161" s="213"/>
      <c r="BF161" s="11"/>
      <c r="BG161" s="11"/>
      <c r="BH161" s="11"/>
      <c r="BI161" s="11"/>
      <c r="BJ161" s="11"/>
      <c r="BK161" s="11"/>
      <c r="BL161" s="11"/>
      <c r="BM161" s="11"/>
      <c r="BN161" s="11"/>
      <c r="BO161" s="11"/>
      <c r="BP161" s="11"/>
      <c r="BQ161" s="213"/>
      <c r="BR161" s="11"/>
      <c r="BS161" s="11"/>
      <c r="BT161" s="11"/>
      <c r="BU161" s="11"/>
      <c r="BV161" s="11"/>
      <c r="BW161" s="11"/>
      <c r="BX161" s="11"/>
      <c r="BY161" s="11"/>
      <c r="BZ161" s="11"/>
      <c r="CA161" s="195"/>
      <c r="CB161" s="11"/>
      <c r="CC161" s="11"/>
      <c r="CD161" s="11"/>
      <c r="CE161" s="11"/>
      <c r="CF161" s="11"/>
      <c r="CG161" s="11"/>
      <c r="CH161" s="11"/>
      <c r="CI161" s="11"/>
      <c r="CJ161" s="11"/>
      <c r="CK161" s="213" t="s">
        <v>1235</v>
      </c>
      <c r="CL161" s="11"/>
      <c r="CM161" s="11"/>
      <c r="CN161" s="11"/>
      <c r="CO161" s="11"/>
      <c r="CP161" s="11"/>
      <c r="CQ161" s="11"/>
      <c r="CR161" s="11"/>
      <c r="CS161" s="11"/>
      <c r="CT161" s="11"/>
      <c r="CU161" s="11"/>
      <c r="CV161" s="11"/>
      <c r="CW161" s="213"/>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213"/>
      <c r="EM161" s="11"/>
      <c r="EN161" s="11"/>
      <c r="EO161" s="11"/>
      <c r="EP161" s="11"/>
      <c r="EQ161" s="11"/>
      <c r="ER161" s="11"/>
      <c r="ES161" s="11"/>
      <c r="ET161" s="11"/>
      <c r="EU161" s="11"/>
      <c r="EV161" s="11"/>
      <c r="EW161" s="213"/>
      <c r="EX161" s="11"/>
      <c r="EY161" s="11"/>
      <c r="EZ161" s="11"/>
      <c r="FA161" s="213"/>
      <c r="FB161" s="11"/>
      <c r="FC161" s="11"/>
      <c r="FD161" s="11"/>
      <c r="FE161" s="11"/>
      <c r="FF161" s="11"/>
      <c r="FG161" s="11"/>
      <c r="FH161" s="11"/>
      <c r="FI161" s="213"/>
      <c r="FJ161" s="11"/>
      <c r="FK161" s="11"/>
      <c r="FL161" s="11"/>
      <c r="FM161" s="11"/>
      <c r="FN161" s="11"/>
      <c r="FO161" s="11"/>
      <c r="FP161" s="11"/>
      <c r="FQ161" s="11"/>
      <c r="FR161" s="11"/>
      <c r="FS161" s="11"/>
      <c r="FT161" s="213"/>
      <c r="FU161" s="11"/>
      <c r="FV161" s="11"/>
      <c r="FW161" s="11"/>
      <c r="FX161" s="11"/>
      <c r="FY161" s="11"/>
      <c r="FZ161" s="213"/>
      <c r="GA161" s="11"/>
      <c r="GB161" s="11"/>
      <c r="GC161" s="11"/>
      <c r="GD161" s="11"/>
      <c r="GE161" s="11"/>
      <c r="GF161" s="11"/>
      <c r="GG161" s="11"/>
      <c r="GH161" s="11"/>
      <c r="GI161" s="11"/>
      <c r="GJ161" s="11"/>
      <c r="GK161" s="11"/>
      <c r="GL161" s="11"/>
      <c r="GM161" s="11"/>
      <c r="GN161" s="11"/>
      <c r="GO161" s="11"/>
      <c r="GP161" s="152"/>
    </row>
    <row r="162" spans="1:223" x14ac:dyDescent="0.2">
      <c r="A162" s="79" t="s">
        <v>1871</v>
      </c>
      <c r="B162" s="11" t="str">
        <f>IF(AND(ISTEXT(""),""&lt;&gt;""), HYPERLINK("", "Link"),"-")</f>
        <v>-</v>
      </c>
      <c r="C162" s="11"/>
      <c r="D162" s="11"/>
      <c r="E162" s="11"/>
      <c r="F162" s="11" t="s">
        <v>2812</v>
      </c>
      <c r="G162" s="213"/>
      <c r="H162" s="11" t="s">
        <v>1235</v>
      </c>
      <c r="I162" s="11"/>
      <c r="J162" s="11"/>
      <c r="K162" s="11"/>
      <c r="L162" s="11"/>
      <c r="M162" s="11"/>
      <c r="N162" s="11"/>
      <c r="O162" s="11"/>
      <c r="P162" s="11"/>
      <c r="Q162" s="11"/>
      <c r="R162" s="11"/>
      <c r="S162" s="11"/>
      <c r="T162" s="11"/>
      <c r="U162" s="11"/>
      <c r="V162" s="11"/>
      <c r="W162" s="11"/>
      <c r="X162" s="11"/>
      <c r="Y162" s="213"/>
      <c r="Z162" s="11" t="s">
        <v>1235</v>
      </c>
      <c r="AA162" s="11"/>
      <c r="AB162" s="11"/>
      <c r="AC162" s="11"/>
      <c r="AD162" s="11"/>
      <c r="AE162" s="11"/>
      <c r="AF162" s="11"/>
      <c r="AG162" s="11"/>
      <c r="AH162" s="11"/>
      <c r="AI162" s="11"/>
      <c r="AJ162" s="11"/>
      <c r="AK162" s="11"/>
      <c r="AL162" s="11"/>
      <c r="AM162" s="11"/>
      <c r="AN162" s="11"/>
      <c r="AO162" s="11"/>
      <c r="AP162" s="11"/>
      <c r="AQ162" s="11"/>
      <c r="AR162" s="11"/>
      <c r="AS162" s="11"/>
      <c r="AT162" s="213"/>
      <c r="AU162" s="11"/>
      <c r="AV162" s="11"/>
      <c r="AW162" s="11"/>
      <c r="AX162" s="11"/>
      <c r="AY162" s="11"/>
      <c r="AZ162" s="11"/>
      <c r="BA162" s="11"/>
      <c r="BB162" s="11"/>
      <c r="BC162" s="11"/>
      <c r="BD162" s="11"/>
      <c r="BE162" s="213"/>
      <c r="BF162" s="11"/>
      <c r="BG162" s="11"/>
      <c r="BH162" s="11"/>
      <c r="BI162" s="11"/>
      <c r="BJ162" s="11"/>
      <c r="BK162" s="11"/>
      <c r="BL162" s="11"/>
      <c r="BM162" s="11"/>
      <c r="BN162" s="11"/>
      <c r="BO162" s="11"/>
      <c r="BP162" s="11"/>
      <c r="BQ162" s="213"/>
      <c r="BR162" s="11"/>
      <c r="BS162" s="11"/>
      <c r="BT162" s="11"/>
      <c r="BU162" s="11"/>
      <c r="BV162" s="11"/>
      <c r="BW162" s="11"/>
      <c r="BX162" s="11"/>
      <c r="BY162" s="11"/>
      <c r="BZ162" s="11"/>
      <c r="CA162" s="195"/>
      <c r="CB162" s="11"/>
      <c r="CC162" s="11"/>
      <c r="CD162" s="11"/>
      <c r="CE162" s="11"/>
      <c r="CF162" s="11"/>
      <c r="CG162" s="11"/>
      <c r="CH162" s="11"/>
      <c r="CI162" s="11"/>
      <c r="CJ162" s="11"/>
      <c r="CK162" s="213" t="s">
        <v>1235</v>
      </c>
      <c r="CL162" s="11"/>
      <c r="CM162" s="11"/>
      <c r="CN162" s="11"/>
      <c r="CO162" s="11"/>
      <c r="CP162" s="11"/>
      <c r="CQ162" s="11"/>
      <c r="CR162" s="11"/>
      <c r="CS162" s="11"/>
      <c r="CT162" s="11"/>
      <c r="CU162" s="11"/>
      <c r="CV162" s="11"/>
      <c r="CW162" s="213"/>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213"/>
      <c r="EM162" s="11"/>
      <c r="EN162" s="11"/>
      <c r="EO162" s="11"/>
      <c r="EP162" s="11"/>
      <c r="EQ162" s="11"/>
      <c r="ER162" s="11"/>
      <c r="ES162" s="11"/>
      <c r="ET162" s="11"/>
      <c r="EU162" s="11"/>
      <c r="EV162" s="11"/>
      <c r="EW162" s="213"/>
      <c r="EX162" s="11"/>
      <c r="EY162" s="11"/>
      <c r="EZ162" s="11"/>
      <c r="FA162" s="213"/>
      <c r="FB162" s="11"/>
      <c r="FC162" s="11"/>
      <c r="FD162" s="11"/>
      <c r="FE162" s="11"/>
      <c r="FF162" s="11"/>
      <c r="FG162" s="11"/>
      <c r="FH162" s="11"/>
      <c r="FI162" s="213"/>
      <c r="FJ162" s="11"/>
      <c r="FK162" s="11"/>
      <c r="FL162" s="11"/>
      <c r="FM162" s="11"/>
      <c r="FN162" s="11"/>
      <c r="FO162" s="11"/>
      <c r="FP162" s="11"/>
      <c r="FQ162" s="11"/>
      <c r="FR162" s="11"/>
      <c r="FS162" s="11"/>
      <c r="FT162" s="213"/>
      <c r="FU162" s="11"/>
      <c r="FV162" s="11"/>
      <c r="FW162" s="11"/>
      <c r="FX162" s="11"/>
      <c r="FY162" s="11"/>
      <c r="FZ162" s="213"/>
      <c r="GA162" s="11"/>
      <c r="GB162" s="11"/>
      <c r="GC162" s="11"/>
      <c r="GD162" s="11"/>
      <c r="GE162" s="11"/>
      <c r="GF162" s="11"/>
      <c r="GG162" s="11"/>
      <c r="GH162" s="11"/>
      <c r="GI162" s="11"/>
      <c r="GJ162" s="11"/>
      <c r="GK162" s="11"/>
      <c r="GL162" s="11"/>
      <c r="GM162" s="11"/>
      <c r="GN162" s="11"/>
      <c r="GO162" s="11"/>
      <c r="GP162" s="152"/>
    </row>
    <row r="163" spans="1:223" x14ac:dyDescent="0.2">
      <c r="A163" s="78" t="s">
        <v>2303</v>
      </c>
      <c r="B163" s="11" t="str">
        <f>IF(AND(ISTEXT(""),""&lt;&gt;""), HYPERLINK("", "Link"),"-")</f>
        <v>-</v>
      </c>
      <c r="C163" s="11"/>
      <c r="D163" s="11"/>
      <c r="E163" s="11"/>
      <c r="F163" s="11" t="s">
        <v>2812</v>
      </c>
      <c r="G163" s="213"/>
      <c r="H163" s="11" t="s">
        <v>1235</v>
      </c>
      <c r="I163" s="11"/>
      <c r="J163" s="11"/>
      <c r="K163" s="11"/>
      <c r="L163" s="11"/>
      <c r="M163" s="11"/>
      <c r="N163" s="11"/>
      <c r="O163" s="11"/>
      <c r="P163" s="11"/>
      <c r="Q163" s="11"/>
      <c r="R163" s="11"/>
      <c r="S163" s="11"/>
      <c r="T163" s="11"/>
      <c r="U163" s="11"/>
      <c r="V163" s="11"/>
      <c r="W163" s="11"/>
      <c r="X163" s="11"/>
      <c r="Y163" s="213"/>
      <c r="Z163" s="11"/>
      <c r="AA163" s="11"/>
      <c r="AB163" s="11"/>
      <c r="AC163" s="11"/>
      <c r="AD163" s="11"/>
      <c r="AE163" s="11"/>
      <c r="AF163" s="11"/>
      <c r="AG163" s="11"/>
      <c r="AH163" s="11"/>
      <c r="AI163" s="11"/>
      <c r="AJ163" s="11"/>
      <c r="AK163" s="11"/>
      <c r="AL163" s="11"/>
      <c r="AM163" s="11"/>
      <c r="AN163" s="11"/>
      <c r="AO163" s="11"/>
      <c r="AP163" s="11"/>
      <c r="AQ163" s="11"/>
      <c r="AR163" s="11"/>
      <c r="AS163" s="11"/>
      <c r="AT163" s="213"/>
      <c r="AU163" s="11"/>
      <c r="AV163" s="11"/>
      <c r="AW163" s="11"/>
      <c r="AX163" s="11"/>
      <c r="AY163" s="11"/>
      <c r="AZ163" s="11"/>
      <c r="BA163" s="11"/>
      <c r="BB163" s="11"/>
      <c r="BC163" s="11"/>
      <c r="BD163" s="11"/>
      <c r="BE163" s="213"/>
      <c r="BF163" s="11"/>
      <c r="BG163" s="11"/>
      <c r="BH163" s="11"/>
      <c r="BI163" s="11"/>
      <c r="BJ163" s="11"/>
      <c r="BK163" s="11"/>
      <c r="BL163" s="11"/>
      <c r="BM163" s="11"/>
      <c r="BN163" s="11"/>
      <c r="BO163" s="11"/>
      <c r="BP163" s="11"/>
      <c r="BQ163" s="213"/>
      <c r="BR163" s="11"/>
      <c r="BS163" s="11"/>
      <c r="BT163" s="11"/>
      <c r="BU163" s="11"/>
      <c r="BV163" s="11"/>
      <c r="BW163" s="11"/>
      <c r="BX163" s="11"/>
      <c r="BY163" s="11"/>
      <c r="BZ163" s="11"/>
      <c r="CA163" s="195"/>
      <c r="CB163" s="11"/>
      <c r="CC163" s="11"/>
      <c r="CD163" s="11"/>
      <c r="CE163" s="11"/>
      <c r="CF163" s="11"/>
      <c r="CG163" s="11"/>
      <c r="CH163" s="11"/>
      <c r="CI163" s="11"/>
      <c r="CJ163" s="11"/>
      <c r="CK163" s="213"/>
      <c r="CL163" s="11"/>
      <c r="CM163" s="11"/>
      <c r="CN163" s="11"/>
      <c r="CO163" s="11"/>
      <c r="CP163" s="11"/>
      <c r="CQ163" s="11"/>
      <c r="CR163" s="11"/>
      <c r="CS163" s="11"/>
      <c r="CT163" s="11"/>
      <c r="CU163" s="11"/>
      <c r="CV163" s="11"/>
      <c r="CW163" s="213"/>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213"/>
      <c r="EM163" s="11"/>
      <c r="EN163" s="11"/>
      <c r="EO163" s="11"/>
      <c r="EP163" s="11"/>
      <c r="EQ163" s="11"/>
      <c r="ER163" s="11"/>
      <c r="ES163" s="11"/>
      <c r="ET163" s="11"/>
      <c r="EU163" s="11"/>
      <c r="EV163" s="11"/>
      <c r="EW163" s="213"/>
      <c r="EX163" s="11"/>
      <c r="EY163" s="11"/>
      <c r="EZ163" s="11"/>
      <c r="FA163" s="213"/>
      <c r="FB163" s="11"/>
      <c r="FC163" s="11"/>
      <c r="FD163" s="11"/>
      <c r="FE163" s="11"/>
      <c r="FF163" s="11"/>
      <c r="FG163" s="11"/>
      <c r="FH163" s="11"/>
      <c r="FI163" s="213"/>
      <c r="FJ163" s="11"/>
      <c r="FK163" s="11"/>
      <c r="FL163" s="11"/>
      <c r="FM163" s="11"/>
      <c r="FN163" s="11"/>
      <c r="FO163" s="11"/>
      <c r="FP163" s="11"/>
      <c r="FQ163" s="11"/>
      <c r="FR163" s="11"/>
      <c r="FS163" s="11"/>
      <c r="FT163" s="213"/>
      <c r="FU163" s="11"/>
      <c r="FV163" s="11"/>
      <c r="FW163" s="11"/>
      <c r="FX163" s="11"/>
      <c r="FY163" s="11"/>
      <c r="FZ163" s="213"/>
      <c r="GA163" s="11"/>
      <c r="GB163" s="11"/>
      <c r="GC163" s="11"/>
      <c r="GD163" s="11"/>
      <c r="GE163" s="11"/>
      <c r="GF163" s="11"/>
      <c r="GG163" s="11"/>
      <c r="GH163" s="11"/>
      <c r="GI163" s="11"/>
      <c r="GJ163" s="11"/>
      <c r="GK163" s="11"/>
      <c r="GL163" s="11"/>
      <c r="GM163" s="11"/>
      <c r="GN163" s="11"/>
      <c r="GO163" s="11"/>
      <c r="GP163" s="152"/>
    </row>
    <row r="164" spans="1:223" x14ac:dyDescent="0.2">
      <c r="A164" s="79" t="s">
        <v>2315</v>
      </c>
      <c r="B164" s="11" t="str">
        <f>IF(AND(ISTEXT("https://github.com/Jiachi-Chen/DefectChecker/"),"https://github.com/Jiachi-Chen/DefectChecker/"&lt;&gt;""), HYPERLINK("https://github.com/Jiachi-Chen/DefectChecker/", "Link"),"-")</f>
        <v>Link</v>
      </c>
      <c r="C164" s="11"/>
      <c r="D164" s="11"/>
      <c r="E164" s="11" t="s">
        <v>1235</v>
      </c>
      <c r="F164" s="11" t="s">
        <v>2812</v>
      </c>
      <c r="G164" s="213"/>
      <c r="H164" s="11" t="s">
        <v>1235</v>
      </c>
      <c r="I164" s="11"/>
      <c r="J164" s="11"/>
      <c r="K164" s="11"/>
      <c r="L164" s="11"/>
      <c r="M164" s="11" t="s">
        <v>1235</v>
      </c>
      <c r="N164" s="11"/>
      <c r="O164" s="11"/>
      <c r="P164" s="11"/>
      <c r="Q164" s="11"/>
      <c r="R164" s="11"/>
      <c r="S164" s="11"/>
      <c r="T164" s="11"/>
      <c r="U164" s="11"/>
      <c r="V164" s="11"/>
      <c r="W164" s="11" t="s">
        <v>1235</v>
      </c>
      <c r="X164" s="11"/>
      <c r="Y164" s="213"/>
      <c r="Z164" s="11"/>
      <c r="AA164" s="11" t="s">
        <v>1235</v>
      </c>
      <c r="AB164" s="11"/>
      <c r="AC164" s="11" t="s">
        <v>1235</v>
      </c>
      <c r="AD164" s="11"/>
      <c r="AE164" s="11"/>
      <c r="AF164" s="11"/>
      <c r="AG164" s="11"/>
      <c r="AH164" s="11"/>
      <c r="AI164" s="11"/>
      <c r="AJ164" s="11"/>
      <c r="AK164" s="11"/>
      <c r="AL164" s="11"/>
      <c r="AM164" s="11"/>
      <c r="AN164" s="11"/>
      <c r="AO164" s="11"/>
      <c r="AP164" s="11"/>
      <c r="AQ164" s="11"/>
      <c r="AR164" s="11"/>
      <c r="AS164" s="11"/>
      <c r="AT164" s="213" t="s">
        <v>1235</v>
      </c>
      <c r="AU164" s="11"/>
      <c r="AV164" s="11"/>
      <c r="AW164" s="11"/>
      <c r="AX164" s="11"/>
      <c r="AY164" s="11"/>
      <c r="AZ164" s="11"/>
      <c r="BA164" s="11"/>
      <c r="BB164" s="11"/>
      <c r="BC164" s="11"/>
      <c r="BD164" s="11"/>
      <c r="BE164" s="213"/>
      <c r="BF164" s="11"/>
      <c r="BG164" s="11"/>
      <c r="BH164" s="11"/>
      <c r="BI164" s="11"/>
      <c r="BJ164" s="11"/>
      <c r="BK164" s="11"/>
      <c r="BL164" s="11"/>
      <c r="BM164" s="11"/>
      <c r="BN164" s="11"/>
      <c r="BO164" s="11" t="s">
        <v>1235</v>
      </c>
      <c r="BP164" s="11"/>
      <c r="BQ164" s="213"/>
      <c r="BR164" s="11"/>
      <c r="BS164" s="11"/>
      <c r="BT164" s="11"/>
      <c r="BU164" s="11"/>
      <c r="BV164" s="11"/>
      <c r="BW164" s="11"/>
      <c r="BX164" s="11"/>
      <c r="BY164" s="11"/>
      <c r="BZ164" s="11"/>
      <c r="CA164" s="195"/>
      <c r="CB164" s="11"/>
      <c r="CC164" s="11"/>
      <c r="CD164" s="11"/>
      <c r="CE164" s="11"/>
      <c r="CF164" s="11"/>
      <c r="CG164" s="11"/>
      <c r="CH164" s="11"/>
      <c r="CI164" s="11"/>
      <c r="CJ164" s="11"/>
      <c r="CK164" s="213"/>
      <c r="CL164" s="11"/>
      <c r="CM164" s="11"/>
      <c r="CN164" s="11"/>
      <c r="CO164" s="11"/>
      <c r="CP164" s="11"/>
      <c r="CQ164" s="11"/>
      <c r="CR164" s="11"/>
      <c r="CS164" s="11"/>
      <c r="CT164" s="11"/>
      <c r="CU164" s="11"/>
      <c r="CV164" s="11"/>
      <c r="CW164" s="213"/>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213"/>
      <c r="EM164" s="11"/>
      <c r="EN164" s="11"/>
      <c r="EO164" s="11"/>
      <c r="EP164" s="11"/>
      <c r="EQ164" s="11"/>
      <c r="ER164" s="11"/>
      <c r="ES164" s="11"/>
      <c r="ET164" s="11"/>
      <c r="EU164" s="11"/>
      <c r="EV164" s="11"/>
      <c r="EW164" s="213"/>
      <c r="EX164" s="11"/>
      <c r="EY164" s="11"/>
      <c r="EZ164" s="11"/>
      <c r="FA164" s="213"/>
      <c r="FB164" s="11"/>
      <c r="FC164" s="11"/>
      <c r="FD164" s="11"/>
      <c r="FE164" s="11"/>
      <c r="FF164" s="11"/>
      <c r="FG164" s="11"/>
      <c r="FH164" s="11"/>
      <c r="FI164" s="213"/>
      <c r="FJ164" s="11"/>
      <c r="FK164" s="11"/>
      <c r="FL164" s="11"/>
      <c r="FM164" s="11"/>
      <c r="FN164" s="11"/>
      <c r="FO164" s="11"/>
      <c r="FP164" s="11"/>
      <c r="FQ164" s="11"/>
      <c r="FR164" s="11"/>
      <c r="FS164" s="11"/>
      <c r="FT164" s="213"/>
      <c r="FU164" s="11"/>
      <c r="FV164" s="11"/>
      <c r="FW164" s="11"/>
      <c r="FX164" s="11"/>
      <c r="FY164" s="11"/>
      <c r="FZ164" s="213"/>
      <c r="GA164" s="11"/>
      <c r="GB164" s="11"/>
      <c r="GC164" s="11"/>
      <c r="GD164" s="11"/>
      <c r="GE164" s="11"/>
      <c r="GF164" s="11"/>
      <c r="GG164" s="11"/>
      <c r="GH164" s="11"/>
      <c r="GI164" s="11"/>
      <c r="GJ164" s="11"/>
      <c r="GK164" s="11"/>
      <c r="GL164" s="11"/>
      <c r="GM164" s="11"/>
      <c r="GN164" s="11"/>
      <c r="GO164" s="11"/>
      <c r="GP164" s="152"/>
    </row>
    <row r="165" spans="1:223" x14ac:dyDescent="0.2">
      <c r="A165" s="79" t="s">
        <v>2396</v>
      </c>
      <c r="B165" s="11" t="str">
        <f>IF(AND(ISTEXT(""),""&lt;&gt;""), HYPERLINK("", "Link"),"-")</f>
        <v>-</v>
      </c>
      <c r="C165" s="11"/>
      <c r="D165" s="11"/>
      <c r="E165" s="11"/>
      <c r="F165" s="11" t="s">
        <v>2812</v>
      </c>
      <c r="G165" s="213"/>
      <c r="H165" s="11"/>
      <c r="I165" s="11"/>
      <c r="J165" s="11"/>
      <c r="K165" s="11"/>
      <c r="L165" s="11"/>
      <c r="M165" s="11"/>
      <c r="N165" s="11"/>
      <c r="O165" s="11"/>
      <c r="P165" s="11"/>
      <c r="Q165" s="11"/>
      <c r="R165" s="11"/>
      <c r="S165" s="11"/>
      <c r="T165" s="11"/>
      <c r="U165" s="11"/>
      <c r="V165" s="11"/>
      <c r="W165" s="11"/>
      <c r="X165" s="11"/>
      <c r="Y165" s="213"/>
      <c r="Z165" s="11"/>
      <c r="AA165" s="11"/>
      <c r="AB165" s="11"/>
      <c r="AC165" s="11"/>
      <c r="AD165" s="11"/>
      <c r="AE165" s="11"/>
      <c r="AF165" s="11"/>
      <c r="AG165" s="11"/>
      <c r="AH165" s="11"/>
      <c r="AI165" s="11"/>
      <c r="AJ165" s="11"/>
      <c r="AK165" s="11"/>
      <c r="AL165" s="11"/>
      <c r="AM165" s="11"/>
      <c r="AN165" s="11"/>
      <c r="AO165" s="11"/>
      <c r="AP165" s="11"/>
      <c r="AQ165" s="11"/>
      <c r="AR165" s="11"/>
      <c r="AS165" s="11"/>
      <c r="AT165" s="213"/>
      <c r="AU165" s="11"/>
      <c r="AV165" s="11"/>
      <c r="AW165" s="11"/>
      <c r="AX165" s="11"/>
      <c r="AY165" s="11"/>
      <c r="AZ165" s="11"/>
      <c r="BA165" s="11"/>
      <c r="BB165" s="11"/>
      <c r="BC165" s="11"/>
      <c r="BD165" s="11"/>
      <c r="BE165" s="213"/>
      <c r="BF165" s="11"/>
      <c r="BG165" s="11"/>
      <c r="BH165" s="11"/>
      <c r="BI165" s="11"/>
      <c r="BJ165" s="11"/>
      <c r="BK165" s="11"/>
      <c r="BL165" s="11"/>
      <c r="BM165" s="11"/>
      <c r="BN165" s="11"/>
      <c r="BO165" s="11"/>
      <c r="BP165" s="11"/>
      <c r="BQ165" s="213"/>
      <c r="BR165" s="11"/>
      <c r="BS165" s="11"/>
      <c r="BT165" s="11"/>
      <c r="BU165" s="11"/>
      <c r="BV165" s="11"/>
      <c r="BW165" s="11"/>
      <c r="BX165" s="11"/>
      <c r="BY165" s="11"/>
      <c r="BZ165" s="11"/>
      <c r="CA165" s="11" t="s">
        <v>1235</v>
      </c>
      <c r="CB165" s="11"/>
      <c r="CC165" s="11"/>
      <c r="CD165" s="11"/>
      <c r="CE165" s="11"/>
      <c r="CF165" s="11"/>
      <c r="CG165" s="11"/>
      <c r="CH165" s="11"/>
      <c r="CI165" s="11"/>
      <c r="CJ165" s="11"/>
      <c r="CK165" s="213"/>
      <c r="CL165" s="11"/>
      <c r="CM165" s="11"/>
      <c r="CN165" s="11"/>
      <c r="CO165" s="11"/>
      <c r="CP165" s="11"/>
      <c r="CQ165" s="11"/>
      <c r="CR165" s="11"/>
      <c r="CS165" s="11"/>
      <c r="CT165" s="11"/>
      <c r="CU165" s="11"/>
      <c r="CV165" s="11"/>
      <c r="CW165" s="213"/>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213"/>
      <c r="EM165" s="11"/>
      <c r="EN165" s="11"/>
      <c r="EO165" s="11"/>
      <c r="EP165" s="11"/>
      <c r="EQ165" s="11"/>
      <c r="ER165" s="11"/>
      <c r="ES165" s="11"/>
      <c r="ET165" s="11"/>
      <c r="EU165" s="11"/>
      <c r="EV165" s="11"/>
      <c r="EW165" s="213"/>
      <c r="EX165" s="11"/>
      <c r="EY165" s="11"/>
      <c r="EZ165" s="11"/>
      <c r="FA165" s="213"/>
      <c r="FB165" s="11"/>
      <c r="FC165" s="11"/>
      <c r="FD165" s="11"/>
      <c r="FE165" s="11"/>
      <c r="FF165" s="11"/>
      <c r="FG165" s="11"/>
      <c r="FH165" s="11"/>
      <c r="FI165" s="213"/>
      <c r="FJ165" s="11"/>
      <c r="FK165" s="11"/>
      <c r="FL165" s="11"/>
      <c r="FM165" s="11"/>
      <c r="FN165" s="11"/>
      <c r="FO165" s="11"/>
      <c r="FP165" s="11"/>
      <c r="FQ165" s="11"/>
      <c r="FR165" s="11"/>
      <c r="FS165" s="11"/>
      <c r="FT165" s="213"/>
      <c r="FU165" s="11"/>
      <c r="FV165" s="11"/>
      <c r="FW165" s="11"/>
      <c r="FX165" s="11"/>
      <c r="FY165" s="11"/>
      <c r="FZ165" s="213"/>
      <c r="GA165" s="11"/>
      <c r="GB165" s="11"/>
      <c r="GC165" s="11"/>
      <c r="GD165" s="11"/>
      <c r="GE165" s="11"/>
      <c r="GF165" s="11"/>
      <c r="GG165" s="11"/>
      <c r="GH165" s="11"/>
      <c r="GI165" s="11"/>
      <c r="GJ165" s="11"/>
      <c r="GK165" s="11"/>
      <c r="GL165" s="11"/>
      <c r="GM165" s="11"/>
      <c r="GN165" s="11"/>
      <c r="GO165" s="11"/>
      <c r="GP165" s="152"/>
    </row>
    <row r="166" spans="1:223" x14ac:dyDescent="0.2">
      <c r="A166" s="79" t="s">
        <v>2797</v>
      </c>
      <c r="B166" s="11" t="str">
        <f>IF(AND(ISTEXT(""),""&lt;&gt;""), HYPERLINK("", "Link"),"-")</f>
        <v>-</v>
      </c>
      <c r="C166" s="11"/>
      <c r="D166" s="11"/>
      <c r="E166" s="11"/>
      <c r="F166" s="11" t="s">
        <v>2812</v>
      </c>
      <c r="G166" s="213"/>
      <c r="H166" s="11"/>
      <c r="I166" s="11"/>
      <c r="J166" s="11"/>
      <c r="K166" s="11"/>
      <c r="L166" s="11"/>
      <c r="M166" s="11"/>
      <c r="N166" s="11"/>
      <c r="O166" s="11"/>
      <c r="P166" s="11"/>
      <c r="Q166" s="11"/>
      <c r="R166" s="11"/>
      <c r="S166" s="11"/>
      <c r="T166" s="11"/>
      <c r="U166" s="11"/>
      <c r="V166" s="11"/>
      <c r="W166" s="11"/>
      <c r="X166" s="11"/>
      <c r="Y166" s="213"/>
      <c r="Z166" s="11"/>
      <c r="AA166" s="11"/>
      <c r="AB166" s="11"/>
      <c r="AC166" s="11"/>
      <c r="AD166" s="11"/>
      <c r="AE166" s="11"/>
      <c r="AF166" s="11"/>
      <c r="AG166" s="11"/>
      <c r="AH166" s="11"/>
      <c r="AI166" s="11"/>
      <c r="AJ166" s="11"/>
      <c r="AK166" s="11"/>
      <c r="AL166" s="11"/>
      <c r="AM166" s="11"/>
      <c r="AN166" s="11"/>
      <c r="AO166" s="11"/>
      <c r="AP166" s="11"/>
      <c r="AQ166" s="11"/>
      <c r="AR166" s="11"/>
      <c r="AS166" s="11"/>
      <c r="AT166" s="213"/>
      <c r="AU166" s="11"/>
      <c r="AV166" s="11"/>
      <c r="AW166" s="11"/>
      <c r="AX166" s="11"/>
      <c r="AY166" s="11"/>
      <c r="AZ166" s="11"/>
      <c r="BA166" s="11"/>
      <c r="BB166" s="11"/>
      <c r="BC166" s="11"/>
      <c r="BD166" s="11"/>
      <c r="BE166" s="213"/>
      <c r="BF166" s="11"/>
      <c r="BG166" s="11"/>
      <c r="BH166" s="11"/>
      <c r="BI166" s="11"/>
      <c r="BJ166" s="11"/>
      <c r="BK166" s="11"/>
      <c r="BL166" s="11"/>
      <c r="BM166" s="11"/>
      <c r="BN166" s="11"/>
      <c r="BO166" s="11"/>
      <c r="BP166" s="11"/>
      <c r="BQ166" s="213"/>
      <c r="BR166" s="11"/>
      <c r="BS166" s="11"/>
      <c r="BT166" s="11"/>
      <c r="BU166" s="11"/>
      <c r="BV166" s="11"/>
      <c r="BW166" s="11"/>
      <c r="BX166" s="11"/>
      <c r="BY166" s="11"/>
      <c r="BZ166" s="11"/>
      <c r="CA166" s="195"/>
      <c r="CB166" s="11"/>
      <c r="CC166" s="11"/>
      <c r="CD166" s="11"/>
      <c r="CE166" s="11"/>
      <c r="CF166" s="11"/>
      <c r="CG166" s="11"/>
      <c r="CH166" s="11"/>
      <c r="CI166" s="11"/>
      <c r="CJ166" s="11"/>
      <c r="CK166" s="213"/>
      <c r="CL166" s="11"/>
      <c r="CM166" s="11"/>
      <c r="CN166" s="11"/>
      <c r="CO166" s="11"/>
      <c r="CP166" s="11"/>
      <c r="CQ166" s="11"/>
      <c r="CR166" s="11"/>
      <c r="CS166" s="11"/>
      <c r="CT166" s="11"/>
      <c r="CU166" s="11"/>
      <c r="CV166" s="11"/>
      <c r="CW166" s="213"/>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213"/>
      <c r="EM166" s="11"/>
      <c r="EN166" s="11"/>
      <c r="EO166" s="11"/>
      <c r="EP166" s="11"/>
      <c r="EQ166" s="11"/>
      <c r="ER166" s="11"/>
      <c r="ES166" s="11"/>
      <c r="ET166" s="11"/>
      <c r="EU166" s="11"/>
      <c r="EV166" s="11"/>
      <c r="EW166" s="213"/>
      <c r="EX166" s="11"/>
      <c r="EY166" s="11"/>
      <c r="EZ166" s="11"/>
      <c r="FA166" s="213"/>
      <c r="FB166" s="11"/>
      <c r="FC166" s="11"/>
      <c r="FD166" s="11"/>
      <c r="FE166" s="11"/>
      <c r="FF166" s="11"/>
      <c r="FG166" s="11"/>
      <c r="FH166" s="11"/>
      <c r="FI166" s="213"/>
      <c r="FJ166" s="11"/>
      <c r="FK166" s="11"/>
      <c r="FL166" s="11"/>
      <c r="FM166" s="11"/>
      <c r="FN166" s="11"/>
      <c r="FO166" s="11"/>
      <c r="FP166" s="11"/>
      <c r="FQ166" s="11"/>
      <c r="FR166" s="11"/>
      <c r="FS166" s="11"/>
      <c r="FT166" s="213"/>
      <c r="FU166" s="11"/>
      <c r="FV166" s="11"/>
      <c r="FW166" s="11"/>
      <c r="FX166" s="11"/>
      <c r="FY166" s="11"/>
      <c r="FZ166" s="213"/>
      <c r="GA166" s="11"/>
      <c r="GB166" s="11"/>
      <c r="GC166" s="11"/>
      <c r="GD166" s="11"/>
      <c r="GE166" s="11"/>
      <c r="GF166" s="11"/>
      <c r="GG166" s="11"/>
      <c r="GH166" s="11"/>
      <c r="GI166" s="11"/>
      <c r="GJ166" s="11"/>
      <c r="GK166" s="11"/>
      <c r="GL166" s="11"/>
      <c r="GM166" s="11"/>
      <c r="GN166" s="11" t="s">
        <v>1235</v>
      </c>
      <c r="GO166" s="11" t="s">
        <v>1235</v>
      </c>
      <c r="GP166" s="152" t="s">
        <v>1235</v>
      </c>
    </row>
    <row r="167" spans="1:223" s="11" customFormat="1" ht="16" thickBot="1" x14ac:dyDescent="0.25">
      <c r="A167" s="81"/>
      <c r="B167" s="82"/>
      <c r="C167" s="82"/>
      <c r="D167" s="82"/>
      <c r="E167" s="82"/>
      <c r="F167" s="82"/>
      <c r="G167" s="214">
        <f t="shared" ref="G167:BR167" si="6">COUNTIF(G4:G166, "✓")</f>
        <v>2</v>
      </c>
      <c r="H167" s="214">
        <f t="shared" si="6"/>
        <v>130</v>
      </c>
      <c r="I167" s="214">
        <f t="shared" si="6"/>
        <v>0</v>
      </c>
      <c r="J167" s="214">
        <f t="shared" si="6"/>
        <v>0</v>
      </c>
      <c r="K167" s="214">
        <f t="shared" si="6"/>
        <v>0</v>
      </c>
      <c r="L167" s="214">
        <f t="shared" si="6"/>
        <v>0</v>
      </c>
      <c r="M167" s="214">
        <f t="shared" si="6"/>
        <v>11</v>
      </c>
      <c r="N167" s="214">
        <f t="shared" si="6"/>
        <v>0</v>
      </c>
      <c r="O167" s="214">
        <f t="shared" si="6"/>
        <v>0</v>
      </c>
      <c r="P167" s="214">
        <f t="shared" si="6"/>
        <v>1</v>
      </c>
      <c r="Q167" s="214">
        <f t="shared" si="6"/>
        <v>35</v>
      </c>
      <c r="R167" s="214">
        <f t="shared" si="6"/>
        <v>2</v>
      </c>
      <c r="S167" s="214">
        <f t="shared" si="6"/>
        <v>0</v>
      </c>
      <c r="T167" s="214">
        <f t="shared" si="6"/>
        <v>0</v>
      </c>
      <c r="U167" s="214">
        <f t="shared" si="6"/>
        <v>0</v>
      </c>
      <c r="V167" s="214">
        <f t="shared" si="6"/>
        <v>3</v>
      </c>
      <c r="W167" s="214">
        <f t="shared" si="6"/>
        <v>26</v>
      </c>
      <c r="X167" s="214">
        <f t="shared" si="6"/>
        <v>0</v>
      </c>
      <c r="Y167" s="214">
        <f t="shared" si="6"/>
        <v>15</v>
      </c>
      <c r="Z167" s="214">
        <f t="shared" si="6"/>
        <v>78</v>
      </c>
      <c r="AA167" s="214">
        <f t="shared" si="6"/>
        <v>13</v>
      </c>
      <c r="AB167" s="214">
        <f t="shared" si="6"/>
        <v>0</v>
      </c>
      <c r="AC167" s="214">
        <f t="shared" si="6"/>
        <v>30</v>
      </c>
      <c r="AD167" s="214">
        <f t="shared" si="6"/>
        <v>6</v>
      </c>
      <c r="AE167" s="214">
        <f t="shared" si="6"/>
        <v>0</v>
      </c>
      <c r="AF167" s="214">
        <f t="shared" si="6"/>
        <v>0</v>
      </c>
      <c r="AG167" s="214">
        <f t="shared" si="6"/>
        <v>0</v>
      </c>
      <c r="AH167" s="214">
        <f t="shared" si="6"/>
        <v>11</v>
      </c>
      <c r="AI167" s="214">
        <f t="shared" si="6"/>
        <v>0</v>
      </c>
      <c r="AJ167" s="214">
        <f t="shared" si="6"/>
        <v>2</v>
      </c>
      <c r="AK167" s="214">
        <f t="shared" si="6"/>
        <v>0</v>
      </c>
      <c r="AL167" s="214">
        <f t="shared" si="6"/>
        <v>0</v>
      </c>
      <c r="AM167" s="214">
        <f t="shared" si="6"/>
        <v>0</v>
      </c>
      <c r="AN167" s="214">
        <f t="shared" si="6"/>
        <v>0</v>
      </c>
      <c r="AO167" s="214">
        <f t="shared" si="6"/>
        <v>0</v>
      </c>
      <c r="AP167" s="214">
        <f t="shared" si="6"/>
        <v>0</v>
      </c>
      <c r="AQ167" s="214">
        <f t="shared" si="6"/>
        <v>0</v>
      </c>
      <c r="AR167" s="214">
        <f t="shared" si="6"/>
        <v>0</v>
      </c>
      <c r="AS167" s="214">
        <f t="shared" si="6"/>
        <v>0</v>
      </c>
      <c r="AT167" s="214">
        <f t="shared" si="6"/>
        <v>51</v>
      </c>
      <c r="AU167" s="214">
        <f t="shared" si="6"/>
        <v>0</v>
      </c>
      <c r="AV167" s="214">
        <f t="shared" si="6"/>
        <v>0</v>
      </c>
      <c r="AW167" s="214">
        <f t="shared" si="6"/>
        <v>0</v>
      </c>
      <c r="AX167" s="214">
        <f t="shared" si="6"/>
        <v>2</v>
      </c>
      <c r="AY167" s="214">
        <f t="shared" si="6"/>
        <v>11</v>
      </c>
      <c r="AZ167" s="214">
        <f t="shared" si="6"/>
        <v>13</v>
      </c>
      <c r="BA167" s="214">
        <f t="shared" si="6"/>
        <v>0</v>
      </c>
      <c r="BB167" s="214">
        <f t="shared" si="6"/>
        <v>1</v>
      </c>
      <c r="BC167" s="214">
        <f t="shared" si="6"/>
        <v>1</v>
      </c>
      <c r="BD167" s="214">
        <f t="shared" si="6"/>
        <v>0</v>
      </c>
      <c r="BE167" s="214">
        <f t="shared" si="6"/>
        <v>3</v>
      </c>
      <c r="BF167" s="214">
        <f t="shared" si="6"/>
        <v>0</v>
      </c>
      <c r="BG167" s="214">
        <f t="shared" si="6"/>
        <v>1</v>
      </c>
      <c r="BH167" s="214">
        <f t="shared" si="6"/>
        <v>1</v>
      </c>
      <c r="BI167" s="214">
        <f t="shared" si="6"/>
        <v>2</v>
      </c>
      <c r="BJ167" s="214">
        <f t="shared" si="6"/>
        <v>0</v>
      </c>
      <c r="BK167" s="214">
        <f t="shared" si="6"/>
        <v>0</v>
      </c>
      <c r="BL167" s="214">
        <f t="shared" si="6"/>
        <v>0</v>
      </c>
      <c r="BM167" s="214">
        <f t="shared" si="6"/>
        <v>0</v>
      </c>
      <c r="BN167" s="214">
        <f t="shared" si="6"/>
        <v>0</v>
      </c>
      <c r="BO167" s="214">
        <f t="shared" si="6"/>
        <v>5</v>
      </c>
      <c r="BP167" s="214">
        <f t="shared" si="6"/>
        <v>5</v>
      </c>
      <c r="BQ167" s="214">
        <f t="shared" si="6"/>
        <v>1</v>
      </c>
      <c r="BR167" s="214">
        <f t="shared" si="6"/>
        <v>32</v>
      </c>
      <c r="BS167" s="214">
        <f t="shared" ref="BS167:ED167" si="7">COUNTIF(BS4:BS166, "✓")</f>
        <v>1</v>
      </c>
      <c r="BT167" s="214">
        <f t="shared" si="7"/>
        <v>31</v>
      </c>
      <c r="BU167" s="214">
        <f t="shared" si="7"/>
        <v>6</v>
      </c>
      <c r="BV167" s="214">
        <f t="shared" si="7"/>
        <v>0</v>
      </c>
      <c r="BW167" s="214">
        <f t="shared" si="7"/>
        <v>0</v>
      </c>
      <c r="BX167" s="214">
        <f t="shared" si="7"/>
        <v>4</v>
      </c>
      <c r="BY167" s="214">
        <f t="shared" si="7"/>
        <v>2</v>
      </c>
      <c r="BZ167" s="214">
        <f t="shared" si="7"/>
        <v>2</v>
      </c>
      <c r="CA167" s="214">
        <f t="shared" si="7"/>
        <v>1</v>
      </c>
      <c r="CB167" s="214">
        <f t="shared" si="7"/>
        <v>1</v>
      </c>
      <c r="CC167" s="214">
        <f t="shared" si="7"/>
        <v>1</v>
      </c>
      <c r="CD167" s="214">
        <f t="shared" si="7"/>
        <v>1</v>
      </c>
      <c r="CE167" s="214">
        <f t="shared" si="7"/>
        <v>1</v>
      </c>
      <c r="CF167" s="214">
        <f t="shared" si="7"/>
        <v>0</v>
      </c>
      <c r="CG167" s="214">
        <f t="shared" si="7"/>
        <v>1</v>
      </c>
      <c r="CH167" s="214">
        <f t="shared" si="7"/>
        <v>0</v>
      </c>
      <c r="CI167" s="214">
        <f t="shared" si="7"/>
        <v>0</v>
      </c>
      <c r="CJ167" s="214">
        <f t="shared" si="7"/>
        <v>0</v>
      </c>
      <c r="CK167" s="214">
        <f t="shared" si="7"/>
        <v>62</v>
      </c>
      <c r="CL167" s="214">
        <f t="shared" si="7"/>
        <v>4</v>
      </c>
      <c r="CM167" s="214">
        <f t="shared" si="7"/>
        <v>3</v>
      </c>
      <c r="CN167" s="214">
        <f t="shared" si="7"/>
        <v>0</v>
      </c>
      <c r="CO167" s="214">
        <f t="shared" si="7"/>
        <v>0</v>
      </c>
      <c r="CP167" s="214">
        <f t="shared" si="7"/>
        <v>0</v>
      </c>
      <c r="CQ167" s="214">
        <f t="shared" si="7"/>
        <v>0</v>
      </c>
      <c r="CR167" s="214">
        <f t="shared" si="7"/>
        <v>0</v>
      </c>
      <c r="CS167" s="214">
        <f t="shared" si="7"/>
        <v>1</v>
      </c>
      <c r="CT167" s="214">
        <f t="shared" si="7"/>
        <v>0</v>
      </c>
      <c r="CU167" s="214">
        <f t="shared" si="7"/>
        <v>0</v>
      </c>
      <c r="CV167" s="214">
        <f t="shared" si="7"/>
        <v>2</v>
      </c>
      <c r="CW167" s="214">
        <f t="shared" si="7"/>
        <v>2</v>
      </c>
      <c r="CX167" s="214">
        <f t="shared" si="7"/>
        <v>1</v>
      </c>
      <c r="CY167" s="214">
        <f t="shared" si="7"/>
        <v>0</v>
      </c>
      <c r="CZ167" s="214">
        <f t="shared" si="7"/>
        <v>1</v>
      </c>
      <c r="DA167" s="214">
        <f t="shared" si="7"/>
        <v>4</v>
      </c>
      <c r="DB167" s="214">
        <f t="shared" si="7"/>
        <v>1</v>
      </c>
      <c r="DC167" s="214">
        <f t="shared" si="7"/>
        <v>0</v>
      </c>
      <c r="DD167" s="214">
        <f t="shared" si="7"/>
        <v>0</v>
      </c>
      <c r="DE167" s="214">
        <f t="shared" si="7"/>
        <v>1</v>
      </c>
      <c r="DF167" s="214">
        <f t="shared" si="7"/>
        <v>3</v>
      </c>
      <c r="DG167" s="214">
        <f t="shared" si="7"/>
        <v>0</v>
      </c>
      <c r="DH167" s="214">
        <f t="shared" si="7"/>
        <v>0</v>
      </c>
      <c r="DI167" s="214">
        <f t="shared" si="7"/>
        <v>0</v>
      </c>
      <c r="DJ167" s="214">
        <f t="shared" si="7"/>
        <v>0</v>
      </c>
      <c r="DK167" s="214">
        <f t="shared" si="7"/>
        <v>1</v>
      </c>
      <c r="DL167" s="214">
        <f t="shared" si="7"/>
        <v>0</v>
      </c>
      <c r="DM167" s="214">
        <f t="shared" si="7"/>
        <v>4</v>
      </c>
      <c r="DN167" s="214">
        <f t="shared" si="7"/>
        <v>0</v>
      </c>
      <c r="DO167" s="214">
        <f t="shared" si="7"/>
        <v>0</v>
      </c>
      <c r="DP167" s="214">
        <f t="shared" si="7"/>
        <v>0</v>
      </c>
      <c r="DQ167" s="214">
        <f t="shared" si="7"/>
        <v>0</v>
      </c>
      <c r="DR167" s="214">
        <f t="shared" si="7"/>
        <v>0</v>
      </c>
      <c r="DS167" s="214">
        <f t="shared" si="7"/>
        <v>1</v>
      </c>
      <c r="DT167" s="214">
        <f t="shared" si="7"/>
        <v>0</v>
      </c>
      <c r="DU167" s="214">
        <f t="shared" si="7"/>
        <v>0</v>
      </c>
      <c r="DV167" s="214">
        <f t="shared" si="7"/>
        <v>0</v>
      </c>
      <c r="DW167" s="214">
        <f t="shared" si="7"/>
        <v>0</v>
      </c>
      <c r="DX167" s="214">
        <f t="shared" si="7"/>
        <v>0</v>
      </c>
      <c r="DY167" s="214">
        <f t="shared" si="7"/>
        <v>0</v>
      </c>
      <c r="DZ167" s="214">
        <f t="shared" si="7"/>
        <v>0</v>
      </c>
      <c r="EA167" s="214">
        <f t="shared" si="7"/>
        <v>3</v>
      </c>
      <c r="EB167" s="214">
        <f t="shared" si="7"/>
        <v>0</v>
      </c>
      <c r="EC167" s="214">
        <f t="shared" si="7"/>
        <v>0</v>
      </c>
      <c r="ED167" s="214">
        <f t="shared" si="7"/>
        <v>0</v>
      </c>
      <c r="EE167" s="214">
        <f t="shared" ref="EE167:GP167" si="8">COUNTIF(EE4:EE166, "✓")</f>
        <v>0</v>
      </c>
      <c r="EF167" s="214">
        <f t="shared" si="8"/>
        <v>0</v>
      </c>
      <c r="EG167" s="214">
        <f t="shared" si="8"/>
        <v>0</v>
      </c>
      <c r="EH167" s="214">
        <f t="shared" si="8"/>
        <v>0</v>
      </c>
      <c r="EI167" s="214">
        <f t="shared" si="8"/>
        <v>1</v>
      </c>
      <c r="EJ167" s="214">
        <f t="shared" si="8"/>
        <v>0</v>
      </c>
      <c r="EK167" s="214">
        <f t="shared" si="8"/>
        <v>6</v>
      </c>
      <c r="EL167" s="214">
        <f t="shared" si="8"/>
        <v>4</v>
      </c>
      <c r="EM167" s="214">
        <f t="shared" si="8"/>
        <v>5</v>
      </c>
      <c r="EN167" s="214">
        <f t="shared" si="8"/>
        <v>2</v>
      </c>
      <c r="EO167" s="214">
        <f t="shared" si="8"/>
        <v>0</v>
      </c>
      <c r="EP167" s="214">
        <f t="shared" si="8"/>
        <v>6</v>
      </c>
      <c r="EQ167" s="214">
        <f t="shared" si="8"/>
        <v>0</v>
      </c>
      <c r="ER167" s="214">
        <f t="shared" si="8"/>
        <v>1</v>
      </c>
      <c r="ES167" s="214">
        <f t="shared" si="8"/>
        <v>0</v>
      </c>
      <c r="ET167" s="214">
        <f t="shared" si="8"/>
        <v>0</v>
      </c>
      <c r="EU167" s="214">
        <f t="shared" si="8"/>
        <v>0</v>
      </c>
      <c r="EV167" s="214">
        <f t="shared" si="8"/>
        <v>2</v>
      </c>
      <c r="EW167" s="214">
        <f t="shared" si="8"/>
        <v>10</v>
      </c>
      <c r="EX167" s="214">
        <f t="shared" si="8"/>
        <v>3</v>
      </c>
      <c r="EY167" s="214">
        <f t="shared" si="8"/>
        <v>2</v>
      </c>
      <c r="EZ167" s="214">
        <f t="shared" si="8"/>
        <v>0</v>
      </c>
      <c r="FA167" s="214">
        <f t="shared" si="8"/>
        <v>0</v>
      </c>
      <c r="FB167" s="214">
        <f t="shared" si="8"/>
        <v>0</v>
      </c>
      <c r="FC167" s="214">
        <f t="shared" si="8"/>
        <v>0</v>
      </c>
      <c r="FD167" s="214">
        <f t="shared" si="8"/>
        <v>0</v>
      </c>
      <c r="FE167" s="214">
        <f t="shared" si="8"/>
        <v>0</v>
      </c>
      <c r="FF167" s="214">
        <f t="shared" si="8"/>
        <v>0</v>
      </c>
      <c r="FG167" s="214">
        <f t="shared" si="8"/>
        <v>0</v>
      </c>
      <c r="FH167" s="214">
        <f t="shared" si="8"/>
        <v>0</v>
      </c>
      <c r="FI167" s="214">
        <f t="shared" si="8"/>
        <v>4</v>
      </c>
      <c r="FJ167" s="214">
        <f t="shared" si="8"/>
        <v>0</v>
      </c>
      <c r="FK167" s="214">
        <f t="shared" si="8"/>
        <v>0</v>
      </c>
      <c r="FL167" s="214">
        <f t="shared" si="8"/>
        <v>1</v>
      </c>
      <c r="FM167" s="214">
        <f t="shared" si="8"/>
        <v>1</v>
      </c>
      <c r="FN167" s="214">
        <f t="shared" si="8"/>
        <v>2</v>
      </c>
      <c r="FO167" s="214">
        <f t="shared" si="8"/>
        <v>2</v>
      </c>
      <c r="FP167" s="214">
        <f t="shared" si="8"/>
        <v>1</v>
      </c>
      <c r="FQ167" s="214">
        <f t="shared" si="8"/>
        <v>0</v>
      </c>
      <c r="FR167" s="214">
        <f t="shared" si="8"/>
        <v>0</v>
      </c>
      <c r="FS167" s="214">
        <f t="shared" si="8"/>
        <v>0</v>
      </c>
      <c r="FT167" s="214">
        <f t="shared" si="8"/>
        <v>0</v>
      </c>
      <c r="FU167" s="214">
        <f t="shared" si="8"/>
        <v>5</v>
      </c>
      <c r="FV167" s="214">
        <f t="shared" si="8"/>
        <v>0</v>
      </c>
      <c r="FW167" s="214">
        <f t="shared" si="8"/>
        <v>1</v>
      </c>
      <c r="FX167" s="214">
        <f t="shared" si="8"/>
        <v>1</v>
      </c>
      <c r="FY167" s="214">
        <f t="shared" si="8"/>
        <v>0</v>
      </c>
      <c r="FZ167" s="214">
        <f t="shared" si="8"/>
        <v>0</v>
      </c>
      <c r="GA167" s="214">
        <f t="shared" si="8"/>
        <v>0</v>
      </c>
      <c r="GB167" s="214">
        <f t="shared" si="8"/>
        <v>0</v>
      </c>
      <c r="GC167" s="214">
        <f t="shared" si="8"/>
        <v>0</v>
      </c>
      <c r="GD167" s="214">
        <f t="shared" si="8"/>
        <v>0</v>
      </c>
      <c r="GE167" s="214">
        <f t="shared" si="8"/>
        <v>0</v>
      </c>
      <c r="GF167" s="214">
        <f t="shared" si="8"/>
        <v>0</v>
      </c>
      <c r="GG167" s="214">
        <f t="shared" si="8"/>
        <v>0</v>
      </c>
      <c r="GH167" s="214">
        <f t="shared" si="8"/>
        <v>0</v>
      </c>
      <c r="GI167" s="214">
        <f t="shared" si="8"/>
        <v>0</v>
      </c>
      <c r="GJ167" s="214">
        <f t="shared" si="8"/>
        <v>0</v>
      </c>
      <c r="GK167" s="214">
        <f t="shared" si="8"/>
        <v>0</v>
      </c>
      <c r="GL167" s="214">
        <f t="shared" si="8"/>
        <v>0</v>
      </c>
      <c r="GM167" s="214">
        <f t="shared" si="8"/>
        <v>0</v>
      </c>
      <c r="GN167" s="214">
        <f t="shared" si="8"/>
        <v>1</v>
      </c>
      <c r="GO167" s="214">
        <f t="shared" si="8"/>
        <v>1</v>
      </c>
      <c r="GP167" s="214">
        <f t="shared" si="8"/>
        <v>1</v>
      </c>
      <c r="GQ167" s="82"/>
      <c r="GR167" s="82">
        <f t="shared" ref="GR167:GW167" si="9">COUNTIF(FS4:FS166, "✓")</f>
        <v>0</v>
      </c>
      <c r="GS167" s="82">
        <f t="shared" si="9"/>
        <v>0</v>
      </c>
      <c r="GT167" s="82">
        <f t="shared" si="9"/>
        <v>5</v>
      </c>
      <c r="GU167" s="82">
        <f t="shared" si="9"/>
        <v>0</v>
      </c>
      <c r="GV167" s="82">
        <f t="shared" si="9"/>
        <v>1</v>
      </c>
      <c r="GW167" s="82">
        <f t="shared" si="9"/>
        <v>1</v>
      </c>
      <c r="GX167" s="82">
        <f>COUNTIF(BN4:BN166, "✓")</f>
        <v>0</v>
      </c>
      <c r="GY167" s="82">
        <f t="shared" ref="GY167:HO167" si="10">COUNTIF(FZ4:FZ166, "✓")</f>
        <v>0</v>
      </c>
      <c r="GZ167" s="82">
        <f t="shared" si="10"/>
        <v>0</v>
      </c>
      <c r="HA167" s="82">
        <f t="shared" si="10"/>
        <v>0</v>
      </c>
      <c r="HB167" s="82">
        <f t="shared" si="10"/>
        <v>0</v>
      </c>
      <c r="HC167" s="82">
        <f t="shared" si="10"/>
        <v>0</v>
      </c>
      <c r="HD167" s="82">
        <f t="shared" si="10"/>
        <v>0</v>
      </c>
      <c r="HE167" s="82">
        <f t="shared" si="10"/>
        <v>0</v>
      </c>
      <c r="HF167" s="82">
        <f t="shared" si="10"/>
        <v>0</v>
      </c>
      <c r="HG167" s="82">
        <f t="shared" si="10"/>
        <v>0</v>
      </c>
      <c r="HH167" s="82">
        <f t="shared" si="10"/>
        <v>0</v>
      </c>
      <c r="HI167" s="82">
        <f t="shared" si="10"/>
        <v>0</v>
      </c>
      <c r="HJ167" s="82">
        <f t="shared" si="10"/>
        <v>0</v>
      </c>
      <c r="HK167" s="82">
        <f t="shared" si="10"/>
        <v>0</v>
      </c>
      <c r="HL167" s="82">
        <f t="shared" si="10"/>
        <v>0</v>
      </c>
      <c r="HM167" s="82">
        <f t="shared" si="10"/>
        <v>1</v>
      </c>
      <c r="HN167" s="82">
        <f t="shared" si="10"/>
        <v>1</v>
      </c>
      <c r="HO167" s="83">
        <f t="shared" si="10"/>
        <v>1</v>
      </c>
    </row>
    <row r="168" spans="1:223" s="11" customFormat="1" ht="16" thickBot="1" x14ac:dyDescent="0.25">
      <c r="G168" s="213"/>
      <c r="Y168" s="213"/>
      <c r="AT168" s="213"/>
      <c r="BE168" s="213"/>
      <c r="BQ168" s="213"/>
      <c r="CK168" s="213"/>
      <c r="CW168" s="213"/>
      <c r="EL168" s="213"/>
      <c r="EW168" s="213"/>
      <c r="FA168" s="213"/>
      <c r="FI168" s="213"/>
      <c r="FT168" s="213"/>
      <c r="FZ168" s="213"/>
    </row>
    <row r="169" spans="1:223" ht="16" x14ac:dyDescent="0.2">
      <c r="A169" s="333" t="s">
        <v>2016</v>
      </c>
      <c r="B169" s="334"/>
      <c r="C169" s="335"/>
      <c r="E169" s="336" t="s">
        <v>2017</v>
      </c>
      <c r="F169" s="337"/>
      <c r="M169" s="45"/>
    </row>
    <row r="170" spans="1:223" x14ac:dyDescent="0.2">
      <c r="A170" s="17" cm="1">
        <f t="array" aca="1" ref="A170:A179" ca="1">LARGE(G167:FX167, ROW(INDIRECT("1:10")))</f>
        <v>130</v>
      </c>
      <c r="B170" s="338" t="str">
        <f t="shared" ref="B170:B179" ca="1" si="11">INDEX($2:$2, MATCH(A170, $167:$167, 0))</f>
        <v>Reentrancy</v>
      </c>
      <c r="C170" s="339"/>
      <c r="E170" s="340">
        <f>COUNTIF(G167:HO167,"=0")</f>
        <v>130</v>
      </c>
      <c r="F170" s="339"/>
    </row>
    <row r="171" spans="1:223" x14ac:dyDescent="0.2">
      <c r="A171" s="17">
        <f ca="1"/>
        <v>78</v>
      </c>
      <c r="B171" s="338" t="str">
        <f t="shared" ca="1" si="11"/>
        <v>Timestamp dependency</v>
      </c>
      <c r="C171" s="339"/>
      <c r="E171" s="341" t="s">
        <v>2809</v>
      </c>
      <c r="F171" s="342"/>
    </row>
    <row r="172" spans="1:223" x14ac:dyDescent="0.2">
      <c r="A172" s="17">
        <f ca="1"/>
        <v>62</v>
      </c>
      <c r="B172" s="338" t="str">
        <f t="shared" ca="1" si="11"/>
        <v>Integer over- or underflow</v>
      </c>
      <c r="C172" s="339"/>
      <c r="E172" s="340">
        <f>COUNTIF(G167:HO167,"&gt;0")</f>
        <v>86</v>
      </c>
      <c r="F172" s="339"/>
    </row>
    <row r="173" spans="1:223" x14ac:dyDescent="0.2">
      <c r="A173" s="17">
        <f ca="1"/>
        <v>51</v>
      </c>
      <c r="B173" s="338" t="str">
        <f t="shared" ca="1" si="11"/>
        <v>Unchecked low level call/send return values</v>
      </c>
      <c r="C173" s="339"/>
      <c r="E173" s="341" t="s">
        <v>2018</v>
      </c>
      <c r="F173" s="342"/>
    </row>
    <row r="174" spans="1:223" x14ac:dyDescent="0.2">
      <c r="A174" s="17">
        <f ca="1"/>
        <v>35</v>
      </c>
      <c r="B174" s="338" t="str">
        <f t="shared" ca="1" si="11"/>
        <v>Vulnerable Delegatecall</v>
      </c>
      <c r="C174" s="339"/>
      <c r="E174" s="340">
        <f>COUNTIF(G167:HO167,"&lt;10")-E170</f>
        <v>70</v>
      </c>
      <c r="F174" s="339"/>
    </row>
    <row r="175" spans="1:223" x14ac:dyDescent="0.2">
      <c r="A175" s="17">
        <f ca="1"/>
        <v>32</v>
      </c>
      <c r="B175" s="338" t="str">
        <f t="shared" ca="1" si="11"/>
        <v>Authorization via transaction origin</v>
      </c>
      <c r="C175" s="339"/>
      <c r="E175" s="341" t="s">
        <v>2019</v>
      </c>
      <c r="F175" s="342"/>
    </row>
    <row r="176" spans="1:223" ht="16" thickBot="1" x14ac:dyDescent="0.25">
      <c r="A176" s="17">
        <f ca="1"/>
        <v>31</v>
      </c>
      <c r="B176" s="338" t="str">
        <f t="shared" ca="1" si="11"/>
        <v>Unprotected selfdestruction</v>
      </c>
      <c r="C176" s="339"/>
      <c r="E176" s="345">
        <f>COUNTIF(G167:HO167,"&gt;=10")</f>
        <v>16</v>
      </c>
      <c r="F176" s="344"/>
    </row>
    <row r="177" spans="1:6" x14ac:dyDescent="0.2">
      <c r="A177" s="17">
        <f ca="1"/>
        <v>30</v>
      </c>
      <c r="B177" s="338" t="str">
        <f t="shared" ca="1" si="11"/>
        <v>Transaction-ordering dependency</v>
      </c>
      <c r="C177" s="339"/>
    </row>
    <row r="178" spans="1:6" x14ac:dyDescent="0.2">
      <c r="A178" s="17">
        <f ca="1"/>
        <v>26</v>
      </c>
      <c r="B178" s="338" t="str">
        <f t="shared" ca="1" si="11"/>
        <v>Greedy contract</v>
      </c>
      <c r="C178" s="339"/>
    </row>
    <row r="179" spans="1:6" ht="16" thickBot="1" x14ac:dyDescent="0.25">
      <c r="A179" s="18">
        <f ca="1"/>
        <v>15</v>
      </c>
      <c r="B179" s="343" t="str">
        <f t="shared" ca="1" si="11"/>
        <v>Block State Dependency</v>
      </c>
      <c r="C179" s="344"/>
    </row>
    <row r="180" spans="1:6" ht="16" thickBot="1" x14ac:dyDescent="0.25">
      <c r="C180"/>
    </row>
    <row r="181" spans="1:6" x14ac:dyDescent="0.2">
      <c r="A181" s="221" t="s">
        <v>2975</v>
      </c>
      <c r="B181" s="222" t="s">
        <v>2979</v>
      </c>
      <c r="C181" s="223" t="s">
        <v>2976</v>
      </c>
      <c r="D181" s="222" t="s">
        <v>2977</v>
      </c>
      <c r="E181" s="224" t="s">
        <v>2978</v>
      </c>
    </row>
    <row r="182" spans="1:6" x14ac:dyDescent="0.2">
      <c r="A182" s="225">
        <v>1</v>
      </c>
      <c r="B182" s="6">
        <v>18</v>
      </c>
      <c r="C182" s="6">
        <f>COUNTIF(INDEX(167:167,7):INDEX(167:167,B182),0)</f>
        <v>6</v>
      </c>
      <c r="D182" s="226">
        <f>C182/B182</f>
        <v>0.33333333333333331</v>
      </c>
      <c r="E182" s="227">
        <f>1-D182</f>
        <v>0.66666666666666674</v>
      </c>
      <c r="F182" s="84"/>
    </row>
    <row r="183" spans="1:6" x14ac:dyDescent="0.2">
      <c r="A183" s="225">
        <v>2</v>
      </c>
      <c r="B183" s="6">
        <v>21</v>
      </c>
      <c r="C183" s="6">
        <f>COUNTIF(INDEX($167:$167,7+B182):INDEX($167:$167,7+B182+B183),0)</f>
        <v>14</v>
      </c>
      <c r="D183" s="226">
        <f t="shared" ref="D183:D194" si="12">C183/B183</f>
        <v>0.66666666666666663</v>
      </c>
      <c r="E183" s="227">
        <f t="shared" ref="E183:E194" si="13">1-D183</f>
        <v>0.33333333333333337</v>
      </c>
    </row>
    <row r="184" spans="1:6" x14ac:dyDescent="0.2">
      <c r="A184" s="225">
        <v>3</v>
      </c>
      <c r="B184" s="6">
        <v>11</v>
      </c>
      <c r="C184" s="6">
        <f>COUNTIF(INDEX($167:$167,7+B183):INDEX($167:$167,7+B183+B184),0)</f>
        <v>8</v>
      </c>
      <c r="D184" s="226">
        <f t="shared" si="12"/>
        <v>0.72727272727272729</v>
      </c>
      <c r="E184" s="227">
        <f t="shared" si="13"/>
        <v>0.27272727272727271</v>
      </c>
    </row>
    <row r="185" spans="1:6" x14ac:dyDescent="0.2">
      <c r="A185" s="225">
        <v>4</v>
      </c>
      <c r="B185" s="6">
        <v>12</v>
      </c>
      <c r="C185" s="6">
        <f>COUNTIF(INDEX($167:$167,7+B184):INDEX($167:$167,7+B184+B185),0)</f>
        <v>5</v>
      </c>
      <c r="D185" s="226">
        <f t="shared" si="12"/>
        <v>0.41666666666666669</v>
      </c>
      <c r="E185" s="227">
        <f t="shared" si="13"/>
        <v>0.58333333333333326</v>
      </c>
    </row>
    <row r="186" spans="1:6" x14ac:dyDescent="0.2">
      <c r="A186" s="225">
        <v>5</v>
      </c>
      <c r="B186" s="6">
        <v>20</v>
      </c>
      <c r="C186" s="6">
        <f>COUNTIF(INDEX($167:$167,7+B185):INDEX($167:$167,7+B185+B186),0)</f>
        <v>12</v>
      </c>
      <c r="D186" s="226">
        <f t="shared" si="12"/>
        <v>0.6</v>
      </c>
      <c r="E186" s="227">
        <f t="shared" si="13"/>
        <v>0.4</v>
      </c>
    </row>
    <row r="187" spans="1:6" x14ac:dyDescent="0.2">
      <c r="A187" s="225">
        <v>6</v>
      </c>
      <c r="B187" s="6">
        <v>12</v>
      </c>
      <c r="C187" s="6">
        <f>COUNTIF(INDEX($167:$167,7+B186):INDEX($167:$167,7+B186+B187),0)</f>
        <v>8</v>
      </c>
      <c r="D187" s="226">
        <f t="shared" si="12"/>
        <v>0.66666666666666663</v>
      </c>
      <c r="E187" s="227">
        <f t="shared" si="13"/>
        <v>0.33333333333333337</v>
      </c>
    </row>
    <row r="188" spans="1:6" x14ac:dyDescent="0.2">
      <c r="A188" s="225">
        <v>7</v>
      </c>
      <c r="B188" s="228">
        <v>41</v>
      </c>
      <c r="C188" s="6">
        <f>COUNTIF(INDEX($167:$167,7+B187):INDEX($167:$167,7+B187+B188),0)</f>
        <v>24</v>
      </c>
      <c r="D188" s="226">
        <f t="shared" si="12"/>
        <v>0.58536585365853655</v>
      </c>
      <c r="E188" s="227">
        <f t="shared" si="13"/>
        <v>0.41463414634146345</v>
      </c>
    </row>
    <row r="189" spans="1:6" x14ac:dyDescent="0.2">
      <c r="A189" s="225">
        <v>8</v>
      </c>
      <c r="B189" s="6">
        <v>11</v>
      </c>
      <c r="C189" s="6">
        <f>COUNTIF(INDEX($167:$167,7+B188):INDEX($167:$167,7+B188+B189),0)</f>
        <v>5</v>
      </c>
      <c r="D189" s="226">
        <f t="shared" si="12"/>
        <v>0.45454545454545453</v>
      </c>
      <c r="E189" s="227">
        <f t="shared" si="13"/>
        <v>0.54545454545454541</v>
      </c>
    </row>
    <row r="190" spans="1:6" x14ac:dyDescent="0.2">
      <c r="A190" s="225">
        <v>9</v>
      </c>
      <c r="B190" s="6">
        <v>4</v>
      </c>
      <c r="C190" s="6">
        <f>COUNTIF(INDEX($167:$167,7+B189):INDEX($167:$167,7+B189+B190),0)</f>
        <v>3</v>
      </c>
      <c r="D190" s="226">
        <f t="shared" si="12"/>
        <v>0.75</v>
      </c>
      <c r="E190" s="227">
        <f t="shared" si="13"/>
        <v>0.25</v>
      </c>
    </row>
    <row r="191" spans="1:6" x14ac:dyDescent="0.2">
      <c r="A191" s="225">
        <v>10</v>
      </c>
      <c r="B191" s="6">
        <v>8</v>
      </c>
      <c r="C191" s="6">
        <f>COUNTIF(INDEX($167:$167,7+B190):INDEX($167:$167,7+B190+B191),0)</f>
        <v>5</v>
      </c>
      <c r="D191" s="226">
        <f t="shared" si="12"/>
        <v>0.625</v>
      </c>
      <c r="E191" s="227">
        <f t="shared" si="13"/>
        <v>0.375</v>
      </c>
    </row>
    <row r="192" spans="1:6" x14ac:dyDescent="0.2">
      <c r="A192" s="225">
        <v>11</v>
      </c>
      <c r="B192" s="6">
        <v>11</v>
      </c>
      <c r="C192" s="6">
        <f>COUNTIF(INDEX($167:$167,7+B191):INDEX($167:$167,7+B191+B192),0)</f>
        <v>5</v>
      </c>
      <c r="D192" s="226">
        <f t="shared" si="12"/>
        <v>0.45454545454545453</v>
      </c>
      <c r="E192" s="227">
        <f t="shared" si="13"/>
        <v>0.54545454545454541</v>
      </c>
    </row>
    <row r="193" spans="1:6" x14ac:dyDescent="0.2">
      <c r="A193" s="225">
        <v>12</v>
      </c>
      <c r="B193" s="6">
        <v>6</v>
      </c>
      <c r="C193" s="6">
        <f>COUNTIF(INDEX($167:$167,7+B192):INDEX($167:$167,7+B192+B193),0)</f>
        <v>4</v>
      </c>
      <c r="D193" s="226">
        <f t="shared" si="12"/>
        <v>0.66666666666666663</v>
      </c>
      <c r="E193" s="227">
        <f t="shared" si="13"/>
        <v>0.33333333333333337</v>
      </c>
    </row>
    <row r="194" spans="1:6" ht="16" thickBot="1" x14ac:dyDescent="0.25">
      <c r="A194" s="229">
        <v>13</v>
      </c>
      <c r="B194" s="230">
        <v>17</v>
      </c>
      <c r="C194" s="230">
        <f>COUNTIF(INDEX($167:$167,7+B193):INDEX($167:$167,7+B193+B194),0)</f>
        <v>7</v>
      </c>
      <c r="D194" s="231">
        <f t="shared" si="12"/>
        <v>0.41176470588235292</v>
      </c>
      <c r="E194" s="232">
        <f t="shared" si="13"/>
        <v>0.58823529411764708</v>
      </c>
    </row>
    <row r="197" spans="1:6" x14ac:dyDescent="0.2">
      <c r="A197" s="234" t="s">
        <v>2980</v>
      </c>
      <c r="B197" s="238" t="s">
        <v>2984</v>
      </c>
      <c r="C197" s="238" t="s">
        <v>2981</v>
      </c>
      <c r="D197" s="332" t="s">
        <v>2983</v>
      </c>
      <c r="E197" s="332"/>
      <c r="F197" s="234" t="s">
        <v>2982</v>
      </c>
    </row>
    <row r="198" spans="1:6" x14ac:dyDescent="0.2">
      <c r="A198" s="209" t="s">
        <v>1354</v>
      </c>
      <c r="B198" s="235" t="s">
        <v>6</v>
      </c>
      <c r="C198" s="6" t="s">
        <v>6</v>
      </c>
      <c r="D198" s="6">
        <f>IFERROR(INDEX(A$167:GP$167, MATCH(C198, A$3:GP$3, 0)), "")</f>
        <v>2</v>
      </c>
      <c r="E198" s="6">
        <f>COUNTIF(D198:D328, 0)</f>
        <v>82</v>
      </c>
      <c r="F198" s="6">
        <v>131</v>
      </c>
    </row>
    <row r="199" spans="1:6" x14ac:dyDescent="0.2">
      <c r="A199" s="209" t="s">
        <v>30</v>
      </c>
      <c r="B199" s="235" t="s">
        <v>1354</v>
      </c>
      <c r="C199" s="6" t="s">
        <v>2399</v>
      </c>
      <c r="D199" s="6">
        <f t="shared" ref="D199:D262" si="14">IFERROR(INDEX(A$167:GP$167, MATCH(C199, A$3:GP$3, 0)), "")</f>
        <v>0</v>
      </c>
    </row>
    <row r="200" spans="1:6" ht="16" x14ac:dyDescent="0.2">
      <c r="A200" s="209" t="s">
        <v>1358</v>
      </c>
      <c r="B200" s="206" t="s">
        <v>2399</v>
      </c>
      <c r="C200" s="6" t="s">
        <v>2400</v>
      </c>
      <c r="D200" s="6">
        <f t="shared" si="14"/>
        <v>0</v>
      </c>
    </row>
    <row r="201" spans="1:6" ht="16" x14ac:dyDescent="0.2">
      <c r="A201" s="209" t="s">
        <v>1361</v>
      </c>
      <c r="B201" s="206" t="s">
        <v>2400</v>
      </c>
      <c r="C201" s="6" t="s">
        <v>2401</v>
      </c>
      <c r="D201" s="6">
        <f t="shared" si="14"/>
        <v>0</v>
      </c>
    </row>
    <row r="202" spans="1:6" ht="16" x14ac:dyDescent="0.2">
      <c r="A202" s="209" t="s">
        <v>60</v>
      </c>
      <c r="B202" s="206" t="s">
        <v>2401</v>
      </c>
      <c r="C202" s="6" t="s">
        <v>2402</v>
      </c>
      <c r="D202" s="6">
        <f t="shared" si="14"/>
        <v>0</v>
      </c>
    </row>
    <row r="203" spans="1:6" ht="16" x14ac:dyDescent="0.2">
      <c r="A203" s="233" t="s">
        <v>1369</v>
      </c>
      <c r="B203" s="206" t="s">
        <v>2402</v>
      </c>
      <c r="C203" s="6" t="s">
        <v>42</v>
      </c>
      <c r="D203" s="6">
        <f t="shared" si="14"/>
        <v>1</v>
      </c>
    </row>
    <row r="204" spans="1:6" x14ac:dyDescent="0.2">
      <c r="A204" s="209" t="s">
        <v>1371</v>
      </c>
      <c r="B204" s="235" t="s">
        <v>30</v>
      </c>
      <c r="C204" s="6" t="s">
        <v>75</v>
      </c>
      <c r="D204" s="6">
        <f t="shared" si="14"/>
        <v>2</v>
      </c>
    </row>
    <row r="205" spans="1:6" x14ac:dyDescent="0.2">
      <c r="A205" s="209" t="s">
        <v>120</v>
      </c>
      <c r="B205" s="235" t="s">
        <v>1358</v>
      </c>
      <c r="C205" s="6" t="s">
        <v>2892</v>
      </c>
      <c r="D205" s="6">
        <f t="shared" si="14"/>
        <v>0</v>
      </c>
    </row>
    <row r="206" spans="1:6" x14ac:dyDescent="0.2">
      <c r="A206" s="209" t="s">
        <v>1378</v>
      </c>
      <c r="B206" s="235" t="s">
        <v>1361</v>
      </c>
      <c r="C206" s="6" t="s">
        <v>2893</v>
      </c>
      <c r="D206" s="6">
        <f t="shared" si="14"/>
        <v>0</v>
      </c>
    </row>
    <row r="207" spans="1:6" x14ac:dyDescent="0.2">
      <c r="A207" s="209" t="s">
        <v>131</v>
      </c>
      <c r="B207" s="235" t="s">
        <v>42</v>
      </c>
      <c r="C207" s="6" t="s">
        <v>2894</v>
      </c>
      <c r="D207" s="6">
        <f t="shared" si="14"/>
        <v>0</v>
      </c>
    </row>
    <row r="208" spans="1:6" x14ac:dyDescent="0.2">
      <c r="A208" s="209" t="s">
        <v>179</v>
      </c>
      <c r="B208" s="235" t="s">
        <v>60</v>
      </c>
      <c r="C208" s="6" t="s">
        <v>2895</v>
      </c>
      <c r="D208" s="6">
        <f t="shared" si="14"/>
        <v>3</v>
      </c>
    </row>
    <row r="209" spans="1:4" x14ac:dyDescent="0.2">
      <c r="A209" s="209" t="s">
        <v>1402</v>
      </c>
      <c r="B209" s="236" t="s">
        <v>75</v>
      </c>
      <c r="C209" s="6" t="s">
        <v>2897</v>
      </c>
      <c r="D209" s="6">
        <f t="shared" si="14"/>
        <v>0</v>
      </c>
    </row>
    <row r="210" spans="1:4" ht="16" x14ac:dyDescent="0.2">
      <c r="A210" s="209" t="s">
        <v>236</v>
      </c>
      <c r="B210" s="206" t="s">
        <v>2892</v>
      </c>
      <c r="C210" s="6" t="s">
        <v>91</v>
      </c>
      <c r="D210" s="6">
        <f t="shared" si="14"/>
        <v>15</v>
      </c>
    </row>
    <row r="211" spans="1:4" ht="16" x14ac:dyDescent="0.2">
      <c r="A211" s="209" t="s">
        <v>2896</v>
      </c>
      <c r="B211" s="206" t="s">
        <v>2893</v>
      </c>
      <c r="C211" s="6" t="s">
        <v>1373</v>
      </c>
      <c r="D211" s="6">
        <f t="shared" si="14"/>
        <v>0</v>
      </c>
    </row>
    <row r="212" spans="1:4" ht="16" x14ac:dyDescent="0.2">
      <c r="A212" s="209" t="s">
        <v>2415</v>
      </c>
      <c r="B212" s="206" t="s">
        <v>2894</v>
      </c>
      <c r="C212" s="6" t="s">
        <v>2404</v>
      </c>
      <c r="D212" s="6">
        <f t="shared" si="14"/>
        <v>0</v>
      </c>
    </row>
    <row r="213" spans="1:4" x14ac:dyDescent="0.2">
      <c r="A213" s="209" t="s">
        <v>348</v>
      </c>
      <c r="B213" s="235" t="s">
        <v>2895</v>
      </c>
      <c r="C213" s="6" t="s">
        <v>2405</v>
      </c>
      <c r="D213" s="6">
        <f t="shared" si="14"/>
        <v>0</v>
      </c>
    </row>
    <row r="214" spans="1:4" x14ac:dyDescent="0.2">
      <c r="A214" s="209" t="s">
        <v>2907</v>
      </c>
      <c r="B214" s="235" t="s">
        <v>2896</v>
      </c>
      <c r="C214" s="6" t="s">
        <v>2406</v>
      </c>
      <c r="D214" s="6">
        <f t="shared" si="14"/>
        <v>0</v>
      </c>
    </row>
    <row r="215" spans="1:4" x14ac:dyDescent="0.2">
      <c r="A215" s="209" t="s">
        <v>2912</v>
      </c>
      <c r="B215" s="235" t="s">
        <v>2897</v>
      </c>
      <c r="C215" s="6" t="s">
        <v>1383</v>
      </c>
      <c r="D215" s="6">
        <f t="shared" si="14"/>
        <v>0</v>
      </c>
    </row>
    <row r="216" spans="1:4" x14ac:dyDescent="0.2">
      <c r="A216" s="209" t="s">
        <v>372</v>
      </c>
      <c r="B216" s="235" t="s">
        <v>91</v>
      </c>
      <c r="C216" s="6" t="s">
        <v>146</v>
      </c>
      <c r="D216" s="6">
        <f t="shared" si="14"/>
        <v>2</v>
      </c>
    </row>
    <row r="217" spans="1:4" x14ac:dyDescent="0.2">
      <c r="A217" s="209" t="s">
        <v>2908</v>
      </c>
      <c r="B217" s="235" t="s">
        <v>1369</v>
      </c>
      <c r="C217" s="6" t="s">
        <v>161</v>
      </c>
      <c r="D217" s="6">
        <f t="shared" si="14"/>
        <v>0</v>
      </c>
    </row>
    <row r="218" spans="1:4" x14ac:dyDescent="0.2">
      <c r="A218" s="209" t="s">
        <v>2909</v>
      </c>
      <c r="B218" s="235" t="s">
        <v>1371</v>
      </c>
      <c r="C218" s="6" t="s">
        <v>1388</v>
      </c>
      <c r="D218" s="6">
        <f t="shared" si="14"/>
        <v>0</v>
      </c>
    </row>
    <row r="219" spans="1:4" x14ac:dyDescent="0.2">
      <c r="A219" s="209" t="s">
        <v>2914</v>
      </c>
      <c r="B219" s="235" t="s">
        <v>1373</v>
      </c>
      <c r="C219" s="6" t="s">
        <v>1391</v>
      </c>
      <c r="D219" s="6">
        <f t="shared" si="14"/>
        <v>0</v>
      </c>
    </row>
    <row r="220" spans="1:4" x14ac:dyDescent="0.2">
      <c r="A220" s="209" t="s">
        <v>397</v>
      </c>
      <c r="B220" s="235" t="s">
        <v>120</v>
      </c>
      <c r="C220" s="6" t="s">
        <v>1392</v>
      </c>
      <c r="D220" s="6">
        <f t="shared" si="14"/>
        <v>0</v>
      </c>
    </row>
    <row r="221" spans="1:4" x14ac:dyDescent="0.2">
      <c r="A221" s="233" t="s">
        <v>2929</v>
      </c>
      <c r="B221" s="235" t="s">
        <v>1378</v>
      </c>
      <c r="C221" s="6" t="s">
        <v>112</v>
      </c>
      <c r="D221" s="6">
        <f t="shared" si="14"/>
        <v>0</v>
      </c>
    </row>
    <row r="222" spans="1:4" ht="16" x14ac:dyDescent="0.2">
      <c r="A222" s="209" t="s">
        <v>567</v>
      </c>
      <c r="B222" s="206" t="s">
        <v>2404</v>
      </c>
      <c r="C222" s="6" t="s">
        <v>2407</v>
      </c>
      <c r="D222" s="6">
        <f t="shared" si="14"/>
        <v>0</v>
      </c>
    </row>
    <row r="223" spans="1:4" ht="16" x14ac:dyDescent="0.2">
      <c r="B223" s="206" t="s">
        <v>2405</v>
      </c>
      <c r="C223" s="6" t="s">
        <v>2408</v>
      </c>
      <c r="D223" s="6">
        <f t="shared" si="14"/>
        <v>0</v>
      </c>
    </row>
    <row r="224" spans="1:4" ht="16" x14ac:dyDescent="0.2">
      <c r="B224" s="206" t="s">
        <v>2406</v>
      </c>
      <c r="C224" s="6" t="s">
        <v>2409</v>
      </c>
      <c r="D224" s="6">
        <f t="shared" si="14"/>
        <v>0</v>
      </c>
    </row>
    <row r="225" spans="2:4" x14ac:dyDescent="0.2">
      <c r="B225" s="235" t="s">
        <v>131</v>
      </c>
      <c r="C225" s="6" t="s">
        <v>2410</v>
      </c>
      <c r="D225" s="6">
        <f t="shared" si="14"/>
        <v>0</v>
      </c>
    </row>
    <row r="226" spans="2:4" x14ac:dyDescent="0.2">
      <c r="B226" s="235" t="s">
        <v>1383</v>
      </c>
      <c r="C226" s="6" t="s">
        <v>1399</v>
      </c>
      <c r="D226" s="6">
        <f t="shared" si="14"/>
        <v>0</v>
      </c>
    </row>
    <row r="227" spans="2:4" x14ac:dyDescent="0.2">
      <c r="B227" s="235" t="s">
        <v>146</v>
      </c>
      <c r="C227" s="6" t="s">
        <v>2411</v>
      </c>
      <c r="D227" s="6">
        <f t="shared" si="14"/>
        <v>0</v>
      </c>
    </row>
    <row r="228" spans="2:4" x14ac:dyDescent="0.2">
      <c r="B228" s="235" t="s">
        <v>161</v>
      </c>
      <c r="C228" s="6" t="s">
        <v>2412</v>
      </c>
      <c r="D228" s="6">
        <f t="shared" si="14"/>
        <v>0</v>
      </c>
    </row>
    <row r="229" spans="2:4" x14ac:dyDescent="0.2">
      <c r="B229" s="236" t="s">
        <v>1388</v>
      </c>
      <c r="C229" s="6" t="s">
        <v>219</v>
      </c>
      <c r="D229" s="6">
        <f t="shared" si="14"/>
        <v>2</v>
      </c>
    </row>
    <row r="230" spans="2:4" x14ac:dyDescent="0.2">
      <c r="B230" s="236" t="s">
        <v>1391</v>
      </c>
      <c r="C230" s="6" t="s">
        <v>2403</v>
      </c>
      <c r="D230" s="6">
        <f t="shared" si="14"/>
        <v>0</v>
      </c>
    </row>
    <row r="231" spans="2:4" x14ac:dyDescent="0.2">
      <c r="B231" s="236" t="s">
        <v>1392</v>
      </c>
      <c r="C231" s="6" t="s">
        <v>2413</v>
      </c>
      <c r="D231" s="6">
        <f t="shared" si="14"/>
        <v>1</v>
      </c>
    </row>
    <row r="232" spans="2:4" ht="16" x14ac:dyDescent="0.2">
      <c r="B232" s="237" t="s">
        <v>112</v>
      </c>
      <c r="C232" s="6" t="s">
        <v>2898</v>
      </c>
      <c r="D232" s="6">
        <f t="shared" si="14"/>
        <v>1</v>
      </c>
    </row>
    <row r="233" spans="2:4" ht="16" x14ac:dyDescent="0.2">
      <c r="B233" s="237" t="s">
        <v>2407</v>
      </c>
      <c r="C233" s="6" t="s">
        <v>2899</v>
      </c>
      <c r="D233" s="6">
        <f t="shared" si="14"/>
        <v>0</v>
      </c>
    </row>
    <row r="234" spans="2:4" ht="16" x14ac:dyDescent="0.2">
      <c r="B234" s="237" t="s">
        <v>2408</v>
      </c>
      <c r="C234" s="6" t="s">
        <v>290</v>
      </c>
      <c r="D234" s="6">
        <f t="shared" si="14"/>
        <v>3</v>
      </c>
    </row>
    <row r="235" spans="2:4" ht="16" x14ac:dyDescent="0.2">
      <c r="B235" s="237" t="s">
        <v>2409</v>
      </c>
      <c r="C235" s="6" t="s">
        <v>303</v>
      </c>
      <c r="D235" s="6">
        <f t="shared" si="14"/>
        <v>0</v>
      </c>
    </row>
    <row r="236" spans="2:4" ht="16" x14ac:dyDescent="0.2">
      <c r="B236" s="237" t="s">
        <v>2410</v>
      </c>
      <c r="C236" s="6" t="s">
        <v>315</v>
      </c>
      <c r="D236" s="6">
        <f t="shared" si="14"/>
        <v>1</v>
      </c>
    </row>
    <row r="237" spans="2:4" x14ac:dyDescent="0.2">
      <c r="B237" s="235" t="s">
        <v>179</v>
      </c>
      <c r="C237" s="6" t="s">
        <v>1416</v>
      </c>
      <c r="D237" s="6">
        <f t="shared" si="14"/>
        <v>1</v>
      </c>
    </row>
    <row r="238" spans="2:4" ht="16" x14ac:dyDescent="0.2">
      <c r="B238" s="206" t="s">
        <v>1399</v>
      </c>
      <c r="C238" s="6" t="s">
        <v>1418</v>
      </c>
      <c r="D238" s="6">
        <f t="shared" si="14"/>
        <v>2</v>
      </c>
    </row>
    <row r="239" spans="2:4" ht="16" x14ac:dyDescent="0.2">
      <c r="B239" s="206" t="s">
        <v>2411</v>
      </c>
      <c r="C239" s="6" t="s">
        <v>354</v>
      </c>
      <c r="D239" s="6">
        <f t="shared" si="14"/>
        <v>0</v>
      </c>
    </row>
    <row r="240" spans="2:4" ht="16" x14ac:dyDescent="0.2">
      <c r="B240" s="206" t="s">
        <v>2412</v>
      </c>
      <c r="C240" s="6" t="s">
        <v>1424</v>
      </c>
      <c r="D240" s="6">
        <f t="shared" si="14"/>
        <v>0</v>
      </c>
    </row>
    <row r="241" spans="2:4" x14ac:dyDescent="0.2">
      <c r="B241" s="235" t="s">
        <v>219</v>
      </c>
      <c r="C241" s="6" t="s">
        <v>1427</v>
      </c>
      <c r="D241" s="6">
        <f t="shared" si="14"/>
        <v>0</v>
      </c>
    </row>
    <row r="242" spans="2:4" x14ac:dyDescent="0.2">
      <c r="B242" s="235" t="s">
        <v>1402</v>
      </c>
      <c r="C242" s="6" t="s">
        <v>2414</v>
      </c>
      <c r="D242" s="6">
        <f t="shared" si="14"/>
        <v>0</v>
      </c>
    </row>
    <row r="243" spans="2:4" x14ac:dyDescent="0.2">
      <c r="B243" s="235" t="s">
        <v>236</v>
      </c>
      <c r="C243" s="6" t="s">
        <v>2903</v>
      </c>
      <c r="D243" s="6">
        <f t="shared" si="14"/>
        <v>5</v>
      </c>
    </row>
    <row r="244" spans="2:4" ht="16" x14ac:dyDescent="0.2">
      <c r="B244" s="206" t="s">
        <v>2403</v>
      </c>
      <c r="C244" s="6" t="s">
        <v>367</v>
      </c>
      <c r="D244" s="6">
        <f t="shared" si="14"/>
        <v>1</v>
      </c>
    </row>
    <row r="245" spans="2:4" x14ac:dyDescent="0.2">
      <c r="B245" s="235" t="s">
        <v>2413</v>
      </c>
      <c r="C245" s="6" t="s">
        <v>2910</v>
      </c>
      <c r="D245" s="6">
        <f t="shared" si="14"/>
        <v>0</v>
      </c>
    </row>
    <row r="246" spans="2:4" ht="16" x14ac:dyDescent="0.2">
      <c r="B246" s="206" t="s">
        <v>2898</v>
      </c>
      <c r="C246" s="6" t="s">
        <v>2911</v>
      </c>
      <c r="D246" s="6">
        <f t="shared" si="14"/>
        <v>0</v>
      </c>
    </row>
    <row r="247" spans="2:4" x14ac:dyDescent="0.2">
      <c r="B247" s="235" t="s">
        <v>2899</v>
      </c>
      <c r="C247" s="6" t="s">
        <v>2913</v>
      </c>
      <c r="D247" s="6">
        <f t="shared" si="14"/>
        <v>2</v>
      </c>
    </row>
    <row r="248" spans="2:4" x14ac:dyDescent="0.2">
      <c r="B248" s="235" t="s">
        <v>290</v>
      </c>
      <c r="C248" s="6" t="s">
        <v>2916</v>
      </c>
      <c r="D248" s="6">
        <f t="shared" si="14"/>
        <v>2</v>
      </c>
    </row>
    <row r="249" spans="2:4" x14ac:dyDescent="0.2">
      <c r="B249" s="235" t="s">
        <v>303</v>
      </c>
      <c r="C249" s="6" t="s">
        <v>2974</v>
      </c>
      <c r="D249" s="6">
        <f t="shared" si="14"/>
        <v>1</v>
      </c>
    </row>
    <row r="250" spans="2:4" x14ac:dyDescent="0.2">
      <c r="B250" s="235" t="s">
        <v>315</v>
      </c>
      <c r="C250" s="6" t="s">
        <v>376</v>
      </c>
      <c r="D250" s="6">
        <f t="shared" si="14"/>
        <v>1</v>
      </c>
    </row>
    <row r="251" spans="2:4" x14ac:dyDescent="0.2">
      <c r="B251" s="235" t="s">
        <v>1416</v>
      </c>
      <c r="C251" s="6" t="s">
        <v>1432</v>
      </c>
      <c r="D251" s="6">
        <f t="shared" si="14"/>
        <v>1</v>
      </c>
    </row>
    <row r="252" spans="2:4" x14ac:dyDescent="0.2">
      <c r="B252" s="235" t="s">
        <v>1418</v>
      </c>
      <c r="C252" s="6" t="s">
        <v>1435</v>
      </c>
      <c r="D252" s="6">
        <f t="shared" si="14"/>
        <v>1</v>
      </c>
    </row>
    <row r="253" spans="2:4" x14ac:dyDescent="0.2">
      <c r="B253" s="235" t="s">
        <v>348</v>
      </c>
      <c r="C253" s="6" t="s">
        <v>2915</v>
      </c>
      <c r="D253" s="6">
        <f t="shared" si="14"/>
        <v>0</v>
      </c>
    </row>
    <row r="254" spans="2:4" x14ac:dyDescent="0.2">
      <c r="B254" s="235" t="s">
        <v>354</v>
      </c>
      <c r="C254" s="6" t="s">
        <v>2917</v>
      </c>
      <c r="D254" s="6">
        <f t="shared" si="14"/>
        <v>1</v>
      </c>
    </row>
    <row r="255" spans="2:4" x14ac:dyDescent="0.2">
      <c r="B255" s="235" t="s">
        <v>1424</v>
      </c>
      <c r="C255" s="6" t="s">
        <v>386</v>
      </c>
      <c r="D255" s="6">
        <f t="shared" si="14"/>
        <v>0</v>
      </c>
    </row>
    <row r="256" spans="2:4" ht="16" x14ac:dyDescent="0.2">
      <c r="B256" s="206" t="s">
        <v>1427</v>
      </c>
      <c r="C256" s="6" t="s">
        <v>392</v>
      </c>
      <c r="D256" s="6">
        <f t="shared" si="14"/>
        <v>0</v>
      </c>
    </row>
    <row r="257" spans="2:4" x14ac:dyDescent="0.2">
      <c r="B257" s="235" t="s">
        <v>2414</v>
      </c>
      <c r="C257" s="6" t="s">
        <v>1439</v>
      </c>
      <c r="D257" s="6">
        <f t="shared" si="14"/>
        <v>0</v>
      </c>
    </row>
    <row r="258" spans="2:4" x14ac:dyDescent="0.2">
      <c r="B258" s="235" t="s">
        <v>2415</v>
      </c>
      <c r="C258" s="6" t="s">
        <v>1443</v>
      </c>
      <c r="D258" s="6">
        <f t="shared" si="14"/>
        <v>4</v>
      </c>
    </row>
    <row r="259" spans="2:4" x14ac:dyDescent="0.2">
      <c r="B259" s="235" t="s">
        <v>2903</v>
      </c>
      <c r="C259" s="6" t="s">
        <v>2918</v>
      </c>
      <c r="D259" s="6">
        <f t="shared" si="14"/>
        <v>3</v>
      </c>
    </row>
    <row r="260" spans="2:4" ht="16" x14ac:dyDescent="0.2">
      <c r="B260" s="206" t="s">
        <v>367</v>
      </c>
      <c r="C260" s="6" t="s">
        <v>418</v>
      </c>
      <c r="D260" s="6">
        <f t="shared" si="14"/>
        <v>0</v>
      </c>
    </row>
    <row r="261" spans="2:4" ht="16" x14ac:dyDescent="0.2">
      <c r="B261" s="206" t="s">
        <v>2907</v>
      </c>
      <c r="C261" s="6" t="s">
        <v>1447</v>
      </c>
      <c r="D261" s="6">
        <f t="shared" si="14"/>
        <v>0</v>
      </c>
    </row>
    <row r="262" spans="2:4" ht="16" x14ac:dyDescent="0.2">
      <c r="B262" s="206" t="s">
        <v>372</v>
      </c>
      <c r="C262" s="6" t="s">
        <v>1448</v>
      </c>
      <c r="D262" s="6">
        <f t="shared" si="14"/>
        <v>0</v>
      </c>
    </row>
    <row r="263" spans="2:4" ht="16" x14ac:dyDescent="0.2">
      <c r="B263" s="206" t="s">
        <v>2908</v>
      </c>
      <c r="C263" s="6" t="s">
        <v>2494</v>
      </c>
      <c r="D263" s="6">
        <f t="shared" ref="D263:D326" si="15">IFERROR(INDEX(A$167:GP$167, MATCH(C263, A$3:GP$3, 0)), "")</f>
        <v>0</v>
      </c>
    </row>
    <row r="264" spans="2:4" ht="16" x14ac:dyDescent="0.2">
      <c r="B264" s="206" t="s">
        <v>2909</v>
      </c>
      <c r="C264" s="6" t="s">
        <v>444</v>
      </c>
      <c r="D264" s="6">
        <f t="shared" si="15"/>
        <v>0</v>
      </c>
    </row>
    <row r="265" spans="2:4" ht="16" x14ac:dyDescent="0.2">
      <c r="B265" s="206" t="s">
        <v>2910</v>
      </c>
      <c r="C265" s="6" t="s">
        <v>1450</v>
      </c>
      <c r="D265" s="6">
        <f t="shared" si="15"/>
        <v>1</v>
      </c>
    </row>
    <row r="266" spans="2:4" ht="16" x14ac:dyDescent="0.2">
      <c r="B266" s="206" t="s">
        <v>2911</v>
      </c>
      <c r="C266" s="6" t="s">
        <v>1453</v>
      </c>
      <c r="D266" s="6">
        <f t="shared" si="15"/>
        <v>0</v>
      </c>
    </row>
    <row r="267" spans="2:4" ht="16" x14ac:dyDescent="0.2">
      <c r="B267" s="206" t="s">
        <v>2912</v>
      </c>
      <c r="C267" s="6" t="s">
        <v>2319</v>
      </c>
      <c r="D267" s="6">
        <f t="shared" si="15"/>
        <v>0</v>
      </c>
    </row>
    <row r="268" spans="2:4" ht="16" x14ac:dyDescent="0.2">
      <c r="B268" s="206" t="s">
        <v>2913</v>
      </c>
      <c r="C268" s="6" t="s">
        <v>464</v>
      </c>
      <c r="D268" s="6">
        <f t="shared" si="15"/>
        <v>2</v>
      </c>
    </row>
    <row r="269" spans="2:4" ht="16" x14ac:dyDescent="0.2">
      <c r="B269" s="206" t="s">
        <v>2916</v>
      </c>
      <c r="C269" s="6" t="s">
        <v>510</v>
      </c>
      <c r="D269" s="6">
        <f t="shared" si="15"/>
        <v>2</v>
      </c>
    </row>
    <row r="270" spans="2:4" ht="16" x14ac:dyDescent="0.2">
      <c r="B270" s="206" t="s">
        <v>2974</v>
      </c>
      <c r="C270" s="6" t="s">
        <v>537</v>
      </c>
      <c r="D270" s="6">
        <f t="shared" si="15"/>
        <v>1</v>
      </c>
    </row>
    <row r="271" spans="2:4" ht="16" x14ac:dyDescent="0.2">
      <c r="B271" s="206" t="s">
        <v>376</v>
      </c>
      <c r="C271" s="6" t="s">
        <v>548</v>
      </c>
      <c r="D271" s="6">
        <f t="shared" si="15"/>
        <v>0</v>
      </c>
    </row>
    <row r="272" spans="2:4" ht="16" x14ac:dyDescent="0.2">
      <c r="B272" s="237" t="s">
        <v>1432</v>
      </c>
      <c r="C272" s="6" t="s">
        <v>2919</v>
      </c>
      <c r="D272" s="6">
        <f t="shared" si="15"/>
        <v>1</v>
      </c>
    </row>
    <row r="273" spans="2:4" ht="16" x14ac:dyDescent="0.2">
      <c r="B273" s="237" t="s">
        <v>1435</v>
      </c>
      <c r="C273" s="6" t="s">
        <v>2920</v>
      </c>
      <c r="D273" s="6">
        <f t="shared" si="15"/>
        <v>4</v>
      </c>
    </row>
    <row r="274" spans="2:4" ht="16" x14ac:dyDescent="0.2">
      <c r="B274" s="237" t="s">
        <v>2914</v>
      </c>
      <c r="C274" s="6" t="s">
        <v>2970</v>
      </c>
      <c r="D274" s="6">
        <f t="shared" si="15"/>
        <v>1</v>
      </c>
    </row>
    <row r="275" spans="2:4" ht="16" x14ac:dyDescent="0.2">
      <c r="B275" s="237" t="s">
        <v>2915</v>
      </c>
      <c r="C275" s="6" t="s">
        <v>2971</v>
      </c>
      <c r="D275" s="6">
        <f t="shared" si="15"/>
        <v>0</v>
      </c>
    </row>
    <row r="276" spans="2:4" ht="16" x14ac:dyDescent="0.2">
      <c r="B276" s="237" t="s">
        <v>2917</v>
      </c>
      <c r="C276" s="6" t="s">
        <v>2972</v>
      </c>
      <c r="D276" s="6">
        <f t="shared" si="15"/>
        <v>0</v>
      </c>
    </row>
    <row r="277" spans="2:4" ht="16" x14ac:dyDescent="0.2">
      <c r="B277" s="237" t="s">
        <v>386</v>
      </c>
      <c r="C277" s="6" t="s">
        <v>2921</v>
      </c>
      <c r="D277" s="6">
        <f t="shared" si="15"/>
        <v>1</v>
      </c>
    </row>
    <row r="278" spans="2:4" ht="16" x14ac:dyDescent="0.2">
      <c r="B278" s="237" t="s">
        <v>392</v>
      </c>
      <c r="C278" s="6" t="s">
        <v>2922</v>
      </c>
      <c r="D278" s="6">
        <f t="shared" si="15"/>
        <v>3</v>
      </c>
    </row>
    <row r="279" spans="2:4" x14ac:dyDescent="0.2">
      <c r="B279" s="235" t="s">
        <v>1439</v>
      </c>
      <c r="C279" s="6" t="s">
        <v>2923</v>
      </c>
      <c r="D279" s="6">
        <f t="shared" si="15"/>
        <v>0</v>
      </c>
    </row>
    <row r="280" spans="2:4" x14ac:dyDescent="0.2">
      <c r="B280" s="235" t="s">
        <v>397</v>
      </c>
      <c r="C280" s="6" t="s">
        <v>2924</v>
      </c>
      <c r="D280" s="6">
        <f t="shared" si="15"/>
        <v>0</v>
      </c>
    </row>
    <row r="281" spans="2:4" ht="16" x14ac:dyDescent="0.2">
      <c r="B281" s="206" t="s">
        <v>1443</v>
      </c>
      <c r="C281" s="6" t="s">
        <v>2925</v>
      </c>
      <c r="D281" s="6">
        <f t="shared" si="15"/>
        <v>0</v>
      </c>
    </row>
    <row r="282" spans="2:4" ht="16" x14ac:dyDescent="0.2">
      <c r="B282" s="206" t="s">
        <v>2918</v>
      </c>
      <c r="C282" s="6" t="s">
        <v>2926</v>
      </c>
      <c r="D282" s="6">
        <f t="shared" si="15"/>
        <v>0</v>
      </c>
    </row>
    <row r="283" spans="2:4" x14ac:dyDescent="0.2">
      <c r="B283" s="235" t="s">
        <v>418</v>
      </c>
      <c r="C283" s="6" t="s">
        <v>2927</v>
      </c>
      <c r="D283" s="6">
        <f t="shared" si="15"/>
        <v>1</v>
      </c>
    </row>
    <row r="284" spans="2:4" x14ac:dyDescent="0.2">
      <c r="B284" s="235" t="s">
        <v>1447</v>
      </c>
      <c r="C284" s="6" t="s">
        <v>2928</v>
      </c>
      <c r="D284" s="6">
        <f t="shared" si="15"/>
        <v>0</v>
      </c>
    </row>
    <row r="285" spans="2:4" x14ac:dyDescent="0.2">
      <c r="B285" s="235" t="s">
        <v>1448</v>
      </c>
      <c r="C285" s="6" t="s">
        <v>2930</v>
      </c>
      <c r="D285" s="6">
        <f t="shared" si="15"/>
        <v>0</v>
      </c>
    </row>
    <row r="286" spans="2:4" x14ac:dyDescent="0.2">
      <c r="B286" s="235" t="s">
        <v>2494</v>
      </c>
      <c r="C286" s="6" t="s">
        <v>2931</v>
      </c>
      <c r="D286" s="6">
        <f t="shared" si="15"/>
        <v>0</v>
      </c>
    </row>
    <row r="287" spans="2:4" x14ac:dyDescent="0.2">
      <c r="B287" s="235" t="s">
        <v>444</v>
      </c>
      <c r="C287" s="6" t="s">
        <v>2932</v>
      </c>
      <c r="D287" s="6">
        <f t="shared" si="15"/>
        <v>0</v>
      </c>
    </row>
    <row r="288" spans="2:4" ht="16" x14ac:dyDescent="0.2">
      <c r="B288" s="206" t="s">
        <v>1450</v>
      </c>
      <c r="C288" s="6" t="s">
        <v>2933</v>
      </c>
      <c r="D288" s="6">
        <f t="shared" si="15"/>
        <v>0</v>
      </c>
    </row>
    <row r="289" spans="2:4" ht="16" x14ac:dyDescent="0.2">
      <c r="B289" s="206" t="s">
        <v>1453</v>
      </c>
      <c r="C289" s="6" t="s">
        <v>2934</v>
      </c>
      <c r="D289" s="6">
        <f t="shared" si="15"/>
        <v>0</v>
      </c>
    </row>
    <row r="290" spans="2:4" ht="16" x14ac:dyDescent="0.2">
      <c r="B290" s="206" t="s">
        <v>2319</v>
      </c>
      <c r="C290" s="6" t="s">
        <v>2935</v>
      </c>
      <c r="D290" s="6">
        <f t="shared" si="15"/>
        <v>1</v>
      </c>
    </row>
    <row r="291" spans="2:4" x14ac:dyDescent="0.2">
      <c r="B291" s="235" t="s">
        <v>464</v>
      </c>
      <c r="C291" s="6" t="s">
        <v>2936</v>
      </c>
      <c r="D291" s="6">
        <f t="shared" si="15"/>
        <v>0</v>
      </c>
    </row>
    <row r="292" spans="2:4" ht="16" x14ac:dyDescent="0.2">
      <c r="B292" s="206" t="s">
        <v>510</v>
      </c>
      <c r="C292" s="6" t="s">
        <v>2937</v>
      </c>
      <c r="D292" s="6">
        <f t="shared" si="15"/>
        <v>0</v>
      </c>
    </row>
    <row r="293" spans="2:4" ht="16" x14ac:dyDescent="0.2">
      <c r="B293" s="206" t="s">
        <v>537</v>
      </c>
      <c r="C293" s="6" t="s">
        <v>2938</v>
      </c>
      <c r="D293" s="6">
        <f t="shared" si="15"/>
        <v>0</v>
      </c>
    </row>
    <row r="294" spans="2:4" ht="16" x14ac:dyDescent="0.2">
      <c r="B294" s="206" t="s">
        <v>548</v>
      </c>
      <c r="C294" s="6" t="s">
        <v>2939</v>
      </c>
      <c r="D294" s="6">
        <f t="shared" si="15"/>
        <v>0</v>
      </c>
    </row>
    <row r="295" spans="2:4" ht="16" x14ac:dyDescent="0.2">
      <c r="B295" s="206" t="s">
        <v>2919</v>
      </c>
      <c r="C295" s="6" t="s">
        <v>2940</v>
      </c>
      <c r="D295" s="6">
        <f t="shared" si="15"/>
        <v>0</v>
      </c>
    </row>
    <row r="296" spans="2:4" ht="16" x14ac:dyDescent="0.2">
      <c r="B296" s="206" t="s">
        <v>2920</v>
      </c>
      <c r="C296" s="6" t="s">
        <v>2941</v>
      </c>
      <c r="D296" s="6">
        <f t="shared" si="15"/>
        <v>0</v>
      </c>
    </row>
    <row r="297" spans="2:4" ht="16" x14ac:dyDescent="0.2">
      <c r="B297" s="237" t="s">
        <v>2970</v>
      </c>
      <c r="C297" s="6" t="s">
        <v>2942</v>
      </c>
      <c r="D297" s="6">
        <f t="shared" si="15"/>
        <v>0</v>
      </c>
    </row>
    <row r="298" spans="2:4" ht="16" x14ac:dyDescent="0.2">
      <c r="B298" s="237" t="s">
        <v>2971</v>
      </c>
      <c r="C298" s="6" t="s">
        <v>2943</v>
      </c>
      <c r="D298" s="6">
        <f t="shared" si="15"/>
        <v>3</v>
      </c>
    </row>
    <row r="299" spans="2:4" ht="16" x14ac:dyDescent="0.2">
      <c r="B299" s="237" t="s">
        <v>2972</v>
      </c>
      <c r="C299" s="6" t="s">
        <v>2901</v>
      </c>
      <c r="D299" s="6">
        <f t="shared" si="15"/>
        <v>0</v>
      </c>
    </row>
    <row r="300" spans="2:4" ht="16" x14ac:dyDescent="0.2">
      <c r="B300" s="206" t="s">
        <v>2921</v>
      </c>
      <c r="C300" s="6" t="s">
        <v>2900</v>
      </c>
      <c r="D300" s="6">
        <f t="shared" si="15"/>
        <v>0</v>
      </c>
    </row>
    <row r="301" spans="2:4" ht="16" x14ac:dyDescent="0.2">
      <c r="B301" s="206" t="s">
        <v>2922</v>
      </c>
      <c r="C301" s="6" t="s">
        <v>2944</v>
      </c>
      <c r="D301" s="6">
        <f t="shared" si="15"/>
        <v>0</v>
      </c>
    </row>
    <row r="302" spans="2:4" ht="16" x14ac:dyDescent="0.2">
      <c r="B302" s="206" t="s">
        <v>2923</v>
      </c>
      <c r="C302" s="6" t="s">
        <v>2945</v>
      </c>
      <c r="D302" s="6">
        <f t="shared" si="15"/>
        <v>0</v>
      </c>
    </row>
    <row r="303" spans="2:4" ht="16" x14ac:dyDescent="0.2">
      <c r="B303" s="206" t="s">
        <v>2924</v>
      </c>
      <c r="C303" s="6" t="s">
        <v>2946</v>
      </c>
      <c r="D303" s="6">
        <f t="shared" si="15"/>
        <v>0</v>
      </c>
    </row>
    <row r="304" spans="2:4" ht="16" x14ac:dyDescent="0.2">
      <c r="B304" s="206" t="s">
        <v>2925</v>
      </c>
      <c r="C304" s="6" t="s">
        <v>2973</v>
      </c>
      <c r="D304" s="6">
        <f t="shared" si="15"/>
        <v>0</v>
      </c>
    </row>
    <row r="305" spans="2:4" ht="16" x14ac:dyDescent="0.2">
      <c r="B305" s="206" t="s">
        <v>2926</v>
      </c>
      <c r="C305" s="6" t="s">
        <v>2969</v>
      </c>
      <c r="D305" s="6">
        <f t="shared" si="15"/>
        <v>0</v>
      </c>
    </row>
    <row r="306" spans="2:4" ht="16" x14ac:dyDescent="0.2">
      <c r="B306" s="206" t="s">
        <v>2927</v>
      </c>
      <c r="C306" s="6" t="s">
        <v>2905</v>
      </c>
      <c r="D306" s="6">
        <f t="shared" si="15"/>
        <v>1</v>
      </c>
    </row>
    <row r="307" spans="2:4" ht="16" x14ac:dyDescent="0.2">
      <c r="B307" s="206" t="s">
        <v>2928</v>
      </c>
      <c r="C307" s="6" t="s">
        <v>2906</v>
      </c>
      <c r="D307" s="6">
        <f t="shared" si="15"/>
        <v>0</v>
      </c>
    </row>
    <row r="308" spans="2:4" ht="16" x14ac:dyDescent="0.2">
      <c r="B308" s="206" t="s">
        <v>2929</v>
      </c>
      <c r="C308" s="6" t="s">
        <v>2904</v>
      </c>
      <c r="D308" s="6">
        <f t="shared" si="15"/>
        <v>6</v>
      </c>
    </row>
    <row r="309" spans="2:4" ht="16" x14ac:dyDescent="0.2">
      <c r="B309" s="206" t="s">
        <v>2930</v>
      </c>
      <c r="C309" s="6" t="s">
        <v>583</v>
      </c>
      <c r="D309" s="6">
        <f t="shared" si="15"/>
        <v>5</v>
      </c>
    </row>
    <row r="310" spans="2:4" ht="16" x14ac:dyDescent="0.2">
      <c r="B310" s="206" t="s">
        <v>2931</v>
      </c>
      <c r="C310" s="6" t="s">
        <v>592</v>
      </c>
      <c r="D310" s="6">
        <f t="shared" si="15"/>
        <v>2</v>
      </c>
    </row>
    <row r="311" spans="2:4" ht="16" x14ac:dyDescent="0.2">
      <c r="B311" s="206" t="s">
        <v>2932</v>
      </c>
      <c r="C311" s="6" t="s">
        <v>596</v>
      </c>
      <c r="D311" s="6">
        <f t="shared" si="15"/>
        <v>0</v>
      </c>
    </row>
    <row r="312" spans="2:4" ht="16" x14ac:dyDescent="0.2">
      <c r="B312" s="206" t="s">
        <v>2933</v>
      </c>
      <c r="C312" s="6" t="s">
        <v>2947</v>
      </c>
      <c r="D312" s="6">
        <f t="shared" si="15"/>
        <v>6</v>
      </c>
    </row>
    <row r="313" spans="2:4" ht="16" x14ac:dyDescent="0.2">
      <c r="B313" s="206" t="s">
        <v>2934</v>
      </c>
      <c r="C313" s="6" t="s">
        <v>2948</v>
      </c>
      <c r="D313" s="6">
        <f t="shared" si="15"/>
        <v>0</v>
      </c>
    </row>
    <row r="314" spans="2:4" ht="16" x14ac:dyDescent="0.2">
      <c r="B314" s="206" t="s">
        <v>2935</v>
      </c>
      <c r="C314" s="6" t="s">
        <v>602</v>
      </c>
      <c r="D314" s="6">
        <f t="shared" si="15"/>
        <v>1</v>
      </c>
    </row>
    <row r="315" spans="2:4" ht="16" x14ac:dyDescent="0.2">
      <c r="B315" s="206" t="s">
        <v>2936</v>
      </c>
      <c r="C315" s="6" t="s">
        <v>2461</v>
      </c>
      <c r="D315" s="6">
        <f t="shared" si="15"/>
        <v>0</v>
      </c>
    </row>
    <row r="316" spans="2:4" ht="16" x14ac:dyDescent="0.2">
      <c r="B316" s="206" t="s">
        <v>2937</v>
      </c>
      <c r="C316" s="6" t="s">
        <v>2462</v>
      </c>
      <c r="D316" s="6">
        <f t="shared" si="15"/>
        <v>0</v>
      </c>
    </row>
    <row r="317" spans="2:4" ht="16" x14ac:dyDescent="0.2">
      <c r="B317" s="206" t="s">
        <v>2938</v>
      </c>
      <c r="C317" s="6" t="s">
        <v>615</v>
      </c>
      <c r="D317" s="6">
        <f t="shared" si="15"/>
        <v>0</v>
      </c>
    </row>
    <row r="318" spans="2:4" ht="16" x14ac:dyDescent="0.2">
      <c r="B318" s="206" t="s">
        <v>2939</v>
      </c>
      <c r="C318" s="6" t="s">
        <v>639</v>
      </c>
      <c r="D318" s="6">
        <f t="shared" si="15"/>
        <v>2</v>
      </c>
    </row>
    <row r="319" spans="2:4" ht="16" x14ac:dyDescent="0.2">
      <c r="B319" s="206" t="s">
        <v>2940</v>
      </c>
      <c r="C319" s="6" t="s">
        <v>720</v>
      </c>
      <c r="D319" s="6">
        <f t="shared" si="15"/>
        <v>10</v>
      </c>
    </row>
    <row r="320" spans="2:4" ht="16" x14ac:dyDescent="0.2">
      <c r="B320" s="206" t="s">
        <v>2941</v>
      </c>
      <c r="C320" s="6" t="s">
        <v>733</v>
      </c>
      <c r="D320" s="6">
        <f t="shared" si="15"/>
        <v>3</v>
      </c>
    </row>
    <row r="321" spans="2:4" ht="16" x14ac:dyDescent="0.2">
      <c r="B321" s="206" t="s">
        <v>2942</v>
      </c>
      <c r="C321" s="6" t="s">
        <v>746</v>
      </c>
      <c r="D321" s="6">
        <f t="shared" si="15"/>
        <v>2</v>
      </c>
    </row>
    <row r="322" spans="2:4" ht="16" x14ac:dyDescent="0.2">
      <c r="B322" s="206" t="s">
        <v>2943</v>
      </c>
      <c r="C322" s="6" t="s">
        <v>754</v>
      </c>
      <c r="D322" s="6">
        <f t="shared" si="15"/>
        <v>0</v>
      </c>
    </row>
    <row r="323" spans="2:4" x14ac:dyDescent="0.2">
      <c r="B323" s="235" t="s">
        <v>2901</v>
      </c>
      <c r="C323" s="6" t="s">
        <v>2375</v>
      </c>
      <c r="D323" s="6">
        <f t="shared" si="15"/>
        <v>0</v>
      </c>
    </row>
    <row r="324" spans="2:4" x14ac:dyDescent="0.2">
      <c r="B324" s="235" t="s">
        <v>2900</v>
      </c>
      <c r="C324" s="6" t="s">
        <v>2376</v>
      </c>
      <c r="D324" s="6">
        <f t="shared" si="15"/>
        <v>5</v>
      </c>
    </row>
    <row r="325" spans="2:4" ht="16" x14ac:dyDescent="0.2">
      <c r="B325" s="206" t="s">
        <v>2944</v>
      </c>
      <c r="C325" s="6" t="s">
        <v>2377</v>
      </c>
      <c r="D325" s="6">
        <f t="shared" si="15"/>
        <v>0</v>
      </c>
    </row>
    <row r="326" spans="2:4" ht="16" x14ac:dyDescent="0.2">
      <c r="B326" s="206" t="s">
        <v>2945</v>
      </c>
      <c r="C326" s="6" t="s">
        <v>2378</v>
      </c>
      <c r="D326" s="6">
        <f t="shared" si="15"/>
        <v>1</v>
      </c>
    </row>
    <row r="327" spans="2:4" ht="16" x14ac:dyDescent="0.2">
      <c r="B327" s="206" t="s">
        <v>2946</v>
      </c>
      <c r="C327" s="6" t="s">
        <v>2379</v>
      </c>
      <c r="D327" s="6">
        <f t="shared" ref="D327:D328" si="16">IFERROR(INDEX(A$167:GP$167, MATCH(C327, A$3:GP$3, 0)), "")</f>
        <v>1</v>
      </c>
    </row>
    <row r="328" spans="2:4" ht="16" x14ac:dyDescent="0.2">
      <c r="B328" s="237" t="s">
        <v>2973</v>
      </c>
      <c r="C328" s="6" t="s">
        <v>2380</v>
      </c>
      <c r="D328" s="6">
        <f t="shared" si="16"/>
        <v>0</v>
      </c>
    </row>
    <row r="329" spans="2:4" x14ac:dyDescent="0.2">
      <c r="B329" s="235" t="s">
        <v>2969</v>
      </c>
    </row>
    <row r="330" spans="2:4" x14ac:dyDescent="0.2">
      <c r="B330" s="235" t="s">
        <v>2905</v>
      </c>
    </row>
    <row r="331" spans="2:4" ht="16" x14ac:dyDescent="0.2">
      <c r="B331" s="206" t="s">
        <v>2906</v>
      </c>
    </row>
    <row r="332" spans="2:4" x14ac:dyDescent="0.2">
      <c r="B332" s="235" t="s">
        <v>2904</v>
      </c>
    </row>
    <row r="333" spans="2:4" x14ac:dyDescent="0.2">
      <c r="B333" s="235" t="s">
        <v>567</v>
      </c>
    </row>
    <row r="334" spans="2:4" x14ac:dyDescent="0.2">
      <c r="B334" s="235" t="s">
        <v>583</v>
      </c>
    </row>
    <row r="335" spans="2:4" x14ac:dyDescent="0.2">
      <c r="B335" s="235" t="s">
        <v>592</v>
      </c>
    </row>
    <row r="336" spans="2:4" x14ac:dyDescent="0.2">
      <c r="B336" s="235" t="s">
        <v>596</v>
      </c>
    </row>
    <row r="337" spans="2:2" x14ac:dyDescent="0.2">
      <c r="B337" s="235" t="s">
        <v>2947</v>
      </c>
    </row>
    <row r="338" spans="2:2" ht="16" x14ac:dyDescent="0.2">
      <c r="B338" s="206" t="s">
        <v>2948</v>
      </c>
    </row>
    <row r="339" spans="2:2" x14ac:dyDescent="0.2">
      <c r="B339" s="235" t="s">
        <v>602</v>
      </c>
    </row>
    <row r="340" spans="2:2" ht="16" x14ac:dyDescent="0.2">
      <c r="B340" s="237" t="s">
        <v>2461</v>
      </c>
    </row>
    <row r="341" spans="2:2" ht="16" x14ac:dyDescent="0.2">
      <c r="B341" s="237" t="s">
        <v>2462</v>
      </c>
    </row>
    <row r="342" spans="2:2" x14ac:dyDescent="0.2">
      <c r="B342" s="235" t="s">
        <v>615</v>
      </c>
    </row>
    <row r="343" spans="2:2" x14ac:dyDescent="0.2">
      <c r="B343" s="235" t="s">
        <v>639</v>
      </c>
    </row>
    <row r="344" spans="2:2" x14ac:dyDescent="0.2">
      <c r="B344" s="235" t="s">
        <v>720</v>
      </c>
    </row>
    <row r="345" spans="2:2" x14ac:dyDescent="0.2">
      <c r="B345" s="235" t="s">
        <v>733</v>
      </c>
    </row>
    <row r="346" spans="2:2" x14ac:dyDescent="0.2">
      <c r="B346" s="235" t="s">
        <v>746</v>
      </c>
    </row>
    <row r="347" spans="2:2" ht="16" x14ac:dyDescent="0.2">
      <c r="B347" s="206" t="s">
        <v>754</v>
      </c>
    </row>
    <row r="348" spans="2:2" ht="16" x14ac:dyDescent="0.2">
      <c r="B348" s="206" t="s">
        <v>2375</v>
      </c>
    </row>
    <row r="349" spans="2:2" ht="16" x14ac:dyDescent="0.2">
      <c r="B349" s="206" t="s">
        <v>2376</v>
      </c>
    </row>
    <row r="350" spans="2:2" ht="16" x14ac:dyDescent="0.2">
      <c r="B350" s="206" t="s">
        <v>2377</v>
      </c>
    </row>
    <row r="351" spans="2:2" ht="16" x14ac:dyDescent="0.2">
      <c r="B351" s="206" t="s">
        <v>2378</v>
      </c>
    </row>
    <row r="352" spans="2:2" ht="16" x14ac:dyDescent="0.2">
      <c r="B352" s="206" t="s">
        <v>2379</v>
      </c>
    </row>
    <row r="353" spans="2:2" ht="16" x14ac:dyDescent="0.2">
      <c r="B353" s="206" t="s">
        <v>2380</v>
      </c>
    </row>
    <row r="1048522" spans="5:6" x14ac:dyDescent="0.2">
      <c r="E1048522"/>
      <c r="F1048522"/>
    </row>
  </sheetData>
  <mergeCells count="20">
    <mergeCell ref="B176:C176"/>
    <mergeCell ref="E176:F176"/>
    <mergeCell ref="B177:C177"/>
    <mergeCell ref="B178:C178"/>
    <mergeCell ref="D197:E197"/>
    <mergeCell ref="A169:C169"/>
    <mergeCell ref="E169:F169"/>
    <mergeCell ref="B170:C170"/>
    <mergeCell ref="E170:F170"/>
    <mergeCell ref="B171:C171"/>
    <mergeCell ref="E171:F171"/>
    <mergeCell ref="B172:C172"/>
    <mergeCell ref="E172:F172"/>
    <mergeCell ref="B173:C173"/>
    <mergeCell ref="E173:F173"/>
    <mergeCell ref="B174:C174"/>
    <mergeCell ref="E174:F174"/>
    <mergeCell ref="B179:C179"/>
    <mergeCell ref="B175:C175"/>
    <mergeCell ref="E175:F175"/>
  </mergeCells>
  <conditionalFormatting sqref="A4:A121">
    <cfRule type="cellIs" dxfId="17" priority="9" operator="equal">
      <formula>#REF!=0</formula>
    </cfRule>
  </conditionalFormatting>
  <conditionalFormatting sqref="A47">
    <cfRule type="duplicateValues" dxfId="16" priority="7"/>
  </conditionalFormatting>
  <conditionalFormatting sqref="A122:A123">
    <cfRule type="duplicateValues" dxfId="15" priority="10"/>
  </conditionalFormatting>
  <conditionalFormatting sqref="A124">
    <cfRule type="duplicateValues" dxfId="14" priority="5"/>
  </conditionalFormatting>
  <conditionalFormatting sqref="A125">
    <cfRule type="duplicateValues" dxfId="13" priority="4"/>
  </conditionalFormatting>
  <conditionalFormatting sqref="A126">
    <cfRule type="duplicateValues" dxfId="12" priority="3"/>
  </conditionalFormatting>
  <conditionalFormatting sqref="A163">
    <cfRule type="duplicateValues" dxfId="11" priority="2"/>
  </conditionalFormatting>
  <conditionalFormatting sqref="B1">
    <cfRule type="duplicateValues" dxfId="10" priority="6"/>
  </conditionalFormatting>
  <conditionalFormatting sqref="B3:D3">
    <cfRule type="duplicateValues" dxfId="9" priority="11"/>
  </conditionalFormatting>
  <conditionalFormatting sqref="D182:D194">
    <cfRule type="duplicateValues" dxfId="8" priority="1"/>
  </conditionalFormatting>
  <conditionalFormatting sqref="E3:F3 A3">
    <cfRule type="duplicateValues" dxfId="7" priority="8"/>
  </conditionalFormatting>
  <pageMargins left="0.7" right="0.7" top="0.75" bottom="0.75" header="0.3" footer="0.3"/>
  <pageSetup paperSize="9"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4554-6727-4019-B2D8-5FBCB41661E1}">
  <dimension ref="A1:N138"/>
  <sheetViews>
    <sheetView tabSelected="1" zoomScale="109" zoomScaleNormal="85" workbookViewId="0">
      <pane ySplit="1" topLeftCell="A83" activePane="bottomLeft" state="frozen"/>
      <selection pane="bottomLeft" activeCell="N80" sqref="N80"/>
    </sheetView>
  </sheetViews>
  <sheetFormatPr baseColWidth="10" defaultColWidth="8.83203125" defaultRowHeight="15" x14ac:dyDescent="0.2"/>
  <cols>
    <col min="1" max="1" width="38" bestFit="1" customWidth="1"/>
    <col min="2" max="2" width="29.1640625" style="10" bestFit="1" customWidth="1"/>
    <col min="3" max="3" width="85.33203125" style="197" bestFit="1" customWidth="1"/>
    <col min="4" max="4" width="12.1640625" style="197" bestFit="1" customWidth="1"/>
    <col min="5" max="5" width="13.33203125" style="177" bestFit="1" customWidth="1"/>
    <col min="6" max="6" width="13.83203125" style="177" bestFit="1" customWidth="1"/>
    <col min="7" max="7" width="15" style="11" bestFit="1" customWidth="1"/>
    <col min="8" max="8" width="9.6640625" style="11" bestFit="1" customWidth="1"/>
    <col min="9" max="9" width="11" style="11" bestFit="1" customWidth="1"/>
    <col min="10" max="10" width="11.83203125" style="11" bestFit="1" customWidth="1"/>
    <col min="11" max="11" width="8" bestFit="1" customWidth="1"/>
    <col min="12" max="12" width="11.1640625" bestFit="1" customWidth="1"/>
    <col min="13" max="13" width="12.6640625" customWidth="1"/>
  </cols>
  <sheetData>
    <row r="1" spans="1:12" x14ac:dyDescent="0.2">
      <c r="A1" s="47" t="s">
        <v>2020</v>
      </c>
      <c r="B1" s="48" t="s">
        <v>2021</v>
      </c>
      <c r="C1" s="88" t="s">
        <v>2022</v>
      </c>
      <c r="D1" s="88" t="s">
        <v>2023</v>
      </c>
      <c r="E1" s="175" t="s">
        <v>2024</v>
      </c>
      <c r="F1" s="175" t="s">
        <v>2025</v>
      </c>
      <c r="G1" s="87" t="s">
        <v>2026</v>
      </c>
      <c r="H1" s="87" t="s">
        <v>2027</v>
      </c>
      <c r="I1" s="87" t="s">
        <v>2028</v>
      </c>
      <c r="J1" s="87" t="s">
        <v>2029</v>
      </c>
      <c r="K1" s="49" t="s">
        <v>2883</v>
      </c>
      <c r="L1" s="49" t="s">
        <v>2882</v>
      </c>
    </row>
    <row r="2" spans="1:12" x14ac:dyDescent="0.2">
      <c r="A2" t="s">
        <v>969</v>
      </c>
      <c r="B2" s="10" t="s">
        <v>2030</v>
      </c>
      <c r="C2" s="197" t="s">
        <v>1889</v>
      </c>
      <c r="D2" s="177" t="str">
        <f>IF(AND(ISTEXT(""),""&lt;&gt;""), HYPERLINK("", "Link"),"-")</f>
        <v>-</v>
      </c>
      <c r="E2" s="177">
        <v>12</v>
      </c>
      <c r="I2" s="11" t="s">
        <v>1235</v>
      </c>
      <c r="K2" s="11"/>
      <c r="L2" s="11"/>
    </row>
    <row r="3" spans="1:12" x14ac:dyDescent="0.2">
      <c r="A3" t="s">
        <v>969</v>
      </c>
      <c r="B3" s="10" t="s">
        <v>2031</v>
      </c>
      <c r="C3" s="197" t="s">
        <v>1889</v>
      </c>
      <c r="D3" s="177" t="str">
        <f t="shared" ref="D3:D33" si="0">IF(AND(ISTEXT(""),""&lt;&gt;""), HYPERLINK("", "Link"),"-")</f>
        <v>-</v>
      </c>
      <c r="K3" s="11"/>
      <c r="L3" s="11"/>
    </row>
    <row r="4" spans="1:12" x14ac:dyDescent="0.2">
      <c r="A4" t="s">
        <v>969</v>
      </c>
      <c r="B4" s="50" t="s">
        <v>2032</v>
      </c>
      <c r="C4" s="197" t="s">
        <v>1889</v>
      </c>
      <c r="D4" s="177" t="str">
        <f t="shared" si="0"/>
        <v>-</v>
      </c>
      <c r="E4" s="177">
        <v>112802</v>
      </c>
      <c r="I4" s="11" t="s">
        <v>1235</v>
      </c>
      <c r="K4" s="11"/>
      <c r="L4" s="11"/>
    </row>
    <row r="5" spans="1:12" x14ac:dyDescent="0.2">
      <c r="A5" t="s">
        <v>969</v>
      </c>
      <c r="B5" s="50" t="s">
        <v>2033</v>
      </c>
      <c r="C5" s="197" t="s">
        <v>2034</v>
      </c>
      <c r="D5" s="177" t="str">
        <f t="shared" si="0"/>
        <v>-</v>
      </c>
      <c r="E5" s="177">
        <v>36099</v>
      </c>
      <c r="H5" s="11" t="s">
        <v>1235</v>
      </c>
      <c r="K5" s="11"/>
      <c r="L5" s="11"/>
    </row>
    <row r="6" spans="1:12" x14ac:dyDescent="0.2">
      <c r="A6" t="s">
        <v>969</v>
      </c>
      <c r="B6" s="50" t="s">
        <v>2035</v>
      </c>
      <c r="C6" s="197" t="s">
        <v>2036</v>
      </c>
      <c r="D6" s="177" t="str">
        <f t="shared" si="0"/>
        <v>-</v>
      </c>
      <c r="E6" s="177">
        <v>3</v>
      </c>
      <c r="H6" s="11" t="s">
        <v>1235</v>
      </c>
      <c r="K6" s="11"/>
      <c r="L6" s="11"/>
    </row>
    <row r="7" spans="1:12" x14ac:dyDescent="0.2">
      <c r="A7" t="s">
        <v>969</v>
      </c>
      <c r="B7" s="50" t="s">
        <v>2037</v>
      </c>
      <c r="C7" s="197" t="s">
        <v>1889</v>
      </c>
      <c r="D7" s="177" t="str">
        <f t="shared" si="0"/>
        <v>-</v>
      </c>
      <c r="E7" s="177">
        <v>36764</v>
      </c>
      <c r="H7" s="11" t="s">
        <v>1235</v>
      </c>
      <c r="K7" s="11"/>
      <c r="L7" s="11"/>
    </row>
    <row r="8" spans="1:12" x14ac:dyDescent="0.2">
      <c r="A8" t="s">
        <v>969</v>
      </c>
      <c r="B8" s="50" t="s">
        <v>2038</v>
      </c>
      <c r="C8" s="197" t="s">
        <v>1889</v>
      </c>
      <c r="D8" s="177" t="str">
        <f t="shared" si="0"/>
        <v>-</v>
      </c>
      <c r="E8" s="177">
        <v>16000</v>
      </c>
      <c r="H8" s="11" t="s">
        <v>1235</v>
      </c>
      <c r="K8" s="11"/>
      <c r="L8" s="11"/>
    </row>
    <row r="9" spans="1:12" x14ac:dyDescent="0.2">
      <c r="A9" t="s">
        <v>969</v>
      </c>
      <c r="B9" s="50" t="s">
        <v>2039</v>
      </c>
      <c r="C9" s="197" t="s">
        <v>1889</v>
      </c>
      <c r="D9" s="177" t="str">
        <f t="shared" si="0"/>
        <v>-</v>
      </c>
      <c r="E9" s="177">
        <v>2</v>
      </c>
      <c r="H9" s="11" t="s">
        <v>1235</v>
      </c>
      <c r="K9" s="11"/>
      <c r="L9" s="11"/>
    </row>
    <row r="10" spans="1:12" x14ac:dyDescent="0.2">
      <c r="A10" t="s">
        <v>969</v>
      </c>
      <c r="B10" s="50" t="s">
        <v>2040</v>
      </c>
      <c r="C10" s="197" t="s">
        <v>2041</v>
      </c>
      <c r="D10" s="177" t="str">
        <f t="shared" si="0"/>
        <v>-</v>
      </c>
      <c r="H10" s="11" t="s">
        <v>1235</v>
      </c>
      <c r="K10" s="11"/>
      <c r="L10" s="11"/>
    </row>
    <row r="11" spans="1:12" x14ac:dyDescent="0.2">
      <c r="A11" t="s">
        <v>969</v>
      </c>
      <c r="B11" s="50" t="s">
        <v>2042</v>
      </c>
      <c r="C11" s="197" t="s">
        <v>2043</v>
      </c>
      <c r="D11" s="177" t="str">
        <f t="shared" si="0"/>
        <v>-</v>
      </c>
      <c r="E11" s="177">
        <v>36000</v>
      </c>
      <c r="H11" s="11" t="s">
        <v>1235</v>
      </c>
      <c r="K11" s="11"/>
      <c r="L11" s="11"/>
    </row>
    <row r="12" spans="1:12" x14ac:dyDescent="0.2">
      <c r="A12" t="s">
        <v>969</v>
      </c>
      <c r="B12" s="50" t="s">
        <v>2044</v>
      </c>
      <c r="C12" s="197" t="s">
        <v>1889</v>
      </c>
      <c r="D12" s="177" t="str">
        <f t="shared" si="0"/>
        <v>-</v>
      </c>
      <c r="E12" s="177">
        <v>10000</v>
      </c>
      <c r="H12" s="11" t="s">
        <v>1235</v>
      </c>
      <c r="K12" s="11"/>
      <c r="L12" s="11"/>
    </row>
    <row r="13" spans="1:12" x14ac:dyDescent="0.2">
      <c r="A13" t="s">
        <v>969</v>
      </c>
      <c r="B13" s="50" t="s">
        <v>2045</v>
      </c>
      <c r="C13" s="197" t="s">
        <v>2046</v>
      </c>
      <c r="D13" s="177" t="str">
        <f t="shared" si="0"/>
        <v>-</v>
      </c>
      <c r="I13" s="11" t="s">
        <v>1235</v>
      </c>
      <c r="K13" s="11"/>
      <c r="L13" s="11"/>
    </row>
    <row r="14" spans="1:12" x14ac:dyDescent="0.2">
      <c r="A14" t="s">
        <v>969</v>
      </c>
      <c r="B14" s="50" t="s">
        <v>2047</v>
      </c>
      <c r="C14" s="197" t="s">
        <v>2048</v>
      </c>
      <c r="D14" s="177" t="str">
        <f t="shared" si="0"/>
        <v>-</v>
      </c>
      <c r="H14" s="11" t="s">
        <v>1235</v>
      </c>
      <c r="K14" s="11"/>
      <c r="L14" s="11"/>
    </row>
    <row r="15" spans="1:12" x14ac:dyDescent="0.2">
      <c r="A15" t="s">
        <v>969</v>
      </c>
      <c r="B15" s="50" t="s">
        <v>2049</v>
      </c>
      <c r="C15" s="197" t="s">
        <v>1889</v>
      </c>
      <c r="D15" s="177" t="str">
        <f t="shared" si="0"/>
        <v>-</v>
      </c>
      <c r="E15" s="177">
        <v>3444354</v>
      </c>
      <c r="F15" s="177" t="s">
        <v>2050</v>
      </c>
      <c r="H15" s="11" t="s">
        <v>1235</v>
      </c>
      <c r="K15" s="11"/>
      <c r="L15" s="11"/>
    </row>
    <row r="16" spans="1:12" x14ac:dyDescent="0.2">
      <c r="A16" t="s">
        <v>969</v>
      </c>
      <c r="B16" s="50" t="s">
        <v>2051</v>
      </c>
      <c r="C16" s="197" t="s">
        <v>1889</v>
      </c>
      <c r="D16" s="177" t="str">
        <f t="shared" si="0"/>
        <v>-</v>
      </c>
      <c r="E16" s="177">
        <v>18498</v>
      </c>
      <c r="H16" s="11" t="s">
        <v>1235</v>
      </c>
      <c r="K16" s="11"/>
      <c r="L16" s="11"/>
    </row>
    <row r="17" spans="1:12" x14ac:dyDescent="0.2">
      <c r="A17" t="s">
        <v>969</v>
      </c>
      <c r="B17" s="50" t="s">
        <v>2052</v>
      </c>
      <c r="C17" s="197" t="s">
        <v>1889</v>
      </c>
      <c r="D17" s="177" t="str">
        <f t="shared" si="0"/>
        <v>-</v>
      </c>
      <c r="I17" s="11" t="s">
        <v>1235</v>
      </c>
      <c r="K17" s="11"/>
      <c r="L17" s="11"/>
    </row>
    <row r="18" spans="1:12" x14ac:dyDescent="0.2">
      <c r="A18" t="s">
        <v>969</v>
      </c>
      <c r="B18" s="50" t="s">
        <v>2053</v>
      </c>
      <c r="C18" s="197" t="s">
        <v>1889</v>
      </c>
      <c r="D18" s="177" t="str">
        <f t="shared" si="0"/>
        <v>-</v>
      </c>
      <c r="H18" s="11" t="s">
        <v>1235</v>
      </c>
      <c r="K18" s="11"/>
      <c r="L18" s="11"/>
    </row>
    <row r="19" spans="1:12" x14ac:dyDescent="0.2">
      <c r="A19" t="s">
        <v>969</v>
      </c>
      <c r="B19" s="50" t="s">
        <v>2054</v>
      </c>
      <c r="C19" s="197" t="s">
        <v>1889</v>
      </c>
      <c r="D19" s="177" t="str">
        <f t="shared" si="0"/>
        <v>-</v>
      </c>
      <c r="E19" s="177">
        <v>482</v>
      </c>
      <c r="H19" s="11" t="s">
        <v>1235</v>
      </c>
      <c r="K19" s="11"/>
      <c r="L19" s="11"/>
    </row>
    <row r="20" spans="1:12" x14ac:dyDescent="0.2">
      <c r="A20" t="s">
        <v>969</v>
      </c>
      <c r="B20" s="50" t="s">
        <v>2055</v>
      </c>
      <c r="C20" s="197" t="s">
        <v>1889</v>
      </c>
      <c r="D20" s="177" t="str">
        <f t="shared" si="0"/>
        <v>-</v>
      </c>
      <c r="I20" s="11" t="s">
        <v>1235</v>
      </c>
      <c r="K20" s="11"/>
      <c r="L20" s="11"/>
    </row>
    <row r="21" spans="1:12" x14ac:dyDescent="0.2">
      <c r="A21" t="s">
        <v>969</v>
      </c>
      <c r="B21" s="50" t="s">
        <v>2056</v>
      </c>
      <c r="C21" s="197" t="s">
        <v>1889</v>
      </c>
      <c r="D21" s="177" t="str">
        <f t="shared" si="0"/>
        <v>-</v>
      </c>
      <c r="E21" s="177">
        <v>7000</v>
      </c>
      <c r="H21" s="11" t="s">
        <v>1235</v>
      </c>
      <c r="K21" s="11"/>
      <c r="L21" s="11"/>
    </row>
    <row r="22" spans="1:12" x14ac:dyDescent="0.2">
      <c r="A22" t="s">
        <v>969</v>
      </c>
      <c r="B22" s="50" t="s">
        <v>2057</v>
      </c>
      <c r="C22" s="197" t="s">
        <v>2058</v>
      </c>
      <c r="D22" s="177" t="str">
        <f t="shared" si="0"/>
        <v>-</v>
      </c>
      <c r="H22" s="11" t="s">
        <v>1235</v>
      </c>
      <c r="K22" s="11"/>
      <c r="L22" s="11"/>
    </row>
    <row r="23" spans="1:12" x14ac:dyDescent="0.2">
      <c r="A23" t="s">
        <v>969</v>
      </c>
      <c r="B23" s="50" t="s">
        <v>2059</v>
      </c>
      <c r="C23" s="197" t="s">
        <v>2060</v>
      </c>
      <c r="D23" s="177" t="str">
        <f t="shared" si="0"/>
        <v>-</v>
      </c>
      <c r="E23" s="177">
        <v>10</v>
      </c>
      <c r="I23" s="11" t="s">
        <v>1235</v>
      </c>
      <c r="K23" s="11"/>
      <c r="L23" s="11"/>
    </row>
    <row r="24" spans="1:12" x14ac:dyDescent="0.2">
      <c r="A24" t="s">
        <v>969</v>
      </c>
      <c r="B24" s="50" t="s">
        <v>2061</v>
      </c>
      <c r="C24" s="197" t="s">
        <v>2062</v>
      </c>
      <c r="D24" s="177" t="str">
        <f t="shared" si="0"/>
        <v>-</v>
      </c>
      <c r="H24" s="11" t="s">
        <v>1235</v>
      </c>
      <c r="K24" s="11"/>
      <c r="L24" s="11"/>
    </row>
    <row r="25" spans="1:12" x14ac:dyDescent="0.2">
      <c r="A25" t="s">
        <v>969</v>
      </c>
      <c r="B25" s="50" t="s">
        <v>2063</v>
      </c>
      <c r="C25" s="197" t="s">
        <v>1889</v>
      </c>
      <c r="D25" s="177" t="str">
        <f t="shared" si="0"/>
        <v>-</v>
      </c>
      <c r="E25" s="177">
        <v>13745</v>
      </c>
      <c r="H25" s="11" t="s">
        <v>1235</v>
      </c>
      <c r="K25" s="11"/>
      <c r="L25" s="11"/>
    </row>
    <row r="26" spans="1:12" x14ac:dyDescent="0.2">
      <c r="A26" t="s">
        <v>969</v>
      </c>
      <c r="B26" s="50" t="s">
        <v>2064</v>
      </c>
      <c r="C26" s="197" t="s">
        <v>2065</v>
      </c>
      <c r="D26" s="177" t="str">
        <f t="shared" si="0"/>
        <v>-</v>
      </c>
      <c r="E26" s="177">
        <v>100</v>
      </c>
      <c r="H26" s="11" t="s">
        <v>1235</v>
      </c>
      <c r="K26" s="11"/>
      <c r="L26" s="11"/>
    </row>
    <row r="27" spans="1:12" x14ac:dyDescent="0.2">
      <c r="A27" t="s">
        <v>969</v>
      </c>
      <c r="B27" s="50" t="s">
        <v>2066</v>
      </c>
      <c r="C27" s="197" t="s">
        <v>1889</v>
      </c>
      <c r="D27" s="177" t="str">
        <f t="shared" si="0"/>
        <v>-</v>
      </c>
      <c r="H27" s="11" t="s">
        <v>1235</v>
      </c>
      <c r="K27" s="11"/>
      <c r="L27" s="11"/>
    </row>
    <row r="28" spans="1:12" x14ac:dyDescent="0.2">
      <c r="A28" t="s">
        <v>969</v>
      </c>
      <c r="B28" s="50" t="s">
        <v>2067</v>
      </c>
      <c r="C28" s="197" t="s">
        <v>1889</v>
      </c>
      <c r="D28" s="177" t="str">
        <f t="shared" si="0"/>
        <v>-</v>
      </c>
      <c r="E28" s="177">
        <v>970898</v>
      </c>
      <c r="I28" s="11" t="s">
        <v>1235</v>
      </c>
      <c r="K28" s="11"/>
      <c r="L28" s="11"/>
    </row>
    <row r="29" spans="1:12" x14ac:dyDescent="0.2">
      <c r="A29" t="s">
        <v>969</v>
      </c>
      <c r="B29" s="50" t="s">
        <v>2068</v>
      </c>
      <c r="C29" s="197" t="s">
        <v>1889</v>
      </c>
      <c r="D29" s="177" t="str">
        <f t="shared" si="0"/>
        <v>-</v>
      </c>
      <c r="I29" s="11" t="s">
        <v>1235</v>
      </c>
      <c r="K29" s="11"/>
      <c r="L29" s="11"/>
    </row>
    <row r="30" spans="1:12" x14ac:dyDescent="0.2">
      <c r="A30" t="s">
        <v>969</v>
      </c>
      <c r="B30" s="50" t="s">
        <v>2069</v>
      </c>
      <c r="C30" s="197" t="s">
        <v>2070</v>
      </c>
      <c r="D30" s="177" t="str">
        <f t="shared" si="0"/>
        <v>-</v>
      </c>
      <c r="E30" s="177">
        <v>1838</v>
      </c>
      <c r="H30" s="11" t="s">
        <v>1235</v>
      </c>
      <c r="K30" s="11"/>
      <c r="L30" s="11"/>
    </row>
    <row r="31" spans="1:12" x14ac:dyDescent="0.2">
      <c r="A31" t="s">
        <v>969</v>
      </c>
      <c r="B31" s="50" t="s">
        <v>2071</v>
      </c>
      <c r="C31" s="197" t="s">
        <v>1889</v>
      </c>
      <c r="D31" s="177" t="str">
        <f t="shared" si="0"/>
        <v>-</v>
      </c>
      <c r="H31" s="11" t="s">
        <v>1235</v>
      </c>
      <c r="I31" s="11" t="s">
        <v>1235</v>
      </c>
      <c r="K31" s="11"/>
      <c r="L31" s="11"/>
    </row>
    <row r="32" spans="1:12" x14ac:dyDescent="0.2">
      <c r="A32" t="s">
        <v>969</v>
      </c>
      <c r="B32" s="50" t="s">
        <v>2072</v>
      </c>
      <c r="C32" s="197" t="s">
        <v>1889</v>
      </c>
      <c r="D32" s="177" t="str">
        <f t="shared" si="0"/>
        <v>-</v>
      </c>
      <c r="H32" s="11" t="s">
        <v>1235</v>
      </c>
      <c r="K32" s="11"/>
      <c r="L32" s="11"/>
    </row>
    <row r="33" spans="1:12" x14ac:dyDescent="0.2">
      <c r="A33" t="s">
        <v>969</v>
      </c>
      <c r="B33" s="50" t="s">
        <v>2073</v>
      </c>
      <c r="C33" s="197" t="s">
        <v>1889</v>
      </c>
      <c r="D33" s="177" t="str">
        <f t="shared" si="0"/>
        <v>-</v>
      </c>
      <c r="E33" s="177">
        <v>20</v>
      </c>
      <c r="I33" s="11" t="s">
        <v>1235</v>
      </c>
      <c r="K33" s="11"/>
      <c r="L33" s="11"/>
    </row>
    <row r="34" spans="1:12" x14ac:dyDescent="0.2">
      <c r="A34" t="s">
        <v>969</v>
      </c>
      <c r="B34" s="50" t="s">
        <v>2074</v>
      </c>
      <c r="C34" s="197" t="s">
        <v>2075</v>
      </c>
      <c r="D34" s="177" t="str">
        <f>IF(AND(ISTEXT("https://github.com/christoftorres/Osiris/tree/master/datasets"),"https://github.com/christoftorres/Osiris/tree/master/datasets"&lt;&gt;""), HYPERLINK("https://github.com/christoftorres/Osiris/tree/master/datasets", "Link"),"-")</f>
        <v>Link</v>
      </c>
      <c r="E34" s="177">
        <v>1207335</v>
      </c>
      <c r="F34" s="177">
        <v>50535</v>
      </c>
      <c r="G34" s="11" t="s">
        <v>1235</v>
      </c>
      <c r="I34" s="11" t="s">
        <v>1235</v>
      </c>
      <c r="J34" s="11" t="s">
        <v>1235</v>
      </c>
      <c r="K34" s="11" t="s">
        <v>1235</v>
      </c>
      <c r="L34" s="11"/>
    </row>
    <row r="35" spans="1:12" x14ac:dyDescent="0.2">
      <c r="A35" t="s">
        <v>969</v>
      </c>
      <c r="B35" s="50" t="s">
        <v>2076</v>
      </c>
      <c r="C35" s="197" t="s">
        <v>2077</v>
      </c>
      <c r="D35" s="177" t="str">
        <f>IF(AND(ISTEXT(""),""&lt;&gt;""), HYPERLINK("", "Link"),"-")</f>
        <v>-</v>
      </c>
      <c r="E35" s="177">
        <v>24594</v>
      </c>
      <c r="G35" s="11" t="s">
        <v>1235</v>
      </c>
      <c r="I35" s="11" t="s">
        <v>1235</v>
      </c>
      <c r="K35" s="11"/>
      <c r="L35" s="11"/>
    </row>
    <row r="36" spans="1:12" x14ac:dyDescent="0.2">
      <c r="A36" t="s">
        <v>969</v>
      </c>
      <c r="B36" s="50" t="s">
        <v>2076</v>
      </c>
      <c r="C36" s="197" t="s">
        <v>2077</v>
      </c>
      <c r="D36" s="177" t="str">
        <f>IF(AND(ISTEXT("https://github.com/DependableSystemsLab/SolidiFI-benchmark"),"https://github.com/DependableSystemsLab/SolidiFI-benchmark"&lt;&gt;""), HYPERLINK("https://github.com/DependableSystemsLab/SolidiFI-benchmark", "Link"),"-")</f>
        <v>Link</v>
      </c>
      <c r="E36" s="177">
        <v>100</v>
      </c>
      <c r="G36" s="11" t="s">
        <v>1235</v>
      </c>
      <c r="H36" s="11" t="s">
        <v>1235</v>
      </c>
      <c r="K36" s="11"/>
      <c r="L36" s="11" t="s">
        <v>1235</v>
      </c>
    </row>
    <row r="37" spans="1:12" x14ac:dyDescent="0.2">
      <c r="A37" t="s">
        <v>969</v>
      </c>
      <c r="B37" s="50" t="s">
        <v>2078</v>
      </c>
      <c r="C37" s="197" t="s">
        <v>1889</v>
      </c>
      <c r="D37" s="177" t="str">
        <f>IF(AND(ISTEXT(""),""&lt;&gt;""), HYPERLINK("", "Link"),"-")</f>
        <v>-</v>
      </c>
      <c r="H37" s="11" t="s">
        <v>1235</v>
      </c>
      <c r="K37" s="11"/>
      <c r="L37" s="11"/>
    </row>
    <row r="38" spans="1:12" x14ac:dyDescent="0.2">
      <c r="A38" t="s">
        <v>969</v>
      </c>
      <c r="B38" s="50" t="s">
        <v>2079</v>
      </c>
      <c r="C38" s="197" t="s">
        <v>1889</v>
      </c>
      <c r="D38" s="177" t="str">
        <f>IF(AND(ISTEXT(""),""&lt;&gt;""), HYPERLINK("", "Link"),"-")</f>
        <v>-</v>
      </c>
      <c r="E38" s="177">
        <v>31097</v>
      </c>
      <c r="I38" s="11" t="s">
        <v>1235</v>
      </c>
      <c r="K38" s="11"/>
      <c r="L38" s="11"/>
    </row>
    <row r="39" spans="1:12" x14ac:dyDescent="0.2">
      <c r="A39" t="s">
        <v>969</v>
      </c>
      <c r="B39" s="50" t="s">
        <v>2080</v>
      </c>
      <c r="C39" s="197" t="s">
        <v>1889</v>
      </c>
      <c r="D39" s="177" t="str">
        <f>IF(AND(ISTEXT(""),""&lt;&gt;""), HYPERLINK("", "Link"),"-")</f>
        <v>-</v>
      </c>
      <c r="E39" s="177">
        <v>49522</v>
      </c>
      <c r="H39" s="11" t="s">
        <v>1235</v>
      </c>
      <c r="K39" s="11"/>
      <c r="L39" s="11"/>
    </row>
    <row r="40" spans="1:12" x14ac:dyDescent="0.2">
      <c r="A40" t="s">
        <v>969</v>
      </c>
      <c r="B40" s="50" t="s">
        <v>2081</v>
      </c>
      <c r="C40" s="197" t="s">
        <v>1889</v>
      </c>
      <c r="D40" s="177" t="str">
        <f>IF(AND(ISTEXT(""),""&lt;&gt;""), HYPERLINK("", "Link"),"-")</f>
        <v>-</v>
      </c>
      <c r="E40" s="177">
        <v>2214409</v>
      </c>
      <c r="I40" s="11" t="s">
        <v>1235</v>
      </c>
      <c r="K40" s="11"/>
      <c r="L40" s="11"/>
    </row>
    <row r="41" spans="1:12" x14ac:dyDescent="0.2">
      <c r="A41" s="9" t="s">
        <v>2082</v>
      </c>
      <c r="B41" s="50" t="s">
        <v>2083</v>
      </c>
      <c r="C41" s="197" t="s">
        <v>2084</v>
      </c>
      <c r="D41" s="177" t="str">
        <f>IF(AND(ISTEXT(""),""&lt;&gt;""), HYPERLINK("", "Link"),"-")</f>
        <v>-</v>
      </c>
      <c r="E41" s="177">
        <v>49502</v>
      </c>
      <c r="H41" s="11" t="s">
        <v>1235</v>
      </c>
      <c r="K41" s="11"/>
      <c r="L41" s="11"/>
    </row>
    <row r="42" spans="1:12" x14ac:dyDescent="0.2">
      <c r="A42" s="9" t="s">
        <v>2082</v>
      </c>
      <c r="B42" s="10" t="s">
        <v>2085</v>
      </c>
      <c r="C42" s="197" t="s">
        <v>2086</v>
      </c>
      <c r="D42" s="177" t="str">
        <f>IF(AND(ISTEXT("https://drive.google.com/file/d/13iTTpt7gFd9wEW35C2fX4pVT7cVlHgxi/view?usp=sharing"),"https://drive.google.com/file/d/13iTTpt7gFd9wEW35C2fX4pVT7cVlHgxi/view?usp=sharing"&lt;&gt;""), HYPERLINK("https://drive.google.com/file/d/13iTTpt7gFd9wEW35C2fX4pVT7cVlHgxi/view?usp=sharing", "Link"),"-")</f>
        <v>Link</v>
      </c>
      <c r="E42" s="177">
        <v>22725</v>
      </c>
      <c r="H42" s="11" t="s">
        <v>1235</v>
      </c>
      <c r="J42" s="11" t="s">
        <v>1235</v>
      </c>
      <c r="K42" s="11" t="s">
        <v>1235</v>
      </c>
      <c r="L42" s="11"/>
    </row>
    <row r="43" spans="1:12" x14ac:dyDescent="0.2">
      <c r="A43" s="9" t="s">
        <v>2082</v>
      </c>
      <c r="B43" s="10" t="s">
        <v>2087</v>
      </c>
      <c r="C43" s="197" t="s">
        <v>2088</v>
      </c>
      <c r="D43" s="177" t="str">
        <f>IF(AND(ISTEXT("https://github.com/smartdec/smartcheck/tree/master/src/test/resources/rules"),"https://github.com/smartdec/smartcheck/tree/master/src/test/resources/rules"&lt;&gt;""), HYPERLINK("https://github.com/smartdec/smartcheck/tree/master/src/test/resources/rules", "Link"),"-")</f>
        <v>Link</v>
      </c>
      <c r="E43" s="177">
        <v>4600</v>
      </c>
      <c r="H43" s="11" t="s">
        <v>1235</v>
      </c>
      <c r="K43" s="11" t="s">
        <v>1235</v>
      </c>
      <c r="L43" s="11"/>
    </row>
    <row r="44" spans="1:12" x14ac:dyDescent="0.2">
      <c r="A44" t="s">
        <v>2082</v>
      </c>
      <c r="B44" s="50" t="s">
        <v>2089</v>
      </c>
      <c r="C44" s="177" t="s">
        <v>2090</v>
      </c>
      <c r="D44" s="177" t="str">
        <f>IF(AND(ISTEXT(""),""&lt;&gt;""), HYPERLINK("", "Link"),"-")</f>
        <v>-</v>
      </c>
      <c r="E44" s="177">
        <v>31097</v>
      </c>
      <c r="F44" s="177">
        <v>30000</v>
      </c>
      <c r="H44" s="11" t="s">
        <v>1235</v>
      </c>
      <c r="I44" s="11" t="s">
        <v>1235</v>
      </c>
      <c r="K44" s="11"/>
      <c r="L44" s="11"/>
    </row>
    <row r="45" spans="1:12" x14ac:dyDescent="0.2">
      <c r="A45" s="9" t="s">
        <v>896</v>
      </c>
      <c r="B45" s="10" t="s">
        <v>1889</v>
      </c>
      <c r="C45" s="197" t="s">
        <v>2091</v>
      </c>
      <c r="D45" s="177" t="str">
        <f>IF(AND(ISTEXT("https://github.com/Messi-Q/Smart-Contract-Dataset"),"https://github.com/Messi-Q/Smart-Contract-Dataset"&lt;&gt;""), HYPERLINK("https://github.com/Messi-Q/Smart-Contract-Dataset", "Link"),"-")</f>
        <v>Link</v>
      </c>
      <c r="H45" s="11" t="s">
        <v>1235</v>
      </c>
      <c r="K45" s="11" t="s">
        <v>1235</v>
      </c>
      <c r="L45" s="11"/>
    </row>
    <row r="46" spans="1:12" x14ac:dyDescent="0.2">
      <c r="A46" s="9" t="s">
        <v>896</v>
      </c>
      <c r="B46" s="10" t="s">
        <v>1889</v>
      </c>
      <c r="C46" s="197" t="s">
        <v>2092</v>
      </c>
      <c r="D46" s="177" t="str">
        <f>IF(AND(ISTEXT(" https://drive.google.com/file/d/1XFp3tZSMkWSkeLSHe_vrQjGZYZ3LzB2s/view")," https://drive.google.com/file/d/1XFp3tZSMkWSkeLSHe_vrQjGZYZ3LzB2s/view"&lt;&gt;""), HYPERLINK(" https://drive.google.com/file/d/1XFp3tZSMkWSkeLSHe_vrQjGZYZ3LzB2s/view", "Link"),"-")</f>
        <v>Link</v>
      </c>
      <c r="H46" s="11" t="s">
        <v>1235</v>
      </c>
      <c r="K46" s="11" t="s">
        <v>1235</v>
      </c>
      <c r="L46" s="11"/>
    </row>
    <row r="47" spans="1:12" x14ac:dyDescent="0.2">
      <c r="A47" s="9" t="s">
        <v>896</v>
      </c>
      <c r="B47" s="10" t="s">
        <v>1889</v>
      </c>
      <c r="C47" s="197" t="s">
        <v>2092</v>
      </c>
      <c r="D47" s="177" t="str">
        <f>IF(AND(ISTEXT("https://drive.google.com/file/d/1UhHHevE9iDmvSB_k_lhyI58KAj7hnB1o/view"),"https://drive.google.com/file/d/1UhHHevE9iDmvSB_k_lhyI58KAj7hnB1o/view"&lt;&gt;""), HYPERLINK("https://drive.google.com/file/d/1UhHHevE9iDmvSB_k_lhyI58KAj7hnB1o/view", "Link"),"-")</f>
        <v>Link</v>
      </c>
      <c r="H47" s="11" t="s">
        <v>1235</v>
      </c>
      <c r="I47" s="11" t="s">
        <v>1235</v>
      </c>
      <c r="K47" s="11" t="s">
        <v>1235</v>
      </c>
      <c r="L47" s="11"/>
    </row>
    <row r="48" spans="1:12" x14ac:dyDescent="0.2">
      <c r="A48" s="9" t="s">
        <v>896</v>
      </c>
      <c r="B48" s="10" t="s">
        <v>1889</v>
      </c>
      <c r="C48" s="197" t="s">
        <v>2043</v>
      </c>
      <c r="D48" s="177" t="str">
        <f>IF(AND(ISTEXT("https://www.kaggle.com/datasets/bigquery/ethereum-blockchain/"),"https://www.kaggle.com/datasets/bigquery/ethereum-blockchain/"&lt;&gt;""), HYPERLINK("https://www.kaggle.com/datasets/bigquery/ethereum-blockchain/", "Link"),"-")</f>
        <v>Link</v>
      </c>
      <c r="I48" s="11" t="s">
        <v>1235</v>
      </c>
      <c r="J48" s="11" t="s">
        <v>1235</v>
      </c>
      <c r="K48" s="11" t="s">
        <v>1235</v>
      </c>
      <c r="L48" s="11"/>
    </row>
    <row r="49" spans="1:12" x14ac:dyDescent="0.2">
      <c r="A49" s="9" t="s">
        <v>896</v>
      </c>
      <c r="B49" s="10" t="s">
        <v>1889</v>
      </c>
      <c r="C49" s="197" t="s">
        <v>2093</v>
      </c>
      <c r="D49" s="177" t="str">
        <f>IF(AND(ISTEXT("https://github.com/DependableSystemsLab/SolidiFI-benchmark/tree/master/buggy_contracts"),"https://github.com/DependableSystemsLab/SolidiFI-benchmark/tree/master/buggy_contracts"&lt;&gt;""), HYPERLINK("https://github.com/DependableSystemsLab/SolidiFI-benchmark/tree/master/buggy_contracts", "Link"),"-")</f>
        <v>Link</v>
      </c>
      <c r="G49" s="11" t="s">
        <v>1235</v>
      </c>
      <c r="H49" s="11" t="s">
        <v>1235</v>
      </c>
      <c r="K49" s="11"/>
      <c r="L49" s="11" t="s">
        <v>1235</v>
      </c>
    </row>
    <row r="50" spans="1:12" x14ac:dyDescent="0.2">
      <c r="A50" s="9" t="s">
        <v>896</v>
      </c>
      <c r="B50" s="10" t="s">
        <v>2094</v>
      </c>
      <c r="C50" s="197" t="s">
        <v>2095</v>
      </c>
      <c r="D50" s="177" t="str">
        <f>IF(AND(ISTEXT("https://drive.google.com/file/d/1h9aFFSsL7mK4NmVJd4So7IJlFj9u0HRv/view"),"https://drive.google.com/file/d/1h9aFFSsL7mK4NmVJd4So7IJlFj9u0HRv/view"&lt;&gt;""), HYPERLINK("https://drive.google.com/file/d/1h9aFFSsL7mK4NmVJd4So7IJlFj9u0HRv/view", "Link"),"-")</f>
        <v>Link</v>
      </c>
      <c r="G50" s="11" t="s">
        <v>1235</v>
      </c>
      <c r="H50" s="11" t="s">
        <v>1235</v>
      </c>
      <c r="K50" s="181" t="s">
        <v>1235</v>
      </c>
      <c r="L50" s="11"/>
    </row>
    <row r="51" spans="1:12" x14ac:dyDescent="0.2">
      <c r="A51" s="9" t="s">
        <v>896</v>
      </c>
      <c r="B51" s="10" t="s">
        <v>2096</v>
      </c>
      <c r="C51" s="197" t="s">
        <v>2097</v>
      </c>
      <c r="D51" s="177" t="str">
        <f>IF(AND(ISTEXT("https://goo.gl/UAUpK5/"),"https://goo.gl/UAUpK5/"&lt;&gt;""), HYPERLINK("https://goo.gl/UAUpK5/", "Link"),"-")</f>
        <v>Link</v>
      </c>
      <c r="E51" s="177">
        <v>21044</v>
      </c>
      <c r="J51" s="11" t="s">
        <v>1235</v>
      </c>
      <c r="K51" s="181" t="s">
        <v>1235</v>
      </c>
      <c r="L51" s="11"/>
    </row>
    <row r="52" spans="1:12" x14ac:dyDescent="0.2">
      <c r="A52" t="s">
        <v>896</v>
      </c>
      <c r="B52" t="s">
        <v>1209</v>
      </c>
      <c r="C52" s="197" t="s">
        <v>1634</v>
      </c>
      <c r="D52" s="177" t="str">
        <f>IF(AND(ISTEXT("https://github.com/wuhongjun15/Peculiar/blob/main/dataset.zip"),"https://github.com/wuhongjun15/Peculiar/blob/main/dataset.zip"&lt;&gt;""), HYPERLINK("https://github.com/wuhongjun15/Peculiar/blob/main/dataset.zip", "Link"),"-")</f>
        <v>Link</v>
      </c>
      <c r="E52" s="177">
        <v>40932</v>
      </c>
      <c r="F52" s="177">
        <v>40742</v>
      </c>
      <c r="G52" s="11" t="s">
        <v>1235</v>
      </c>
      <c r="H52" s="11" t="s">
        <v>1235</v>
      </c>
      <c r="J52" s="11" t="s">
        <v>1235</v>
      </c>
      <c r="K52" s="181" t="s">
        <v>1235</v>
      </c>
      <c r="L52" s="11"/>
    </row>
    <row r="53" spans="1:12" ht="16" x14ac:dyDescent="0.2">
      <c r="A53" t="s">
        <v>896</v>
      </c>
      <c r="B53" s="51" t="s">
        <v>2098</v>
      </c>
      <c r="C53" s="197" t="s">
        <v>1590</v>
      </c>
      <c r="D53" s="177" t="str">
        <f>IF(AND(ISTEXT("https://github.com/TechBeatle/EthereumSmartContractsDataset"),"https://github.com/TechBeatle/EthereumSmartContractsDataset"&lt;&gt;""), HYPERLINK("https://github.com/TechBeatle/EthereumSmartContractsDataset", "Link"),"-")</f>
        <v>Link</v>
      </c>
      <c r="E53" s="177">
        <v>3170</v>
      </c>
      <c r="F53" s="177">
        <v>3170</v>
      </c>
      <c r="J53" s="11" t="s">
        <v>1235</v>
      </c>
      <c r="K53" s="181" t="s">
        <v>1235</v>
      </c>
      <c r="L53" s="11"/>
    </row>
    <row r="54" spans="1:12" x14ac:dyDescent="0.2">
      <c r="A54" t="s">
        <v>896</v>
      </c>
      <c r="B54" s="10" t="s">
        <v>1161</v>
      </c>
      <c r="C54" s="11" t="s">
        <v>2099</v>
      </c>
      <c r="D54" s="177" t="str">
        <f t="shared" ref="D54:D63" si="1">IF(AND(ISTEXT(""),""&lt;&gt;""), HYPERLINK("", "Link"),"-")</f>
        <v>-</v>
      </c>
      <c r="E54" s="177">
        <v>500</v>
      </c>
      <c r="K54" s="11"/>
      <c r="L54" s="11"/>
    </row>
    <row r="55" spans="1:12" x14ac:dyDescent="0.2">
      <c r="A55" t="s">
        <v>896</v>
      </c>
      <c r="B55" s="10" t="s">
        <v>1121</v>
      </c>
      <c r="C55" s="197" t="s">
        <v>1579</v>
      </c>
      <c r="D55" s="177" t="str">
        <f t="shared" si="1"/>
        <v>-</v>
      </c>
      <c r="E55" s="177">
        <v>5000</v>
      </c>
      <c r="K55" s="11"/>
      <c r="L55" s="11"/>
    </row>
    <row r="56" spans="1:12" x14ac:dyDescent="0.2">
      <c r="A56" t="s">
        <v>896</v>
      </c>
      <c r="B56" s="50" t="s">
        <v>1088</v>
      </c>
      <c r="C56" s="197" t="s">
        <v>1594</v>
      </c>
      <c r="D56" s="177" t="str">
        <f t="shared" si="1"/>
        <v>-</v>
      </c>
      <c r="E56" s="177">
        <v>204</v>
      </c>
      <c r="K56" s="11"/>
      <c r="L56" s="11"/>
    </row>
    <row r="57" spans="1:12" x14ac:dyDescent="0.2">
      <c r="A57" t="s">
        <v>896</v>
      </c>
      <c r="B57" s="50" t="s">
        <v>1088</v>
      </c>
      <c r="C57" s="197" t="s">
        <v>1594</v>
      </c>
      <c r="D57" s="177" t="str">
        <f t="shared" si="1"/>
        <v>-</v>
      </c>
      <c r="E57" s="11">
        <v>395</v>
      </c>
      <c r="K57" s="11"/>
      <c r="L57" s="11"/>
    </row>
    <row r="58" spans="1:12" x14ac:dyDescent="0.2">
      <c r="A58" t="s">
        <v>896</v>
      </c>
      <c r="B58" s="50" t="s">
        <v>1024</v>
      </c>
      <c r="C58" s="197" t="s">
        <v>1608</v>
      </c>
      <c r="D58" s="177" t="str">
        <f t="shared" si="1"/>
        <v>-</v>
      </c>
      <c r="E58" s="177">
        <v>1000</v>
      </c>
      <c r="K58" s="11"/>
      <c r="L58" s="11"/>
    </row>
    <row r="59" spans="1:12" x14ac:dyDescent="0.2">
      <c r="A59" t="s">
        <v>896</v>
      </c>
      <c r="B59" s="10" t="s">
        <v>1007</v>
      </c>
      <c r="C59" s="197" t="s">
        <v>1623</v>
      </c>
      <c r="D59" s="177" t="str">
        <f t="shared" si="1"/>
        <v>-</v>
      </c>
      <c r="E59" s="177">
        <v>95152</v>
      </c>
      <c r="K59" s="11"/>
      <c r="L59" s="11"/>
    </row>
    <row r="60" spans="1:12" x14ac:dyDescent="0.2">
      <c r="A60" t="s">
        <v>896</v>
      </c>
      <c r="B60" s="10" t="s">
        <v>1153</v>
      </c>
      <c r="C60" s="197" t="s">
        <v>2100</v>
      </c>
      <c r="D60" s="177" t="str">
        <f t="shared" si="1"/>
        <v>-</v>
      </c>
      <c r="K60" s="11"/>
      <c r="L60" s="11"/>
    </row>
    <row r="61" spans="1:12" x14ac:dyDescent="0.2">
      <c r="A61" t="s">
        <v>896</v>
      </c>
      <c r="B61" s="10" t="s">
        <v>1137</v>
      </c>
      <c r="C61" s="197" t="s">
        <v>1646</v>
      </c>
      <c r="D61" s="177" t="str">
        <f t="shared" si="1"/>
        <v>-</v>
      </c>
      <c r="E61" s="177">
        <v>40932</v>
      </c>
      <c r="H61" s="11" t="s">
        <v>1235</v>
      </c>
      <c r="K61" s="11"/>
      <c r="L61" s="11"/>
    </row>
    <row r="62" spans="1:12" ht="16" x14ac:dyDescent="0.2">
      <c r="A62" t="s">
        <v>896</v>
      </c>
      <c r="B62" s="52" t="s">
        <v>2101</v>
      </c>
      <c r="C62" s="11" t="s">
        <v>2102</v>
      </c>
      <c r="D62" s="177" t="str">
        <f t="shared" si="1"/>
        <v>-</v>
      </c>
      <c r="E62" s="177">
        <v>2000000</v>
      </c>
      <c r="I62" s="11" t="s">
        <v>1235</v>
      </c>
      <c r="K62" s="11"/>
      <c r="L62" s="11"/>
    </row>
    <row r="63" spans="1:12" ht="16" x14ac:dyDescent="0.2">
      <c r="A63" t="s">
        <v>896</v>
      </c>
      <c r="B63" s="52" t="s">
        <v>2103</v>
      </c>
      <c r="C63" s="11" t="s">
        <v>2104</v>
      </c>
      <c r="D63" s="177" t="str">
        <f t="shared" si="1"/>
        <v>-</v>
      </c>
      <c r="E63" s="177">
        <v>675444</v>
      </c>
      <c r="H63" s="11" t="s">
        <v>1235</v>
      </c>
      <c r="K63" s="11"/>
      <c r="L63" s="11"/>
    </row>
    <row r="64" spans="1:12" ht="16" x14ac:dyDescent="0.2">
      <c r="A64" t="s">
        <v>896</v>
      </c>
      <c r="B64" s="53" t="s">
        <v>2105</v>
      </c>
      <c r="C64" s="197" t="s">
        <v>2106</v>
      </c>
      <c r="D64" s="177" t="str">
        <f>IF(AND(ISTEXT("https://github.com/sjmini/icse2020-Solidity"),"https://github.com/sjmini/icse2020-Solidity"&lt;&gt;""), HYPERLINK("https://github.com/sjmini/icse2020-Solidity", "Link"),"-")</f>
        <v>Link</v>
      </c>
      <c r="E64" s="177">
        <v>55046</v>
      </c>
      <c r="H64" s="11" t="s">
        <v>1235</v>
      </c>
      <c r="K64" s="11"/>
      <c r="L64" s="11"/>
    </row>
    <row r="65" spans="1:14" ht="16" x14ac:dyDescent="0.2">
      <c r="A65" t="s">
        <v>896</v>
      </c>
      <c r="B65" s="52" t="s">
        <v>2107</v>
      </c>
      <c r="C65" s="11" t="s">
        <v>2108</v>
      </c>
      <c r="D65" s="177" t="str">
        <f>IF(AND(ISTEXT(""),""&lt;&gt;""), HYPERLINK("", "Link"),"-")</f>
        <v>-</v>
      </c>
      <c r="E65" s="177">
        <v>4112</v>
      </c>
      <c r="H65" s="11" t="s">
        <v>1235</v>
      </c>
      <c r="K65" s="11"/>
      <c r="L65" s="11"/>
    </row>
    <row r="66" spans="1:14" ht="16" x14ac:dyDescent="0.2">
      <c r="A66" t="s">
        <v>896</v>
      </c>
      <c r="B66" s="53" t="s">
        <v>2109</v>
      </c>
      <c r="C66" s="11" t="s">
        <v>2110</v>
      </c>
      <c r="D66" s="177" t="str">
        <f>IF(AND(ISTEXT(""),""&lt;&gt;""), HYPERLINK("", "Link"),"-")</f>
        <v>-</v>
      </c>
      <c r="E66" s="177">
        <v>13100</v>
      </c>
      <c r="F66" s="177">
        <v>12899</v>
      </c>
      <c r="H66" s="11" t="s">
        <v>1235</v>
      </c>
      <c r="K66" s="11"/>
      <c r="L66" s="11"/>
    </row>
    <row r="67" spans="1:14" x14ac:dyDescent="0.2">
      <c r="A67" t="s">
        <v>896</v>
      </c>
      <c r="B67" s="10" t="s">
        <v>2111</v>
      </c>
      <c r="C67" s="197" t="s">
        <v>1588</v>
      </c>
      <c r="D67" s="177" t="str">
        <f>IF(AND(ISTEXT(""),""&lt;&gt;""), HYPERLINK("", "Link"),"-")</f>
        <v>-</v>
      </c>
      <c r="E67" s="177">
        <v>1000</v>
      </c>
      <c r="H67" s="11" t="s">
        <v>1235</v>
      </c>
      <c r="K67" s="11"/>
      <c r="L67" s="11"/>
    </row>
    <row r="68" spans="1:14" x14ac:dyDescent="0.2">
      <c r="A68" t="s">
        <v>896</v>
      </c>
      <c r="B68" s="10" t="s">
        <v>2112</v>
      </c>
      <c r="C68" s="197" t="s">
        <v>2113</v>
      </c>
      <c r="D68" s="177" t="str">
        <f>IF(AND(ISTEXT("oolman-demo.readthedocs.io"),"toolman-demo.readthedocs.io"&lt;&gt;""), HYPERLINK("https://toolman-demo.readthedocs.io/en/latest/", "Link"),"-")</f>
        <v>Link</v>
      </c>
      <c r="E68" s="177">
        <v>11714</v>
      </c>
      <c r="G68" s="11" t="s">
        <v>1235</v>
      </c>
      <c r="H68" s="11" t="s">
        <v>1235</v>
      </c>
      <c r="J68" s="11" t="s">
        <v>1235</v>
      </c>
      <c r="K68" s="181" t="s">
        <v>1235</v>
      </c>
      <c r="L68" s="11"/>
    </row>
    <row r="69" spans="1:14" x14ac:dyDescent="0.2">
      <c r="A69" t="s">
        <v>896</v>
      </c>
      <c r="B69" s="10" t="s">
        <v>2114</v>
      </c>
      <c r="C69" s="197" t="s">
        <v>2115</v>
      </c>
      <c r="D69" s="177" t="str">
        <f>IF(AND(ISTEXT("https://github.com/smartbugs/smartbugs-wild"),"https://github.com/smartbugs/smartbugs-wild"&lt;&gt;""), HYPERLINK("https://github.com/smartbugs/smartbugs-wild", "Link"),"-")</f>
        <v>Link</v>
      </c>
      <c r="E69" s="177">
        <v>47518</v>
      </c>
      <c r="F69" s="177">
        <v>47398</v>
      </c>
      <c r="G69" s="11" t="s">
        <v>1235</v>
      </c>
      <c r="H69" s="11" t="s">
        <v>1235</v>
      </c>
      <c r="J69" s="11" t="s">
        <v>1235</v>
      </c>
      <c r="K69" s="181" t="s">
        <v>1235</v>
      </c>
      <c r="L69" s="91"/>
    </row>
    <row r="70" spans="1:14" x14ac:dyDescent="0.2">
      <c r="A70" t="s">
        <v>896</v>
      </c>
      <c r="B70" s="10" t="s">
        <v>2116</v>
      </c>
      <c r="C70" s="197" t="s">
        <v>2117</v>
      </c>
      <c r="D70" s="177" t="str">
        <f>IF(AND(ISTEXT("https://github.com/costa-group/EthIR/tree/master/examples/safevm/all"),"https://github.com/costa-group/EthIR/tree/master/examples/safevm/all"&lt;&gt;""), HYPERLINK("https://github.com/costa-group/EthIR/tree/master/examples/safevm/all", "Link"),"-")</f>
        <v>Link</v>
      </c>
      <c r="E70" s="177">
        <v>10796</v>
      </c>
      <c r="F70" s="177">
        <v>24294</v>
      </c>
      <c r="H70" s="11" t="s">
        <v>1235</v>
      </c>
      <c r="J70" s="11" t="s">
        <v>1235</v>
      </c>
      <c r="K70" s="181" t="s">
        <v>1235</v>
      </c>
      <c r="L70" s="11"/>
    </row>
    <row r="71" spans="1:14" x14ac:dyDescent="0.2">
      <c r="A71" t="s">
        <v>896</v>
      </c>
      <c r="B71" s="10" t="s">
        <v>2116</v>
      </c>
      <c r="C71" s="197" t="s">
        <v>2118</v>
      </c>
      <c r="D71" s="177" t="str">
        <f>IF(AND(ISTEXT("https://github.com/costa-group/EthIR/tree/master/examples/safevm/subset0x00-0x01/original"),"https://github.com/costa-group/EthIR/tree/master/examples/safevm/subset0x00-0x01/original"&lt;&gt;""), HYPERLINK("https://github.com/costa-group/EthIR/tree/master/examples/safevm/subset0x00-0x01/original", "Link"),"-")</f>
        <v>Link</v>
      </c>
      <c r="E71" s="177">
        <v>29</v>
      </c>
      <c r="F71" s="177">
        <v>29</v>
      </c>
      <c r="H71" s="11" t="s">
        <v>1235</v>
      </c>
      <c r="J71" s="11" t="s">
        <v>1235</v>
      </c>
      <c r="K71" s="181" t="s">
        <v>1235</v>
      </c>
      <c r="L71" s="11"/>
    </row>
    <row r="72" spans="1:14" x14ac:dyDescent="0.2">
      <c r="A72" t="s">
        <v>896</v>
      </c>
      <c r="B72" s="10" t="s">
        <v>2119</v>
      </c>
      <c r="C72" s="197" t="s">
        <v>2120</v>
      </c>
      <c r="D72" s="177" t="str">
        <f>IF(AND(ISTEXT(""),""&lt;&gt;""), HYPERLINK("", "Link"),"-")</f>
        <v>-</v>
      </c>
      <c r="E72" s="177">
        <v>4979625</v>
      </c>
      <c r="K72" s="11"/>
      <c r="L72" s="11"/>
    </row>
    <row r="73" spans="1:14" x14ac:dyDescent="0.2">
      <c r="A73" t="s">
        <v>896</v>
      </c>
      <c r="B73" s="10" t="s">
        <v>2121</v>
      </c>
      <c r="C73" s="197" t="s">
        <v>2122</v>
      </c>
      <c r="D73" s="177" t="str">
        <f>IF(AND(ISTEXT(""),""&lt;&gt;""), HYPERLINK("", "Link"),"-")</f>
        <v>-</v>
      </c>
      <c r="E73" s="177">
        <v>167698</v>
      </c>
      <c r="G73" s="11" t="s">
        <v>1235</v>
      </c>
      <c r="K73" s="11"/>
      <c r="L73" s="11"/>
    </row>
    <row r="74" spans="1:14" x14ac:dyDescent="0.2">
      <c r="A74" t="s">
        <v>896</v>
      </c>
      <c r="B74" s="10" t="s">
        <v>2123</v>
      </c>
      <c r="C74" s="11" t="s">
        <v>2124</v>
      </c>
      <c r="D74" s="177" t="str">
        <f>IF(AND(ISTEXT(""),""&lt;&gt;""), HYPERLINK("", "Link"),"-")</f>
        <v>-</v>
      </c>
      <c r="E74" s="177">
        <v>4744</v>
      </c>
      <c r="F74" s="177">
        <v>2952</v>
      </c>
      <c r="K74" s="11"/>
      <c r="L74" s="11"/>
    </row>
    <row r="75" spans="1:14" x14ac:dyDescent="0.2">
      <c r="A75" s="9" t="s">
        <v>936</v>
      </c>
      <c r="B75" s="10" t="s">
        <v>2125</v>
      </c>
      <c r="C75" s="197" t="s">
        <v>2126</v>
      </c>
      <c r="D75" s="177" t="str">
        <f>IF(AND(ISTEXT("https://owncloud.tuwien.ac.at/index.php/s/qNq87OBHnyOuru2/download"),"https://owncloud.tuwien.ac.at/index.php/s/qNq87OBHnyOuru2/download"&lt;&gt;""), HYPERLINK("https://owncloud.tuwien.ac.at/index.php/s/qNq87OBHnyOuru2/download", "Link"),"-")</f>
        <v>Link</v>
      </c>
      <c r="E75" s="177">
        <v>720</v>
      </c>
      <c r="F75" s="177">
        <v>720</v>
      </c>
      <c r="I75" s="11" t="s">
        <v>1235</v>
      </c>
      <c r="J75" s="11" t="s">
        <v>1235</v>
      </c>
      <c r="K75" s="11"/>
      <c r="L75" s="11"/>
    </row>
    <row r="76" spans="1:14" ht="16" x14ac:dyDescent="0.2">
      <c r="A76" s="9" t="s">
        <v>936</v>
      </c>
      <c r="B76" s="53" t="s">
        <v>2127</v>
      </c>
      <c r="C76" s="197" t="s">
        <v>2128</v>
      </c>
      <c r="D76" s="177" t="str">
        <f>IF(AND(ISTEXT("https://drive.google.com/file/d/1xLssDxYWyKFCwS5HUrQaSex0uwJRSvDi/view"),"https://drive.google.com/file/d/1xLssDxYWyKFCwS5HUrQaSex0uwJRSvDi/view"&lt;&gt;""), HYPERLINK("https://drive.google.com/file/d/1xLssDxYWyKFCwS5HUrQaSex0uwJRSvDi/view", "Link"),"-")</f>
        <v>Link</v>
      </c>
      <c r="E76" s="177">
        <v>344</v>
      </c>
      <c r="F76" s="177">
        <v>344</v>
      </c>
      <c r="H76" s="11" t="s">
        <v>1235</v>
      </c>
      <c r="J76" s="11" t="s">
        <v>1235</v>
      </c>
      <c r="K76" s="11"/>
      <c r="L76" s="11"/>
    </row>
    <row r="77" spans="1:14" ht="16" x14ac:dyDescent="0.2">
      <c r="A77" s="9" t="s">
        <v>936</v>
      </c>
      <c r="B77" s="53" t="s">
        <v>2114</v>
      </c>
      <c r="C77" s="197" t="s">
        <v>2129</v>
      </c>
      <c r="D77" s="177" t="str">
        <f>IF(AND(ISTEXT("https://github.com/smartbugs/smartbugs-curated"),"https://github.com/smartbugs/smartbugs-curated"&lt;&gt;""), HYPERLINK("https://github.com/smartbugs/smartbugs-curated", "Link"),"-")</f>
        <v>Link</v>
      </c>
      <c r="E77" s="177">
        <v>143</v>
      </c>
      <c r="F77" s="177">
        <v>143</v>
      </c>
      <c r="H77" s="11" t="s">
        <v>1235</v>
      </c>
      <c r="K77" s="181" t="s">
        <v>1235</v>
      </c>
      <c r="L77" s="11"/>
    </row>
    <row r="78" spans="1:14" x14ac:dyDescent="0.2">
      <c r="A78" s="9" t="s">
        <v>1889</v>
      </c>
      <c r="B78" s="9" t="s">
        <v>936</v>
      </c>
      <c r="C78" s="197" t="s">
        <v>1889</v>
      </c>
      <c r="D78" s="177" t="str">
        <f>IF(AND(ISTEXT("https://github.com/gsalzer/cgt"),"https://github.com/gsalzer/cgt"&lt;&gt;""), HYPERLINK("https://github.com/gsalzer/cgt", "Link"),"-")</f>
        <v>Link</v>
      </c>
      <c r="E78" s="177">
        <v>4859</v>
      </c>
      <c r="F78" s="177">
        <v>4859</v>
      </c>
      <c r="H78" s="11" t="s">
        <v>1235</v>
      </c>
      <c r="I78" s="11" t="s">
        <v>1235</v>
      </c>
      <c r="J78" s="11" t="s">
        <v>1235</v>
      </c>
      <c r="K78" s="181" t="s">
        <v>1235</v>
      </c>
      <c r="L78" s="181" t="s">
        <v>1235</v>
      </c>
    </row>
    <row r="79" spans="1:14" x14ac:dyDescent="0.2">
      <c r="A79" t="s">
        <v>1889</v>
      </c>
      <c r="B79" s="10" t="s">
        <v>961</v>
      </c>
      <c r="C79" s="197" t="s">
        <v>1677</v>
      </c>
      <c r="D79" s="177" t="str">
        <f>IF(AND(ISTEXT("https://github.com/s00ne/SmartConDetect?tab=readme-ov-file"),"https://github.com/s00ne/SmartConDetect?tab=readme-ov-file"&lt;&gt;""), HYPERLINK("https://github.com/s00ne/SmartConDetect?tab=readme-ov-file", "Link"),"-")</f>
        <v>Link</v>
      </c>
      <c r="E79" s="177">
        <v>10000</v>
      </c>
      <c r="H79" s="11" t="s">
        <v>1235</v>
      </c>
      <c r="K79" s="181" t="s">
        <v>1235</v>
      </c>
      <c r="L79" s="11"/>
    </row>
    <row r="80" spans="1:14" x14ac:dyDescent="0.2">
      <c r="A80" t="s">
        <v>1889</v>
      </c>
      <c r="B80" s="10" t="s">
        <v>1127</v>
      </c>
      <c r="C80" s="197" t="s">
        <v>1889</v>
      </c>
      <c r="D80" s="177" t="str">
        <f>IF(AND(ISTEXT("https://github.com/StefanosChaliasos/sc-defi-security/tree/main/dataset"),"https://github.com/StefanosChaliasos/sc-defi-security/tree/main/dataset"&lt;&gt;""), HYPERLINK("https://github.com/StefanosChaliasos/sc-defi-security/tree/main/dataset", "Link"),"-")</f>
        <v>Link</v>
      </c>
      <c r="G80" s="11" t="s">
        <v>1235</v>
      </c>
      <c r="H80" s="11" t="s">
        <v>1235</v>
      </c>
      <c r="I80" s="11" t="s">
        <v>1235</v>
      </c>
      <c r="J80" s="11" t="s">
        <v>1235</v>
      </c>
      <c r="K80" s="11"/>
      <c r="L80" s="11"/>
      <c r="N80" s="152" t="s">
        <v>2885</v>
      </c>
    </row>
    <row r="81" spans="1:12" x14ac:dyDescent="0.2">
      <c r="A81" t="s">
        <v>1889</v>
      </c>
      <c r="B81" s="10" t="s">
        <v>1150</v>
      </c>
      <c r="C81" s="197" t="s">
        <v>1714</v>
      </c>
      <c r="D81" s="177" t="str">
        <f>IF(AND(ISTEXT("https://github.com/SmartContractTools/SmartFast/tree/main/Dataset1"),"https://github.com/SmartContractTools/SmartFast/tree/main/Dataset1"&lt;&gt;""), HYPERLINK("https://github.com/SmartContractTools/SmartFast/tree/main/Dataset1", "Link"),"-")</f>
        <v>Link</v>
      </c>
      <c r="E81" s="177">
        <v>149</v>
      </c>
      <c r="F81" s="177">
        <v>149</v>
      </c>
      <c r="G81" s="11" t="s">
        <v>1235</v>
      </c>
      <c r="H81" s="11" t="s">
        <v>1235</v>
      </c>
      <c r="K81" s="181" t="s">
        <v>1235</v>
      </c>
      <c r="L81" s="11"/>
    </row>
    <row r="82" spans="1:12" x14ac:dyDescent="0.2">
      <c r="A82" t="s">
        <v>1889</v>
      </c>
      <c r="B82" s="10" t="s">
        <v>1150</v>
      </c>
      <c r="C82" s="197" t="s">
        <v>1714</v>
      </c>
      <c r="D82" s="177" t="str">
        <f>IF(AND(ISTEXT("https://github.com/SmartContractTools/SmartFast/tree/main/Dataset2"),"https://github.com/SmartContractTools/SmartFast/tree/main/Dataset2"&lt;&gt;""), HYPERLINK("https://github.com/SmartContractTools/SmartFast/tree/main/Dataset2", "Link"),"-")</f>
        <v>Link</v>
      </c>
      <c r="E82" s="177">
        <v>13509</v>
      </c>
      <c r="F82" s="177">
        <v>13509</v>
      </c>
      <c r="G82" s="11" t="s">
        <v>1235</v>
      </c>
      <c r="H82" s="11" t="s">
        <v>1235</v>
      </c>
      <c r="J82" s="11" t="s">
        <v>1235</v>
      </c>
      <c r="K82" s="181" t="s">
        <v>1235</v>
      </c>
      <c r="L82" s="11"/>
    </row>
    <row r="83" spans="1:12" x14ac:dyDescent="0.2">
      <c r="A83" t="s">
        <v>1889</v>
      </c>
      <c r="B83" s="10" t="s">
        <v>1067</v>
      </c>
      <c r="C83" s="197" t="s">
        <v>2130</v>
      </c>
      <c r="D83" s="177" t="str">
        <f>IF(AND(ISTEXT("https://github.com/MANDO-Project/ge-sc-transformer/tree/main/data"),"https://github.com/MANDO-Project/ge-sc-transformer/tree/main/data"&lt;&gt;""), HYPERLINK("https://github.com/MANDO-Project/ge-sc-transformer/tree/main/data", "Link"),"-")</f>
        <v>Link</v>
      </c>
      <c r="G83" s="11" t="s">
        <v>1235</v>
      </c>
      <c r="H83" s="11" t="s">
        <v>1235</v>
      </c>
      <c r="K83" s="181" t="s">
        <v>1235</v>
      </c>
      <c r="L83" s="181" t="s">
        <v>1235</v>
      </c>
    </row>
    <row r="84" spans="1:12" x14ac:dyDescent="0.2">
      <c r="A84" t="s">
        <v>1889</v>
      </c>
      <c r="B84" s="10" t="s">
        <v>1067</v>
      </c>
      <c r="C84" s="197" t="s">
        <v>2130</v>
      </c>
      <c r="D84" s="177" t="str">
        <f>IF(AND(ISTEXT("https://github.com/MANDO-Project/ge-sc-transformer/tree/main/experiments/ge-sc-data/"),"https://github.com/MANDO-Project/ge-sc-transformer/tree/main/experiments/ge-sc-data/"&lt;&gt;""), HYPERLINK("https://github.com/MANDO-Project/ge-sc-transformer/tree/main/experiments/ge-sc-data/", "Link"),"-")</f>
        <v>Link</v>
      </c>
      <c r="G84" s="11" t="s">
        <v>1235</v>
      </c>
      <c r="H84" s="11" t="s">
        <v>1235</v>
      </c>
      <c r="I84" s="11" t="s">
        <v>1235</v>
      </c>
      <c r="J84" s="11" t="s">
        <v>1235</v>
      </c>
      <c r="K84" s="181"/>
      <c r="L84" s="11"/>
    </row>
    <row r="85" spans="1:12" x14ac:dyDescent="0.2">
      <c r="A85" t="s">
        <v>1889</v>
      </c>
      <c r="B85" s="54" t="s">
        <v>1225</v>
      </c>
      <c r="C85" s="197" t="s">
        <v>1744</v>
      </c>
      <c r="D85" s="177" t="str">
        <f>IF(AND(ISTEXT("https://drive.google.com/file/d/1kizsz0_8B8nP4UNVr0gYjaj25VVZMO8C/edit"),"https://drive.google.com/file/d/1kizsz0_8B8nP4UNVr0gYjaj25VVZMO8C/edit"&lt;&gt;""), HYPERLINK("https://drive.google.com/file/d/1kizsz0_8B8nP4UNVr0gYjaj25VVZMO8C/edit", "Link"),"-")</f>
        <v>Link</v>
      </c>
      <c r="K85" s="11"/>
      <c r="L85" s="11"/>
    </row>
    <row r="86" spans="1:12" x14ac:dyDescent="0.2">
      <c r="A86" t="s">
        <v>1889</v>
      </c>
      <c r="B86" s="50" t="s">
        <v>1129</v>
      </c>
      <c r="C86" s="197" t="s">
        <v>1748</v>
      </c>
      <c r="D86" s="177" t="str">
        <f>IF(AND(ISTEXT("https://github.com/COPELONG/MEVD"),"https://github.com/COPELONG/MEVD"&lt;&gt;""), HYPERLINK("https://github.com/COPELONG/MEVD", "Link"),"-")</f>
        <v>Link</v>
      </c>
      <c r="G86" s="11" t="s">
        <v>1235</v>
      </c>
      <c r="H86" s="11" t="s">
        <v>1235</v>
      </c>
      <c r="K86" s="11"/>
      <c r="L86" s="11"/>
    </row>
    <row r="87" spans="1:12" x14ac:dyDescent="0.2">
      <c r="A87" t="s">
        <v>1889</v>
      </c>
      <c r="B87" s="10" t="s">
        <v>865</v>
      </c>
      <c r="C87" s="197" t="s">
        <v>1766</v>
      </c>
      <c r="D87" s="177" t="str">
        <f>IF(AND(ISTEXT("https://github.com/Sheep-L/boke"),"https://github.com/Sheep-L/boke"&lt;&gt;""), HYPERLINK("https://github.com/Sheep-L/boke", "Link"),"-")</f>
        <v>Link</v>
      </c>
      <c r="K87" s="11"/>
      <c r="L87" s="11"/>
    </row>
    <row r="88" spans="1:12" x14ac:dyDescent="0.2">
      <c r="A88" t="s">
        <v>1889</v>
      </c>
      <c r="B88" s="10" t="s">
        <v>958</v>
      </c>
      <c r="C88" s="197" t="s">
        <v>1780</v>
      </c>
      <c r="D88" s="177" t="str">
        <f>IF(AND(ISTEXT("https://github.com/Messi-Q/RNVulDet/tree/main/dataset"),"https://github.com/Messi-Q/RNVulDet/tree/main/dataset"&lt;&gt;""), HYPERLINK("https://github.com/Messi-Q/RNVulDet/tree/main/dataset", "Link"),"-")</f>
        <v>Link</v>
      </c>
      <c r="J88" s="11" t="s">
        <v>1235</v>
      </c>
      <c r="K88" s="11" t="s">
        <v>1235</v>
      </c>
      <c r="L88" s="11"/>
    </row>
    <row r="89" spans="1:12" x14ac:dyDescent="0.2">
      <c r="A89" t="s">
        <v>1889</v>
      </c>
      <c r="B89" s="10" t="s">
        <v>917</v>
      </c>
      <c r="C89" s="197" t="s">
        <v>1794</v>
      </c>
      <c r="D89" s="177" t="str">
        <f>IF(AND(ISTEXT("https://github.com/InPlusLab/SmartState-dataset"),"https://github.com/InPlusLab/SmartState-dataset"&lt;&gt;""), HYPERLINK("https://github.com/InPlusLab/SmartState-dataset", "Link"),"-")</f>
        <v>Link</v>
      </c>
      <c r="H89" s="11" t="s">
        <v>1235</v>
      </c>
      <c r="J89" s="11" t="s">
        <v>1235</v>
      </c>
      <c r="K89" s="11" t="s">
        <v>1235</v>
      </c>
      <c r="L89" s="11"/>
    </row>
    <row r="90" spans="1:12" x14ac:dyDescent="0.2">
      <c r="A90" t="s">
        <v>1889</v>
      </c>
      <c r="B90" s="10" t="s">
        <v>1158</v>
      </c>
      <c r="C90" s="197" t="s">
        <v>2131</v>
      </c>
      <c r="D90" s="177" t="str">
        <f>IF(AND(ISTEXT("https://github.com/SoftSec-KAIST/Smartian-Artifact/tree/main/benchmarks"),"https://github.com/SoftSec-KAIST/Smartian-Artifact/tree/main/benchmarks"&lt;&gt;""), HYPERLINK("https://github.com/SoftSec-KAIST/Smartian-Artifact/tree/main/benchmarks", "Link"),"-")</f>
        <v>Link</v>
      </c>
      <c r="H90" s="11" t="s">
        <v>1235</v>
      </c>
      <c r="I90" s="11" t="s">
        <v>1235</v>
      </c>
      <c r="J90" s="11" t="s">
        <v>1235</v>
      </c>
      <c r="K90" s="11" t="s">
        <v>1235</v>
      </c>
      <c r="L90" s="11"/>
    </row>
    <row r="91" spans="1:12" x14ac:dyDescent="0.2">
      <c r="A91" t="s">
        <v>1889</v>
      </c>
      <c r="B91" s="10" t="s">
        <v>1215</v>
      </c>
      <c r="C91" s="197" t="s">
        <v>1860</v>
      </c>
      <c r="D91" s="177" t="str">
        <f>IF(AND(ISTEXT("https://www.yorku.ca/research/bccc/ucs-technical/cybersecurity-datasets-cds/"),"https://www.yorku.ca/research/bccc/ucs-technical/cybersecurity-datasets-cds/"&lt;&gt;""), HYPERLINK("https://www.yorku.ca/research/bccc/ucs-technical/cybersecurity-datasets-cds/", "Link"),"-")</f>
        <v>Link</v>
      </c>
      <c r="H91" s="11" t="s">
        <v>1235</v>
      </c>
      <c r="K91" s="11" t="s">
        <v>1235</v>
      </c>
      <c r="L91" s="11"/>
    </row>
    <row r="92" spans="1:12" ht="15.75" customHeight="1" x14ac:dyDescent="0.2">
      <c r="A92" t="s">
        <v>1889</v>
      </c>
      <c r="B92" s="50" t="s">
        <v>1132</v>
      </c>
      <c r="C92" s="197" t="s">
        <v>1865</v>
      </c>
      <c r="D92" s="177" t="str">
        <f>IF(AND(ISTEXT("https://github.com/yangzuwjl/MODNN"),"https://github.com/yangzuwjl/MODNN"&lt;&gt;""), HYPERLINK("https://github.com/yangzuwjl/MODNN", "Link"),"-")</f>
        <v>Link</v>
      </c>
      <c r="E92" s="177">
        <v>18796</v>
      </c>
      <c r="H92" s="11" t="s">
        <v>1235</v>
      </c>
      <c r="K92" s="11"/>
      <c r="L92" s="11"/>
    </row>
    <row r="93" spans="1:12" ht="17" customHeight="1" x14ac:dyDescent="0.2">
      <c r="A93" t="s">
        <v>1889</v>
      </c>
      <c r="B93" s="10" t="s">
        <v>1175</v>
      </c>
      <c r="C93" s="197" t="s">
        <v>1867</v>
      </c>
      <c r="D93" s="177" t="str">
        <f>IF(AND(ISTEXT("https://github.com/xf97/HuangGai/tree/master/injectedContractDataSet"),"https://github.com/xf97/HuangGai/tree/master/injectedContractDataSet"&lt;&gt;""), HYPERLINK("https://github.com/xf97/HuangGai/tree/master/injectedContractDataSet", "Link"),"-")</f>
        <v>Link</v>
      </c>
      <c r="H93" s="11" t="s">
        <v>1235</v>
      </c>
      <c r="J93" s="11" t="s">
        <v>1235</v>
      </c>
      <c r="K93" s="11"/>
      <c r="L93" s="11" t="s">
        <v>1235</v>
      </c>
    </row>
    <row r="94" spans="1:12" ht="15.75" customHeight="1" x14ac:dyDescent="0.2">
      <c r="A94" t="s">
        <v>1889</v>
      </c>
      <c r="B94" s="10" t="s">
        <v>1175</v>
      </c>
      <c r="C94" s="197" t="s">
        <v>1867</v>
      </c>
      <c r="D94" s="177" t="str">
        <f>IF(AND(ISTEXT("https://github.com/xf97/HuangGai/tree/master/manualCheckDataset"),"https://github.com/xf97/HuangGai/tree/master/manualCheckDataset"&lt;&gt;""), HYPERLINK("https://github.com/xf97/HuangGai/tree/master/manualCheckDataset", "Link"),"-")</f>
        <v>Link</v>
      </c>
      <c r="H94" s="11" t="s">
        <v>1235</v>
      </c>
      <c r="J94" s="11" t="s">
        <v>1235</v>
      </c>
      <c r="K94" s="11"/>
      <c r="L94" s="11" t="s">
        <v>1235</v>
      </c>
    </row>
    <row r="95" spans="1:12" ht="15.75" customHeight="1" x14ac:dyDescent="0.2">
      <c r="A95" t="s">
        <v>1889</v>
      </c>
      <c r="B95" s="10" t="s">
        <v>964</v>
      </c>
      <c r="C95" s="197" t="s">
        <v>1869</v>
      </c>
      <c r="D95" s="177" t="str">
        <f>IF(AND(ISTEXT("https://github.com/1052445594/SoliDetector"),"https://github.com/1052445594/SoliDetector"&lt;&gt;""), HYPERLINK("https://github.com/1052445594/SoliDetector", "Link"),"-")</f>
        <v>Link</v>
      </c>
      <c r="H95" s="11" t="s">
        <v>1235</v>
      </c>
      <c r="J95" s="11" t="s">
        <v>1235</v>
      </c>
      <c r="K95" s="11" t="s">
        <v>1235</v>
      </c>
      <c r="L95" s="11" t="s">
        <v>1235</v>
      </c>
    </row>
    <row r="96" spans="1:12" x14ac:dyDescent="0.2">
      <c r="A96" t="s">
        <v>1889</v>
      </c>
      <c r="B96" s="10" t="s">
        <v>1033</v>
      </c>
      <c r="C96" s="197" t="s">
        <v>1885</v>
      </c>
      <c r="D96" s="177" t="str">
        <f>IF(AND(ISTEXT("https://github.com/gasgauge/gasgauge.github.io/tree/main/Benchmark"),"https://github.com/gasgauge/gasgauge.github.io/tree/main/Benchmark"&lt;&gt;""), HYPERLINK("https://github.com/gasgauge/gasgauge.github.io/tree/main/Benchmark", "Link"),"-")</f>
        <v>Link</v>
      </c>
      <c r="F96" s="11"/>
      <c r="G96" s="11" t="s">
        <v>1235</v>
      </c>
      <c r="H96" s="11" t="s">
        <v>1235</v>
      </c>
      <c r="J96" s="11" t="s">
        <v>1235</v>
      </c>
      <c r="K96" s="11"/>
      <c r="L96" s="11"/>
    </row>
    <row r="97" spans="1:14" x14ac:dyDescent="0.2">
      <c r="A97" t="s">
        <v>1889</v>
      </c>
      <c r="B97" s="10" t="s">
        <v>2132</v>
      </c>
      <c r="C97" s="197" t="s">
        <v>1889</v>
      </c>
      <c r="D97" s="177" t="str">
        <f>IF(AND(ISTEXT("https://blog.sigmaprime.io/solidity-security.html#unchecked-calls-vuln"),"https://blog.sigmaprime.io/solidity-security.html#unchecked-calls-vuln"&lt;&gt;""), HYPERLINK("https://blog.sigmaprime.io/solidity-security.html#unchecked-calls-vuln", "Link"),"-")</f>
        <v>Link</v>
      </c>
      <c r="H97" s="11" t="s">
        <v>1235</v>
      </c>
      <c r="K97" s="11" t="s">
        <v>1235</v>
      </c>
      <c r="L97" s="11"/>
    </row>
    <row r="98" spans="1:14" x14ac:dyDescent="0.2">
      <c r="A98" t="s">
        <v>1889</v>
      </c>
      <c r="B98" s="10" t="s">
        <v>939</v>
      </c>
      <c r="C98" s="197" t="s">
        <v>1796</v>
      </c>
      <c r="D98" s="177" t="str">
        <f>IF(AND(ISTEXT("https://github.com/Messi-Q/Cross-Modality-Bug-Detection/tree/main/bytecode"),"https://github.com/Messi-Q/Cross-Modality-Bug-Detection/tree/main/bytecode"&lt;&gt;""), HYPERLINK("https://github.com/Messi-Q/Cross-Modality-Bug-Detection/tree/main/bytecode", "Link"),"-")</f>
        <v>Link</v>
      </c>
      <c r="I98" s="11" t="s">
        <v>1235</v>
      </c>
      <c r="K98" s="11" t="s">
        <v>1235</v>
      </c>
      <c r="L98" s="11"/>
    </row>
    <row r="99" spans="1:14" x14ac:dyDescent="0.2">
      <c r="A99" t="s">
        <v>1889</v>
      </c>
      <c r="B99" s="10" t="s">
        <v>939</v>
      </c>
      <c r="C99" s="197" t="s">
        <v>1796</v>
      </c>
      <c r="D99" s="177" t="str">
        <f>IF(AND(ISTEXT("https://github.com/Messi-Q/Cross-Modality-Bug-Detection/tree/main/sourcecode"),"https://github.com/Messi-Q/Cross-Modality-Bug-Detection/tree/main/sourcecode"&lt;&gt;""), HYPERLINK("https://github.com/Messi-Q/Cross-Modality-Bug-Detection/tree/main/sourcecode", "Link"),"-")</f>
        <v>Link</v>
      </c>
      <c r="H99" s="11" t="s">
        <v>1235</v>
      </c>
      <c r="K99" s="11" t="s">
        <v>1235</v>
      </c>
      <c r="L99" s="11"/>
    </row>
    <row r="100" spans="1:14" x14ac:dyDescent="0.2">
      <c r="A100" t="s">
        <v>1889</v>
      </c>
      <c r="B100" s="10" t="s">
        <v>860</v>
      </c>
      <c r="C100" s="197" t="s">
        <v>1907</v>
      </c>
      <c r="D100" s="177" t="str">
        <f>IF(AND(ISTEXT("https://github.com/SmartcontractTest/ConFuzzius-BI/tree/main/dataset/asset-related/realworld"),"https://github.com/SmartcontractTest/ConFuzzius-BI/tree/main/dataset/asset-related/realworld"&lt;&gt;""), HYPERLINK("https://github.com/SmartcontractTest/ConFuzzius-BI/tree/main/dataset/asset-related/realworld", "Link"),"-")</f>
        <v>Link</v>
      </c>
      <c r="E100" s="177">
        <v>43</v>
      </c>
      <c r="F100" s="177">
        <v>43</v>
      </c>
      <c r="H100" s="11" t="s">
        <v>1235</v>
      </c>
      <c r="K100" s="11" t="s">
        <v>1235</v>
      </c>
      <c r="L100" s="11"/>
    </row>
    <row r="101" spans="1:14" x14ac:dyDescent="0.2">
      <c r="A101" t="s">
        <v>1889</v>
      </c>
      <c r="B101" s="10" t="s">
        <v>860</v>
      </c>
      <c r="C101" s="197" t="s">
        <v>1907</v>
      </c>
      <c r="D101" s="177" t="str">
        <f>IF(AND(ISTEXT("https://github.com/SmartcontractTest/ConFuzzius-BI/tree/main/dataset/asset-related/manuinject/All"),"https://github.com/SmartcontractTest/ConFuzzius-BI/tree/main/dataset/asset-related/manuinject/All"&lt;&gt;""), HYPERLINK("https://github.com/SmartcontractTest/ConFuzzius-BI/tree/main/dataset/asset-related/manuinject/All", "Link"),"-")</f>
        <v>Link</v>
      </c>
      <c r="E101" s="177">
        <v>19</v>
      </c>
      <c r="F101" s="177">
        <v>19</v>
      </c>
      <c r="H101" s="11" t="s">
        <v>1235</v>
      </c>
      <c r="J101" s="11" t="s">
        <v>1235</v>
      </c>
      <c r="K101" s="11"/>
      <c r="L101" s="11" t="s">
        <v>1235</v>
      </c>
    </row>
    <row r="102" spans="1:14" x14ac:dyDescent="0.2">
      <c r="A102" t="s">
        <v>1889</v>
      </c>
      <c r="B102" s="10" t="s">
        <v>1177</v>
      </c>
      <c r="C102" s="197" t="s">
        <v>1889</v>
      </c>
      <c r="D102" s="177" t="str">
        <f>IF(AND(ISTEXT("https://github.com/WeiZ-boot/Smartcontract-benchmark"),"https://github.com/WeiZ-boot/Smartcontract-benchmark"&lt;&gt;""), HYPERLINK("https://github.com/WeiZ-boot/Smartcontract-benchmark", "Link"),"-")</f>
        <v>Link</v>
      </c>
      <c r="E102" s="177">
        <v>110</v>
      </c>
      <c r="F102" s="177">
        <v>110</v>
      </c>
      <c r="G102" s="11" t="s">
        <v>1235</v>
      </c>
      <c r="H102" s="11" t="s">
        <v>1235</v>
      </c>
      <c r="K102" s="11" t="s">
        <v>1235</v>
      </c>
      <c r="L102" s="11" t="s">
        <v>1235</v>
      </c>
    </row>
    <row r="103" spans="1:14" x14ac:dyDescent="0.2">
      <c r="A103" t="s">
        <v>1889</v>
      </c>
      <c r="B103" s="50" t="s">
        <v>1030</v>
      </c>
      <c r="C103" s="197" t="s">
        <v>1889</v>
      </c>
      <c r="D103" s="177" t="str">
        <f>IF(AND(ISTEXT("https://github.com/gsalzer/skelcodes/tree/main"),"https://github.com/gsalzer/skelcodes/tree/main"&lt;&gt;""), HYPERLINK("https://github.com/gsalzer/skelcodes/tree/main", "Link"),"-")</f>
        <v>Link</v>
      </c>
      <c r="E103" s="177">
        <v>248328</v>
      </c>
      <c r="F103" s="177">
        <v>248328</v>
      </c>
      <c r="H103" s="11" t="s">
        <v>1235</v>
      </c>
      <c r="I103" s="11" t="s">
        <v>1235</v>
      </c>
      <c r="J103" s="11" t="s">
        <v>1235</v>
      </c>
      <c r="K103" s="11" t="s">
        <v>1235</v>
      </c>
      <c r="L103" s="11"/>
    </row>
    <row r="104" spans="1:14" ht="16" x14ac:dyDescent="0.25">
      <c r="B104" s="55" t="s">
        <v>1241</v>
      </c>
      <c r="C104" s="11" t="s">
        <v>2133</v>
      </c>
      <c r="D104" s="177" t="str">
        <f>IF(AND(ISTEXT("https://github.com/MetaTrustLabs/GPTScan-Top200"),"https://github.com/MetaTrustLabs/GPTScan-Top200"&lt;&gt;""), HYPERLINK("https://github.com/MetaTrustLabs/GPTScan-Top200", "Link"),"-")</f>
        <v>Link</v>
      </c>
      <c r="K104" s="11" t="s">
        <v>1235</v>
      </c>
      <c r="L104" s="11"/>
      <c r="N104" t="s">
        <v>2886</v>
      </c>
    </row>
    <row r="105" spans="1:14" ht="16" x14ac:dyDescent="0.25">
      <c r="B105" s="55" t="s">
        <v>1241</v>
      </c>
      <c r="C105" s="11" t="s">
        <v>2134</v>
      </c>
      <c r="D105" s="177" t="str">
        <f>IF(AND(ISTEXT("https://github.com/ZhangZhuoSJTU/Web3Bugs"),"https://github.com/ZhangZhuoSJTU/Web3Bugs"&lt;&gt;""), HYPERLINK("https://github.com/ZhangZhuoSJTU/Web3Bugs", "Link"),"-")</f>
        <v>Link</v>
      </c>
      <c r="K105" s="11" t="s">
        <v>1235</v>
      </c>
      <c r="L105" s="11"/>
    </row>
    <row r="106" spans="1:14" ht="16" x14ac:dyDescent="0.25">
      <c r="B106" s="55" t="s">
        <v>1241</v>
      </c>
      <c r="C106" s="11" t="s">
        <v>2135</v>
      </c>
      <c r="D106" s="177" t="str">
        <f>IF(AND(ISTEXT("https://wooded-meter-1d8.notion.site/0e85e02c5ed34df3855ea9f3ca40f53b?v=22e5e2c506ef4caeb40b4f78e23517ee"),"https://wooded-meter-1d8.notion.site/0e85e02c5ed34df3855ea9f3ca40f53b?v=22e5e2c506ef4caeb40b4f78e23517ee"&lt;&gt;""), HYPERLINK("https://wooded-meter-1d8.notion.site/0e85e02c5ed34df3855ea9f3ca40f53b?v=22e5e2c506ef4caeb40b4f78e23517ee", "Link"),"-")</f>
        <v>Link</v>
      </c>
      <c r="E106" s="177">
        <v>101</v>
      </c>
      <c r="F106" s="177">
        <v>101</v>
      </c>
      <c r="G106" s="11" t="s">
        <v>1235</v>
      </c>
      <c r="H106" s="11" t="s">
        <v>1235</v>
      </c>
      <c r="J106" s="11" t="s">
        <v>1235</v>
      </c>
      <c r="K106" s="11" t="s">
        <v>1235</v>
      </c>
      <c r="L106" s="11"/>
    </row>
    <row r="107" spans="1:14" ht="16" x14ac:dyDescent="0.25">
      <c r="B107" s="42" t="s">
        <v>1243</v>
      </c>
      <c r="C107" s="197" t="s">
        <v>1931</v>
      </c>
      <c r="D107" s="177" t="str">
        <f>IF(AND(ISTEXT("https://figshare.com/articles/software/scvhunter/24566893/1?file=43154218"),"https://figshare.com/articles/software/scvhunter/24566893/1?file=43154218"&lt;&gt;""), HYPERLINK("https://figshare.com/articles/software/scvhunter/24566893/1?file=43154218", "Link"),"-")</f>
        <v>Link</v>
      </c>
      <c r="E107" s="177">
        <v>1200</v>
      </c>
      <c r="F107" s="177">
        <v>1200</v>
      </c>
      <c r="G107" s="11" t="s">
        <v>1235</v>
      </c>
      <c r="H107" s="11" t="s">
        <v>1235</v>
      </c>
      <c r="J107" s="11" t="s">
        <v>1235</v>
      </c>
      <c r="K107" s="11"/>
      <c r="L107" s="11"/>
    </row>
    <row r="108" spans="1:14" x14ac:dyDescent="0.2">
      <c r="B108" s="8" t="s">
        <v>1252</v>
      </c>
      <c r="C108" s="197" t="s">
        <v>2136</v>
      </c>
      <c r="D108" s="177" t="str">
        <f>IF(AND(ISTEXT("https://rekt.news/"),"https://rekt.news/"&lt;&gt;""), HYPERLINK("https://rekt.news/", "Link"),"-")</f>
        <v>Link</v>
      </c>
      <c r="K108" s="11" t="s">
        <v>1235</v>
      </c>
      <c r="L108" s="11"/>
    </row>
    <row r="109" spans="1:14" x14ac:dyDescent="0.2">
      <c r="B109" s="8" t="s">
        <v>1252</v>
      </c>
      <c r="C109" s="197" t="s">
        <v>2137</v>
      </c>
      <c r="D109" s="177" t="str">
        <f>IF(AND(ISTEXT("https://www.certik.com/"),"https://www.certik.com/"&lt;&gt;""), HYPERLINK("https://www.certik.com/", "Link"),"-")</f>
        <v>Link</v>
      </c>
      <c r="K109" s="11" t="s">
        <v>1235</v>
      </c>
      <c r="L109" s="11"/>
    </row>
    <row r="110" spans="1:14" x14ac:dyDescent="0.2">
      <c r="B110" s="8" t="s">
        <v>1252</v>
      </c>
      <c r="C110" s="197" t="s">
        <v>2138</v>
      </c>
      <c r="D110" s="177" t="str">
        <f>IF(AND(ISTEXT("https://hacked.slowmist.io/"),"https://hacked.slowmist.io/"&lt;&gt;""), HYPERLINK("https://hacked.slowmist.io/", "Link"),"-")</f>
        <v>Link</v>
      </c>
      <c r="K110" s="11" t="s">
        <v>1235</v>
      </c>
      <c r="L110" s="11"/>
    </row>
    <row r="111" spans="1:14" x14ac:dyDescent="0.2">
      <c r="B111" s="8"/>
      <c r="C111" s="197" t="s">
        <v>2139</v>
      </c>
      <c r="D111" s="177" t="str">
        <f>IF(AND(ISTEXT("https://blocksecteam.medium.com/ "),"https://blocksecteam.medium.com/ "&lt;&gt;""), HYPERLINK("https://blocksecteam.medium.com/ ", "Link"),"-")</f>
        <v>Link</v>
      </c>
      <c r="K111" s="11" t="s">
        <v>1235</v>
      </c>
      <c r="L111" s="11"/>
    </row>
    <row r="112" spans="1:14" x14ac:dyDescent="0.2">
      <c r="B112" s="8" t="s">
        <v>1256</v>
      </c>
      <c r="C112" s="197" t="s">
        <v>1943</v>
      </c>
      <c r="D112" s="177" t="str">
        <f>IF(AND(ISTEXT("https://figshare.com/articles/dataset/dataset/22313074 "),"https://figshare.com/articles/dataset/dataset/22313074 "&lt;&gt;""), HYPERLINK("https://figshare.com/articles/dataset/dataset/22313074 ", "Link"),"-")</f>
        <v>Link</v>
      </c>
      <c r="K112" s="11"/>
      <c r="L112" s="11"/>
    </row>
    <row r="113" spans="1:12" x14ac:dyDescent="0.2">
      <c r="B113" s="8" t="s">
        <v>1258</v>
      </c>
      <c r="C113" s="197" t="s">
        <v>1945</v>
      </c>
      <c r="D113" s="177" t="str">
        <f>IF(AND(ISTEXT("https://figshare.com/s/3f864a6e7c6245ad9704"),"https://figshare.com/s/3f864a6e7c6245ad9704"&lt;&gt;""), HYPERLINK("https://figshare.com/s/3f864a6e7c6245ad9704", "Link"),"-")</f>
        <v>Link</v>
      </c>
      <c r="G113" s="11" t="s">
        <v>1235</v>
      </c>
      <c r="H113" s="11" t="s">
        <v>1235</v>
      </c>
      <c r="K113" s="11" t="s">
        <v>1235</v>
      </c>
      <c r="L113" s="11" t="s">
        <v>1235</v>
      </c>
    </row>
    <row r="114" spans="1:12" x14ac:dyDescent="0.2">
      <c r="B114" s="8" t="s">
        <v>1260</v>
      </c>
      <c r="C114" s="197" t="s">
        <v>1947</v>
      </c>
      <c r="D114" s="177" t="str">
        <f>IF(AND(ISTEXT("https://github.com/CheWang09/LLM4SMAPR/tree/main/open_source_dataset "),"https://github.com/CheWang09/LLM4SMAPR/tree/main/open_source_dataset "&lt;&gt;""), HYPERLINK("https://github.com/CheWang09/LLM4SMAPR/tree/main/open_source_dataset ", "Link"),"-")</f>
        <v>Link</v>
      </c>
      <c r="K114" s="11"/>
      <c r="L114" s="11"/>
    </row>
    <row r="115" spans="1:12" x14ac:dyDescent="0.2">
      <c r="B115" s="8" t="s">
        <v>1264</v>
      </c>
      <c r="C115" s="197" t="s">
        <v>1951</v>
      </c>
      <c r="D115" s="177" t="str">
        <f>IF(AND(ISTEXT("https://github.com/mojtaba-eshghie/XploGen/tree/main/benchmarks/supported_tools/ExGen/benchmark "),"https://github.com/mojtaba-eshghie/XploGen/tree/main/benchmarks/supported_tools/ExGen/benchmark "&lt;&gt;""), HYPERLINK("https://github.com/mojtaba-eshghie/XploGen/tree/main/benchmarks/supported_tools/ExGen/benchmark ", "Link"),"-")</f>
        <v>Link</v>
      </c>
      <c r="G115" s="11" t="s">
        <v>1235</v>
      </c>
      <c r="H115" s="11" t="s">
        <v>1235</v>
      </c>
      <c r="K115" s="11"/>
      <c r="L115" s="11"/>
    </row>
    <row r="116" spans="1:12" x14ac:dyDescent="0.2">
      <c r="B116" s="8" t="s">
        <v>1957</v>
      </c>
      <c r="C116" s="197" t="s">
        <v>1955</v>
      </c>
      <c r="D116" s="177" t="str">
        <f>IF(AND(ISTEXT("https://zenodo.org/records/12671411 "),"https://zenodo.org/records/12671411 "&lt;&gt;""), HYPERLINK("https://zenodo.org/records/12671411 ", "Link"),"-")</f>
        <v>Link</v>
      </c>
      <c r="I116" s="11" t="s">
        <v>1235</v>
      </c>
      <c r="K116" s="11" t="s">
        <v>1235</v>
      </c>
      <c r="L116" s="11"/>
    </row>
    <row r="117" spans="1:12" x14ac:dyDescent="0.2">
      <c r="B117" s="8" t="s">
        <v>1275</v>
      </c>
      <c r="C117" s="197" t="s">
        <v>2014</v>
      </c>
      <c r="D117" s="177" t="str">
        <f>IF(AND(ISTEXT("https://github.com/BugmakerCC/SOChecker "),"https://github.com/BugmakerCC/SOChecker "&lt;&gt;""), HYPERLINK("https://github.com/BugmakerCC/SOChecker ", "Link"),"-")</f>
        <v>Link</v>
      </c>
      <c r="K117" s="11" t="s">
        <v>1235</v>
      </c>
      <c r="L117" s="11"/>
    </row>
    <row r="118" spans="1:12" x14ac:dyDescent="0.2">
      <c r="B118" s="41" t="s">
        <v>1282</v>
      </c>
      <c r="C118" s="197" t="s">
        <v>1964</v>
      </c>
      <c r="D118" s="177" t="str">
        <f>IF(AND(ISTEXT("https://github.com/PonziDetection/SmartPonzi/tree/main/dataset"),"https://github.com/PonziDetection/SmartPonzi/tree/main/dataset"&lt;&gt;""), HYPERLINK("https://github.com/PonziDetection/SmartPonzi/tree/main/dataset", "Link"),"-")</f>
        <v>Link</v>
      </c>
      <c r="G118" s="11" t="s">
        <v>1235</v>
      </c>
      <c r="H118" s="11" t="s">
        <v>1235</v>
      </c>
      <c r="K118" s="11" t="s">
        <v>1235</v>
      </c>
      <c r="L118" s="11"/>
    </row>
    <row r="119" spans="1:12" x14ac:dyDescent="0.2">
      <c r="B119" s="8" t="s">
        <v>1286</v>
      </c>
      <c r="C119" s="197" t="s">
        <v>1966</v>
      </c>
      <c r="D119" s="177" t="str">
        <f>IF(AND(ISTEXT("https://github.com/Anonymous123xx/RLRep"),"https://github.com/Anonymous123xx/RLRep"&lt;&gt;""), HYPERLINK("https://github.com/Anonymous123xx/RLRep", "Link"),"-")</f>
        <v>Link</v>
      </c>
      <c r="G119" s="11" t="s">
        <v>1235</v>
      </c>
      <c r="H119" s="11" t="s">
        <v>1235</v>
      </c>
      <c r="K119" s="11" t="s">
        <v>1235</v>
      </c>
      <c r="L119" s="11" t="s">
        <v>1235</v>
      </c>
    </row>
    <row r="120" spans="1:12" x14ac:dyDescent="0.2">
      <c r="B120" s="8" t="s">
        <v>1300</v>
      </c>
      <c r="C120" s="197" t="s">
        <v>1976</v>
      </c>
      <c r="D120" s="177" t="str">
        <f>IF(AND(ISTEXT("https://github.com/Franklinliu/InvConPlus-Tool/tree/main"),"https://github.com/Franklinliu/InvConPlus-Tool/tree/main"&lt;&gt;""), HYPERLINK("https://github.com/Franklinliu/InvConPlus-Tool/tree/main", "Link"),"-")</f>
        <v>Link</v>
      </c>
      <c r="G120" s="11" t="s">
        <v>1235</v>
      </c>
      <c r="H120" s="11" t="s">
        <v>1235</v>
      </c>
      <c r="K120" s="11"/>
      <c r="L120" s="11"/>
    </row>
    <row r="121" spans="1:12" x14ac:dyDescent="0.2">
      <c r="A121" t="str">
        <f>Papers!$T$134</f>
        <v>wu2024we</v>
      </c>
      <c r="B121" s="10" t="s">
        <v>1312</v>
      </c>
      <c r="C121" s="197" t="s">
        <v>1889</v>
      </c>
      <c r="D121" s="177" t="str">
        <f>IF(AND(ISTEXT("https://github.com/renardbebe/Smart-Contract-Benchmark-Suites"),"https://github.com/renardbebe/Smart-Contract-Benchmark-Suites"&lt;&gt;""), HYPERLINK("https://github.com/renardbebe/Smart-Contract-Benchmark-Suites", "Link"),"-")</f>
        <v>Link</v>
      </c>
      <c r="E121" s="177">
        <v>46186</v>
      </c>
      <c r="H121" s="11" t="s">
        <v>1235</v>
      </c>
      <c r="K121" s="11" t="s">
        <v>1235</v>
      </c>
      <c r="L121" s="11" t="s">
        <v>1235</v>
      </c>
    </row>
    <row r="122" spans="1:12" x14ac:dyDescent="0.2">
      <c r="B122" s="10" t="s">
        <v>933</v>
      </c>
      <c r="C122" s="197" t="s">
        <v>1754</v>
      </c>
      <c r="D122" s="177" t="str">
        <f>IF(AND(ISTEXT("https://github.com/christoftorres/ConFuzzius/tree/master/dataset/etherscan"),"https://github.com/christoftorres/ConFuzzius/tree/master/dataset/etherscan"&lt;&gt;""), HYPERLINK("https://github.com/christoftorres/ConFuzzius/tree/master/dataset/etherscan", "Link"),"-")</f>
        <v>Link</v>
      </c>
      <c r="E122" s="177">
        <v>21000</v>
      </c>
      <c r="H122" s="11" t="s">
        <v>1235</v>
      </c>
      <c r="K122" s="11" t="s">
        <v>1235</v>
      </c>
      <c r="L122" s="11"/>
    </row>
    <row r="123" spans="1:12" x14ac:dyDescent="0.2">
      <c r="B123" s="10" t="s">
        <v>933</v>
      </c>
      <c r="C123" s="197" t="s">
        <v>1754</v>
      </c>
      <c r="D123" s="177" t="str">
        <f>IF(AND(ISTEXT("https://github.com/christoftorres/ConFuzzius/tree/master/dataset/curated"),"https://github.com/christoftorres/ConFuzzius/tree/master/dataset/curated"&lt;&gt;""), HYPERLINK("https://github.com/christoftorres/ConFuzzius/tree/master/dataset/curated", "Link"),"-")</f>
        <v>Link</v>
      </c>
      <c r="E123" s="177">
        <v>128</v>
      </c>
      <c r="H123" s="11" t="s">
        <v>1235</v>
      </c>
      <c r="K123" s="11" t="s">
        <v>1235</v>
      </c>
      <c r="L123" s="11"/>
    </row>
    <row r="124" spans="1:12" x14ac:dyDescent="0.2">
      <c r="B124" t="s">
        <v>1303</v>
      </c>
      <c r="C124" s="197" t="s">
        <v>2015</v>
      </c>
      <c r="D124" s="177" t="str">
        <f>IF(AND(ISTEXT("https://github.com/InPlusLab/ReentrancyStudy-Data"),"https://github.com/InPlusLab/ReentrancyStudy-Data"&lt;&gt;""), HYPERLINK("https://github.com/InPlusLab/ReentrancyStudy-Data", "Link"),"-")</f>
        <v>Link</v>
      </c>
      <c r="E124" s="177">
        <v>34</v>
      </c>
      <c r="G124" s="11" t="s">
        <v>1235</v>
      </c>
      <c r="H124" s="11" t="s">
        <v>1235</v>
      </c>
      <c r="J124" s="11" t="s">
        <v>1235</v>
      </c>
      <c r="K124" s="11" t="s">
        <v>1235</v>
      </c>
      <c r="L124" s="11"/>
    </row>
    <row r="125" spans="1:12" x14ac:dyDescent="0.2">
      <c r="B125" t="s">
        <v>956</v>
      </c>
      <c r="C125" s="197" t="s">
        <v>2140</v>
      </c>
      <c r="D125" s="177" t="str">
        <f>IF(AND(ISTEXT("https://code4rena.com/"),"https://code4rena.com/"&lt;&gt;""), HYPERLINK("https://code4rena.com/", "Link"),"-")</f>
        <v>Link</v>
      </c>
      <c r="K125" s="11" t="s">
        <v>1235</v>
      </c>
      <c r="L125" s="11"/>
    </row>
    <row r="126" spans="1:12" x14ac:dyDescent="0.2">
      <c r="B126" t="s">
        <v>1321</v>
      </c>
      <c r="C126" s="197" t="s">
        <v>1983</v>
      </c>
      <c r="D126" s="177" t="str">
        <f>IF(AND(ISTEXT("https://github.com/InPlusLab/FSE24-SmartAxe"),"https://github.com/InPlusLab/FSE24-SmartAxe"&lt;&gt;""), HYPERLINK("https://github.com/InPlusLab/FSE24-SmartAxe", "Link"),"-")</f>
        <v>Link</v>
      </c>
      <c r="F126" s="11"/>
      <c r="H126" s="11" t="s">
        <v>1235</v>
      </c>
      <c r="I126" s="11" t="s">
        <v>1235</v>
      </c>
      <c r="K126" s="11" t="s">
        <v>1235</v>
      </c>
      <c r="L126" s="11"/>
    </row>
    <row r="127" spans="1:12" x14ac:dyDescent="0.2">
      <c r="B127" t="s">
        <v>2221</v>
      </c>
      <c r="C127" s="197" t="s">
        <v>2223</v>
      </c>
      <c r="D127" s="177" t="str">
        <f>IF(AND(ISTEXT("https://www.yorku.ca/research/bccc/ucs-technical/cybersecurity-datasets-cds/"),"https://www.yorku.ca/research/bccc/ucs-technical/cybersecurity-datasets-cds/"&lt;&gt;""), HYPERLINK("https://www.yorku.ca/research/bccc/ucs-technical/cybersecurity-datasets-cds/", "Link"),"-")</f>
        <v>Link</v>
      </c>
      <c r="H127" s="11" t="s">
        <v>1235</v>
      </c>
      <c r="K127" s="11" t="s">
        <v>1235</v>
      </c>
      <c r="L127" s="11"/>
    </row>
    <row r="128" spans="1:12" x14ac:dyDescent="0.2">
      <c r="B128" t="s">
        <v>2257</v>
      </c>
      <c r="C128" s="197" t="s">
        <v>2256</v>
      </c>
      <c r="D128" s="177" t="str">
        <f>IF(AND(ISTEXT("https://drive.google.com/file/d/1h_XYXcKqfKuN7ArsXDwFq52V_mH3GQ5w/view "),"https://drive.google.com/file/d/1h_XYXcKqfKuN7ArsXDwFq52V_mH3GQ5w/view "&lt;&gt;""), HYPERLINK("https://drive.google.com/file/d/1h_XYXcKqfKuN7ArsXDwFq52V_mH3GQ5w/view ", "Link"),"-")</f>
        <v>Link</v>
      </c>
      <c r="H128" s="11" t="s">
        <v>1235</v>
      </c>
      <c r="K128" s="11"/>
      <c r="L128" s="11"/>
    </row>
    <row r="129" spans="2:12" x14ac:dyDescent="0.2">
      <c r="B129" s="8" t="s">
        <v>2296</v>
      </c>
      <c r="C129" s="197" t="s">
        <v>2298</v>
      </c>
      <c r="D129" s="177" t="str">
        <f>IF(AND(ISTEXT("https://github.com/Wang-Yi-chen/ContractGNN "),"https://github.com/Wang-Yi-chen/ContractGNN "&lt;&gt;""), HYPERLINK("https://github.com/Wang-Yi-chen/ContractGNN ", "Link"),"-")</f>
        <v>Link</v>
      </c>
      <c r="K129" s="11" t="s">
        <v>1235</v>
      </c>
      <c r="L129" s="11"/>
    </row>
    <row r="130" spans="2:12" x14ac:dyDescent="0.2">
      <c r="B130" t="s">
        <v>2293</v>
      </c>
      <c r="C130" s="197" t="s">
        <v>2295</v>
      </c>
      <c r="D130" s="177" t="str">
        <f>IF(AND(ISTEXT("https://github.com/Tourneso/DeepFusion "),"https://github.com/Tourneso/DeepFusion "&lt;&gt;""), HYPERLINK("https://github.com/Tourneso/DeepFusion ", "Link"),"-")</f>
        <v>Link</v>
      </c>
      <c r="K130" s="11"/>
      <c r="L130" s="11"/>
    </row>
    <row r="131" spans="2:12" x14ac:dyDescent="0.2">
      <c r="B131" s="41" t="s">
        <v>2318</v>
      </c>
      <c r="D131" s="177" t="str">
        <f>IF(AND(ISTEXT("https://sites.google.com/view/sc-sast-study-fse2024/benchmark-construction "),"https://sites.google.com/view/sc-sast-study-fse2024/benchmark-construction "&lt;&gt;""), HYPERLINK("https://sites.google.com/view/sc-sast-study-fse2024/benchmark-construction ", "Link"),"-")</f>
        <v>Link</v>
      </c>
      <c r="E131" s="177">
        <v>788</v>
      </c>
      <c r="F131" s="177">
        <v>788</v>
      </c>
      <c r="H131" s="11" t="s">
        <v>1235</v>
      </c>
      <c r="K131" s="11" t="s">
        <v>1235</v>
      </c>
      <c r="L131" s="11" t="s">
        <v>1235</v>
      </c>
    </row>
    <row r="132" spans="2:12" x14ac:dyDescent="0.2">
      <c r="B132" t="s">
        <v>1319</v>
      </c>
      <c r="C132" s="197" t="s">
        <v>2391</v>
      </c>
      <c r="D132" s="177" t="str">
        <f>IF(AND(ISTEXT("https://github.com/InPlusLab/DAppSCAN/tree/main/DAppSCAN-source"),"https://github.com/InPlusLab/DAppSCAN/tree/main/DAppSCAN-source"&lt;&gt;""), HYPERLINK("https://github.com/InPlusLab/DAppSCAN/tree/main/DAppSCAN-source", "Link"),"-")</f>
        <v>Link</v>
      </c>
      <c r="E132" s="177">
        <v>21457</v>
      </c>
      <c r="F132" s="177">
        <v>21457</v>
      </c>
      <c r="G132" s="11" t="s">
        <v>1235</v>
      </c>
      <c r="H132" s="11" t="s">
        <v>1235</v>
      </c>
      <c r="K132" s="11" t="s">
        <v>1235</v>
      </c>
      <c r="L132" s="11"/>
    </row>
    <row r="133" spans="2:12" x14ac:dyDescent="0.2">
      <c r="B133" t="s">
        <v>1319</v>
      </c>
      <c r="C133" s="197" t="s">
        <v>2392</v>
      </c>
      <c r="D133" s="177" t="str">
        <f>IF(AND(ISTEXT("https://github.com/InPlusLab/DAppSCAN/tree/main/DAppSCAN-bytecode"),"https://github.com/InPlusLab/DAppSCAN/tree/main/DAppSCAN-bytecode"&lt;&gt;""), HYPERLINK("https://github.com/InPlusLab/DAppSCAN/tree/main/DAppSCAN-bytecode", "Link"),"-")</f>
        <v>Link</v>
      </c>
      <c r="E133" s="177">
        <v>21457</v>
      </c>
      <c r="F133" s="177">
        <v>21457</v>
      </c>
      <c r="G133" s="11" t="s">
        <v>1235</v>
      </c>
      <c r="I133" s="11" t="s">
        <v>1235</v>
      </c>
      <c r="K133" s="11" t="s">
        <v>1235</v>
      </c>
      <c r="L133" s="11"/>
    </row>
    <row r="135" spans="2:12" x14ac:dyDescent="0.2">
      <c r="B135" s="10" t="s">
        <v>2880</v>
      </c>
      <c r="C135" s="197" t="s">
        <v>2874</v>
      </c>
      <c r="D135" s="197" t="s">
        <v>2875</v>
      </c>
    </row>
    <row r="136" spans="2:12" x14ac:dyDescent="0.2">
      <c r="B136" s="10" t="s">
        <v>2880</v>
      </c>
      <c r="C136" s="197" t="s">
        <v>2876</v>
      </c>
      <c r="D136" s="197" t="s">
        <v>2877</v>
      </c>
    </row>
    <row r="137" spans="2:12" x14ac:dyDescent="0.2">
      <c r="B137" s="10" t="s">
        <v>2880</v>
      </c>
      <c r="C137" s="209" t="s">
        <v>2878</v>
      </c>
      <c r="D137" s="197" t="s">
        <v>2879</v>
      </c>
    </row>
    <row r="138" spans="2:12" x14ac:dyDescent="0.2">
      <c r="D138" s="197" t="s">
        <v>2884</v>
      </c>
    </row>
  </sheetData>
  <conditionalFormatting sqref="B147:B1048576 B134:B145">
    <cfRule type="duplicateValues" dxfId="6" priority="433"/>
  </conditionalFormatting>
  <conditionalFormatting sqref="B138:C145 B147:C1048576 C146 B134:C136 B136:B137">
    <cfRule type="duplicateValues" dxfId="5" priority="49"/>
  </conditionalFormatting>
  <conditionalFormatting sqref="C134:C136 C138:C1048576">
    <cfRule type="duplicateValues" dxfId="4" priority="403"/>
  </conditionalFormatting>
  <conditionalFormatting sqref="D134:D1048576">
    <cfRule type="duplicateValues" dxfId="3" priority="47"/>
  </conditionalFormatting>
  <conditionalFormatting sqref="E134:E1048576">
    <cfRule type="duplicateValues" dxfId="2" priority="43"/>
    <cfRule type="duplicateValues" dxfId="1" priority="48"/>
    <cfRule type="duplicateValues" dxfId="0" priority="53"/>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7C90E00FB0624BA456DA9A282208C3" ma:contentTypeVersion="12" ma:contentTypeDescription="Creare un nuovo documento." ma:contentTypeScope="" ma:versionID="a9978c0e4f10696ac2ba30a733a16260">
  <xsd:schema xmlns:xsd="http://www.w3.org/2001/XMLSchema" xmlns:xs="http://www.w3.org/2001/XMLSchema" xmlns:p="http://schemas.microsoft.com/office/2006/metadata/properties" xmlns:ns3="cc1dd8d6-575f-49b4-8d06-1c545c8d1db8" targetNamespace="http://schemas.microsoft.com/office/2006/metadata/properties" ma:root="true" ma:fieldsID="43d4d022f066e6cded951bb2be62451c" ns3:_="">
    <xsd:import namespace="cc1dd8d6-575f-49b4-8d06-1c545c8d1db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GenerationTime" minOccurs="0"/>
                <xsd:element ref="ns3:MediaServiceEventHashCode" minOccurs="0"/>
                <xsd:element ref="ns3:MediaServiceOCR"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1dd8d6-575f-49b4-8d06-1c545c8d1d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c1dd8d6-575f-49b4-8d06-1c545c8d1db8" xsi:nil="true"/>
  </documentManagement>
</p:properties>
</file>

<file path=customXml/itemProps1.xml><?xml version="1.0" encoding="utf-8"?>
<ds:datastoreItem xmlns:ds="http://schemas.openxmlformats.org/officeDocument/2006/customXml" ds:itemID="{53FFCC6F-909F-4413-8A00-68A3E42931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1dd8d6-575f-49b4-8d06-1c545c8d1d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0A492F-C8E3-4812-9323-F42BA6E7D7B0}">
  <ds:schemaRefs>
    <ds:schemaRef ds:uri="http://schemas.microsoft.com/sharepoint/v3/contenttype/forms"/>
  </ds:schemaRefs>
</ds:datastoreItem>
</file>

<file path=customXml/itemProps3.xml><?xml version="1.0" encoding="utf-8"?>
<ds:datastoreItem xmlns:ds="http://schemas.openxmlformats.org/officeDocument/2006/customXml" ds:itemID="{45B7CD8B-F6AB-4512-8F87-A232D7D590FC}">
  <ds:schemaRefs>
    <ds:schemaRef ds:uri="http://purl.org/dc/dcmitype/"/>
    <ds:schemaRef ds:uri="http://www.w3.org/XML/1998/namespace"/>
    <ds:schemaRef ds:uri="http://schemas.openxmlformats.org/package/2006/metadata/core-properties"/>
    <ds:schemaRef ds:uri="http://purl.org/dc/elements/1.1/"/>
    <ds:schemaRef ds:uri="http://schemas.microsoft.com/office/2006/metadata/properties"/>
    <ds:schemaRef ds:uri="http://purl.org/dc/terms/"/>
    <ds:schemaRef ds:uri="cc1dd8d6-575f-49b4-8d06-1c545c8d1db8"/>
    <ds:schemaRef ds:uri="http://schemas.microsoft.com/office/2006/documentManagement/typ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Papers</vt:lpstr>
      <vt:lpstr>Vulnerabilities</vt:lpstr>
      <vt:lpstr>RQ1_ValidatedTaxonomy</vt:lpstr>
      <vt:lpstr>RQ2_Tools</vt:lpstr>
      <vt:lpstr>RQ3_Mapping</vt:lpstr>
      <vt:lpstr>RQ4_Dataset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IULIANO</dc:creator>
  <cp:keywords/>
  <dc:description/>
  <cp:lastModifiedBy>Gerardo IULIANO</cp:lastModifiedBy>
  <cp:revision/>
  <dcterms:created xsi:type="dcterms:W3CDTF">2024-02-15T14:40:34Z</dcterms:created>
  <dcterms:modified xsi:type="dcterms:W3CDTF">2025-11-12T16:53:49Z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0x0101004E7C90E00FB0624BA456DA9A282208C3</vt:lpwstr>
  </property>
</Properties>
</file>