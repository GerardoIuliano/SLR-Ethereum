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https://unisalerno-my.sharepoint.com/personal/geiuliano_unisa_it/Documents/SMARTITUDE/WP_2/T2_1/Replication Package/"/>
    </mc:Choice>
  </mc:AlternateContent>
  <xr:revisionPtr revIDLastSave="409" documentId="13_ncr:1_{01B43D93-1971-8F4F-B0A6-EBBD2BEFD315}" xr6:coauthVersionLast="47" xr6:coauthVersionMax="47" xr10:uidLastSave="{D9BFE1D6-0D70-7B44-82BA-913BDFCAE86E}"/>
  <bookViews>
    <workbookView xWindow="0" yWindow="500" windowWidth="28800" windowHeight="15720" activeTab="6" xr2:uid="{AE62ED0C-12C6-4DC9-8E12-A62A793089F5}"/>
  </bookViews>
  <sheets>
    <sheet name="Scholar" sheetId="1" r:id="rId1"/>
    <sheet name="ACM_DL" sheetId="7" r:id="rId2"/>
    <sheet name="IEEE_Xplore" sheetId="9" r:id="rId3"/>
    <sheet name="Science_Direct" sheetId="10" r:id="rId4"/>
    <sheet name="TU_Wien_CatalogPlus" sheetId="11" r:id="rId5"/>
    <sheet name="DL_snowball" sheetId="6" r:id="rId6"/>
    <sheet name="Conferences" sheetId="13" r:id="rId7"/>
    <sheet name="Paper_forward_snowball" sheetId="14" r:id="rId8"/>
    <sheet name="Info" sheetId="4" r:id="rId9"/>
  </sheets>
  <definedNames>
    <definedName name="_xlnm._FilterDatabase" localSheetId="1" hidden="1">ACM_DL!$A$1:$R$289</definedName>
    <definedName name="_xlnm._FilterDatabase" localSheetId="6" hidden="1">Conferences!$A$1:$S$1</definedName>
    <definedName name="_xlnm._FilterDatabase" localSheetId="5" hidden="1">DL_snowball!$A$1:$R$105</definedName>
    <definedName name="_xlnm._FilterDatabase" localSheetId="2" hidden="1">IEEE_Xplore!$A$1:$R$613</definedName>
    <definedName name="_xlnm._FilterDatabase" localSheetId="7" hidden="1">Paper_forward_snowball!$A$1:$R$1</definedName>
    <definedName name="_xlnm._FilterDatabase" localSheetId="0" hidden="1">Scholar!$A$1:$R$347</definedName>
    <definedName name="_xlnm._FilterDatabase" localSheetId="3" hidden="1">Science_Direct!$A$1:$R$1043</definedName>
    <definedName name="_xlnm._FilterDatabase" localSheetId="4" hidden="1">TU_Wien_CatalogPlus!$A$1:$R$872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90" i="9" l="1"/>
  <c r="S117" i="13" l="1"/>
  <c r="S51" i="13"/>
  <c r="P45" i="11" l="1"/>
  <c r="Q45" i="11" s="1"/>
  <c r="R45" i="11" s="1"/>
  <c r="R574" i="11"/>
  <c r="R575" i="11"/>
  <c r="R576" i="11"/>
  <c r="R40" i="11"/>
  <c r="R577" i="11"/>
  <c r="R578" i="11"/>
  <c r="R579" i="11"/>
  <c r="R580" i="11"/>
  <c r="R581" i="11"/>
  <c r="R582" i="11"/>
  <c r="R41" i="11"/>
  <c r="R583" i="11"/>
  <c r="R42" i="11"/>
  <c r="R584" i="11"/>
  <c r="R585" i="11"/>
  <c r="R586" i="11"/>
  <c r="R587" i="11"/>
  <c r="R43" i="11"/>
  <c r="R588" i="11"/>
  <c r="R589" i="11"/>
  <c r="R590" i="11"/>
  <c r="R591" i="11"/>
  <c r="R592" i="11"/>
  <c r="R593" i="11"/>
  <c r="R594" i="11"/>
  <c r="R595" i="11"/>
  <c r="R596" i="11"/>
  <c r="R597" i="11"/>
  <c r="R598" i="11"/>
  <c r="R599" i="11"/>
  <c r="R600" i="11"/>
  <c r="R601" i="11"/>
  <c r="R602" i="11"/>
  <c r="R603" i="11"/>
  <c r="R604" i="11"/>
  <c r="R605" i="11"/>
  <c r="R606" i="11"/>
  <c r="R607" i="11"/>
  <c r="R608" i="11"/>
  <c r="R609" i="11"/>
  <c r="R610" i="11"/>
  <c r="R611" i="11"/>
  <c r="R612" i="11"/>
  <c r="R613" i="11"/>
  <c r="R614" i="11"/>
  <c r="R615" i="11"/>
  <c r="R616" i="11"/>
  <c r="R617" i="11"/>
  <c r="R618" i="11"/>
  <c r="R619" i="11"/>
  <c r="R44" i="11"/>
  <c r="R620" i="11"/>
  <c r="R621" i="11"/>
  <c r="R622" i="11"/>
  <c r="R623" i="11"/>
  <c r="R624" i="11"/>
  <c r="R625" i="11"/>
  <c r="R626" i="11"/>
  <c r="R627" i="11"/>
  <c r="R628" i="11"/>
  <c r="R629" i="11"/>
  <c r="R630" i="11"/>
  <c r="R631" i="11"/>
  <c r="R632" i="11"/>
  <c r="R633" i="11"/>
  <c r="R634" i="11"/>
  <c r="R635" i="11"/>
  <c r="R636" i="11"/>
  <c r="R637" i="11"/>
  <c r="R638" i="11"/>
  <c r="R639" i="11"/>
  <c r="R640" i="11"/>
  <c r="R641" i="11"/>
  <c r="R642" i="11"/>
  <c r="R643" i="11"/>
  <c r="R644" i="11"/>
  <c r="R645" i="11"/>
  <c r="R646" i="11"/>
  <c r="R647" i="11"/>
  <c r="R648" i="11"/>
  <c r="R649" i="11"/>
  <c r="R650" i="11"/>
  <c r="R651" i="11"/>
  <c r="R652" i="11"/>
  <c r="R653" i="11"/>
  <c r="R654" i="11"/>
  <c r="R655" i="11"/>
  <c r="R656" i="11"/>
  <c r="R657" i="11"/>
  <c r="R658" i="11"/>
  <c r="R659" i="11"/>
  <c r="R660" i="11"/>
  <c r="R661" i="11"/>
  <c r="R662" i="11"/>
  <c r="R46" i="11"/>
  <c r="R663" i="11"/>
  <c r="R664" i="11"/>
  <c r="R665" i="11"/>
  <c r="R666" i="11"/>
  <c r="R667" i="11"/>
  <c r="R668" i="11"/>
  <c r="R669" i="11"/>
  <c r="R670" i="11"/>
  <c r="R671" i="11"/>
  <c r="R672" i="11"/>
  <c r="R673" i="11"/>
  <c r="R674" i="11"/>
  <c r="R675" i="11"/>
  <c r="R676" i="11"/>
  <c r="R677" i="11"/>
  <c r="R678" i="11"/>
  <c r="R679" i="11"/>
  <c r="R680" i="11"/>
  <c r="R681" i="11"/>
  <c r="R682" i="11"/>
  <c r="R683" i="11"/>
  <c r="R684" i="11"/>
  <c r="R685" i="11"/>
  <c r="R686" i="11"/>
  <c r="R687" i="11"/>
  <c r="R688" i="11"/>
  <c r="R689" i="11"/>
  <c r="R690" i="11"/>
  <c r="R691" i="11"/>
  <c r="R692" i="11"/>
  <c r="R693" i="11"/>
  <c r="R694" i="11"/>
  <c r="R695" i="11"/>
  <c r="R696" i="11"/>
  <c r="R697" i="11"/>
  <c r="R698" i="11"/>
  <c r="R699" i="11"/>
  <c r="R700" i="11"/>
  <c r="R701" i="11"/>
  <c r="R702" i="11"/>
  <c r="R703" i="11"/>
  <c r="R47" i="11"/>
  <c r="R704" i="11"/>
  <c r="R705" i="11"/>
  <c r="R706" i="11"/>
  <c r="R707" i="11"/>
  <c r="R708" i="11"/>
  <c r="R709" i="11"/>
  <c r="R710" i="11"/>
  <c r="R711" i="11"/>
  <c r="R712" i="11"/>
  <c r="R713" i="11"/>
  <c r="R714" i="11"/>
  <c r="R715" i="11"/>
  <c r="R716" i="11"/>
  <c r="R717" i="11"/>
  <c r="R718" i="11"/>
  <c r="R719" i="11"/>
  <c r="R720" i="11"/>
  <c r="R721" i="11"/>
  <c r="R722" i="11"/>
  <c r="R723" i="11"/>
  <c r="R724" i="11"/>
  <c r="R725" i="11"/>
  <c r="R726" i="11"/>
  <c r="R727" i="11"/>
  <c r="R728" i="11"/>
  <c r="R729" i="11"/>
  <c r="R730" i="11"/>
  <c r="R731" i="11"/>
  <c r="R732" i="11"/>
  <c r="R733" i="11"/>
  <c r="R734" i="11"/>
  <c r="R735" i="11"/>
  <c r="R736" i="11"/>
  <c r="R737" i="11"/>
  <c r="R738" i="11"/>
  <c r="R739" i="11"/>
  <c r="R740" i="11"/>
  <c r="R741" i="11"/>
  <c r="R742" i="11"/>
  <c r="R743" i="11"/>
  <c r="R744" i="11"/>
  <c r="R745" i="11"/>
  <c r="R746" i="11"/>
  <c r="R747" i="11"/>
  <c r="R748" i="11"/>
  <c r="R749" i="11"/>
  <c r="R750" i="11"/>
  <c r="R751" i="11"/>
  <c r="R752" i="11"/>
  <c r="R753" i="11"/>
  <c r="R754" i="11"/>
  <c r="R755" i="11"/>
  <c r="R756" i="11"/>
  <c r="R757" i="11"/>
  <c r="R758" i="11"/>
  <c r="R759" i="11"/>
  <c r="R760" i="11"/>
  <c r="R761" i="11"/>
  <c r="R762" i="11"/>
  <c r="R763" i="11"/>
  <c r="R764" i="11"/>
  <c r="R765" i="11"/>
  <c r="R766" i="11"/>
  <c r="R767" i="11"/>
  <c r="R768" i="11"/>
  <c r="R769" i="11"/>
  <c r="R770" i="11"/>
  <c r="R771" i="11"/>
  <c r="R772" i="11"/>
  <c r="R773" i="11"/>
  <c r="R774" i="11"/>
  <c r="R775" i="11"/>
  <c r="R48" i="11"/>
  <c r="R776" i="11"/>
  <c r="R777" i="11"/>
  <c r="R778" i="11"/>
  <c r="R779" i="11"/>
  <c r="R780" i="11"/>
  <c r="R781" i="11"/>
  <c r="R782" i="11"/>
  <c r="R783" i="11"/>
  <c r="R784" i="11"/>
  <c r="R785" i="11"/>
  <c r="R786" i="11"/>
  <c r="R787" i="11"/>
  <c r="R788" i="11"/>
  <c r="R49" i="11"/>
  <c r="R789" i="11"/>
  <c r="R790" i="11"/>
  <c r="R791" i="11"/>
  <c r="R792" i="11"/>
  <c r="R793" i="11"/>
  <c r="R794" i="11"/>
  <c r="R795" i="11"/>
  <c r="R796" i="11"/>
  <c r="R797" i="11"/>
  <c r="R798" i="11"/>
  <c r="R799" i="11"/>
  <c r="R800" i="11"/>
  <c r="R801" i="11"/>
  <c r="R802" i="11"/>
  <c r="R803" i="11"/>
  <c r="R804" i="11"/>
  <c r="R805" i="11"/>
  <c r="R806" i="11"/>
  <c r="R807" i="11"/>
  <c r="R808" i="11"/>
  <c r="R809" i="11"/>
  <c r="R810" i="11"/>
  <c r="R811" i="11"/>
  <c r="R812" i="11"/>
  <c r="R813" i="11"/>
  <c r="R814" i="11"/>
  <c r="R815" i="11"/>
  <c r="R816" i="11"/>
  <c r="R817" i="11"/>
  <c r="R818" i="11"/>
  <c r="R819" i="11"/>
  <c r="R820" i="11"/>
  <c r="R821" i="11"/>
  <c r="R822" i="11"/>
  <c r="R823" i="11"/>
  <c r="R824" i="11"/>
  <c r="R825" i="11"/>
  <c r="R826" i="11"/>
  <c r="R827" i="11"/>
  <c r="R828" i="11"/>
  <c r="R829" i="11"/>
  <c r="R830" i="11"/>
  <c r="R831" i="11"/>
  <c r="R832" i="11"/>
  <c r="R833" i="11"/>
  <c r="R834" i="11"/>
  <c r="R835" i="11"/>
  <c r="R836" i="11"/>
  <c r="R837" i="11"/>
  <c r="R838" i="11"/>
  <c r="R839" i="11"/>
  <c r="R840" i="11"/>
  <c r="R841" i="11"/>
  <c r="R842" i="11"/>
  <c r="R843" i="11"/>
  <c r="R844" i="11"/>
  <c r="R845" i="11"/>
  <c r="R846" i="11"/>
  <c r="R847" i="11"/>
  <c r="R848" i="11"/>
  <c r="R849" i="11"/>
  <c r="R850" i="11"/>
  <c r="R851" i="11"/>
  <c r="R852" i="11"/>
  <c r="R853" i="11"/>
  <c r="R854" i="11"/>
  <c r="R855" i="11"/>
  <c r="R856" i="11"/>
  <c r="R857" i="11"/>
  <c r="R858" i="11"/>
  <c r="R859" i="11"/>
  <c r="R860" i="11"/>
  <c r="R861" i="11"/>
  <c r="R862" i="11"/>
  <c r="R50" i="11"/>
  <c r="R863" i="11"/>
  <c r="R864" i="11"/>
  <c r="R865" i="11"/>
  <c r="R866" i="11"/>
  <c r="R867" i="11"/>
  <c r="R868" i="11"/>
  <c r="R869" i="11"/>
  <c r="R870" i="11"/>
  <c r="R871" i="11"/>
  <c r="R872" i="11"/>
  <c r="P14" i="10"/>
  <c r="P41" i="7"/>
  <c r="Q41" i="7" s="1"/>
  <c r="R41" i="7" s="1"/>
  <c r="P15" i="7"/>
  <c r="Q15" i="7" s="1"/>
  <c r="P13" i="7"/>
  <c r="Q13" i="7" s="1"/>
  <c r="P19" i="6"/>
  <c r="Q19" i="6" s="1"/>
  <c r="J43" i="7"/>
  <c r="G43" i="7"/>
  <c r="F43" i="7"/>
  <c r="E43" i="7"/>
  <c r="D43" i="7"/>
  <c r="P16" i="7"/>
  <c r="Q16" i="7" s="1"/>
  <c r="P14" i="6"/>
  <c r="Q14" i="6" s="1"/>
  <c r="H5" i="7"/>
  <c r="G5" i="7"/>
  <c r="F5" i="7"/>
  <c r="P28" i="7"/>
  <c r="Q28" i="7" s="1"/>
  <c r="P40" i="7"/>
  <c r="Q40" i="7" s="1"/>
  <c r="R40" i="7" s="1"/>
  <c r="P20" i="7"/>
  <c r="Q20" i="7" s="1"/>
  <c r="P31" i="7"/>
  <c r="Q31" i="7" s="1"/>
  <c r="R31" i="7" s="1"/>
  <c r="P39" i="7"/>
  <c r="Q39" i="7" s="1"/>
  <c r="P38" i="7"/>
  <c r="Q38" i="7" s="1"/>
  <c r="R38" i="7" s="1"/>
  <c r="P33" i="7"/>
  <c r="Q33" i="7" s="1"/>
  <c r="R33" i="7" s="1"/>
  <c r="P30" i="7"/>
  <c r="Q30" i="7" s="1"/>
  <c r="P27" i="7"/>
  <c r="Q27" i="7" s="1"/>
  <c r="R27" i="7" s="1"/>
  <c r="P36" i="7"/>
  <c r="Q36" i="7" s="1"/>
  <c r="P249" i="7"/>
  <c r="Q249" i="7" s="1"/>
  <c r="P35" i="7"/>
  <c r="Q35" i="7" s="1"/>
  <c r="R35" i="7" s="1"/>
  <c r="P32" i="7"/>
  <c r="Q32" i="7" s="1"/>
  <c r="P23" i="7"/>
  <c r="Q23" i="7" s="1"/>
  <c r="P24" i="7"/>
  <c r="Q24" i="7" s="1"/>
  <c r="R24" i="7" s="1"/>
  <c r="P22" i="7"/>
  <c r="Q22" i="7" s="1"/>
  <c r="P37" i="7"/>
  <c r="Q37" i="7" s="1"/>
  <c r="P34" i="7"/>
  <c r="Q34" i="7" s="1"/>
  <c r="R34" i="7" s="1"/>
  <c r="P26" i="7"/>
  <c r="Q26" i="7" s="1"/>
  <c r="R26" i="7" s="1"/>
  <c r="G42" i="7"/>
  <c r="F42" i="7"/>
  <c r="E42" i="7"/>
  <c r="P42" i="7" s="1"/>
  <c r="P21" i="7"/>
  <c r="Q21" i="7" s="1"/>
  <c r="R554" i="11"/>
  <c r="R555" i="11"/>
  <c r="R556" i="11"/>
  <c r="R557" i="11"/>
  <c r="R558" i="11"/>
  <c r="R559" i="11"/>
  <c r="R560" i="11"/>
  <c r="R561" i="11"/>
  <c r="R562" i="11"/>
  <c r="R563" i="11"/>
  <c r="R564" i="11"/>
  <c r="R565" i="11"/>
  <c r="R566" i="11"/>
  <c r="R567" i="11"/>
  <c r="R568" i="11"/>
  <c r="R569" i="11"/>
  <c r="R570" i="11"/>
  <c r="R571" i="11"/>
  <c r="R572" i="11"/>
  <c r="R573" i="11"/>
  <c r="P39" i="11"/>
  <c r="Q39" i="11" s="1"/>
  <c r="P553" i="11"/>
  <c r="P535" i="11"/>
  <c r="Q535" i="11" s="1"/>
  <c r="R535" i="11" s="1"/>
  <c r="P536" i="11"/>
  <c r="Q536" i="11" s="1"/>
  <c r="P537" i="11"/>
  <c r="P538" i="11"/>
  <c r="Q538" i="11" s="1"/>
  <c r="R538" i="11" s="1"/>
  <c r="P539" i="11"/>
  <c r="Q539" i="11" s="1"/>
  <c r="P540" i="11"/>
  <c r="Q540" i="11" s="1"/>
  <c r="P541" i="11"/>
  <c r="Q541" i="11" s="1"/>
  <c r="P542" i="11"/>
  <c r="Q542" i="11" s="1"/>
  <c r="P543" i="11"/>
  <c r="Q543" i="11" s="1"/>
  <c r="R543" i="11" s="1"/>
  <c r="P544" i="11"/>
  <c r="P545" i="11"/>
  <c r="Q545" i="11" s="1"/>
  <c r="P546" i="11"/>
  <c r="Q546" i="11" s="1"/>
  <c r="P547" i="11"/>
  <c r="Q547" i="11" s="1"/>
  <c r="P548" i="11"/>
  <c r="Q548" i="11" s="1"/>
  <c r="P549" i="11"/>
  <c r="Q549" i="11" s="1"/>
  <c r="R549" i="11" s="1"/>
  <c r="P550" i="11"/>
  <c r="Q550" i="11" s="1"/>
  <c r="P551" i="11"/>
  <c r="Q551" i="11" s="1"/>
  <c r="P552" i="11"/>
  <c r="P654" i="10"/>
  <c r="Q654" i="10" s="1"/>
  <c r="R654" i="10" s="1"/>
  <c r="P655" i="10"/>
  <c r="Q655" i="10" s="1"/>
  <c r="P656" i="10"/>
  <c r="Q656" i="10" s="1"/>
  <c r="P657" i="10"/>
  <c r="Q657" i="10" s="1"/>
  <c r="P658" i="10"/>
  <c r="P659" i="10"/>
  <c r="Q659" i="10" s="1"/>
  <c r="P660" i="10"/>
  <c r="Q660" i="10" s="1"/>
  <c r="P661" i="10"/>
  <c r="P662" i="10"/>
  <c r="Q662" i="10" s="1"/>
  <c r="R662" i="10" s="1"/>
  <c r="P663" i="10"/>
  <c r="Q663" i="10" s="1"/>
  <c r="P664" i="10"/>
  <c r="Q664" i="10" s="1"/>
  <c r="P665" i="10"/>
  <c r="Q665" i="10" s="1"/>
  <c r="R665" i="10" s="1"/>
  <c r="P666" i="10"/>
  <c r="P667" i="10"/>
  <c r="Q667" i="10" s="1"/>
  <c r="P668" i="10"/>
  <c r="Q668" i="10" s="1"/>
  <c r="P669" i="10"/>
  <c r="Q669" i="10" s="1"/>
  <c r="P670" i="10"/>
  <c r="Q670" i="10" s="1"/>
  <c r="R670" i="10" s="1"/>
  <c r="P671" i="10"/>
  <c r="Q671" i="10" s="1"/>
  <c r="P672" i="10"/>
  <c r="Q672" i="10" s="1"/>
  <c r="R672" i="10" s="1"/>
  <c r="P673" i="10"/>
  <c r="Q673" i="10" s="1"/>
  <c r="P674" i="10"/>
  <c r="P675" i="10"/>
  <c r="P676" i="10"/>
  <c r="Q676" i="10" s="1"/>
  <c r="R676" i="10" s="1"/>
  <c r="P677" i="10"/>
  <c r="Q677" i="10"/>
  <c r="P678" i="10"/>
  <c r="Q678" i="10" s="1"/>
  <c r="P679" i="10"/>
  <c r="Q679" i="10" s="1"/>
  <c r="P680" i="10"/>
  <c r="Q680" i="10" s="1"/>
  <c r="P681" i="10"/>
  <c r="Q681" i="10" s="1"/>
  <c r="P682" i="10"/>
  <c r="P683" i="10"/>
  <c r="Q683" i="10" s="1"/>
  <c r="P684" i="10"/>
  <c r="Q684" i="10" s="1"/>
  <c r="R684" i="10" s="1"/>
  <c r="P685" i="10"/>
  <c r="Q685" i="10" s="1"/>
  <c r="P686" i="10"/>
  <c r="Q686" i="10" s="1"/>
  <c r="R686" i="10" s="1"/>
  <c r="P687" i="10"/>
  <c r="Q687" i="10"/>
  <c r="P688" i="10"/>
  <c r="Q688" i="10" s="1"/>
  <c r="P689" i="10"/>
  <c r="Q689" i="10" s="1"/>
  <c r="P690" i="10"/>
  <c r="P691" i="10"/>
  <c r="Q691" i="10" s="1"/>
  <c r="P692" i="10"/>
  <c r="P693" i="10"/>
  <c r="Q693" i="10" s="1"/>
  <c r="P694" i="10"/>
  <c r="Q694" i="10" s="1"/>
  <c r="R694" i="10" s="1"/>
  <c r="P695" i="10"/>
  <c r="P696" i="10"/>
  <c r="P697" i="10"/>
  <c r="Q697" i="10" s="1"/>
  <c r="R697" i="10" s="1"/>
  <c r="P698" i="10"/>
  <c r="P699" i="10"/>
  <c r="Q699" i="10" s="1"/>
  <c r="P700" i="10"/>
  <c r="Q700" i="10" s="1"/>
  <c r="P701" i="10"/>
  <c r="Q701" i="10" s="1"/>
  <c r="P702" i="10"/>
  <c r="Q702" i="10" s="1"/>
  <c r="R702" i="10" s="1"/>
  <c r="P703" i="10"/>
  <c r="Q703" i="10" s="1"/>
  <c r="P704" i="10"/>
  <c r="Q704" i="10"/>
  <c r="P705" i="10"/>
  <c r="Q705" i="10" s="1"/>
  <c r="P706" i="10"/>
  <c r="P707" i="10"/>
  <c r="Q707" i="10" s="1"/>
  <c r="R707" i="10" s="1"/>
  <c r="P708" i="10"/>
  <c r="Q708" i="10" s="1"/>
  <c r="R708" i="10" s="1"/>
  <c r="P709" i="10"/>
  <c r="Q709" i="10" s="1"/>
  <c r="P710" i="10"/>
  <c r="P711" i="10"/>
  <c r="Q711" i="10" s="1"/>
  <c r="P712" i="10"/>
  <c r="P713" i="10"/>
  <c r="P714" i="10"/>
  <c r="P715" i="10"/>
  <c r="Q715" i="10" s="1"/>
  <c r="P716" i="10"/>
  <c r="Q716" i="10" s="1"/>
  <c r="P717" i="10"/>
  <c r="Q717" i="10" s="1"/>
  <c r="P718" i="10"/>
  <c r="Q718" i="10" s="1"/>
  <c r="R718" i="10" s="1"/>
  <c r="P719" i="10"/>
  <c r="Q719" i="10" s="1"/>
  <c r="P720" i="10"/>
  <c r="Q720" i="10" s="1"/>
  <c r="P721" i="10"/>
  <c r="Q721" i="10" s="1"/>
  <c r="P722" i="10"/>
  <c r="P723" i="10"/>
  <c r="Q723" i="10" s="1"/>
  <c r="R723" i="10" s="1"/>
  <c r="P724" i="10"/>
  <c r="Q724" i="10" s="1"/>
  <c r="R724" i="10" s="1"/>
  <c r="P725" i="10"/>
  <c r="Q725" i="10" s="1"/>
  <c r="P726" i="10"/>
  <c r="Q726" i="10" s="1"/>
  <c r="R726" i="10" s="1"/>
  <c r="P727" i="10"/>
  <c r="Q727" i="10"/>
  <c r="P728" i="10"/>
  <c r="Q728" i="10" s="1"/>
  <c r="P729" i="10"/>
  <c r="Q729" i="10" s="1"/>
  <c r="R729" i="10" s="1"/>
  <c r="P730" i="10"/>
  <c r="P731" i="10"/>
  <c r="Q731" i="10" s="1"/>
  <c r="R731" i="10" s="1"/>
  <c r="P732" i="10"/>
  <c r="Q732" i="10" s="1"/>
  <c r="P733" i="10"/>
  <c r="Q733" i="10" s="1"/>
  <c r="P734" i="10"/>
  <c r="Q734" i="10" s="1"/>
  <c r="P735" i="10"/>
  <c r="Q735" i="10" s="1"/>
  <c r="P736" i="10"/>
  <c r="Q736" i="10" s="1"/>
  <c r="P737" i="10"/>
  <c r="Q737" i="10" s="1"/>
  <c r="P738" i="10"/>
  <c r="P739" i="10"/>
  <c r="Q739" i="10" s="1"/>
  <c r="P740" i="10"/>
  <c r="Q740" i="10" s="1"/>
  <c r="R740" i="10" s="1"/>
  <c r="P741" i="10"/>
  <c r="Q741" i="10" s="1"/>
  <c r="P742" i="10"/>
  <c r="Q742" i="10"/>
  <c r="R742" i="10"/>
  <c r="P743" i="10"/>
  <c r="Q743" i="10" s="1"/>
  <c r="P744" i="10"/>
  <c r="Q744" i="10" s="1"/>
  <c r="P745" i="10"/>
  <c r="Q745" i="10" s="1"/>
  <c r="P746" i="10"/>
  <c r="P747" i="10"/>
  <c r="Q747" i="10" s="1"/>
  <c r="R747" i="10" s="1"/>
  <c r="P748" i="10"/>
  <c r="Q748" i="10"/>
  <c r="P749" i="10"/>
  <c r="Q749" i="10"/>
  <c r="P750" i="10"/>
  <c r="Q750" i="10" s="1"/>
  <c r="P751" i="10"/>
  <c r="Q751" i="10" s="1"/>
  <c r="P752" i="10"/>
  <c r="Q752" i="10" s="1"/>
  <c r="R752" i="10" s="1"/>
  <c r="P753" i="10"/>
  <c r="Q753" i="10" s="1"/>
  <c r="P754" i="10"/>
  <c r="P755" i="10"/>
  <c r="Q755" i="10" s="1"/>
  <c r="P756" i="10"/>
  <c r="P757" i="10"/>
  <c r="Q757" i="10" s="1"/>
  <c r="P758" i="10"/>
  <c r="Q758" i="10" s="1"/>
  <c r="R758" i="10" s="1"/>
  <c r="P759" i="10"/>
  <c r="P760" i="10"/>
  <c r="Q760" i="10" s="1"/>
  <c r="P761" i="10"/>
  <c r="Q761" i="10" s="1"/>
  <c r="R761" i="10" s="1"/>
  <c r="P762" i="10"/>
  <c r="P763" i="10"/>
  <c r="Q763" i="10" s="1"/>
  <c r="R763" i="10" s="1"/>
  <c r="P764" i="10"/>
  <c r="Q764" i="10" s="1"/>
  <c r="R764" i="10" s="1"/>
  <c r="P765" i="10"/>
  <c r="P766" i="10"/>
  <c r="P767" i="10"/>
  <c r="Q767" i="10" s="1"/>
  <c r="P768" i="10"/>
  <c r="Q768" i="10" s="1"/>
  <c r="R768" i="10" s="1"/>
  <c r="P769" i="10"/>
  <c r="Q769" i="10" s="1"/>
  <c r="P770" i="10"/>
  <c r="P771" i="10"/>
  <c r="Q771" i="10" s="1"/>
  <c r="P772" i="10"/>
  <c r="Q772" i="10" s="1"/>
  <c r="R772" i="10" s="1"/>
  <c r="P773" i="10"/>
  <c r="Q773" i="10" s="1"/>
  <c r="P774" i="10"/>
  <c r="P775" i="10"/>
  <c r="Q775" i="10" s="1"/>
  <c r="P776" i="10"/>
  <c r="P777" i="10"/>
  <c r="P778" i="10"/>
  <c r="P779" i="10"/>
  <c r="Q779" i="10" s="1"/>
  <c r="R779" i="10" s="1"/>
  <c r="P780" i="10"/>
  <c r="Q780" i="10" s="1"/>
  <c r="P781" i="10"/>
  <c r="Q781" i="10"/>
  <c r="P782" i="10"/>
  <c r="Q782" i="10" s="1"/>
  <c r="P783" i="10"/>
  <c r="Q783" i="10" s="1"/>
  <c r="P784" i="10"/>
  <c r="Q784" i="10" s="1"/>
  <c r="P785" i="10"/>
  <c r="Q785" i="10" s="1"/>
  <c r="R785" i="10" s="1"/>
  <c r="P786" i="10"/>
  <c r="P787" i="10"/>
  <c r="Q787" i="10" s="1"/>
  <c r="R787" i="10" s="1"/>
  <c r="P788" i="10"/>
  <c r="Q788" i="10" s="1"/>
  <c r="P789" i="10"/>
  <c r="Q789" i="10" s="1"/>
  <c r="P790" i="10"/>
  <c r="Q790" i="10" s="1"/>
  <c r="P791" i="10"/>
  <c r="Q791" i="10" s="1"/>
  <c r="P792" i="10"/>
  <c r="Q792" i="10" s="1"/>
  <c r="R792" i="10" s="1"/>
  <c r="P793" i="10"/>
  <c r="Q793" i="10" s="1"/>
  <c r="P794" i="10"/>
  <c r="P795" i="10"/>
  <c r="Q795" i="10" s="1"/>
  <c r="R795" i="10" s="1"/>
  <c r="P796" i="10"/>
  <c r="Q796" i="10" s="1"/>
  <c r="R796" i="10" s="1"/>
  <c r="P797" i="10"/>
  <c r="Q797" i="10" s="1"/>
  <c r="P798" i="10"/>
  <c r="Q798" i="10" s="1"/>
  <c r="P799" i="10"/>
  <c r="Q799" i="10" s="1"/>
  <c r="P800" i="10"/>
  <c r="Q800" i="10" s="1"/>
  <c r="P801" i="10"/>
  <c r="Q801" i="10" s="1"/>
  <c r="P802" i="10"/>
  <c r="P803" i="10"/>
  <c r="Q803" i="10" s="1"/>
  <c r="P804" i="10"/>
  <c r="Q804" i="10" s="1"/>
  <c r="R804" i="10" s="1"/>
  <c r="P805" i="10"/>
  <c r="Q805" i="10" s="1"/>
  <c r="P806" i="10"/>
  <c r="Q806" i="10" s="1"/>
  <c r="P807" i="10"/>
  <c r="Q807" i="10" s="1"/>
  <c r="P808" i="10"/>
  <c r="Q808" i="10"/>
  <c r="P809" i="10"/>
  <c r="Q809" i="10" s="1"/>
  <c r="P810" i="10"/>
  <c r="P811" i="10"/>
  <c r="P812" i="10"/>
  <c r="Q812" i="10" s="1"/>
  <c r="P813" i="10"/>
  <c r="P814" i="10"/>
  <c r="Q814" i="10" s="1"/>
  <c r="R814" i="10" s="1"/>
  <c r="P815" i="10"/>
  <c r="Q815" i="10" s="1"/>
  <c r="P816" i="10"/>
  <c r="Q816" i="10" s="1"/>
  <c r="R816" i="10" s="1"/>
  <c r="P817" i="10"/>
  <c r="Q817" i="10" s="1"/>
  <c r="R817" i="10" s="1"/>
  <c r="P818" i="10"/>
  <c r="P819" i="10"/>
  <c r="P820" i="10"/>
  <c r="P821" i="10"/>
  <c r="P822" i="10"/>
  <c r="Q822" i="10" s="1"/>
  <c r="R822" i="10" s="1"/>
  <c r="P823" i="10"/>
  <c r="P824" i="10"/>
  <c r="Q824" i="10"/>
  <c r="P825" i="10"/>
  <c r="Q825" i="10" s="1"/>
  <c r="R825" i="10" s="1"/>
  <c r="P826" i="10"/>
  <c r="P827" i="10"/>
  <c r="Q827" i="10" s="1"/>
  <c r="P828" i="10"/>
  <c r="Q828" i="10" s="1"/>
  <c r="R828" i="10" s="1"/>
  <c r="P829" i="10"/>
  <c r="Q829" i="10" s="1"/>
  <c r="P830" i="10"/>
  <c r="Q830" i="10" s="1"/>
  <c r="P831" i="10"/>
  <c r="Q831" i="10" s="1"/>
  <c r="P832" i="10"/>
  <c r="Q832" i="10" s="1"/>
  <c r="R832" i="10" s="1"/>
  <c r="P833" i="10"/>
  <c r="Q833" i="10"/>
  <c r="P834" i="10"/>
  <c r="P835" i="10"/>
  <c r="Q835" i="10" s="1"/>
  <c r="P836" i="10"/>
  <c r="Q836" i="10" s="1"/>
  <c r="P837" i="10"/>
  <c r="Q837" i="10" s="1"/>
  <c r="P838" i="10"/>
  <c r="P839" i="10"/>
  <c r="Q839" i="10" s="1"/>
  <c r="P840" i="10"/>
  <c r="Q840" i="10" s="1"/>
  <c r="P841" i="10"/>
  <c r="P842" i="10"/>
  <c r="P843" i="10"/>
  <c r="Q843" i="10" s="1"/>
  <c r="R843" i="10" s="1"/>
  <c r="P844" i="10"/>
  <c r="Q844" i="10" s="1"/>
  <c r="P845" i="10"/>
  <c r="Q845" i="10" s="1"/>
  <c r="P846" i="10"/>
  <c r="Q846" i="10" s="1"/>
  <c r="R846" i="10" s="1"/>
  <c r="P847" i="10"/>
  <c r="Q847" i="10" s="1"/>
  <c r="P848" i="10"/>
  <c r="Q848" i="10" s="1"/>
  <c r="P849" i="10"/>
  <c r="Q849" i="10" s="1"/>
  <c r="P850" i="10"/>
  <c r="P851" i="10"/>
  <c r="Q851" i="10" s="1"/>
  <c r="R851" i="10" s="1"/>
  <c r="P852" i="10"/>
  <c r="Q852" i="10" s="1"/>
  <c r="P853" i="10"/>
  <c r="Q853" i="10"/>
  <c r="P854" i="10"/>
  <c r="Q854" i="10"/>
  <c r="P855" i="10"/>
  <c r="Q855" i="10" s="1"/>
  <c r="P856" i="10"/>
  <c r="Q856" i="10" s="1"/>
  <c r="R856" i="10" s="1"/>
  <c r="P857" i="10"/>
  <c r="Q857" i="10" s="1"/>
  <c r="P858" i="10"/>
  <c r="P859" i="10"/>
  <c r="Q859" i="10" s="1"/>
  <c r="P860" i="10"/>
  <c r="Q860" i="10" s="1"/>
  <c r="R860" i="10" s="1"/>
  <c r="P861" i="10"/>
  <c r="Q861" i="10"/>
  <c r="P862" i="10"/>
  <c r="Q862" i="10" s="1"/>
  <c r="P863" i="10"/>
  <c r="Q863" i="10"/>
  <c r="P864" i="10"/>
  <c r="Q864" i="10" s="1"/>
  <c r="P865" i="10"/>
  <c r="Q865" i="10" s="1"/>
  <c r="P866" i="10"/>
  <c r="P867" i="10"/>
  <c r="Q867" i="10" s="1"/>
  <c r="P868" i="10"/>
  <c r="Q868" i="10" s="1"/>
  <c r="P869" i="10"/>
  <c r="Q869" i="10" s="1"/>
  <c r="P870" i="10"/>
  <c r="Q870" i="10"/>
  <c r="P871" i="10"/>
  <c r="Q871" i="10" s="1"/>
  <c r="P872" i="10"/>
  <c r="Q872" i="10"/>
  <c r="P873" i="10"/>
  <c r="Q873" i="10" s="1"/>
  <c r="P874" i="10"/>
  <c r="P875" i="10"/>
  <c r="P876" i="10"/>
  <c r="Q876" i="10"/>
  <c r="R876" i="10" s="1"/>
  <c r="P877" i="10"/>
  <c r="P878" i="10"/>
  <c r="Q878" i="10" s="1"/>
  <c r="R878" i="10" s="1"/>
  <c r="P879" i="10"/>
  <c r="Q879" i="10" s="1"/>
  <c r="P880" i="10"/>
  <c r="Q880" i="10" s="1"/>
  <c r="P881" i="10"/>
  <c r="Q881" i="10" s="1"/>
  <c r="R881" i="10" s="1"/>
  <c r="P882" i="10"/>
  <c r="P883" i="10"/>
  <c r="Q883" i="10" s="1"/>
  <c r="P884" i="10"/>
  <c r="P885" i="10"/>
  <c r="Q885" i="10" s="1"/>
  <c r="P886" i="10"/>
  <c r="Q886" i="10" s="1"/>
  <c r="P887" i="10"/>
  <c r="P888" i="10"/>
  <c r="P889" i="10"/>
  <c r="Q889" i="10" s="1"/>
  <c r="P890" i="10"/>
  <c r="P891" i="10"/>
  <c r="Q891" i="10"/>
  <c r="R891" i="10" s="1"/>
  <c r="P892" i="10"/>
  <c r="Q892" i="10" s="1"/>
  <c r="P893" i="10"/>
  <c r="Q893" i="10" s="1"/>
  <c r="P894" i="10"/>
  <c r="Q894" i="10" s="1"/>
  <c r="P895" i="10"/>
  <c r="Q895" i="10" s="1"/>
  <c r="P896" i="10"/>
  <c r="Q896" i="10" s="1"/>
  <c r="R896" i="10" s="1"/>
  <c r="P897" i="10"/>
  <c r="Q897" i="10" s="1"/>
  <c r="P898" i="10"/>
  <c r="P899" i="10"/>
  <c r="Q899" i="10" s="1"/>
  <c r="P900" i="10"/>
  <c r="P901" i="10"/>
  <c r="Q901" i="10" s="1"/>
  <c r="P902" i="10"/>
  <c r="P903" i="10"/>
  <c r="Q903" i="10" s="1"/>
  <c r="P904" i="10"/>
  <c r="Q904" i="10"/>
  <c r="R904" i="10" s="1"/>
  <c r="P905" i="10"/>
  <c r="P906" i="10"/>
  <c r="Q906" i="10" s="1"/>
  <c r="P907" i="10"/>
  <c r="Q907" i="10" s="1"/>
  <c r="P908" i="10"/>
  <c r="P909" i="10"/>
  <c r="Q909" i="10" s="1"/>
  <c r="P910" i="10"/>
  <c r="Q910" i="10" s="1"/>
  <c r="P911" i="10"/>
  <c r="P912" i="10"/>
  <c r="Q912" i="10" s="1"/>
  <c r="P913" i="10"/>
  <c r="Q913" i="10" s="1"/>
  <c r="P914" i="10"/>
  <c r="Q914" i="10" s="1"/>
  <c r="P915" i="10"/>
  <c r="Q915" i="10" s="1"/>
  <c r="P916" i="10"/>
  <c r="Q916" i="10" s="1"/>
  <c r="P917" i="10"/>
  <c r="Q917" i="10" s="1"/>
  <c r="R917" i="10" s="1"/>
  <c r="P918" i="10"/>
  <c r="Q918" i="10" s="1"/>
  <c r="P919" i="10"/>
  <c r="Q919" i="10"/>
  <c r="P920" i="10"/>
  <c r="Q920" i="10" s="1"/>
  <c r="R920" i="10" s="1"/>
  <c r="P921" i="10"/>
  <c r="Q921" i="10" s="1"/>
  <c r="P922" i="10"/>
  <c r="Q922" i="10" s="1"/>
  <c r="P923" i="10"/>
  <c r="Q923" i="10" s="1"/>
  <c r="R923" i="10" s="1"/>
  <c r="P924" i="10"/>
  <c r="Q924" i="10" s="1"/>
  <c r="P925" i="10"/>
  <c r="Q925" i="10" s="1"/>
  <c r="R925" i="10" s="1"/>
  <c r="P926" i="10"/>
  <c r="Q926" i="10" s="1"/>
  <c r="P927" i="10"/>
  <c r="Q927" i="10" s="1"/>
  <c r="P928" i="10"/>
  <c r="Q928" i="10" s="1"/>
  <c r="P929" i="10"/>
  <c r="Q929" i="10" s="1"/>
  <c r="P930" i="10"/>
  <c r="Q930" i="10" s="1"/>
  <c r="P931" i="10"/>
  <c r="Q931" i="10" s="1"/>
  <c r="P932" i="10"/>
  <c r="Q932" i="10" s="1"/>
  <c r="P933" i="10"/>
  <c r="Q933" i="10" s="1"/>
  <c r="P934" i="10"/>
  <c r="P935" i="10"/>
  <c r="Q935" i="10" s="1"/>
  <c r="P936" i="10"/>
  <c r="Q936" i="10" s="1"/>
  <c r="P937" i="10"/>
  <c r="P938" i="10"/>
  <c r="Q938" i="10" s="1"/>
  <c r="P939" i="10"/>
  <c r="Q939" i="10" s="1"/>
  <c r="P940" i="10"/>
  <c r="P941" i="10"/>
  <c r="Q941" i="10" s="1"/>
  <c r="P942" i="10"/>
  <c r="Q942" i="10" s="1"/>
  <c r="P943" i="10"/>
  <c r="P944" i="10"/>
  <c r="Q944" i="10" s="1"/>
  <c r="P945" i="10"/>
  <c r="Q945" i="10" s="1"/>
  <c r="P946" i="10"/>
  <c r="Q946" i="10" s="1"/>
  <c r="P947" i="10"/>
  <c r="Q947" i="10" s="1"/>
  <c r="P948" i="10"/>
  <c r="Q948" i="10" s="1"/>
  <c r="P949" i="10"/>
  <c r="Q949" i="10" s="1"/>
  <c r="P950" i="10"/>
  <c r="Q950" i="10" s="1"/>
  <c r="P951" i="10"/>
  <c r="Q951" i="10" s="1"/>
  <c r="P952" i="10"/>
  <c r="Q952" i="10" s="1"/>
  <c r="R952" i="10" s="1"/>
  <c r="P953" i="10"/>
  <c r="Q953" i="10" s="1"/>
  <c r="R953" i="10" s="1"/>
  <c r="P954" i="10"/>
  <c r="Q954" i="10" s="1"/>
  <c r="P955" i="10"/>
  <c r="Q955" i="10" s="1"/>
  <c r="R955" i="10" s="1"/>
  <c r="P956" i="10"/>
  <c r="P957" i="10"/>
  <c r="Q957" i="10" s="1"/>
  <c r="R957" i="10" s="1"/>
  <c r="P958" i="10"/>
  <c r="Q958" i="10" s="1"/>
  <c r="P959" i="10"/>
  <c r="Q959" i="10"/>
  <c r="P960" i="10"/>
  <c r="Q960" i="10"/>
  <c r="P961" i="10"/>
  <c r="Q961" i="10" s="1"/>
  <c r="P962" i="10"/>
  <c r="Q962" i="10" s="1"/>
  <c r="P963" i="10"/>
  <c r="Q963" i="10" s="1"/>
  <c r="R963" i="10" s="1"/>
  <c r="P964" i="10"/>
  <c r="Q964" i="10" s="1"/>
  <c r="P965" i="10"/>
  <c r="P966" i="10"/>
  <c r="Q966" i="10" s="1"/>
  <c r="P967" i="10"/>
  <c r="Q967" i="10" s="1"/>
  <c r="P968" i="10"/>
  <c r="P969" i="10"/>
  <c r="Q969" i="10" s="1"/>
  <c r="P970" i="10"/>
  <c r="Q970" i="10" s="1"/>
  <c r="R970" i="10" s="1"/>
  <c r="P971" i="10"/>
  <c r="P972" i="10"/>
  <c r="Q972" i="10" s="1"/>
  <c r="P973" i="10"/>
  <c r="Q973" i="10" s="1"/>
  <c r="P974" i="10"/>
  <c r="P975" i="10"/>
  <c r="Q975" i="10" s="1"/>
  <c r="P976" i="10"/>
  <c r="Q976" i="10" s="1"/>
  <c r="P977" i="10"/>
  <c r="Q977" i="10" s="1"/>
  <c r="P978" i="10"/>
  <c r="Q978" i="10" s="1"/>
  <c r="P979" i="10"/>
  <c r="Q979" i="10" s="1"/>
  <c r="P980" i="10"/>
  <c r="Q980" i="10" s="1"/>
  <c r="P981" i="10"/>
  <c r="Q981" i="10" s="1"/>
  <c r="P15" i="10"/>
  <c r="Q15" i="10" s="1"/>
  <c r="P982" i="10"/>
  <c r="Q982" i="10" s="1"/>
  <c r="P983" i="10"/>
  <c r="Q983" i="10" s="1"/>
  <c r="P984" i="10"/>
  <c r="Q984" i="10" s="1"/>
  <c r="R984" i="10"/>
  <c r="P985" i="10"/>
  <c r="Q985" i="10" s="1"/>
  <c r="P986" i="10"/>
  <c r="Q986" i="10" s="1"/>
  <c r="P987" i="10"/>
  <c r="Q987" i="10" s="1"/>
  <c r="R987" i="10" s="1"/>
  <c r="P988" i="10"/>
  <c r="Q988" i="10" s="1"/>
  <c r="P989" i="10"/>
  <c r="Q989" i="10" s="1"/>
  <c r="P990" i="10"/>
  <c r="Q990" i="10" s="1"/>
  <c r="P991" i="10"/>
  <c r="Q991" i="10" s="1"/>
  <c r="P992" i="10"/>
  <c r="Q992" i="10" s="1"/>
  <c r="P993" i="10"/>
  <c r="P994" i="10"/>
  <c r="Q994" i="10" s="1"/>
  <c r="P995" i="10"/>
  <c r="Q995" i="10" s="1"/>
  <c r="R995" i="10" s="1"/>
  <c r="P996" i="10"/>
  <c r="Q996" i="10" s="1"/>
  <c r="P997" i="10"/>
  <c r="Q997" i="10" s="1"/>
  <c r="P998" i="10"/>
  <c r="Q998" i="10" s="1"/>
  <c r="P999" i="10"/>
  <c r="P1000" i="10"/>
  <c r="Q1000" i="10" s="1"/>
  <c r="P1001" i="10"/>
  <c r="P1002" i="10"/>
  <c r="Q1002" i="10" s="1"/>
  <c r="R1002" i="10" s="1"/>
  <c r="P1003" i="10"/>
  <c r="R1003" i="10" s="1"/>
  <c r="Q1003" i="10"/>
  <c r="P1004" i="10"/>
  <c r="Q1004" i="10" s="1"/>
  <c r="P1005" i="10"/>
  <c r="Q1005" i="10" s="1"/>
  <c r="P1006" i="10"/>
  <c r="Q1006" i="10" s="1"/>
  <c r="P1007" i="10"/>
  <c r="Q1007" i="10"/>
  <c r="R1007" i="10" s="1"/>
  <c r="P1008" i="10"/>
  <c r="Q1008" i="10" s="1"/>
  <c r="P1009" i="10"/>
  <c r="P1010" i="10"/>
  <c r="Q1010" i="10" s="1"/>
  <c r="P1011" i="10"/>
  <c r="Q1011" i="10" s="1"/>
  <c r="P1012" i="10"/>
  <c r="Q1012" i="10" s="1"/>
  <c r="P1013" i="10"/>
  <c r="Q1013" i="10"/>
  <c r="R1013" i="10" s="1"/>
  <c r="P1014" i="10"/>
  <c r="Q1014" i="10" s="1"/>
  <c r="P1015" i="10"/>
  <c r="Q1015" i="10" s="1"/>
  <c r="R1015" i="10" s="1"/>
  <c r="P1016" i="10"/>
  <c r="Q1016" i="10" s="1"/>
  <c r="P1017" i="10"/>
  <c r="P1018" i="10"/>
  <c r="Q1018" i="10" s="1"/>
  <c r="P1019" i="10"/>
  <c r="Q1019" i="10" s="1"/>
  <c r="P1020" i="10"/>
  <c r="Q1020" i="10" s="1"/>
  <c r="P1021" i="10"/>
  <c r="P1022" i="10"/>
  <c r="Q1022" i="10" s="1"/>
  <c r="P1023" i="10"/>
  <c r="Q1023" i="10" s="1"/>
  <c r="P1024" i="10"/>
  <c r="Q1024" i="10" s="1"/>
  <c r="P1025" i="10"/>
  <c r="P1026" i="10"/>
  <c r="Q1026" i="10" s="1"/>
  <c r="P1027" i="10"/>
  <c r="Q1027" i="10" s="1"/>
  <c r="R1027" i="10" s="1"/>
  <c r="P1028" i="10"/>
  <c r="Q1028" i="10" s="1"/>
  <c r="P1029" i="10"/>
  <c r="Q1029" i="10" s="1"/>
  <c r="P1030" i="10"/>
  <c r="Q1030" i="10" s="1"/>
  <c r="P1031" i="10"/>
  <c r="Q1031" i="10" s="1"/>
  <c r="R1031" i="10" s="1"/>
  <c r="P1032" i="10"/>
  <c r="Q1032" i="10"/>
  <c r="R1032" i="10" s="1"/>
  <c r="P1033" i="10"/>
  <c r="P1034" i="10"/>
  <c r="Q1034" i="10" s="1"/>
  <c r="R1034" i="10" s="1"/>
  <c r="P1035" i="10"/>
  <c r="Q1035" i="10" s="1"/>
  <c r="P1036" i="10"/>
  <c r="Q1036" i="10" s="1"/>
  <c r="P1037" i="10"/>
  <c r="R1037" i="10" s="1"/>
  <c r="Q1037" i="10"/>
  <c r="P1038" i="10"/>
  <c r="Q1038" i="10" s="1"/>
  <c r="P1039" i="10"/>
  <c r="Q1039" i="10"/>
  <c r="P1040" i="10"/>
  <c r="Q1040" i="10"/>
  <c r="R1040" i="10" s="1"/>
  <c r="P1041" i="10"/>
  <c r="P1042" i="10"/>
  <c r="Q1042" i="10" s="1"/>
  <c r="P1043" i="10"/>
  <c r="Q1043" i="10" s="1"/>
  <c r="P219" i="7"/>
  <c r="Q219" i="7" s="1"/>
  <c r="R25" i="7"/>
  <c r="P220" i="7"/>
  <c r="Q220" i="7" s="1"/>
  <c r="R220" i="7" s="1"/>
  <c r="P221" i="7"/>
  <c r="Q221" i="7" s="1"/>
  <c r="P222" i="7"/>
  <c r="Q222" i="7" s="1"/>
  <c r="P223" i="7"/>
  <c r="Q223" i="7"/>
  <c r="P224" i="7"/>
  <c r="Q224" i="7" s="1"/>
  <c r="R224" i="7" s="1"/>
  <c r="P225" i="7"/>
  <c r="Q225" i="7" s="1"/>
  <c r="R225" i="7" s="1"/>
  <c r="P226" i="7"/>
  <c r="Q226" i="7" s="1"/>
  <c r="P227" i="7"/>
  <c r="Q227" i="7"/>
  <c r="P228" i="7"/>
  <c r="Q228" i="7" s="1"/>
  <c r="R228" i="7" s="1"/>
  <c r="P229" i="7"/>
  <c r="Q229" i="7" s="1"/>
  <c r="P230" i="7"/>
  <c r="Q230" i="7" s="1"/>
  <c r="P231" i="7"/>
  <c r="Q231" i="7" s="1"/>
  <c r="P232" i="7"/>
  <c r="Q232" i="7" s="1"/>
  <c r="R232" i="7" s="1"/>
  <c r="P233" i="7"/>
  <c r="Q233" i="7" s="1"/>
  <c r="R233" i="7" s="1"/>
  <c r="P234" i="7"/>
  <c r="Q234" i="7" s="1"/>
  <c r="P235" i="7"/>
  <c r="Q235" i="7" s="1"/>
  <c r="P236" i="7"/>
  <c r="Q236" i="7" s="1"/>
  <c r="P237" i="7"/>
  <c r="Q237" i="7" s="1"/>
  <c r="P238" i="7"/>
  <c r="Q238" i="7" s="1"/>
  <c r="R238" i="7" s="1"/>
  <c r="P239" i="7"/>
  <c r="Q239" i="7" s="1"/>
  <c r="R239" i="7" s="1"/>
  <c r="P240" i="7"/>
  <c r="Q240" i="7" s="1"/>
  <c r="P241" i="7"/>
  <c r="Q241" i="7"/>
  <c r="R241" i="7" s="1"/>
  <c r="P242" i="7"/>
  <c r="Q242" i="7" s="1"/>
  <c r="P243" i="7"/>
  <c r="Q243" i="7" s="1"/>
  <c r="P244" i="7"/>
  <c r="Q244" i="7" s="1"/>
  <c r="R244" i="7" s="1"/>
  <c r="P245" i="7"/>
  <c r="Q245" i="7" s="1"/>
  <c r="P246" i="7"/>
  <c r="Q246" i="7" s="1"/>
  <c r="R246" i="7" s="1"/>
  <c r="P247" i="7"/>
  <c r="Q247" i="7" s="1"/>
  <c r="P248" i="7"/>
  <c r="Q248" i="7"/>
  <c r="R248" i="7" s="1"/>
  <c r="P250" i="7"/>
  <c r="Q250" i="7" s="1"/>
  <c r="R250" i="7" s="1"/>
  <c r="P251" i="7"/>
  <c r="Q251" i="7" s="1"/>
  <c r="R251" i="7" s="1"/>
  <c r="P252" i="7"/>
  <c r="Q252" i="7"/>
  <c r="R252" i="7" s="1"/>
  <c r="P253" i="7"/>
  <c r="Q253" i="7" s="1"/>
  <c r="P254" i="7"/>
  <c r="Q254" i="7" s="1"/>
  <c r="R254" i="7" s="1"/>
  <c r="P255" i="7"/>
  <c r="Q255" i="7" s="1"/>
  <c r="R255" i="7" s="1"/>
  <c r="P256" i="7"/>
  <c r="Q256" i="7" s="1"/>
  <c r="P257" i="7"/>
  <c r="Q257" i="7" s="1"/>
  <c r="R257" i="7" s="1"/>
  <c r="P258" i="7"/>
  <c r="Q258" i="7" s="1"/>
  <c r="R258" i="7" s="1"/>
  <c r="P259" i="7"/>
  <c r="Q259" i="7" s="1"/>
  <c r="R259" i="7" s="1"/>
  <c r="P260" i="7"/>
  <c r="Q260" i="7" s="1"/>
  <c r="P261" i="7"/>
  <c r="Q261" i="7" s="1"/>
  <c r="P262" i="7"/>
  <c r="Q262" i="7" s="1"/>
  <c r="R262" i="7" s="1"/>
  <c r="P263" i="7"/>
  <c r="Q263" i="7" s="1"/>
  <c r="P264" i="7"/>
  <c r="Q264" i="7" s="1"/>
  <c r="P265" i="7"/>
  <c r="Q265" i="7" s="1"/>
  <c r="R265" i="7" s="1"/>
  <c r="P266" i="7"/>
  <c r="Q266" i="7"/>
  <c r="R266" i="7" s="1"/>
  <c r="P267" i="7"/>
  <c r="Q267" i="7" s="1"/>
  <c r="R267" i="7" s="1"/>
  <c r="P268" i="7"/>
  <c r="Q268" i="7" s="1"/>
  <c r="P269" i="7"/>
  <c r="Q269" i="7" s="1"/>
  <c r="P270" i="7"/>
  <c r="Q270" i="7" s="1"/>
  <c r="R270" i="7" s="1"/>
  <c r="P271" i="7"/>
  <c r="Q271" i="7" s="1"/>
  <c r="R271" i="7" s="1"/>
  <c r="P272" i="7"/>
  <c r="Q272" i="7"/>
  <c r="P273" i="7"/>
  <c r="Q273" i="7"/>
  <c r="R273" i="7" s="1"/>
  <c r="P274" i="7"/>
  <c r="Q274" i="7" s="1"/>
  <c r="R274" i="7" s="1"/>
  <c r="P275" i="7"/>
  <c r="Q275" i="7" s="1"/>
  <c r="P276" i="7"/>
  <c r="Q276" i="7" s="1"/>
  <c r="P277" i="7"/>
  <c r="Q277" i="7"/>
  <c r="R277" i="7" s="1"/>
  <c r="P278" i="7"/>
  <c r="Q278" i="7" s="1"/>
  <c r="R278" i="7" s="1"/>
  <c r="P279" i="7"/>
  <c r="Q279" i="7" s="1"/>
  <c r="P280" i="7"/>
  <c r="Q280" i="7" s="1"/>
  <c r="R280" i="7" s="1"/>
  <c r="P281" i="7"/>
  <c r="Q281" i="7" s="1"/>
  <c r="P282" i="7"/>
  <c r="Q282" i="7" s="1"/>
  <c r="P283" i="7"/>
  <c r="Q283" i="7" s="1"/>
  <c r="R283" i="7" s="1"/>
  <c r="P284" i="7"/>
  <c r="Q284" i="7"/>
  <c r="R284" i="7" s="1"/>
  <c r="P285" i="7"/>
  <c r="Q285" i="7" s="1"/>
  <c r="R285" i="7" s="1"/>
  <c r="P286" i="7"/>
  <c r="Q286" i="7" s="1"/>
  <c r="P287" i="7"/>
  <c r="P288" i="7"/>
  <c r="Q288" i="7"/>
  <c r="R288" i="7" s="1"/>
  <c r="P289" i="7"/>
  <c r="Q289" i="7"/>
  <c r="P209" i="7"/>
  <c r="Q209" i="7" s="1"/>
  <c r="P210" i="7"/>
  <c r="Q210" i="7" s="1"/>
  <c r="P211" i="7"/>
  <c r="Q211" i="7" s="1"/>
  <c r="P212" i="7"/>
  <c r="Q212" i="7" s="1"/>
  <c r="P213" i="7"/>
  <c r="P214" i="7"/>
  <c r="Q214" i="7" s="1"/>
  <c r="R214" i="7" s="1"/>
  <c r="P215" i="7"/>
  <c r="Q215" i="7" s="1"/>
  <c r="R215" i="7" s="1"/>
  <c r="P216" i="7"/>
  <c r="Q216" i="7" s="1"/>
  <c r="P217" i="7"/>
  <c r="Q217" i="7" s="1"/>
  <c r="R217" i="7" s="1"/>
  <c r="P218" i="7"/>
  <c r="Q218" i="7" s="1"/>
  <c r="R218" i="7" s="1"/>
  <c r="R29" i="7"/>
  <c r="R98" i="9"/>
  <c r="R13" i="9"/>
  <c r="R99" i="9"/>
  <c r="R100" i="9"/>
  <c r="R101" i="9"/>
  <c r="R102" i="9"/>
  <c r="R103" i="9"/>
  <c r="R104" i="9"/>
  <c r="R14" i="9"/>
  <c r="R105" i="9"/>
  <c r="R15" i="9"/>
  <c r="R106" i="9"/>
  <c r="R107" i="9"/>
  <c r="R16" i="9"/>
  <c r="R108" i="9"/>
  <c r="R109" i="9"/>
  <c r="R110" i="9"/>
  <c r="R111" i="9"/>
  <c r="R17" i="9"/>
  <c r="R112" i="9"/>
  <c r="R18" i="9"/>
  <c r="R113" i="9"/>
  <c r="R114" i="9"/>
  <c r="R19" i="9"/>
  <c r="R115" i="9"/>
  <c r="R116" i="9"/>
  <c r="R117" i="9"/>
  <c r="R20" i="9"/>
  <c r="R118" i="9"/>
  <c r="R119" i="9"/>
  <c r="R120" i="9"/>
  <c r="R121" i="9"/>
  <c r="R122" i="9"/>
  <c r="R123" i="9"/>
  <c r="R124" i="9"/>
  <c r="R125" i="9"/>
  <c r="R126" i="9"/>
  <c r="R127" i="9"/>
  <c r="R128" i="9"/>
  <c r="R129" i="9"/>
  <c r="R130" i="9"/>
  <c r="R131" i="9"/>
  <c r="R132" i="9"/>
  <c r="R133" i="9"/>
  <c r="R134" i="9"/>
  <c r="R135" i="9"/>
  <c r="R136" i="9"/>
  <c r="R137" i="9"/>
  <c r="R138" i="9"/>
  <c r="R21" i="9"/>
  <c r="R139" i="9"/>
  <c r="R140" i="9"/>
  <c r="R141" i="9"/>
  <c r="R142" i="9"/>
  <c r="R143" i="9"/>
  <c r="R144" i="9"/>
  <c r="R145" i="9"/>
  <c r="R146" i="9"/>
  <c r="R147" i="9"/>
  <c r="R148" i="9"/>
  <c r="R149" i="9"/>
  <c r="R150" i="9"/>
  <c r="R22" i="9"/>
  <c r="R151" i="9"/>
  <c r="R152" i="9"/>
  <c r="R153" i="9"/>
  <c r="R154" i="9"/>
  <c r="R155" i="9"/>
  <c r="R156" i="9"/>
  <c r="R157" i="9"/>
  <c r="R158" i="9"/>
  <c r="R159" i="9"/>
  <c r="R160" i="9"/>
  <c r="R161" i="9"/>
  <c r="R162" i="9"/>
  <c r="R163" i="9"/>
  <c r="R164" i="9"/>
  <c r="R165" i="9"/>
  <c r="R166" i="9"/>
  <c r="R167" i="9"/>
  <c r="R168" i="9"/>
  <c r="R169" i="9"/>
  <c r="R170" i="9"/>
  <c r="R171" i="9"/>
  <c r="R172" i="9"/>
  <c r="R173" i="9"/>
  <c r="R174" i="9"/>
  <c r="R175" i="9"/>
  <c r="R176" i="9"/>
  <c r="R177" i="9"/>
  <c r="R178" i="9"/>
  <c r="R179" i="9"/>
  <c r="R180" i="9"/>
  <c r="R181" i="9"/>
  <c r="R182" i="9"/>
  <c r="R183" i="9"/>
  <c r="R184" i="9"/>
  <c r="R185" i="9"/>
  <c r="R186" i="9"/>
  <c r="R187" i="9"/>
  <c r="R188" i="9"/>
  <c r="R189" i="9"/>
  <c r="R190" i="9"/>
  <c r="R191" i="9"/>
  <c r="R192" i="9"/>
  <c r="R193" i="9"/>
  <c r="R23" i="9"/>
  <c r="R194" i="9"/>
  <c r="R195" i="9"/>
  <c r="R196" i="9"/>
  <c r="R197" i="9"/>
  <c r="R198" i="9"/>
  <c r="R199" i="9"/>
  <c r="R200" i="9"/>
  <c r="R201" i="9"/>
  <c r="R202" i="9"/>
  <c r="R203" i="9"/>
  <c r="R204" i="9"/>
  <c r="R205" i="9"/>
  <c r="R206" i="9"/>
  <c r="R207" i="9"/>
  <c r="R208" i="9"/>
  <c r="R209" i="9"/>
  <c r="R210" i="9"/>
  <c r="R211" i="9"/>
  <c r="R212" i="9"/>
  <c r="R213" i="9"/>
  <c r="R214" i="9"/>
  <c r="R215" i="9"/>
  <c r="R216" i="9"/>
  <c r="R24" i="9"/>
  <c r="R217" i="9"/>
  <c r="R218" i="9"/>
  <c r="R219" i="9"/>
  <c r="R220" i="9"/>
  <c r="R221" i="9"/>
  <c r="R222" i="9"/>
  <c r="R223" i="9"/>
  <c r="R224" i="9"/>
  <c r="R225" i="9"/>
  <c r="R226" i="9"/>
  <c r="R227" i="9"/>
  <c r="R228" i="9"/>
  <c r="R229" i="9"/>
  <c r="R230" i="9"/>
  <c r="R231" i="9"/>
  <c r="R232" i="9"/>
  <c r="R233" i="9"/>
  <c r="R234" i="9"/>
  <c r="R235" i="9"/>
  <c r="R236" i="9"/>
  <c r="R237" i="9"/>
  <c r="R238" i="9"/>
  <c r="R239" i="9"/>
  <c r="R240" i="9"/>
  <c r="R241" i="9"/>
  <c r="R242" i="9"/>
  <c r="R243" i="9"/>
  <c r="R244" i="9"/>
  <c r="R245" i="9"/>
  <c r="R246" i="9"/>
  <c r="R247" i="9"/>
  <c r="R248" i="9"/>
  <c r="R249" i="9"/>
  <c r="R250" i="9"/>
  <c r="R251" i="9"/>
  <c r="R252" i="9"/>
  <c r="R253" i="9"/>
  <c r="R254" i="9"/>
  <c r="R255" i="9"/>
  <c r="R256" i="9"/>
  <c r="R257" i="9"/>
  <c r="R258" i="9"/>
  <c r="R259" i="9"/>
  <c r="R260" i="9"/>
  <c r="R261" i="9"/>
  <c r="R262" i="9"/>
  <c r="R263" i="9"/>
  <c r="R264" i="9"/>
  <c r="R265" i="9"/>
  <c r="R266" i="9"/>
  <c r="R267" i="9"/>
  <c r="R268" i="9"/>
  <c r="R269" i="9"/>
  <c r="R270" i="9"/>
  <c r="R271" i="9"/>
  <c r="R272" i="9"/>
  <c r="R273" i="9"/>
  <c r="R274" i="9"/>
  <c r="R275" i="9"/>
  <c r="R276" i="9"/>
  <c r="R277" i="9"/>
  <c r="R278" i="9"/>
  <c r="R279" i="9"/>
  <c r="R280" i="9"/>
  <c r="R281" i="9"/>
  <c r="R282" i="9"/>
  <c r="R283" i="9"/>
  <c r="R284" i="9"/>
  <c r="R285" i="9"/>
  <c r="R286" i="9"/>
  <c r="R287" i="9"/>
  <c r="R288" i="9"/>
  <c r="R289" i="9"/>
  <c r="R290" i="9"/>
  <c r="R291" i="9"/>
  <c r="R292" i="9"/>
  <c r="R293" i="9"/>
  <c r="R294" i="9"/>
  <c r="R295" i="9"/>
  <c r="R296" i="9"/>
  <c r="R297" i="9"/>
  <c r="R298" i="9"/>
  <c r="R299" i="9"/>
  <c r="R300" i="9"/>
  <c r="R301" i="9"/>
  <c r="R302" i="9"/>
  <c r="R303" i="9"/>
  <c r="R304" i="9"/>
  <c r="R305" i="9"/>
  <c r="R306" i="9"/>
  <c r="R307" i="9"/>
  <c r="R308" i="9"/>
  <c r="R309" i="9"/>
  <c r="R310" i="9"/>
  <c r="R311" i="9"/>
  <c r="R312" i="9"/>
  <c r="R313" i="9"/>
  <c r="R314" i="9"/>
  <c r="R315" i="9"/>
  <c r="R316" i="9"/>
  <c r="R317" i="9"/>
  <c r="R318" i="9"/>
  <c r="R319" i="9"/>
  <c r="R320" i="9"/>
  <c r="R321" i="9"/>
  <c r="R322" i="9"/>
  <c r="R323" i="9"/>
  <c r="R324" i="9"/>
  <c r="R325" i="9"/>
  <c r="R326" i="9"/>
  <c r="R327" i="9"/>
  <c r="R328" i="9"/>
  <c r="R329" i="9"/>
  <c r="R330" i="9"/>
  <c r="R331" i="9"/>
  <c r="R332" i="9"/>
  <c r="R333" i="9"/>
  <c r="R334" i="9"/>
  <c r="R335" i="9"/>
  <c r="R336" i="9"/>
  <c r="R337" i="9"/>
  <c r="R338" i="9"/>
  <c r="R339" i="9"/>
  <c r="R340" i="9"/>
  <c r="R341" i="9"/>
  <c r="R342" i="9"/>
  <c r="R343" i="9"/>
  <c r="R344" i="9"/>
  <c r="R345" i="9"/>
  <c r="R346" i="9"/>
  <c r="R347" i="9"/>
  <c r="R348" i="9"/>
  <c r="R349" i="9"/>
  <c r="R350" i="9"/>
  <c r="R351" i="9"/>
  <c r="R352" i="9"/>
  <c r="R353" i="9"/>
  <c r="R354" i="9"/>
  <c r="R355" i="9"/>
  <c r="R356" i="9"/>
  <c r="R357" i="9"/>
  <c r="R358" i="9"/>
  <c r="R359" i="9"/>
  <c r="R360" i="9"/>
  <c r="R361" i="9"/>
  <c r="R362" i="9"/>
  <c r="R363" i="9"/>
  <c r="R364" i="9"/>
  <c r="R365" i="9"/>
  <c r="R366" i="9"/>
  <c r="R367" i="9"/>
  <c r="R368" i="9"/>
  <c r="R369" i="9"/>
  <c r="R370" i="9"/>
  <c r="R371" i="9"/>
  <c r="R372" i="9"/>
  <c r="R373" i="9"/>
  <c r="R374" i="9"/>
  <c r="R375" i="9"/>
  <c r="R376" i="9"/>
  <c r="R377" i="9"/>
  <c r="R378" i="9"/>
  <c r="R379" i="9"/>
  <c r="R380" i="9"/>
  <c r="R381" i="9"/>
  <c r="R382" i="9"/>
  <c r="R383" i="9"/>
  <c r="R384" i="9"/>
  <c r="R385" i="9"/>
  <c r="R386" i="9"/>
  <c r="R387" i="9"/>
  <c r="R388" i="9"/>
  <c r="R389" i="9"/>
  <c r="R390" i="9"/>
  <c r="R391" i="9"/>
  <c r="R392" i="9"/>
  <c r="R393" i="9"/>
  <c r="R394" i="9"/>
  <c r="R395" i="9"/>
  <c r="R396" i="9"/>
  <c r="R397" i="9"/>
  <c r="R398" i="9"/>
  <c r="R399" i="9"/>
  <c r="R400" i="9"/>
  <c r="R401" i="9"/>
  <c r="R402" i="9"/>
  <c r="R403" i="9"/>
  <c r="R404" i="9"/>
  <c r="R405" i="9"/>
  <c r="R406" i="9"/>
  <c r="R407" i="9"/>
  <c r="R408" i="9"/>
  <c r="R409" i="9"/>
  <c r="R410" i="9"/>
  <c r="R411" i="9"/>
  <c r="R412" i="9"/>
  <c r="R413" i="9"/>
  <c r="R414" i="9"/>
  <c r="R415" i="9"/>
  <c r="R416" i="9"/>
  <c r="R417" i="9"/>
  <c r="R418" i="9"/>
  <c r="R419" i="9"/>
  <c r="R420" i="9"/>
  <c r="R421" i="9"/>
  <c r="R422" i="9"/>
  <c r="R423" i="9"/>
  <c r="R424" i="9"/>
  <c r="R425" i="9"/>
  <c r="R426" i="9"/>
  <c r="R427" i="9"/>
  <c r="R428" i="9"/>
  <c r="R429" i="9"/>
  <c r="R430" i="9"/>
  <c r="R431" i="9"/>
  <c r="R432" i="9"/>
  <c r="R433" i="9"/>
  <c r="R434" i="9"/>
  <c r="R435" i="9"/>
  <c r="R436" i="9"/>
  <c r="R437" i="9"/>
  <c r="R438" i="9"/>
  <c r="R439" i="9"/>
  <c r="R440" i="9"/>
  <c r="R441" i="9"/>
  <c r="R442" i="9"/>
  <c r="R443" i="9"/>
  <c r="R444" i="9"/>
  <c r="R445" i="9"/>
  <c r="R446" i="9"/>
  <c r="R447" i="9"/>
  <c r="R448" i="9"/>
  <c r="R449" i="9"/>
  <c r="R450" i="9"/>
  <c r="R451" i="9"/>
  <c r="R452" i="9"/>
  <c r="R453" i="9"/>
  <c r="R454" i="9"/>
  <c r="R455" i="9"/>
  <c r="R456" i="9"/>
  <c r="R457" i="9"/>
  <c r="R458" i="9"/>
  <c r="R459" i="9"/>
  <c r="R460" i="9"/>
  <c r="R461" i="9"/>
  <c r="R462" i="9"/>
  <c r="R463" i="9"/>
  <c r="R464" i="9"/>
  <c r="R465" i="9"/>
  <c r="R466" i="9"/>
  <c r="R467" i="9"/>
  <c r="R468" i="9"/>
  <c r="R469" i="9"/>
  <c r="R470" i="9"/>
  <c r="R471" i="9"/>
  <c r="R472" i="9"/>
  <c r="R473" i="9"/>
  <c r="R474" i="9"/>
  <c r="R475" i="9"/>
  <c r="R476" i="9"/>
  <c r="R477" i="9"/>
  <c r="R478" i="9"/>
  <c r="R479" i="9"/>
  <c r="R480" i="9"/>
  <c r="R481" i="9"/>
  <c r="R482" i="9"/>
  <c r="R483" i="9"/>
  <c r="R484" i="9"/>
  <c r="R485" i="9"/>
  <c r="R486" i="9"/>
  <c r="R487" i="9"/>
  <c r="R488" i="9"/>
  <c r="R489" i="9"/>
  <c r="R490" i="9"/>
  <c r="R491" i="9"/>
  <c r="R492" i="9"/>
  <c r="R493" i="9"/>
  <c r="R494" i="9"/>
  <c r="R495" i="9"/>
  <c r="R496" i="9"/>
  <c r="R497" i="9"/>
  <c r="R498" i="9"/>
  <c r="R499" i="9"/>
  <c r="R500" i="9"/>
  <c r="R501" i="9"/>
  <c r="R502" i="9"/>
  <c r="R503" i="9"/>
  <c r="R504" i="9"/>
  <c r="R505" i="9"/>
  <c r="R506" i="9"/>
  <c r="R25" i="9"/>
  <c r="R507" i="9"/>
  <c r="R508" i="9"/>
  <c r="R509" i="9"/>
  <c r="R510" i="9"/>
  <c r="R511" i="9"/>
  <c r="R512" i="9"/>
  <c r="R513" i="9"/>
  <c r="R514" i="9"/>
  <c r="R515" i="9"/>
  <c r="R516" i="9"/>
  <c r="R517" i="9"/>
  <c r="R518" i="9"/>
  <c r="R519" i="9"/>
  <c r="R520" i="9"/>
  <c r="R521" i="9"/>
  <c r="R522" i="9"/>
  <c r="R523" i="9"/>
  <c r="R524" i="9"/>
  <c r="R525" i="9"/>
  <c r="R526" i="9"/>
  <c r="R527" i="9"/>
  <c r="R528" i="9"/>
  <c r="R529" i="9"/>
  <c r="R530" i="9"/>
  <c r="R531" i="9"/>
  <c r="R532" i="9"/>
  <c r="R533" i="9"/>
  <c r="R534" i="9"/>
  <c r="R535" i="9"/>
  <c r="R536" i="9"/>
  <c r="R537" i="9"/>
  <c r="R538" i="9"/>
  <c r="R539" i="9"/>
  <c r="R540" i="9"/>
  <c r="R541" i="9"/>
  <c r="R542" i="9"/>
  <c r="R543" i="9"/>
  <c r="R544" i="9"/>
  <c r="R545" i="9"/>
  <c r="R546" i="9"/>
  <c r="R547" i="9"/>
  <c r="R548" i="9"/>
  <c r="R549" i="9"/>
  <c r="R550" i="9"/>
  <c r="R551" i="9"/>
  <c r="R552" i="9"/>
  <c r="R553" i="9"/>
  <c r="R554" i="9"/>
  <c r="R555" i="9"/>
  <c r="R556" i="9"/>
  <c r="R557" i="9"/>
  <c r="R558" i="9"/>
  <c r="R559" i="9"/>
  <c r="R560" i="9"/>
  <c r="R561" i="9"/>
  <c r="R562" i="9"/>
  <c r="R563" i="9"/>
  <c r="R564" i="9"/>
  <c r="R565" i="9"/>
  <c r="R566" i="9"/>
  <c r="R567" i="9"/>
  <c r="R568" i="9"/>
  <c r="R569" i="9"/>
  <c r="R570" i="9"/>
  <c r="R571" i="9"/>
  <c r="R572" i="9"/>
  <c r="R573" i="9"/>
  <c r="R574" i="9"/>
  <c r="R575" i="9"/>
  <c r="R576" i="9"/>
  <c r="R577" i="9"/>
  <c r="R578" i="9"/>
  <c r="R579" i="9"/>
  <c r="R580" i="9"/>
  <c r="R581" i="9"/>
  <c r="R582" i="9"/>
  <c r="R583" i="9"/>
  <c r="R584" i="9"/>
  <c r="R585" i="9"/>
  <c r="R586" i="9"/>
  <c r="R587" i="9"/>
  <c r="R588" i="9"/>
  <c r="R589" i="9"/>
  <c r="R84" i="9"/>
  <c r="R8" i="9"/>
  <c r="R85" i="9"/>
  <c r="R9" i="9"/>
  <c r="R10" i="9"/>
  <c r="R86" i="9"/>
  <c r="R11" i="9"/>
  <c r="R87" i="9"/>
  <c r="R88" i="9"/>
  <c r="R12" i="9"/>
  <c r="R89" i="9"/>
  <c r="R90" i="9"/>
  <c r="R91" i="9"/>
  <c r="R92" i="9"/>
  <c r="R93" i="9"/>
  <c r="R94" i="9"/>
  <c r="R95" i="9"/>
  <c r="R96" i="9"/>
  <c r="R9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2" i="9"/>
  <c r="R3" i="9"/>
  <c r="R60" i="9"/>
  <c r="R61" i="9"/>
  <c r="R62" i="9"/>
  <c r="R63" i="9"/>
  <c r="R64" i="9"/>
  <c r="R65" i="9"/>
  <c r="R66" i="9"/>
  <c r="R67" i="9"/>
  <c r="R68" i="9"/>
  <c r="R4" i="9"/>
  <c r="R69" i="9"/>
  <c r="R70" i="9"/>
  <c r="R71" i="9"/>
  <c r="R72" i="9"/>
  <c r="R5" i="9"/>
  <c r="R73" i="9"/>
  <c r="R74" i="9"/>
  <c r="R75" i="9"/>
  <c r="R6" i="9"/>
  <c r="R76" i="9"/>
  <c r="R7" i="9"/>
  <c r="R77" i="9"/>
  <c r="R78" i="9"/>
  <c r="R79" i="9"/>
  <c r="R80" i="9"/>
  <c r="R81" i="9"/>
  <c r="R82" i="9"/>
  <c r="R83" i="9"/>
  <c r="P19" i="7"/>
  <c r="P32" i="13"/>
  <c r="Q32" i="13" s="1"/>
  <c r="S32" i="13" s="1"/>
  <c r="P49" i="13"/>
  <c r="Q49" i="13" s="1"/>
  <c r="P50" i="13"/>
  <c r="Q50" i="13" s="1"/>
  <c r="P116" i="13"/>
  <c r="Q116" i="13"/>
  <c r="P18" i="6"/>
  <c r="P48" i="13"/>
  <c r="Q48" i="13" s="1"/>
  <c r="P47" i="13"/>
  <c r="Q47" i="13" s="1"/>
  <c r="S47" i="13" s="1"/>
  <c r="E15" i="6"/>
  <c r="S95" i="13"/>
  <c r="S96" i="13"/>
  <c r="S97" i="13"/>
  <c r="S98" i="13"/>
  <c r="P57" i="13"/>
  <c r="Q57" i="13" s="1"/>
  <c r="P58" i="13"/>
  <c r="Q58" i="13" s="1"/>
  <c r="P59" i="13"/>
  <c r="Q59" i="13"/>
  <c r="S59" i="13" s="1"/>
  <c r="P60" i="13"/>
  <c r="Q60" i="13"/>
  <c r="P61" i="13"/>
  <c r="Q61" i="13" s="1"/>
  <c r="S61" i="13" s="1"/>
  <c r="P62" i="13"/>
  <c r="P63" i="13"/>
  <c r="Q63" i="13" s="1"/>
  <c r="P64" i="13"/>
  <c r="Q64" i="13" s="1"/>
  <c r="P65" i="13"/>
  <c r="Q65" i="13"/>
  <c r="P66" i="13"/>
  <c r="Q66" i="13" s="1"/>
  <c r="P67" i="13"/>
  <c r="Q67" i="13" s="1"/>
  <c r="P68" i="13"/>
  <c r="Q68" i="13"/>
  <c r="S68" i="13" s="1"/>
  <c r="P69" i="13"/>
  <c r="Q69" i="13" s="1"/>
  <c r="S69" i="13" s="1"/>
  <c r="P70" i="13"/>
  <c r="Q70" i="13"/>
  <c r="P71" i="13"/>
  <c r="P72" i="13"/>
  <c r="Q72" i="13"/>
  <c r="P73" i="13"/>
  <c r="Q73" i="13"/>
  <c r="P74" i="13"/>
  <c r="Q74" i="13" s="1"/>
  <c r="P75" i="13"/>
  <c r="P11" i="13"/>
  <c r="Q11" i="13" s="1"/>
  <c r="S11" i="13" s="1"/>
  <c r="P76" i="13"/>
  <c r="Q76" i="13"/>
  <c r="S76" i="13" s="1"/>
  <c r="P77" i="13"/>
  <c r="P78" i="13"/>
  <c r="Q78" i="13" s="1"/>
  <c r="P79" i="13"/>
  <c r="Q79" i="13" s="1"/>
  <c r="P80" i="13"/>
  <c r="Q80" i="13" s="1"/>
  <c r="P81" i="13"/>
  <c r="Q81" i="13" s="1"/>
  <c r="P82" i="13"/>
  <c r="Q82" i="13" s="1"/>
  <c r="P83" i="13"/>
  <c r="Q83" i="13"/>
  <c r="P84" i="13"/>
  <c r="Q84" i="13" s="1"/>
  <c r="S84" i="13" s="1"/>
  <c r="P85" i="13"/>
  <c r="Q85" i="13" s="1"/>
  <c r="P86" i="13"/>
  <c r="Q86" i="13" s="1"/>
  <c r="P87" i="13"/>
  <c r="Q87" i="13" s="1"/>
  <c r="P88" i="13"/>
  <c r="Q88" i="13"/>
  <c r="P89" i="13"/>
  <c r="Q89" i="13"/>
  <c r="P12" i="13"/>
  <c r="Q12" i="13" s="1"/>
  <c r="P90" i="13"/>
  <c r="Q90" i="13" s="1"/>
  <c r="P91" i="13"/>
  <c r="Q91" i="13" s="1"/>
  <c r="S91" i="13" s="1"/>
  <c r="P92" i="13"/>
  <c r="Q92" i="13"/>
  <c r="P93" i="13"/>
  <c r="Q93" i="13" s="1"/>
  <c r="P13" i="13"/>
  <c r="P94" i="13"/>
  <c r="R892" i="10" l="1"/>
  <c r="R781" i="10"/>
  <c r="R824" i="10"/>
  <c r="S116" i="13"/>
  <c r="Q819" i="10"/>
  <c r="R819" i="10" s="1"/>
  <c r="Q776" i="10"/>
  <c r="R776" i="10" s="1"/>
  <c r="R748" i="10"/>
  <c r="R924" i="10"/>
  <c r="Q537" i="11"/>
  <c r="R537" i="11" s="1"/>
  <c r="P43" i="7"/>
  <c r="R677" i="10"/>
  <c r="R980" i="10"/>
  <c r="R739" i="10"/>
  <c r="R1029" i="10"/>
  <c r="Q999" i="10"/>
  <c r="R999" i="10" s="1"/>
  <c r="R930" i="10"/>
  <c r="Q900" i="10"/>
  <c r="R900" i="10" s="1"/>
  <c r="R808" i="10"/>
  <c r="Q661" i="10"/>
  <c r="R661" i="10" s="1"/>
  <c r="R705" i="10"/>
  <c r="R913" i="10"/>
  <c r="R886" i="10"/>
  <c r="R720" i="10"/>
  <c r="R709" i="10"/>
  <c r="R942" i="10"/>
  <c r="R988" i="10"/>
  <c r="R949" i="10"/>
  <c r="R797" i="10"/>
  <c r="R736" i="10"/>
  <c r="R915" i="10"/>
  <c r="Q1021" i="10"/>
  <c r="R1021" i="10" s="1"/>
  <c r="R969" i="10"/>
  <c r="R938" i="10"/>
  <c r="R861" i="10"/>
  <c r="R749" i="10"/>
  <c r="Q696" i="10"/>
  <c r="R696" i="10" s="1"/>
  <c r="R691" i="10"/>
  <c r="R854" i="10"/>
  <c r="R1039" i="10"/>
  <c r="R868" i="10"/>
  <c r="R1000" i="10"/>
  <c r="R1043" i="10"/>
  <c r="R961" i="10"/>
  <c r="R947" i="10"/>
  <c r="R912" i="10"/>
  <c r="R907" i="10"/>
  <c r="R836" i="10"/>
  <c r="R800" i="10"/>
  <c r="R782" i="10"/>
  <c r="R773" i="10"/>
  <c r="R680" i="10"/>
  <c r="R744" i="10"/>
  <c r="R760" i="10"/>
  <c r="R992" i="10"/>
  <c r="R889" i="10"/>
  <c r="R805" i="10"/>
  <c r="R261" i="7"/>
  <c r="S83" i="13"/>
  <c r="S87" i="13"/>
  <c r="S79" i="13"/>
  <c r="S63" i="13"/>
  <c r="S67" i="13"/>
  <c r="S60" i="13"/>
  <c r="Q75" i="13"/>
  <c r="S75" i="13" s="1"/>
  <c r="Q71" i="13"/>
  <c r="S71" i="13" s="1"/>
  <c r="S72" i="13"/>
  <c r="S90" i="13"/>
  <c r="S65" i="13"/>
  <c r="S49" i="13"/>
  <c r="S80" i="13"/>
  <c r="S81" i="13"/>
  <c r="S73" i="13"/>
  <c r="S48" i="13"/>
  <c r="S85" i="13"/>
  <c r="S64" i="13"/>
  <c r="S92" i="13"/>
  <c r="S88" i="13"/>
  <c r="S89" i="13"/>
  <c r="Q94" i="13"/>
  <c r="S94" i="13" s="1"/>
  <c r="Q77" i="13"/>
  <c r="S77" i="13" s="1"/>
  <c r="S74" i="13"/>
  <c r="S70" i="13"/>
  <c r="S66" i="13"/>
  <c r="R550" i="11"/>
  <c r="R541" i="11"/>
  <c r="R542" i="11"/>
  <c r="R540" i="11"/>
  <c r="R545" i="11"/>
  <c r="R219" i="7"/>
  <c r="R245" i="7"/>
  <c r="R229" i="7"/>
  <c r="R235" i="7"/>
  <c r="R226" i="7"/>
  <c r="R287" i="7"/>
  <c r="R221" i="7"/>
  <c r="R223" i="7"/>
  <c r="Q287" i="7"/>
  <c r="R717" i="10"/>
  <c r="R769" i="10"/>
  <c r="R853" i="10"/>
  <c r="R1026" i="10"/>
  <c r="R664" i="10"/>
  <c r="R669" i="10"/>
  <c r="R1024" i="10"/>
  <c r="R979" i="10"/>
  <c r="R973" i="10"/>
  <c r="R964" i="10"/>
  <c r="R897" i="10"/>
  <c r="R893" i="10"/>
  <c r="R864" i="10"/>
  <c r="R741" i="10"/>
  <c r="R657" i="10"/>
  <c r="R997" i="10"/>
  <c r="R939" i="10"/>
  <c r="Q956" i="10"/>
  <c r="R956" i="10" s="1"/>
  <c r="R948" i="10"/>
  <c r="Q821" i="10"/>
  <c r="R821" i="10" s="1"/>
  <c r="Q765" i="10"/>
  <c r="R765" i="10" s="1"/>
  <c r="Q712" i="10"/>
  <c r="R712" i="10" s="1"/>
  <c r="R699" i="10"/>
  <c r="R536" i="11"/>
  <c r="R548" i="11"/>
  <c r="Q553" i="11"/>
  <c r="R553" i="11" s="1"/>
  <c r="R39" i="11"/>
  <c r="R212" i="7"/>
  <c r="R21" i="7"/>
  <c r="Q43" i="7"/>
  <c r="R43" i="7" s="1"/>
  <c r="Q42" i="7"/>
  <c r="R42" i="7" s="1"/>
  <c r="R551" i="11"/>
  <c r="Q544" i="11"/>
  <c r="R544" i="11" s="1"/>
  <c r="Q552" i="11"/>
  <c r="R552" i="11" s="1"/>
  <c r="R546" i="11"/>
  <c r="R547" i="11"/>
  <c r="R539" i="11"/>
  <c r="R906" i="10"/>
  <c r="Q877" i="10"/>
  <c r="R877" i="10" s="1"/>
  <c r="R678" i="10"/>
  <c r="R659" i="10"/>
  <c r="R910" i="10"/>
  <c r="R921" i="10"/>
  <c r="R728" i="10"/>
  <c r="R833" i="10"/>
  <c r="R837" i="10"/>
  <c r="R867" i="10"/>
  <c r="R1019" i="10"/>
  <c r="R1010" i="10"/>
  <c r="R986" i="10"/>
  <c r="R936" i="10"/>
  <c r="R932" i="10"/>
  <c r="R918" i="10"/>
  <c r="R873" i="10"/>
  <c r="R870" i="10"/>
  <c r="R857" i="10"/>
  <c r="R849" i="10"/>
  <c r="R812" i="10"/>
  <c r="R793" i="10"/>
  <c r="R789" i="10"/>
  <c r="R757" i="10"/>
  <c r="R725" i="10"/>
  <c r="R733" i="10"/>
  <c r="R1023" i="10"/>
  <c r="R945" i="10"/>
  <c r="R922" i="10"/>
  <c r="R883" i="10"/>
  <c r="R704" i="10"/>
  <c r="Q675" i="10"/>
  <c r="R675" i="10" s="1"/>
  <c r="R894" i="10"/>
  <c r="R967" i="10"/>
  <c r="R700" i="10"/>
  <c r="R790" i="10"/>
  <c r="R869" i="10"/>
  <c r="R840" i="10"/>
  <c r="R1018" i="10"/>
  <c r="R978" i="10"/>
  <c r="R880" i="10"/>
  <c r="R715" i="10"/>
  <c r="R994" i="10"/>
  <c r="R829" i="10"/>
  <c r="R1016" i="10"/>
  <c r="R1008" i="10"/>
  <c r="R1005" i="10"/>
  <c r="R983" i="10"/>
  <c r="R976" i="10"/>
  <c r="R972" i="10"/>
  <c r="R929" i="10"/>
  <c r="R926" i="10"/>
  <c r="R848" i="10"/>
  <c r="R830" i="10"/>
  <c r="R827" i="10"/>
  <c r="R788" i="10"/>
  <c r="R784" i="10"/>
  <c r="R745" i="10"/>
  <c r="R721" i="10"/>
  <c r="R701" i="10"/>
  <c r="R683" i="10"/>
  <c r="R667" i="10"/>
  <c r="R660" i="10"/>
  <c r="R656" i="10"/>
  <c r="R901" i="10"/>
  <c r="R944" i="10"/>
  <c r="R909" i="10"/>
  <c r="R950" i="10"/>
  <c r="R872" i="10"/>
  <c r="Q14" i="10"/>
  <c r="R14" i="10" s="1"/>
  <c r="Q888" i="10"/>
  <c r="R888" i="10" s="1"/>
  <c r="R852" i="10"/>
  <c r="Q813" i="10"/>
  <c r="R813" i="10" s="1"/>
  <c r="R809" i="10"/>
  <c r="Q766" i="10"/>
  <c r="R766" i="10" s="1"/>
  <c r="R688" i="10"/>
  <c r="R862" i="10"/>
  <c r="R1014" i="10"/>
  <c r="R990" i="10"/>
  <c r="R960" i="10"/>
  <c r="R1038" i="10"/>
  <c r="R865" i="10"/>
  <c r="R1006" i="10"/>
  <c r="R962" i="10"/>
  <c r="R1035" i="10"/>
  <c r="R1011" i="10"/>
  <c r="R991" i="10"/>
  <c r="R981" i="10"/>
  <c r="R975" i="10"/>
  <c r="R958" i="10"/>
  <c r="R941" i="10"/>
  <c r="R933" i="10"/>
  <c r="R916" i="10"/>
  <c r="R899" i="10"/>
  <c r="R885" i="10"/>
  <c r="R859" i="10"/>
  <c r="R845" i="10"/>
  <c r="R806" i="10"/>
  <c r="R803" i="10"/>
  <c r="R755" i="10"/>
  <c r="R693" i="10"/>
  <c r="R685" i="10"/>
  <c r="R681" i="10"/>
  <c r="R1030" i="10"/>
  <c r="R928" i="10"/>
  <c r="R931" i="10"/>
  <c r="R1042" i="10"/>
  <c r="R1022" i="10"/>
  <c r="R998" i="10"/>
  <c r="R954" i="10"/>
  <c r="Q1041" i="10"/>
  <c r="R1041" i="10" s="1"/>
  <c r="Q1033" i="10"/>
  <c r="R1033" i="10" s="1"/>
  <c r="Q1025" i="10"/>
  <c r="R1025" i="10" s="1"/>
  <c r="Q1017" i="10"/>
  <c r="R1017" i="10" s="1"/>
  <c r="Q1009" i="10"/>
  <c r="R1009" i="10" s="1"/>
  <c r="Q1001" i="10"/>
  <c r="R1001" i="10" s="1"/>
  <c r="Q993" i="10"/>
  <c r="R993" i="10" s="1"/>
  <c r="Q971" i="10"/>
  <c r="R971" i="10" s="1"/>
  <c r="Q968" i="10"/>
  <c r="R968" i="10" s="1"/>
  <c r="Q965" i="10"/>
  <c r="R965" i="10" s="1"/>
  <c r="Q940" i="10"/>
  <c r="R940" i="10" s="1"/>
  <c r="Q937" i="10"/>
  <c r="R937" i="10" s="1"/>
  <c r="Q934" i="10"/>
  <c r="R934" i="10" s="1"/>
  <c r="Q908" i="10"/>
  <c r="R908" i="10" s="1"/>
  <c r="Q905" i="10"/>
  <c r="R905" i="10" s="1"/>
  <c r="Q902" i="10"/>
  <c r="R902" i="10" s="1"/>
  <c r="Q890" i="10"/>
  <c r="R890" i="10" s="1"/>
  <c r="Q884" i="10"/>
  <c r="R884" i="10" s="1"/>
  <c r="Q875" i="10"/>
  <c r="R875" i="10" s="1"/>
  <c r="R844" i="10"/>
  <c r="Q841" i="10"/>
  <c r="R841" i="10" s="1"/>
  <c r="Q838" i="10"/>
  <c r="R838" i="10" s="1"/>
  <c r="R835" i="10"/>
  <c r="Q826" i="10"/>
  <c r="R826" i="10" s="1"/>
  <c r="Q820" i="10"/>
  <c r="R820" i="10" s="1"/>
  <c r="Q811" i="10"/>
  <c r="R811" i="10" s="1"/>
  <c r="R801" i="10"/>
  <c r="R798" i="10"/>
  <c r="R780" i="10"/>
  <c r="Q777" i="10"/>
  <c r="R777" i="10" s="1"/>
  <c r="Q774" i="10"/>
  <c r="R774" i="10" s="1"/>
  <c r="R771" i="10"/>
  <c r="Q762" i="10"/>
  <c r="R762" i="10" s="1"/>
  <c r="Q756" i="10"/>
  <c r="R756" i="10" s="1"/>
  <c r="R737" i="10"/>
  <c r="R734" i="10"/>
  <c r="R716" i="10"/>
  <c r="Q713" i="10"/>
  <c r="R713" i="10" s="1"/>
  <c r="Q710" i="10"/>
  <c r="R710" i="10" s="1"/>
  <c r="Q698" i="10"/>
  <c r="R698" i="10" s="1"/>
  <c r="Q692" i="10"/>
  <c r="R692" i="10" s="1"/>
  <c r="R673" i="10"/>
  <c r="Q850" i="10"/>
  <c r="R850" i="10" s="1"/>
  <c r="R847" i="10"/>
  <c r="Q786" i="10"/>
  <c r="R786" i="10" s="1"/>
  <c r="R783" i="10"/>
  <c r="Q722" i="10"/>
  <c r="R722" i="10" s="1"/>
  <c r="R719" i="10"/>
  <c r="Q658" i="10"/>
  <c r="R658" i="10" s="1"/>
  <c r="R655" i="10"/>
  <c r="R15" i="10"/>
  <c r="R951" i="10"/>
  <c r="R919" i="10"/>
  <c r="Q874" i="10"/>
  <c r="R874" i="10" s="1"/>
  <c r="R871" i="10"/>
  <c r="Q810" i="10"/>
  <c r="R810" i="10" s="1"/>
  <c r="R807" i="10"/>
  <c r="Q746" i="10"/>
  <c r="R746" i="10" s="1"/>
  <c r="R743" i="10"/>
  <c r="Q682" i="10"/>
  <c r="R682" i="10" s="1"/>
  <c r="R679" i="10"/>
  <c r="Q898" i="10"/>
  <c r="R898" i="10" s="1"/>
  <c r="R895" i="10"/>
  <c r="Q834" i="10"/>
  <c r="R834" i="10" s="1"/>
  <c r="R831" i="10"/>
  <c r="Q770" i="10"/>
  <c r="R770" i="10" s="1"/>
  <c r="R767" i="10"/>
  <c r="Q706" i="10"/>
  <c r="R706" i="10" s="1"/>
  <c r="R703" i="10"/>
  <c r="Q858" i="10"/>
  <c r="R858" i="10" s="1"/>
  <c r="R855" i="10"/>
  <c r="Q794" i="10"/>
  <c r="R794" i="10" s="1"/>
  <c r="R791" i="10"/>
  <c r="Q730" i="10"/>
  <c r="R730" i="10" s="1"/>
  <c r="R727" i="10"/>
  <c r="Q666" i="10"/>
  <c r="R666" i="10" s="1"/>
  <c r="R663" i="10"/>
  <c r="R927" i="10"/>
  <c r="Q882" i="10"/>
  <c r="R882" i="10" s="1"/>
  <c r="R879" i="10"/>
  <c r="Q818" i="10"/>
  <c r="R818" i="10" s="1"/>
  <c r="R815" i="10"/>
  <c r="Q754" i="10"/>
  <c r="R754" i="10" s="1"/>
  <c r="R751" i="10"/>
  <c r="Q690" i="10"/>
  <c r="R690" i="10" s="1"/>
  <c r="R687" i="10"/>
  <c r="R989" i="10"/>
  <c r="R959" i="10"/>
  <c r="R1036" i="10"/>
  <c r="R1028" i="10"/>
  <c r="R1020" i="10"/>
  <c r="R1012" i="10"/>
  <c r="R996" i="10"/>
  <c r="R985" i="10"/>
  <c r="R982" i="10"/>
  <c r="R966" i="10"/>
  <c r="R935" i="10"/>
  <c r="R903" i="10"/>
  <c r="Q842" i="10"/>
  <c r="R842" i="10" s="1"/>
  <c r="R839" i="10"/>
  <c r="Q778" i="10"/>
  <c r="R778" i="10" s="1"/>
  <c r="R775" i="10"/>
  <c r="R753" i="10"/>
  <c r="R750" i="10"/>
  <c r="R732" i="10"/>
  <c r="Q714" i="10"/>
  <c r="R714" i="10" s="1"/>
  <c r="R711" i="10"/>
  <c r="R689" i="10"/>
  <c r="R668" i="10"/>
  <c r="R1004" i="10"/>
  <c r="R977" i="10"/>
  <c r="Q974" i="10"/>
  <c r="R974" i="10" s="1"/>
  <c r="R946" i="10"/>
  <c r="Q943" i="10"/>
  <c r="R943" i="10" s="1"/>
  <c r="R914" i="10"/>
  <c r="Q911" i="10"/>
  <c r="R911" i="10" s="1"/>
  <c r="Q887" i="10"/>
  <c r="R887" i="10" s="1"/>
  <c r="Q866" i="10"/>
  <c r="R866" i="10" s="1"/>
  <c r="R863" i="10"/>
  <c r="Q823" i="10"/>
  <c r="R823" i="10" s="1"/>
  <c r="Q802" i="10"/>
  <c r="R802" i="10" s="1"/>
  <c r="R799" i="10"/>
  <c r="Q759" i="10"/>
  <c r="R759" i="10" s="1"/>
  <c r="Q738" i="10"/>
  <c r="R738" i="10" s="1"/>
  <c r="R735" i="10"/>
  <c r="Q695" i="10"/>
  <c r="R695" i="10" s="1"/>
  <c r="Q674" i="10"/>
  <c r="R674" i="10" s="1"/>
  <c r="R671" i="10"/>
  <c r="R209" i="7"/>
  <c r="R222" i="7"/>
  <c r="R211" i="7"/>
  <c r="R236" i="7"/>
  <c r="R289" i="7"/>
  <c r="R263" i="7"/>
  <c r="R227" i="7"/>
  <c r="R286" i="7"/>
  <c r="R276" i="7"/>
  <c r="R39" i="7"/>
  <c r="R260" i="7"/>
  <c r="R253" i="7"/>
  <c r="R240" i="7"/>
  <c r="R28" i="7"/>
  <c r="Q213" i="7"/>
  <c r="R213" i="7" s="1"/>
  <c r="R275" i="7"/>
  <c r="R249" i="7"/>
  <c r="R237" i="7"/>
  <c r="R23" i="7"/>
  <c r="R282" i="7"/>
  <c r="R272" i="7"/>
  <c r="R264" i="7"/>
  <c r="R36" i="7"/>
  <c r="R243" i="7"/>
  <c r="R231" i="7"/>
  <c r="R281" i="7"/>
  <c r="R268" i="7"/>
  <c r="R242" i="7"/>
  <c r="R279" i="7"/>
  <c r="R269" i="7"/>
  <c r="R37" i="7"/>
  <c r="R247" i="7"/>
  <c r="R32" i="7"/>
  <c r="R30" i="7"/>
  <c r="R256" i="7"/>
  <c r="R230" i="7"/>
  <c r="R210" i="7"/>
  <c r="R22" i="7"/>
  <c r="R234" i="7"/>
  <c r="R216" i="7"/>
  <c r="R20" i="7"/>
  <c r="S50" i="13"/>
  <c r="Q13" i="13"/>
  <c r="S13" i="13" s="1"/>
  <c r="Q62" i="13"/>
  <c r="S62" i="13" s="1"/>
  <c r="S93" i="13"/>
  <c r="S78" i="13"/>
  <c r="S12" i="13"/>
  <c r="S82" i="13"/>
  <c r="S86" i="13"/>
  <c r="P3" i="14"/>
  <c r="Q3" i="14" s="1"/>
  <c r="R3" i="14" s="1"/>
  <c r="P4" i="14"/>
  <c r="Q4" i="14" s="1"/>
  <c r="P5" i="14"/>
  <c r="Q5" i="14" s="1"/>
  <c r="R5" i="14" s="1"/>
  <c r="P6" i="14"/>
  <c r="Q6" i="14" s="1"/>
  <c r="P7" i="14"/>
  <c r="Q7" i="14" s="1"/>
  <c r="R7" i="14" s="1"/>
  <c r="P8" i="14"/>
  <c r="Q8" i="14" s="1"/>
  <c r="P9" i="14"/>
  <c r="Q9" i="14" s="1"/>
  <c r="R9" i="14" s="1"/>
  <c r="P10" i="14"/>
  <c r="Q10" i="14" s="1"/>
  <c r="P11" i="14"/>
  <c r="Q11" i="14" s="1"/>
  <c r="R11" i="14" s="1"/>
  <c r="P12" i="14"/>
  <c r="Q12" i="14" s="1"/>
  <c r="P13" i="14"/>
  <c r="Q13" i="14" s="1"/>
  <c r="R13" i="14" s="1"/>
  <c r="P14" i="14"/>
  <c r="Q14" i="14" s="1"/>
  <c r="P15" i="14"/>
  <c r="Q15" i="14" s="1"/>
  <c r="R15" i="14" s="1"/>
  <c r="P16" i="14"/>
  <c r="Q16" i="14" s="1"/>
  <c r="P17" i="14"/>
  <c r="Q17" i="14" s="1"/>
  <c r="R17" i="14" s="1"/>
  <c r="P18" i="14"/>
  <c r="Q18" i="14" s="1"/>
  <c r="P19" i="14"/>
  <c r="Q19" i="14" s="1"/>
  <c r="R19" i="14" s="1"/>
  <c r="P20" i="14"/>
  <c r="Q20" i="14" s="1"/>
  <c r="P21" i="14"/>
  <c r="Q21" i="14" s="1"/>
  <c r="R21" i="14" s="1"/>
  <c r="P22" i="14"/>
  <c r="Q22" i="14" s="1"/>
  <c r="P23" i="14"/>
  <c r="Q23" i="14" s="1"/>
  <c r="R23" i="14" s="1"/>
  <c r="P24" i="14"/>
  <c r="Q24" i="14" s="1"/>
  <c r="P46" i="13"/>
  <c r="Q46" i="13" s="1"/>
  <c r="P45" i="13"/>
  <c r="Q45" i="13" s="1"/>
  <c r="P114" i="13"/>
  <c r="Q114" i="13" s="1"/>
  <c r="S114" i="13" s="1"/>
  <c r="P41" i="13"/>
  <c r="Q41" i="13" s="1"/>
  <c r="P42" i="13"/>
  <c r="Q42" i="13" s="1"/>
  <c r="S42" i="13" s="1"/>
  <c r="P43" i="13"/>
  <c r="Q43" i="13" s="1"/>
  <c r="P115" i="13"/>
  <c r="Q115" i="13" s="1"/>
  <c r="S115" i="13" s="1"/>
  <c r="P44" i="13"/>
  <c r="Q44" i="13" s="1"/>
  <c r="S44" i="13" s="1"/>
  <c r="P113" i="13"/>
  <c r="Q113" i="13" s="1"/>
  <c r="P40" i="13"/>
  <c r="Q40" i="13" s="1"/>
  <c r="S40" i="13" s="1"/>
  <c r="P39" i="13"/>
  <c r="Q39" i="13" s="1"/>
  <c r="P112" i="13"/>
  <c r="Q112" i="13" s="1"/>
  <c r="S112" i="13" s="1"/>
  <c r="P38" i="13"/>
  <c r="Q38" i="13" s="1"/>
  <c r="S38" i="13" s="1"/>
  <c r="P37" i="13"/>
  <c r="Q37" i="13" s="1"/>
  <c r="S33" i="13"/>
  <c r="S111" i="13"/>
  <c r="P35" i="13"/>
  <c r="Q35" i="13" s="1"/>
  <c r="P110" i="13"/>
  <c r="Q110" i="13" s="1"/>
  <c r="S110" i="13" s="1"/>
  <c r="P36" i="13"/>
  <c r="Q36" i="13"/>
  <c r="S36" i="13" s="1"/>
  <c r="P34" i="13"/>
  <c r="Q34" i="13" s="1"/>
  <c r="P33" i="13"/>
  <c r="Q33" i="13" s="1"/>
  <c r="P31" i="13"/>
  <c r="Q31" i="13" s="1"/>
  <c r="S107" i="13"/>
  <c r="S109" i="13"/>
  <c r="P30" i="13"/>
  <c r="Q30" i="13" s="1"/>
  <c r="P29" i="13"/>
  <c r="Q29" i="13" s="1"/>
  <c r="P108" i="13"/>
  <c r="Q108" i="13" s="1"/>
  <c r="P26" i="13"/>
  <c r="Q26" i="13" s="1"/>
  <c r="P27" i="13"/>
  <c r="Q27" i="13" s="1"/>
  <c r="P28" i="13"/>
  <c r="Q28" i="13" s="1"/>
  <c r="P106" i="13"/>
  <c r="Q106" i="13" s="1"/>
  <c r="P25" i="13"/>
  <c r="Q25" i="13" s="1"/>
  <c r="P105" i="13"/>
  <c r="Q105" i="13" s="1"/>
  <c r="S105" i="13" s="1"/>
  <c r="P23" i="13"/>
  <c r="Q23" i="13" s="1"/>
  <c r="S23" i="13" s="1"/>
  <c r="P24" i="13"/>
  <c r="Q24" i="13" s="1"/>
  <c r="P22" i="13"/>
  <c r="Q22" i="13" s="1"/>
  <c r="S22" i="13" s="1"/>
  <c r="P21" i="13"/>
  <c r="Q21" i="13" s="1"/>
  <c r="P19" i="13"/>
  <c r="Q19" i="13" s="1"/>
  <c r="S19" i="13" s="1"/>
  <c r="P20" i="13"/>
  <c r="Q20" i="13" s="1"/>
  <c r="S20" i="13" s="1"/>
  <c r="P18" i="13"/>
  <c r="Q18" i="13" s="1"/>
  <c r="P104" i="13"/>
  <c r="Q104" i="13" s="1"/>
  <c r="P17" i="13"/>
  <c r="Q17" i="13" s="1"/>
  <c r="F16" i="13"/>
  <c r="E16" i="13"/>
  <c r="G16" i="13"/>
  <c r="P15" i="13"/>
  <c r="Q15" i="13" s="1"/>
  <c r="S100" i="13"/>
  <c r="S101" i="13"/>
  <c r="S103" i="13"/>
  <c r="S99" i="13"/>
  <c r="G14" i="13"/>
  <c r="J14" i="13"/>
  <c r="F14" i="13"/>
  <c r="E14" i="13"/>
  <c r="D14" i="13"/>
  <c r="P102" i="13"/>
  <c r="Q102" i="13" s="1"/>
  <c r="G15" i="6"/>
  <c r="F15" i="6"/>
  <c r="J15" i="6"/>
  <c r="I15" i="6"/>
  <c r="P16" i="13" l="1"/>
  <c r="Q16" i="13" s="1"/>
  <c r="S30" i="13"/>
  <c r="S108" i="13"/>
  <c r="S26" i="13"/>
  <c r="S41" i="13"/>
  <c r="S29" i="13"/>
  <c r="S35" i="13"/>
  <c r="S39" i="13"/>
  <c r="S27" i="13"/>
  <c r="S113" i="13"/>
  <c r="P14" i="13"/>
  <c r="Q14" i="13" s="1"/>
  <c r="S14" i="13" s="1"/>
  <c r="S45" i="13"/>
  <c r="S24" i="13"/>
  <c r="R24" i="14"/>
  <c r="R22" i="14"/>
  <c r="R20" i="14"/>
  <c r="R18" i="14"/>
  <c r="R16" i="14"/>
  <c r="R14" i="14"/>
  <c r="R12" i="14"/>
  <c r="R10" i="14"/>
  <c r="R8" i="14"/>
  <c r="R6" i="14"/>
  <c r="R4" i="14"/>
  <c r="S46" i="13"/>
  <c r="S43" i="13"/>
  <c r="S25" i="13"/>
  <c r="S21" i="13"/>
  <c r="S106" i="13"/>
  <c r="S34" i="13"/>
  <c r="S28" i="13"/>
  <c r="S37" i="13"/>
  <c r="S31" i="13"/>
  <c r="S16" i="13"/>
  <c r="S102" i="13"/>
  <c r="S18" i="13"/>
  <c r="S104" i="13"/>
  <c r="S17" i="13"/>
  <c r="S15" i="13"/>
  <c r="R84" i="6"/>
  <c r="R85" i="6"/>
  <c r="R86" i="6"/>
  <c r="R87" i="6"/>
  <c r="R88" i="6"/>
  <c r="R89" i="6"/>
  <c r="R90" i="6"/>
  <c r="R91" i="6"/>
  <c r="R92" i="6"/>
  <c r="R93" i="6"/>
  <c r="R94" i="6"/>
  <c r="R23" i="6"/>
  <c r="R96" i="6"/>
  <c r="R97" i="6"/>
  <c r="R98" i="6"/>
  <c r="R99" i="6"/>
  <c r="R100" i="6"/>
  <c r="R101" i="6"/>
  <c r="R104" i="6"/>
  <c r="R105" i="6"/>
  <c r="I103" i="6"/>
  <c r="H103" i="6"/>
  <c r="G103" i="6"/>
  <c r="F103" i="6"/>
  <c r="E103" i="6"/>
  <c r="D103" i="6"/>
  <c r="P2" i="6"/>
  <c r="Q2" i="6" s="1"/>
  <c r="P6" i="6"/>
  <c r="Q6" i="6" s="1"/>
  <c r="P7" i="6"/>
  <c r="Q7" i="6" s="1"/>
  <c r="P95" i="6"/>
  <c r="Q95" i="6" s="1"/>
  <c r="P5" i="6"/>
  <c r="Q5" i="6" s="1"/>
  <c r="P102" i="6"/>
  <c r="Q102" i="6" s="1"/>
  <c r="P9" i="6"/>
  <c r="Q9" i="6" s="1"/>
  <c r="P8" i="6"/>
  <c r="Q8" i="6" s="1"/>
  <c r="P28" i="6"/>
  <c r="Q28" i="6" s="1"/>
  <c r="P24" i="6"/>
  <c r="P11" i="6"/>
  <c r="Q11" i="6" s="1"/>
  <c r="P13" i="6"/>
  <c r="Q13" i="6" s="1"/>
  <c r="P31" i="6"/>
  <c r="Q31" i="6" s="1"/>
  <c r="P8" i="7"/>
  <c r="D22" i="6"/>
  <c r="P22" i="6" s="1"/>
  <c r="D16" i="6"/>
  <c r="R7" i="6" l="1"/>
  <c r="R13" i="6"/>
  <c r="R2" i="6"/>
  <c r="R6" i="6"/>
  <c r="R8" i="6"/>
  <c r="R102" i="6"/>
  <c r="R11" i="6"/>
  <c r="R5" i="6"/>
  <c r="R28" i="6"/>
  <c r="R9" i="6"/>
  <c r="R31" i="6"/>
  <c r="R95" i="6"/>
  <c r="P103" i="6"/>
  <c r="Q24" i="6"/>
  <c r="R24" i="6" s="1"/>
  <c r="Q103" i="6" l="1"/>
  <c r="R103" i="6"/>
  <c r="P55" i="6"/>
  <c r="Q55" i="6" s="1"/>
  <c r="E2" i="11"/>
  <c r="D2" i="11"/>
  <c r="P2" i="11" s="1"/>
  <c r="Q2" i="11" s="1"/>
  <c r="P54" i="6"/>
  <c r="Q54" i="6" s="1"/>
  <c r="E35" i="11"/>
  <c r="D35" i="11"/>
  <c r="P53" i="6"/>
  <c r="Q53" i="6" s="1"/>
  <c r="E38" i="11"/>
  <c r="D38" i="11"/>
  <c r="P38" i="11" s="1"/>
  <c r="Q38" i="11" s="1"/>
  <c r="P50" i="6"/>
  <c r="Q50" i="6" s="1"/>
  <c r="E2" i="10"/>
  <c r="D2" i="10"/>
  <c r="P49" i="6"/>
  <c r="Q49" i="6" s="1"/>
  <c r="E11" i="7"/>
  <c r="D11" i="7"/>
  <c r="P48" i="6"/>
  <c r="Q48" i="6" s="1"/>
  <c r="E7" i="11"/>
  <c r="D7" i="11"/>
  <c r="P7" i="11" s="1"/>
  <c r="Q7" i="11" s="1"/>
  <c r="P46" i="6"/>
  <c r="Q46" i="6" s="1"/>
  <c r="P47" i="6"/>
  <c r="Q47" i="6" s="1"/>
  <c r="E6" i="11"/>
  <c r="D6" i="11"/>
  <c r="P45" i="6"/>
  <c r="Q45" i="6" s="1"/>
  <c r="E8" i="11"/>
  <c r="D8" i="11"/>
  <c r="P8" i="11" s="1"/>
  <c r="Q8" i="11" s="1"/>
  <c r="P44" i="6"/>
  <c r="Q44" i="6" s="1"/>
  <c r="E5" i="10"/>
  <c r="D5" i="10"/>
  <c r="P5" i="10" s="1"/>
  <c r="Q5" i="10" s="1"/>
  <c r="P43" i="6"/>
  <c r="Q43" i="6" s="1"/>
  <c r="E28" i="11"/>
  <c r="D28" i="11"/>
  <c r="P42" i="6"/>
  <c r="Q42" i="6" s="1"/>
  <c r="E13" i="10"/>
  <c r="D13" i="10"/>
  <c r="P13" i="10" s="1"/>
  <c r="Q13" i="10" s="1"/>
  <c r="P41" i="6"/>
  <c r="Q41" i="6" s="1"/>
  <c r="E5" i="11"/>
  <c r="D5" i="11"/>
  <c r="P40" i="6"/>
  <c r="Q40" i="6" s="1"/>
  <c r="E7" i="7"/>
  <c r="D7" i="7"/>
  <c r="P38" i="6"/>
  <c r="Q38" i="6" s="1"/>
  <c r="E3" i="11"/>
  <c r="D3" i="11"/>
  <c r="P37" i="6"/>
  <c r="Q37" i="6" s="1"/>
  <c r="E27" i="11"/>
  <c r="D27" i="11"/>
  <c r="P27" i="11" s="1"/>
  <c r="Q27" i="11" s="1"/>
  <c r="J33" i="11"/>
  <c r="I33" i="11"/>
  <c r="H33" i="11"/>
  <c r="G33" i="11"/>
  <c r="F33" i="11"/>
  <c r="E33" i="11"/>
  <c r="D33" i="11"/>
  <c r="P33" i="11" s="1"/>
  <c r="J3" i="10"/>
  <c r="I3" i="10"/>
  <c r="H3" i="10"/>
  <c r="G3" i="10"/>
  <c r="F3" i="10"/>
  <c r="E3" i="10"/>
  <c r="D3" i="10"/>
  <c r="J12" i="11"/>
  <c r="I12" i="11"/>
  <c r="H12" i="11"/>
  <c r="G12" i="11"/>
  <c r="F12" i="11"/>
  <c r="E12" i="11"/>
  <c r="D12" i="11"/>
  <c r="P3" i="11" l="1"/>
  <c r="Q3" i="11" s="1"/>
  <c r="P7" i="7"/>
  <c r="Q7" i="7" s="1"/>
  <c r="P6" i="11"/>
  <c r="Q6" i="11" s="1"/>
  <c r="P35" i="11"/>
  <c r="Q35" i="11" s="1"/>
  <c r="P11" i="7"/>
  <c r="Q11" i="7" s="1"/>
  <c r="P5" i="11"/>
  <c r="Q5" i="11" s="1"/>
  <c r="P12" i="11"/>
  <c r="P28" i="11"/>
  <c r="Q28" i="11" s="1"/>
  <c r="P2" i="10"/>
  <c r="Q2" i="10" s="1"/>
  <c r="S58" i="13"/>
  <c r="P54" i="13"/>
  <c r="Q54" i="13" s="1"/>
  <c r="P55" i="13"/>
  <c r="Q55" i="13" s="1"/>
  <c r="S55" i="13" s="1"/>
  <c r="P9" i="13"/>
  <c r="Q9" i="13" s="1"/>
  <c r="P56" i="13"/>
  <c r="Q56" i="13" s="1"/>
  <c r="D10" i="13"/>
  <c r="E10" i="13"/>
  <c r="P52" i="13"/>
  <c r="P53" i="13"/>
  <c r="Q53" i="13" s="1"/>
  <c r="P7" i="13"/>
  <c r="Q7" i="13" s="1"/>
  <c r="D8" i="13"/>
  <c r="E8" i="13"/>
  <c r="E6" i="13"/>
  <c r="D6" i="13"/>
  <c r="D27" i="6"/>
  <c r="S57" i="13" l="1"/>
  <c r="S54" i="13"/>
  <c r="S56" i="13"/>
  <c r="S9" i="13"/>
  <c r="S53" i="13"/>
  <c r="Q52" i="13"/>
  <c r="S52" i="13" s="1"/>
  <c r="P8" i="13"/>
  <c r="Q8" i="13" s="1"/>
  <c r="P10" i="13"/>
  <c r="Q10" i="13" s="1"/>
  <c r="S10" i="13" s="1"/>
  <c r="P6" i="13"/>
  <c r="Q6" i="13" s="1"/>
  <c r="S6" i="13" s="1"/>
  <c r="P2" i="14" l="1"/>
  <c r="Q2" i="14" s="1"/>
  <c r="R2" i="14" s="1"/>
  <c r="E14" i="11"/>
  <c r="D14" i="11"/>
  <c r="P14" i="11" s="1"/>
  <c r="P17" i="1"/>
  <c r="E19" i="11"/>
  <c r="S7" i="13"/>
  <c r="S8" i="13"/>
  <c r="E5" i="13"/>
  <c r="D5" i="13"/>
  <c r="E4" i="13"/>
  <c r="D4" i="13"/>
  <c r="E3" i="13"/>
  <c r="D3" i="13"/>
  <c r="P3" i="13" s="1"/>
  <c r="E2" i="13"/>
  <c r="D2" i="13"/>
  <c r="E18" i="10"/>
  <c r="D18" i="10"/>
  <c r="E12" i="10"/>
  <c r="D12" i="10"/>
  <c r="P12" i="10" s="1"/>
  <c r="J114" i="1"/>
  <c r="I114" i="1"/>
  <c r="H114" i="1"/>
  <c r="G114" i="1"/>
  <c r="F114" i="1"/>
  <c r="E114" i="1"/>
  <c r="D114" i="1"/>
  <c r="J108" i="1"/>
  <c r="I108" i="1"/>
  <c r="H108" i="1"/>
  <c r="G108" i="1"/>
  <c r="F108" i="1"/>
  <c r="E108" i="1"/>
  <c r="D108" i="1"/>
  <c r="J109" i="1"/>
  <c r="I109" i="1"/>
  <c r="H109" i="1"/>
  <c r="G109" i="1"/>
  <c r="F109" i="1"/>
  <c r="E109" i="1"/>
  <c r="D109" i="1"/>
  <c r="P109" i="1" l="1"/>
  <c r="P4" i="13"/>
  <c r="Q4" i="13" s="1"/>
  <c r="Q3" i="13"/>
  <c r="S3" i="13" s="1"/>
  <c r="S4" i="13"/>
  <c r="P5" i="13"/>
  <c r="P2" i="13"/>
  <c r="D32" i="1"/>
  <c r="Q2" i="13" l="1"/>
  <c r="S2" i="13" s="1"/>
  <c r="Q5" i="13"/>
  <c r="S5" i="13" s="1"/>
  <c r="E74" i="1"/>
  <c r="D74" i="1"/>
  <c r="D18" i="1"/>
  <c r="E18" i="1"/>
  <c r="D73" i="1"/>
  <c r="E73" i="1"/>
  <c r="E72" i="1"/>
  <c r="D72" i="1"/>
  <c r="E71" i="1"/>
  <c r="D71" i="1"/>
  <c r="E70" i="1"/>
  <c r="D70" i="1"/>
  <c r="P70" i="1" s="1"/>
  <c r="E69" i="1"/>
  <c r="D69" i="1"/>
  <c r="E68" i="1"/>
  <c r="D68" i="1"/>
  <c r="P68" i="1" s="1"/>
  <c r="D67" i="1"/>
  <c r="E67" i="1"/>
  <c r="E66" i="1"/>
  <c r="D66" i="1"/>
  <c r="E3" i="1"/>
  <c r="D3" i="1"/>
  <c r="E65" i="1"/>
  <c r="D65" i="1"/>
  <c r="E64" i="1"/>
  <c r="D64" i="1"/>
  <c r="E63" i="1"/>
  <c r="D63" i="1"/>
  <c r="P63" i="1" s="1"/>
  <c r="D11" i="1"/>
  <c r="E11" i="1"/>
  <c r="E62" i="1"/>
  <c r="D62" i="1"/>
  <c r="P62" i="1" s="1"/>
  <c r="E61" i="1"/>
  <c r="D61" i="1"/>
  <c r="P61" i="1" s="1"/>
  <c r="E60" i="1"/>
  <c r="D60" i="1"/>
  <c r="E59" i="1"/>
  <c r="D7" i="1"/>
  <c r="E7" i="1"/>
  <c r="E58" i="1"/>
  <c r="D58" i="1"/>
  <c r="D57" i="1"/>
  <c r="E57" i="1"/>
  <c r="E56" i="1"/>
  <c r="D56" i="1"/>
  <c r="E55" i="1"/>
  <c r="E54" i="1"/>
  <c r="D54" i="1"/>
  <c r="P54" i="1" s="1"/>
  <c r="E53" i="1"/>
  <c r="D53" i="1"/>
  <c r="P53" i="1" s="1"/>
  <c r="D52" i="1"/>
  <c r="E52" i="1"/>
  <c r="D10" i="1"/>
  <c r="D51" i="1"/>
  <c r="D50" i="1"/>
  <c r="D49" i="1"/>
  <c r="E10" i="1"/>
  <c r="E50" i="1"/>
  <c r="E49" i="1"/>
  <c r="E48" i="1"/>
  <c r="D48" i="1"/>
  <c r="D20" i="1"/>
  <c r="D47" i="1"/>
  <c r="D46" i="1"/>
  <c r="D14" i="1"/>
  <c r="D45" i="1"/>
  <c r="E20" i="1"/>
  <c r="E47" i="1"/>
  <c r="E46" i="1"/>
  <c r="E6" i="1"/>
  <c r="D6" i="1"/>
  <c r="E45" i="1"/>
  <c r="D2" i="1"/>
  <c r="E2" i="1"/>
  <c r="E44" i="1"/>
  <c r="D44" i="1"/>
  <c r="P44" i="1" s="1"/>
  <c r="E19" i="1"/>
  <c r="E24" i="1"/>
  <c r="D43" i="1"/>
  <c r="E43" i="1"/>
  <c r="D42" i="1"/>
  <c r="E42" i="1"/>
  <c r="D41" i="1"/>
  <c r="E41" i="1"/>
  <c r="E40" i="1"/>
  <c r="D40" i="1"/>
  <c r="D39" i="1"/>
  <c r="E39" i="1"/>
  <c r="E38" i="1"/>
  <c r="D38" i="1"/>
  <c r="D37" i="1"/>
  <c r="E37" i="1"/>
  <c r="D22" i="1"/>
  <c r="E22" i="1"/>
  <c r="E36" i="1"/>
  <c r="D36" i="1"/>
  <c r="D8" i="1"/>
  <c r="E8" i="1"/>
  <c r="D9" i="1"/>
  <c r="E9" i="1"/>
  <c r="D35" i="1"/>
  <c r="E35" i="1"/>
  <c r="D12" i="1"/>
  <c r="E12" i="1"/>
  <c r="E14" i="1"/>
  <c r="D23" i="1"/>
  <c r="E23" i="1"/>
  <c r="D29" i="1"/>
  <c r="E29" i="1"/>
  <c r="D28" i="1"/>
  <c r="E28" i="1"/>
  <c r="E39" i="6"/>
  <c r="E16" i="6"/>
  <c r="P16" i="6" s="1"/>
  <c r="E27" i="6"/>
  <c r="P27" i="6" s="1"/>
  <c r="D21" i="6"/>
  <c r="D52" i="6"/>
  <c r="D12" i="6"/>
  <c r="D20" i="6"/>
  <c r="E20" i="6"/>
  <c r="E30" i="6"/>
  <c r="D30" i="6"/>
  <c r="E21" i="6"/>
  <c r="D25" i="6"/>
  <c r="E25" i="6"/>
  <c r="E52" i="6"/>
  <c r="D51" i="6"/>
  <c r="E51" i="6"/>
  <c r="E29" i="6"/>
  <c r="D29" i="6"/>
  <c r="D10" i="6"/>
  <c r="E10" i="6"/>
  <c r="D4" i="6"/>
  <c r="E4" i="6"/>
  <c r="E12" i="6"/>
  <c r="D26" i="6"/>
  <c r="E26" i="6"/>
  <c r="D39" i="6"/>
  <c r="P60" i="7"/>
  <c r="P61" i="7"/>
  <c r="D59" i="7"/>
  <c r="D52" i="7"/>
  <c r="D12" i="7"/>
  <c r="D51" i="7"/>
  <c r="D50" i="7"/>
  <c r="D14" i="7"/>
  <c r="D17" i="7"/>
  <c r="D4" i="7"/>
  <c r="E59" i="7"/>
  <c r="E58" i="7"/>
  <c r="D58" i="7"/>
  <c r="D53" i="7"/>
  <c r="E53" i="7"/>
  <c r="D10" i="7"/>
  <c r="E10" i="7"/>
  <c r="E52" i="7"/>
  <c r="E12" i="7"/>
  <c r="E51" i="7"/>
  <c r="E50" i="7"/>
  <c r="E49" i="7"/>
  <c r="D3" i="7"/>
  <c r="E3" i="7"/>
  <c r="D49" i="7"/>
  <c r="E17" i="7"/>
  <c r="E4" i="7"/>
  <c r="D18" i="7"/>
  <c r="E18" i="7"/>
  <c r="E45" i="7"/>
  <c r="D45" i="7"/>
  <c r="D44" i="7"/>
  <c r="E44" i="7"/>
  <c r="D9" i="7"/>
  <c r="E9" i="7"/>
  <c r="D2" i="7"/>
  <c r="E2" i="7"/>
  <c r="E14" i="7"/>
  <c r="E79" i="11"/>
  <c r="E78" i="11"/>
  <c r="E77" i="11"/>
  <c r="E76" i="11"/>
  <c r="E31" i="11"/>
  <c r="E74" i="11"/>
  <c r="E73" i="11"/>
  <c r="E71" i="11"/>
  <c r="E68" i="11"/>
  <c r="E59" i="11"/>
  <c r="E56" i="11"/>
  <c r="P51" i="11"/>
  <c r="Q51" i="11" s="1"/>
  <c r="P52" i="11"/>
  <c r="Q52" i="11" s="1"/>
  <c r="P53" i="11"/>
  <c r="Q53" i="11" s="1"/>
  <c r="P63" i="11"/>
  <c r="Q63" i="11" s="1"/>
  <c r="P80" i="11"/>
  <c r="Q80" i="11" s="1"/>
  <c r="E82" i="11"/>
  <c r="D82" i="11"/>
  <c r="E20" i="11"/>
  <c r="D20" i="11"/>
  <c r="P20" i="11" s="1"/>
  <c r="Q20" i="11" s="1"/>
  <c r="D81" i="11"/>
  <c r="E81" i="11"/>
  <c r="D23" i="11"/>
  <c r="E23" i="11"/>
  <c r="D22" i="11"/>
  <c r="E22" i="11"/>
  <c r="E25" i="11"/>
  <c r="D25" i="11"/>
  <c r="D79" i="11"/>
  <c r="D78" i="11"/>
  <c r="D24" i="11"/>
  <c r="D10" i="11"/>
  <c r="D32" i="11"/>
  <c r="D18" i="11"/>
  <c r="D77" i="11"/>
  <c r="P77" i="11" s="1"/>
  <c r="Q77" i="11" s="1"/>
  <c r="E10" i="11"/>
  <c r="P10" i="11" s="1"/>
  <c r="Q10" i="11" s="1"/>
  <c r="E18" i="11"/>
  <c r="D76" i="11"/>
  <c r="D75" i="11"/>
  <c r="D36" i="11"/>
  <c r="D19" i="11"/>
  <c r="P19" i="11" s="1"/>
  <c r="Q19" i="11" s="1"/>
  <c r="D73" i="11"/>
  <c r="P73" i="11" s="1"/>
  <c r="Q73" i="11" s="1"/>
  <c r="D72" i="11"/>
  <c r="D71" i="11"/>
  <c r="P71" i="11" s="1"/>
  <c r="Q71" i="11" s="1"/>
  <c r="E75" i="11"/>
  <c r="E36" i="11"/>
  <c r="D31" i="11"/>
  <c r="E4" i="11"/>
  <c r="D4" i="11"/>
  <c r="D74" i="11"/>
  <c r="E72" i="11"/>
  <c r="E34" i="11"/>
  <c r="E70" i="11"/>
  <c r="D70" i="11"/>
  <c r="E69" i="11"/>
  <c r="D69" i="11"/>
  <c r="D68" i="11"/>
  <c r="P68" i="11" s="1"/>
  <c r="Q68" i="11" s="1"/>
  <c r="D67" i="11"/>
  <c r="D66" i="11"/>
  <c r="D65" i="11"/>
  <c r="D64" i="11"/>
  <c r="D62" i="11"/>
  <c r="D29" i="11"/>
  <c r="D15" i="11"/>
  <c r="D21" i="11"/>
  <c r="D61" i="11"/>
  <c r="D60" i="11"/>
  <c r="D59" i="11"/>
  <c r="D58" i="11"/>
  <c r="D16" i="11"/>
  <c r="E67" i="11"/>
  <c r="E66" i="11"/>
  <c r="E65" i="11"/>
  <c r="E64" i="11"/>
  <c r="E62" i="11"/>
  <c r="E24" i="11"/>
  <c r="E32" i="11"/>
  <c r="E29" i="11"/>
  <c r="E15" i="11"/>
  <c r="E21" i="11"/>
  <c r="E61" i="11"/>
  <c r="E60" i="11"/>
  <c r="E58" i="11"/>
  <c r="E16" i="11"/>
  <c r="D57" i="11"/>
  <c r="E57" i="11"/>
  <c r="D56" i="11"/>
  <c r="E55" i="11"/>
  <c r="D55" i="11"/>
  <c r="D54" i="11"/>
  <c r="E54" i="11"/>
  <c r="D13" i="11"/>
  <c r="E13" i="11"/>
  <c r="D30" i="11"/>
  <c r="E30" i="11"/>
  <c r="D26" i="11"/>
  <c r="E26" i="11"/>
  <c r="D17" i="11"/>
  <c r="E17" i="11"/>
  <c r="D34" i="11"/>
  <c r="P34" i="11" s="1"/>
  <c r="Q34" i="11" s="1"/>
  <c r="E8" i="10"/>
  <c r="J21" i="10"/>
  <c r="I21" i="10"/>
  <c r="H21" i="10"/>
  <c r="G21" i="10"/>
  <c r="F21" i="10"/>
  <c r="E21" i="10"/>
  <c r="D21" i="10"/>
  <c r="E17" i="10"/>
  <c r="D17" i="10"/>
  <c r="D8" i="10"/>
  <c r="D9" i="10"/>
  <c r="E9" i="10"/>
  <c r="D4" i="10"/>
  <c r="E4" i="10"/>
  <c r="E16" i="10"/>
  <c r="D16" i="10"/>
  <c r="P74" i="1" l="1"/>
  <c r="P36" i="1"/>
  <c r="P6" i="1"/>
  <c r="P40" i="1"/>
  <c r="P57" i="11"/>
  <c r="Q57" i="11" s="1"/>
  <c r="P65" i="1"/>
  <c r="P72" i="1"/>
  <c r="P61" i="11"/>
  <c r="Q61" i="11" s="1"/>
  <c r="P21" i="11"/>
  <c r="Q21" i="11" s="1"/>
  <c r="P26" i="11"/>
  <c r="Q26" i="11" s="1"/>
  <c r="P23" i="11"/>
  <c r="Q23" i="11" s="1"/>
  <c r="P62" i="11"/>
  <c r="Q62" i="11" s="1"/>
  <c r="P36" i="11"/>
  <c r="Q36" i="11" s="1"/>
  <c r="P64" i="11"/>
  <c r="Q64" i="11" s="1"/>
  <c r="P75" i="11"/>
  <c r="Q75" i="11" s="1"/>
  <c r="P29" i="1"/>
  <c r="P60" i="1"/>
  <c r="P66" i="1"/>
  <c r="P69" i="1"/>
  <c r="P26" i="6"/>
  <c r="P25" i="6"/>
  <c r="P30" i="6"/>
  <c r="P17" i="11"/>
  <c r="Q17" i="11" s="1"/>
  <c r="P74" i="11"/>
  <c r="Q74" i="11" s="1"/>
  <c r="P4" i="11"/>
  <c r="Q4" i="11" s="1"/>
  <c r="P82" i="11"/>
  <c r="Q82" i="11" s="1"/>
  <c r="P78" i="11"/>
  <c r="Q78" i="11" s="1"/>
  <c r="P10" i="6"/>
  <c r="P4" i="6"/>
  <c r="P65" i="11"/>
  <c r="Q65" i="11" s="1"/>
  <c r="P66" i="11"/>
  <c r="Q66" i="11" s="1"/>
  <c r="P67" i="11"/>
  <c r="Q67" i="11" s="1"/>
  <c r="P52" i="6"/>
  <c r="P69" i="11"/>
  <c r="Q69" i="11" s="1"/>
  <c r="P21" i="6"/>
  <c r="P13" i="11"/>
  <c r="Q13" i="11" s="1"/>
  <c r="P25" i="11"/>
  <c r="Q25" i="11" s="1"/>
  <c r="P50" i="7"/>
  <c r="P51" i="7"/>
  <c r="P38" i="1"/>
  <c r="P64" i="1"/>
  <c r="P71" i="1"/>
  <c r="P55" i="11"/>
  <c r="Q55" i="11" s="1"/>
  <c r="P58" i="11"/>
  <c r="Q58" i="11" s="1"/>
  <c r="P81" i="11"/>
  <c r="Q81" i="11" s="1"/>
  <c r="P9" i="1"/>
  <c r="P60" i="11"/>
  <c r="Q60" i="11" s="1"/>
  <c r="P51" i="6"/>
  <c r="P32" i="11"/>
  <c r="Q32" i="11" s="1"/>
  <c r="P39" i="6"/>
  <c r="P49" i="7"/>
  <c r="P24" i="11"/>
  <c r="Q24" i="11" s="1"/>
  <c r="P3" i="7"/>
  <c r="P20" i="6"/>
  <c r="P18" i="11"/>
  <c r="Q18" i="11" s="1"/>
  <c r="P12" i="6"/>
  <c r="P29" i="6"/>
  <c r="P73" i="1"/>
  <c r="P79" i="11"/>
  <c r="Q79" i="11" s="1"/>
  <c r="P29" i="11"/>
  <c r="Q29" i="11" s="1"/>
  <c r="P30" i="11"/>
  <c r="Q30" i="11" s="1"/>
  <c r="P54" i="11"/>
  <c r="Q54" i="11" s="1"/>
  <c r="P22" i="11"/>
  <c r="Q22" i="11" s="1"/>
  <c r="P59" i="11"/>
  <c r="Q59" i="11" s="1"/>
  <c r="P15" i="11"/>
  <c r="Q15" i="11" s="1"/>
  <c r="P31" i="11"/>
  <c r="Q31" i="11" s="1"/>
  <c r="P56" i="11"/>
  <c r="Q56" i="11" s="1"/>
  <c r="P72" i="11"/>
  <c r="Q72" i="11" s="1"/>
  <c r="P16" i="11"/>
  <c r="Q16" i="11" s="1"/>
  <c r="P70" i="11"/>
  <c r="Q70" i="11" s="1"/>
  <c r="P76" i="11"/>
  <c r="Q76" i="11" s="1"/>
  <c r="R34" i="11"/>
  <c r="P10" i="7"/>
  <c r="P23" i="1"/>
  <c r="P2" i="1"/>
  <c r="P58" i="1"/>
  <c r="P12" i="1"/>
  <c r="P39" i="1"/>
  <c r="P50" i="1"/>
  <c r="P7" i="1"/>
  <c r="P3" i="1"/>
  <c r="P37" i="1"/>
  <c r="P41" i="1"/>
  <c r="P52" i="1"/>
  <c r="P18" i="1"/>
  <c r="P49" i="1"/>
  <c r="P45" i="1"/>
  <c r="P10" i="1"/>
  <c r="P8" i="1"/>
  <c r="P42" i="1"/>
  <c r="P14" i="1"/>
  <c r="P67" i="1"/>
  <c r="P35" i="1"/>
  <c r="P46" i="1"/>
  <c r="P57" i="1"/>
  <c r="P43" i="1"/>
  <c r="P47" i="1"/>
  <c r="P28" i="1"/>
  <c r="P20" i="1"/>
  <c r="P22" i="1"/>
  <c r="P48" i="1"/>
  <c r="P56" i="1"/>
  <c r="P11" i="1"/>
  <c r="P53" i="7"/>
  <c r="R51" i="11"/>
  <c r="P54" i="7"/>
  <c r="P4" i="7"/>
  <c r="P14" i="7"/>
  <c r="P2" i="7"/>
  <c r="P45" i="7"/>
  <c r="P9" i="7"/>
  <c r="P12" i="7"/>
  <c r="P44" i="7"/>
  <c r="P52" i="7"/>
  <c r="P59" i="7"/>
  <c r="P18" i="7"/>
  <c r="P17" i="7"/>
  <c r="P58" i="7"/>
  <c r="P21" i="10"/>
  <c r="Q21" i="10" s="1"/>
  <c r="D7" i="10" l="1"/>
  <c r="E7" i="10"/>
  <c r="D6" i="10"/>
  <c r="E6" i="10"/>
  <c r="P16" i="10"/>
  <c r="P4" i="10"/>
  <c r="P9" i="10"/>
  <c r="P8" i="10"/>
  <c r="P17" i="10"/>
  <c r="E11" i="10"/>
  <c r="D11" i="10"/>
  <c r="P6" i="10" l="1"/>
  <c r="P7" i="10"/>
  <c r="P11" i="10"/>
  <c r="F3" i="6"/>
  <c r="G92" i="1"/>
  <c r="F27" i="1"/>
  <c r="E27" i="1"/>
  <c r="I200" i="1"/>
  <c r="H13" i="1"/>
  <c r="G13" i="1"/>
  <c r="I115" i="1"/>
  <c r="I13" i="1"/>
  <c r="I30" i="1"/>
  <c r="I5" i="1"/>
  <c r="I31" i="1"/>
  <c r="I15" i="1"/>
  <c r="I4" i="1"/>
  <c r="I34" i="1"/>
  <c r="I32" i="1"/>
  <c r="I25" i="1"/>
  <c r="I21" i="1"/>
  <c r="I16" i="1"/>
  <c r="I77" i="1"/>
  <c r="I78" i="1"/>
  <c r="I33" i="1"/>
  <c r="I88" i="1"/>
  <c r="I89" i="1"/>
  <c r="I79" i="1"/>
  <c r="I80" i="1"/>
  <c r="I81" i="1"/>
  <c r="I87" i="1"/>
  <c r="I90" i="1"/>
  <c r="I91" i="1"/>
  <c r="I116" i="1"/>
  <c r="I27" i="1"/>
  <c r="I82" i="1"/>
  <c r="I117" i="1"/>
  <c r="I92" i="1"/>
  <c r="I93" i="1"/>
  <c r="I83" i="1"/>
  <c r="I118" i="1"/>
  <c r="I119" i="1"/>
  <c r="I75" i="1"/>
  <c r="I76" i="1"/>
  <c r="I94" i="1"/>
  <c r="I95" i="1"/>
  <c r="I96" i="1"/>
  <c r="I120" i="1"/>
  <c r="I121" i="1"/>
  <c r="I122" i="1"/>
  <c r="I123" i="1"/>
  <c r="I97" i="1"/>
  <c r="I124" i="1"/>
  <c r="I98" i="1"/>
  <c r="I84" i="1"/>
  <c r="I85" i="1"/>
  <c r="I99" i="1"/>
  <c r="I125" i="1"/>
  <c r="I126" i="1"/>
  <c r="I127" i="1"/>
  <c r="I128" i="1"/>
  <c r="I129" i="1"/>
  <c r="I130" i="1"/>
  <c r="I131" i="1"/>
  <c r="I132" i="1"/>
  <c r="I133" i="1"/>
  <c r="I134" i="1"/>
  <c r="I135" i="1"/>
  <c r="I100" i="1"/>
  <c r="I101" i="1"/>
  <c r="I86"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02" i="1"/>
  <c r="I103" i="1"/>
  <c r="I179" i="1"/>
  <c r="I180" i="1"/>
  <c r="I104" i="1"/>
  <c r="I105" i="1"/>
  <c r="I106" i="1"/>
  <c r="I181" i="1"/>
  <c r="I182" i="1"/>
  <c r="I183" i="1"/>
  <c r="I184" i="1"/>
  <c r="I185" i="1"/>
  <c r="I107" i="1"/>
  <c r="I186" i="1"/>
  <c r="I187" i="1"/>
  <c r="I188" i="1"/>
  <c r="I189" i="1"/>
  <c r="I190" i="1"/>
  <c r="I191" i="1"/>
  <c r="I192" i="1"/>
  <c r="I193" i="1"/>
  <c r="I194" i="1"/>
  <c r="I195" i="1"/>
  <c r="I196" i="1"/>
  <c r="I197" i="1"/>
  <c r="I198" i="1"/>
  <c r="I199"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51" i="1"/>
  <c r="I260" i="1"/>
  <c r="I265" i="1"/>
  <c r="I269" i="1"/>
  <c r="I270" i="1"/>
  <c r="I273" i="1"/>
  <c r="I274" i="1"/>
  <c r="I277" i="1"/>
  <c r="I279" i="1"/>
  <c r="I281" i="1"/>
  <c r="I284" i="1"/>
  <c r="I285" i="1"/>
  <c r="I286" i="1"/>
  <c r="I287" i="1"/>
  <c r="I288" i="1"/>
  <c r="I290" i="1"/>
  <c r="I296" i="1"/>
  <c r="I303" i="1"/>
  <c r="I306" i="1"/>
  <c r="I311" i="1"/>
  <c r="I316" i="1"/>
  <c r="I317" i="1"/>
  <c r="I321" i="1"/>
  <c r="I325" i="1"/>
  <c r="I326" i="1"/>
  <c r="I329" i="1"/>
  <c r="I330" i="1"/>
  <c r="I332" i="1"/>
  <c r="I335" i="1"/>
  <c r="I340" i="1"/>
  <c r="P338" i="1"/>
  <c r="Q338" i="1" s="1"/>
  <c r="P323" i="1"/>
  <c r="Q323" i="1" s="1"/>
  <c r="P322" i="1"/>
  <c r="Q322" i="1" s="1"/>
  <c r="P307" i="1"/>
  <c r="Q307" i="1" s="1"/>
  <c r="P291" i="1"/>
  <c r="Q291" i="1" s="1"/>
  <c r="P259" i="1"/>
  <c r="P258" i="1"/>
  <c r="J30" i="1"/>
  <c r="J31" i="1"/>
  <c r="J15" i="1"/>
  <c r="J4" i="1"/>
  <c r="J34" i="1"/>
  <c r="J32" i="1"/>
  <c r="J25" i="1"/>
  <c r="J21" i="1"/>
  <c r="J16" i="1"/>
  <c r="J77" i="1"/>
  <c r="J78" i="1"/>
  <c r="J33" i="1"/>
  <c r="J88" i="1"/>
  <c r="J89" i="1"/>
  <c r="J79" i="1"/>
  <c r="J80" i="1"/>
  <c r="J81" i="1"/>
  <c r="J115" i="1"/>
  <c r="J87" i="1"/>
  <c r="J90" i="1"/>
  <c r="J13" i="1"/>
  <c r="J91" i="1"/>
  <c r="J116" i="1"/>
  <c r="J27" i="1"/>
  <c r="J82" i="1"/>
  <c r="J117" i="1"/>
  <c r="J92" i="1"/>
  <c r="J93" i="1"/>
  <c r="J83" i="1"/>
  <c r="J118" i="1"/>
  <c r="J119" i="1"/>
  <c r="J75" i="1"/>
  <c r="J76" i="1"/>
  <c r="J94" i="1"/>
  <c r="J95" i="1"/>
  <c r="J96" i="1"/>
  <c r="J120" i="1"/>
  <c r="J121" i="1"/>
  <c r="J122" i="1"/>
  <c r="J123" i="1"/>
  <c r="J97" i="1"/>
  <c r="J124" i="1"/>
  <c r="J98" i="1"/>
  <c r="J84" i="1"/>
  <c r="J85" i="1"/>
  <c r="J99" i="1"/>
  <c r="J125" i="1"/>
  <c r="J126" i="1"/>
  <c r="J127" i="1"/>
  <c r="J128" i="1"/>
  <c r="J129" i="1"/>
  <c r="J130" i="1"/>
  <c r="J131" i="1"/>
  <c r="J132" i="1"/>
  <c r="J133" i="1"/>
  <c r="J134" i="1"/>
  <c r="J135" i="1"/>
  <c r="J100" i="1"/>
  <c r="J101" i="1"/>
  <c r="J86"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02" i="1"/>
  <c r="J103" i="1"/>
  <c r="J179" i="1"/>
  <c r="J180" i="1"/>
  <c r="J104" i="1"/>
  <c r="J105" i="1"/>
  <c r="J106" i="1"/>
  <c r="J181" i="1"/>
  <c r="J182" i="1"/>
  <c r="J183" i="1"/>
  <c r="J184" i="1"/>
  <c r="J185" i="1"/>
  <c r="J107"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51" i="1"/>
  <c r="J260" i="1"/>
  <c r="J265" i="1"/>
  <c r="J269" i="1"/>
  <c r="J270" i="1"/>
  <c r="J273" i="1"/>
  <c r="J274" i="1"/>
  <c r="J277" i="1"/>
  <c r="J279" i="1"/>
  <c r="J281" i="1"/>
  <c r="J284" i="1"/>
  <c r="J285" i="1"/>
  <c r="J286" i="1"/>
  <c r="J287" i="1"/>
  <c r="J288" i="1"/>
  <c r="J290" i="1"/>
  <c r="J296" i="1"/>
  <c r="J303" i="1"/>
  <c r="J306" i="1"/>
  <c r="J311" i="1"/>
  <c r="J316" i="1"/>
  <c r="J317" i="1"/>
  <c r="J321" i="1"/>
  <c r="J325" i="1"/>
  <c r="J326" i="1"/>
  <c r="J329" i="1"/>
  <c r="J330" i="1"/>
  <c r="J332" i="1"/>
  <c r="J335" i="1"/>
  <c r="J340" i="1"/>
  <c r="H46" i="7"/>
  <c r="H6" i="7"/>
  <c r="G6" i="7"/>
  <c r="E6" i="7"/>
  <c r="F6" i="7"/>
  <c r="G32" i="1"/>
  <c r="F32" i="1"/>
  <c r="G47" i="7"/>
  <c r="I90" i="11"/>
  <c r="H90" i="11"/>
  <c r="G90" i="11"/>
  <c r="F90" i="11"/>
  <c r="E90" i="11"/>
  <c r="D90" i="11"/>
  <c r="I83" i="11"/>
  <c r="H83" i="11"/>
  <c r="G83" i="11"/>
  <c r="F83" i="11"/>
  <c r="E83" i="11"/>
  <c r="D83" i="11"/>
  <c r="I89" i="11"/>
  <c r="H89" i="11"/>
  <c r="G89" i="11"/>
  <c r="F89" i="11"/>
  <c r="E89" i="11"/>
  <c r="D89" i="11"/>
  <c r="D37" i="11"/>
  <c r="F37" i="11"/>
  <c r="E37" i="11"/>
  <c r="F85" i="11"/>
  <c r="I85" i="11"/>
  <c r="H85" i="11"/>
  <c r="G85" i="11"/>
  <c r="E85" i="11"/>
  <c r="D85" i="11"/>
  <c r="G84" i="11"/>
  <c r="I84" i="11"/>
  <c r="H84" i="11"/>
  <c r="F84" i="11"/>
  <c r="E84" i="11"/>
  <c r="D84" i="11"/>
  <c r="H11" i="11"/>
  <c r="G11" i="11"/>
  <c r="F11" i="11"/>
  <c r="E11" i="11"/>
  <c r="P403" i="11"/>
  <c r="Q403" i="11" s="1"/>
  <c r="P404" i="11"/>
  <c r="Q404" i="11" s="1"/>
  <c r="P417" i="11"/>
  <c r="Q417" i="11" s="1"/>
  <c r="P487" i="11"/>
  <c r="Q487" i="11" s="1"/>
  <c r="P500" i="11"/>
  <c r="Q500" i="11" s="1"/>
  <c r="H34" i="1"/>
  <c r="G34" i="1"/>
  <c r="H20" i="10"/>
  <c r="G20" i="10"/>
  <c r="D19" i="10"/>
  <c r="E19" i="10"/>
  <c r="F19" i="10"/>
  <c r="I19" i="10"/>
  <c r="I58" i="6"/>
  <c r="H58" i="6"/>
  <c r="G58" i="6"/>
  <c r="F58" i="6"/>
  <c r="E58" i="6"/>
  <c r="I88" i="11"/>
  <c r="H88" i="11"/>
  <c r="G88" i="11"/>
  <c r="F88" i="11"/>
  <c r="E88" i="11"/>
  <c r="D88" i="11"/>
  <c r="G37" i="11"/>
  <c r="I37" i="11"/>
  <c r="H37" i="11"/>
  <c r="I11" i="11"/>
  <c r="D11" i="11"/>
  <c r="I87" i="11"/>
  <c r="H87" i="11"/>
  <c r="G87" i="11"/>
  <c r="F87" i="11"/>
  <c r="E87" i="11"/>
  <c r="D87" i="11"/>
  <c r="I86" i="11"/>
  <c r="H86" i="11"/>
  <c r="G86" i="11"/>
  <c r="F86" i="11"/>
  <c r="E86" i="11"/>
  <c r="D86" i="11"/>
  <c r="G9" i="11"/>
  <c r="F9" i="11"/>
  <c r="E9" i="11"/>
  <c r="I9" i="11"/>
  <c r="H9" i="11"/>
  <c r="D9" i="11"/>
  <c r="J154" i="11"/>
  <c r="P154" i="11" s="1"/>
  <c r="J432" i="11"/>
  <c r="P432" i="11" s="1"/>
  <c r="Q432" i="11" s="1"/>
  <c r="J409" i="11"/>
  <c r="P409" i="11" s="1"/>
  <c r="J282" i="11"/>
  <c r="P282" i="11" s="1"/>
  <c r="Q282" i="11" s="1"/>
  <c r="J270" i="11"/>
  <c r="P270" i="11" s="1"/>
  <c r="Q270" i="11" s="1"/>
  <c r="J213" i="11"/>
  <c r="P213" i="11" s="1"/>
  <c r="J184" i="11"/>
  <c r="P184" i="11" s="1"/>
  <c r="Q184" i="11" s="1"/>
  <c r="J182" i="11"/>
  <c r="P182" i="11" s="1"/>
  <c r="Q182" i="11" s="1"/>
  <c r="J136" i="11"/>
  <c r="P136" i="11" s="1"/>
  <c r="Q136" i="11" s="1"/>
  <c r="J529" i="11"/>
  <c r="P529" i="11" s="1"/>
  <c r="Q529" i="11" s="1"/>
  <c r="J524" i="11"/>
  <c r="P524" i="11" s="1"/>
  <c r="J520" i="11"/>
  <c r="P520" i="11" s="1"/>
  <c r="J516" i="11"/>
  <c r="P516" i="11" s="1"/>
  <c r="J513" i="11"/>
  <c r="P513" i="11" s="1"/>
  <c r="J507" i="11"/>
  <c r="P507" i="11" s="1"/>
  <c r="J506" i="11"/>
  <c r="P506" i="11" s="1"/>
  <c r="J93" i="11"/>
  <c r="P93" i="11" s="1"/>
  <c r="J486" i="11"/>
  <c r="P486" i="11" s="1"/>
  <c r="Q486" i="11" s="1"/>
  <c r="J481" i="11"/>
  <c r="P481" i="11" s="1"/>
  <c r="J480" i="11"/>
  <c r="P480" i="11" s="1"/>
  <c r="J472" i="11"/>
  <c r="P472" i="11" s="1"/>
  <c r="Q472" i="11" s="1"/>
  <c r="J85" i="11"/>
  <c r="J471" i="11"/>
  <c r="P471" i="11" s="1"/>
  <c r="J470" i="11"/>
  <c r="P470" i="11" s="1"/>
  <c r="J467" i="11"/>
  <c r="P467" i="11" s="1"/>
  <c r="J466" i="11"/>
  <c r="P466" i="11" s="1"/>
  <c r="Q466" i="11" s="1"/>
  <c r="J464" i="11"/>
  <c r="P464" i="11" s="1"/>
  <c r="J463" i="11"/>
  <c r="P463" i="11" s="1"/>
  <c r="Q463" i="11" s="1"/>
  <c r="J461" i="11"/>
  <c r="P461" i="11" s="1"/>
  <c r="Q461" i="11" s="1"/>
  <c r="J459" i="11"/>
  <c r="P459" i="11" s="1"/>
  <c r="Q459" i="11" s="1"/>
  <c r="J458" i="11"/>
  <c r="P458" i="11" s="1"/>
  <c r="Q458" i="11" s="1"/>
  <c r="J455" i="11"/>
  <c r="P455" i="11" s="1"/>
  <c r="J454" i="11"/>
  <c r="P454" i="11" s="1"/>
  <c r="Q454" i="11" s="1"/>
  <c r="J453" i="11"/>
  <c r="P453" i="11" s="1"/>
  <c r="J452" i="11"/>
  <c r="P452" i="11" s="1"/>
  <c r="Q452" i="11" s="1"/>
  <c r="J451" i="11"/>
  <c r="P451" i="11" s="1"/>
  <c r="Q451" i="11" s="1"/>
  <c r="J450" i="11"/>
  <c r="P450" i="11" s="1"/>
  <c r="J447" i="11"/>
  <c r="P447" i="11" s="1"/>
  <c r="J446" i="11"/>
  <c r="P446" i="11" s="1"/>
  <c r="J443" i="11"/>
  <c r="P443" i="11" s="1"/>
  <c r="J441" i="11"/>
  <c r="P441" i="11" s="1"/>
  <c r="J439" i="11"/>
  <c r="P439" i="11" s="1"/>
  <c r="Q439" i="11" s="1"/>
  <c r="J437" i="11"/>
  <c r="P437" i="11" s="1"/>
  <c r="J436" i="11"/>
  <c r="P436" i="11" s="1"/>
  <c r="Q436" i="11" s="1"/>
  <c r="J435" i="11"/>
  <c r="P435" i="11" s="1"/>
  <c r="J434" i="11"/>
  <c r="P434" i="11" s="1"/>
  <c r="J431" i="11"/>
  <c r="P431" i="11" s="1"/>
  <c r="Q431" i="11" s="1"/>
  <c r="J423" i="11"/>
  <c r="P423" i="11" s="1"/>
  <c r="J421" i="11"/>
  <c r="P421" i="11" s="1"/>
  <c r="J420" i="11"/>
  <c r="P420" i="11" s="1"/>
  <c r="J418" i="11"/>
  <c r="P418" i="11" s="1"/>
  <c r="Q418" i="11" s="1"/>
  <c r="J415" i="11"/>
  <c r="P415" i="11" s="1"/>
  <c r="Q415" i="11" s="1"/>
  <c r="J401" i="11"/>
  <c r="P401" i="11" s="1"/>
  <c r="J390" i="11"/>
  <c r="P390" i="11" s="1"/>
  <c r="Q390" i="11" s="1"/>
  <c r="J385" i="11"/>
  <c r="P385" i="11" s="1"/>
  <c r="Q385" i="11" s="1"/>
  <c r="J95" i="11"/>
  <c r="P95" i="11" s="1"/>
  <c r="J384" i="11"/>
  <c r="P384" i="11" s="1"/>
  <c r="Q384" i="11" s="1"/>
  <c r="J381" i="11"/>
  <c r="P381" i="11" s="1"/>
  <c r="J376" i="11"/>
  <c r="P376" i="11" s="1"/>
  <c r="Q376" i="11" s="1"/>
  <c r="J372" i="11"/>
  <c r="P372" i="11" s="1"/>
  <c r="Q372" i="11" s="1"/>
  <c r="J371" i="11"/>
  <c r="P371" i="11" s="1"/>
  <c r="Q371" i="11" s="1"/>
  <c r="J368" i="11"/>
  <c r="P368" i="11" s="1"/>
  <c r="J361" i="11"/>
  <c r="P361" i="11" s="1"/>
  <c r="Q361" i="11" s="1"/>
  <c r="J356" i="11"/>
  <c r="P356" i="11" s="1"/>
  <c r="J347" i="11"/>
  <c r="P347" i="11" s="1"/>
  <c r="Q347" i="11" s="1"/>
  <c r="J346" i="11"/>
  <c r="P346" i="11" s="1"/>
  <c r="J345" i="11"/>
  <c r="P345" i="11" s="1"/>
  <c r="J343" i="11"/>
  <c r="P343" i="11" s="1"/>
  <c r="J341" i="11"/>
  <c r="P341" i="11" s="1"/>
  <c r="Q341" i="11" s="1"/>
  <c r="J338" i="11"/>
  <c r="P338" i="11" s="1"/>
  <c r="Q338" i="11" s="1"/>
  <c r="J335" i="11"/>
  <c r="P335" i="11" s="1"/>
  <c r="Q335" i="11" s="1"/>
  <c r="J328" i="11"/>
  <c r="P328" i="11" s="1"/>
  <c r="J326" i="11"/>
  <c r="P326" i="11" s="1"/>
  <c r="J318" i="11"/>
  <c r="P318" i="11" s="1"/>
  <c r="J316" i="11"/>
  <c r="P316" i="11" s="1"/>
  <c r="J315" i="11"/>
  <c r="P315" i="11" s="1"/>
  <c r="J314" i="11"/>
  <c r="P314" i="11" s="1"/>
  <c r="Q314" i="11" s="1"/>
  <c r="J313" i="11"/>
  <c r="P313" i="11" s="1"/>
  <c r="Q313" i="11" s="1"/>
  <c r="J312" i="11"/>
  <c r="P312" i="11" s="1"/>
  <c r="Q312" i="11" s="1"/>
  <c r="J310" i="11"/>
  <c r="P310" i="11" s="1"/>
  <c r="Q310" i="11" s="1"/>
  <c r="J309" i="11"/>
  <c r="P309" i="11" s="1"/>
  <c r="Q309" i="11" s="1"/>
  <c r="J307" i="11"/>
  <c r="P307" i="11" s="1"/>
  <c r="J306" i="11"/>
  <c r="P306" i="11" s="1"/>
  <c r="Q306" i="11" s="1"/>
  <c r="J305" i="11"/>
  <c r="P305" i="11" s="1"/>
  <c r="J300" i="11"/>
  <c r="P300" i="11" s="1"/>
  <c r="J299" i="11"/>
  <c r="P299" i="11" s="1"/>
  <c r="J292" i="11"/>
  <c r="P292" i="11" s="1"/>
  <c r="J288" i="11"/>
  <c r="P288" i="11" s="1"/>
  <c r="J287" i="11"/>
  <c r="P287" i="11" s="1"/>
  <c r="J285" i="11"/>
  <c r="P285" i="11" s="1"/>
  <c r="Q285" i="11" s="1"/>
  <c r="J281" i="11"/>
  <c r="P281" i="11" s="1"/>
  <c r="Q281" i="11" s="1"/>
  <c r="J280" i="11"/>
  <c r="P280" i="11" s="1"/>
  <c r="J274" i="11"/>
  <c r="P274" i="11" s="1"/>
  <c r="Q274" i="11" s="1"/>
  <c r="J90" i="11"/>
  <c r="J271" i="11"/>
  <c r="P271" i="11" s="1"/>
  <c r="Q271" i="11" s="1"/>
  <c r="J269" i="11"/>
  <c r="P269" i="11" s="1"/>
  <c r="Q269" i="11" s="1"/>
  <c r="J268" i="11"/>
  <c r="P268" i="11" s="1"/>
  <c r="Q268" i="11" s="1"/>
  <c r="J266" i="11"/>
  <c r="P266" i="11" s="1"/>
  <c r="Q266" i="11" s="1"/>
  <c r="J265" i="11"/>
  <c r="P265" i="11" s="1"/>
  <c r="Q265" i="11" s="1"/>
  <c r="J262" i="11"/>
  <c r="P262" i="11" s="1"/>
  <c r="J260" i="11"/>
  <c r="P260" i="11" s="1"/>
  <c r="Q260" i="11" s="1"/>
  <c r="J255" i="11"/>
  <c r="P255" i="11" s="1"/>
  <c r="Q255" i="11" s="1"/>
  <c r="J84" i="11"/>
  <c r="J251" i="11"/>
  <c r="P251" i="11" s="1"/>
  <c r="J249" i="11"/>
  <c r="P249" i="11" s="1"/>
  <c r="J248" i="11"/>
  <c r="P248" i="11" s="1"/>
  <c r="J247" i="11"/>
  <c r="P247" i="11" s="1"/>
  <c r="J245" i="11"/>
  <c r="P245" i="11" s="1"/>
  <c r="Q245" i="11" s="1"/>
  <c r="J243" i="11"/>
  <c r="P243" i="11" s="1"/>
  <c r="Q243" i="11" s="1"/>
  <c r="J242" i="11"/>
  <c r="P242" i="11" s="1"/>
  <c r="Q242" i="11" s="1"/>
  <c r="J241" i="11"/>
  <c r="P241" i="11" s="1"/>
  <c r="J240" i="11"/>
  <c r="P240" i="11" s="1"/>
  <c r="Q240" i="11" s="1"/>
  <c r="J235" i="11"/>
  <c r="P235" i="11" s="1"/>
  <c r="J234" i="11"/>
  <c r="P234" i="11" s="1"/>
  <c r="J232" i="11"/>
  <c r="P232" i="11" s="1"/>
  <c r="Q232" i="11" s="1"/>
  <c r="J231" i="11"/>
  <c r="P231" i="11" s="1"/>
  <c r="Q231" i="11" s="1"/>
  <c r="J230" i="11"/>
  <c r="P230" i="11" s="1"/>
  <c r="Q230" i="11" s="1"/>
  <c r="J229" i="11"/>
  <c r="P229" i="11" s="1"/>
  <c r="Q229" i="11" s="1"/>
  <c r="J228" i="11"/>
  <c r="P228" i="11" s="1"/>
  <c r="Q228" i="11" s="1"/>
  <c r="J227" i="11"/>
  <c r="P227" i="11" s="1"/>
  <c r="Q227" i="11" s="1"/>
  <c r="J222" i="11"/>
  <c r="P222" i="11" s="1"/>
  <c r="J220" i="11"/>
  <c r="P220" i="11" s="1"/>
  <c r="J212" i="11"/>
  <c r="P212" i="11" s="1"/>
  <c r="Q212" i="11" s="1"/>
  <c r="J211" i="11"/>
  <c r="P211" i="11" s="1"/>
  <c r="Q211" i="11" s="1"/>
  <c r="J209" i="11"/>
  <c r="P209" i="11" s="1"/>
  <c r="J207" i="11"/>
  <c r="P207" i="11" s="1"/>
  <c r="J206" i="11"/>
  <c r="P206" i="11" s="1"/>
  <c r="J203" i="11"/>
  <c r="P203" i="11" s="1"/>
  <c r="Q203" i="11" s="1"/>
  <c r="J201" i="11"/>
  <c r="P201" i="11" s="1"/>
  <c r="Q201" i="11" s="1"/>
  <c r="J193" i="11"/>
  <c r="P193" i="11" s="1"/>
  <c r="J191" i="11"/>
  <c r="P191" i="11" s="1"/>
  <c r="J190" i="11"/>
  <c r="P190" i="11" s="1"/>
  <c r="J189" i="11"/>
  <c r="P189" i="11" s="1"/>
  <c r="J178" i="11"/>
  <c r="P178" i="11" s="1"/>
  <c r="J177" i="11"/>
  <c r="P177" i="11" s="1"/>
  <c r="J170" i="11"/>
  <c r="P170" i="11" s="1"/>
  <c r="Q170" i="11" s="1"/>
  <c r="J169" i="11"/>
  <c r="P169" i="11" s="1"/>
  <c r="J160" i="11"/>
  <c r="P160" i="11" s="1"/>
  <c r="Q160" i="11" s="1"/>
  <c r="J159" i="11"/>
  <c r="P159" i="11" s="1"/>
  <c r="Q159" i="11" s="1"/>
  <c r="J158" i="11"/>
  <c r="P158" i="11" s="1"/>
  <c r="Q158" i="11" s="1"/>
  <c r="J156" i="11"/>
  <c r="P156" i="11" s="1"/>
  <c r="J155" i="11"/>
  <c r="P155" i="11" s="1"/>
  <c r="Q155" i="11" s="1"/>
  <c r="J152" i="11"/>
  <c r="P152" i="11" s="1"/>
  <c r="J151" i="11"/>
  <c r="P151" i="11" s="1"/>
  <c r="J147" i="11"/>
  <c r="P147" i="11" s="1"/>
  <c r="Q147" i="11" s="1"/>
  <c r="J141" i="11"/>
  <c r="P141" i="11" s="1"/>
  <c r="Q141" i="11" s="1"/>
  <c r="J139" i="11"/>
  <c r="P139" i="11" s="1"/>
  <c r="J131" i="11"/>
  <c r="P131" i="11" s="1"/>
  <c r="J534" i="11"/>
  <c r="P534" i="11" s="1"/>
  <c r="J533" i="11"/>
  <c r="P533" i="11" s="1"/>
  <c r="Q533" i="11" s="1"/>
  <c r="J532" i="11"/>
  <c r="P532" i="11" s="1"/>
  <c r="Q532" i="11" s="1"/>
  <c r="J531" i="11"/>
  <c r="P531" i="11" s="1"/>
  <c r="Q531" i="11" s="1"/>
  <c r="J528" i="11"/>
  <c r="P528" i="11" s="1"/>
  <c r="Q528" i="11" s="1"/>
  <c r="J527" i="11"/>
  <c r="P527" i="11" s="1"/>
  <c r="J526" i="11"/>
  <c r="P526" i="11" s="1"/>
  <c r="J525" i="11"/>
  <c r="P525" i="11" s="1"/>
  <c r="J523" i="11"/>
  <c r="P523" i="11" s="1"/>
  <c r="Q523" i="11" s="1"/>
  <c r="J522" i="11"/>
  <c r="P522" i="11" s="1"/>
  <c r="J521" i="11"/>
  <c r="P521" i="11" s="1"/>
  <c r="J519" i="11"/>
  <c r="P519" i="11" s="1"/>
  <c r="J515" i="11"/>
  <c r="P515" i="11" s="1"/>
  <c r="Q515" i="11" s="1"/>
  <c r="J514" i="11"/>
  <c r="P514" i="11" s="1"/>
  <c r="J512" i="11"/>
  <c r="P512" i="11" s="1"/>
  <c r="J505" i="11"/>
  <c r="P505" i="11" s="1"/>
  <c r="J503" i="11"/>
  <c r="P503" i="11" s="1"/>
  <c r="J498" i="11"/>
  <c r="P498" i="11" s="1"/>
  <c r="Q498" i="11" s="1"/>
  <c r="J491" i="11"/>
  <c r="P491" i="11" s="1"/>
  <c r="J483" i="11"/>
  <c r="P483" i="11" s="1"/>
  <c r="J479" i="11"/>
  <c r="P479" i="11" s="1"/>
  <c r="J477" i="11"/>
  <c r="P477" i="11" s="1"/>
  <c r="J476" i="11"/>
  <c r="P476" i="11" s="1"/>
  <c r="J475" i="11"/>
  <c r="P475" i="11" s="1"/>
  <c r="J92" i="11"/>
  <c r="P92" i="11" s="1"/>
  <c r="Q92" i="11" s="1"/>
  <c r="J473" i="11"/>
  <c r="P473" i="11" s="1"/>
  <c r="Q473" i="11" s="1"/>
  <c r="J468" i="11"/>
  <c r="P468" i="11" s="1"/>
  <c r="Q468" i="11" s="1"/>
  <c r="J457" i="11"/>
  <c r="P457" i="11" s="1"/>
  <c r="Q457" i="11" s="1"/>
  <c r="J449" i="11"/>
  <c r="P449" i="11" s="1"/>
  <c r="J445" i="11"/>
  <c r="P445" i="11" s="1"/>
  <c r="Q445" i="11" s="1"/>
  <c r="J444" i="11"/>
  <c r="P444" i="11" s="1"/>
  <c r="Q444" i="11" s="1"/>
  <c r="J438" i="11"/>
  <c r="P438" i="11" s="1"/>
  <c r="Q438" i="11" s="1"/>
  <c r="J433" i="11"/>
  <c r="P433" i="11" s="1"/>
  <c r="J430" i="11"/>
  <c r="P430" i="11" s="1"/>
  <c r="Q430" i="11" s="1"/>
  <c r="J429" i="11"/>
  <c r="P429" i="11" s="1"/>
  <c r="Q429" i="11" s="1"/>
  <c r="J428" i="11"/>
  <c r="P428" i="11" s="1"/>
  <c r="Q428" i="11" s="1"/>
  <c r="J427" i="11"/>
  <c r="P427" i="11" s="1"/>
  <c r="J426" i="11"/>
  <c r="P426" i="11" s="1"/>
  <c r="J425" i="11"/>
  <c r="P425" i="11" s="1"/>
  <c r="J422" i="11"/>
  <c r="P422" i="11" s="1"/>
  <c r="J416" i="11"/>
  <c r="P416" i="11" s="1"/>
  <c r="J414" i="11"/>
  <c r="P414" i="11" s="1"/>
  <c r="Q414" i="11" s="1"/>
  <c r="J411" i="11"/>
  <c r="P411" i="11" s="1"/>
  <c r="J400" i="11"/>
  <c r="P400" i="11" s="1"/>
  <c r="Q400" i="11" s="1"/>
  <c r="J398" i="11"/>
  <c r="P398" i="11" s="1"/>
  <c r="Q398" i="11" s="1"/>
  <c r="J396" i="11"/>
  <c r="P396" i="11" s="1"/>
  <c r="J395" i="11"/>
  <c r="P395" i="11" s="1"/>
  <c r="J394" i="11"/>
  <c r="P394" i="11" s="1"/>
  <c r="Q394" i="11" s="1"/>
  <c r="J389" i="11"/>
  <c r="P389" i="11" s="1"/>
  <c r="Q389" i="11" s="1"/>
  <c r="J377" i="11"/>
  <c r="P377" i="11" s="1"/>
  <c r="Q377" i="11" s="1"/>
  <c r="J373" i="11"/>
  <c r="P373" i="11" s="1"/>
  <c r="J366" i="11"/>
  <c r="P366" i="11" s="1"/>
  <c r="Q366" i="11" s="1"/>
  <c r="J365" i="11"/>
  <c r="P365" i="11" s="1"/>
  <c r="Q365" i="11" s="1"/>
  <c r="J364" i="11"/>
  <c r="P364" i="11" s="1"/>
  <c r="Q364" i="11" s="1"/>
  <c r="J363" i="11"/>
  <c r="P363" i="11" s="1"/>
  <c r="Q363" i="11" s="1"/>
  <c r="J358" i="11"/>
  <c r="P358" i="11" s="1"/>
  <c r="J352" i="11"/>
  <c r="P352" i="11" s="1"/>
  <c r="Q352" i="11" s="1"/>
  <c r="J349" i="11"/>
  <c r="P349" i="11" s="1"/>
  <c r="Q349" i="11" s="1"/>
  <c r="J344" i="11"/>
  <c r="P344" i="11" s="1"/>
  <c r="J340" i="11"/>
  <c r="P340" i="11" s="1"/>
  <c r="Q340" i="11" s="1"/>
  <c r="J339" i="11"/>
  <c r="P339" i="11" s="1"/>
  <c r="Q339" i="11" s="1"/>
  <c r="J334" i="11"/>
  <c r="P334" i="11" s="1"/>
  <c r="J333" i="11"/>
  <c r="P333" i="11" s="1"/>
  <c r="J331" i="11"/>
  <c r="P331" i="11" s="1"/>
  <c r="J330" i="11"/>
  <c r="P330" i="11" s="1"/>
  <c r="J329" i="11"/>
  <c r="P329" i="11" s="1"/>
  <c r="Q329" i="11" s="1"/>
  <c r="J327" i="11"/>
  <c r="P327" i="11" s="1"/>
  <c r="Q327" i="11" s="1"/>
  <c r="J322" i="11"/>
  <c r="P322" i="11" s="1"/>
  <c r="Q322" i="11" s="1"/>
  <c r="J311" i="11"/>
  <c r="P311" i="11" s="1"/>
  <c r="Q311" i="11" s="1"/>
  <c r="J308" i="11"/>
  <c r="P308" i="11" s="1"/>
  <c r="Q308" i="11" s="1"/>
  <c r="J302" i="11"/>
  <c r="P302" i="11" s="1"/>
  <c r="J296" i="11"/>
  <c r="P296" i="11" s="1"/>
  <c r="Q296" i="11" s="1"/>
  <c r="J293" i="11"/>
  <c r="P293" i="11" s="1"/>
  <c r="Q293" i="11" s="1"/>
  <c r="J291" i="11"/>
  <c r="P291" i="11" s="1"/>
  <c r="Q291" i="11" s="1"/>
  <c r="J290" i="11"/>
  <c r="P290" i="11" s="1"/>
  <c r="J284" i="11"/>
  <c r="P284" i="11" s="1"/>
  <c r="Q284" i="11" s="1"/>
  <c r="J283" i="11"/>
  <c r="P283" i="11" s="1"/>
  <c r="Q283" i="11" s="1"/>
  <c r="J278" i="11"/>
  <c r="P278" i="11" s="1"/>
  <c r="J277" i="11"/>
  <c r="P277" i="11" s="1"/>
  <c r="Q277" i="11" s="1"/>
  <c r="J83" i="11"/>
  <c r="J273" i="11"/>
  <c r="P273" i="11" s="1"/>
  <c r="J263" i="11"/>
  <c r="P263" i="11" s="1"/>
  <c r="J258" i="11"/>
  <c r="P258" i="11" s="1"/>
  <c r="Q258" i="11" s="1"/>
  <c r="J256" i="11"/>
  <c r="P256" i="11" s="1"/>
  <c r="Q256" i="11" s="1"/>
  <c r="J253" i="11"/>
  <c r="P253" i="11" s="1"/>
  <c r="Q253" i="11" s="1"/>
  <c r="J246" i="11"/>
  <c r="P246" i="11" s="1"/>
  <c r="J239" i="11"/>
  <c r="P239" i="11" s="1"/>
  <c r="Q239" i="11" s="1"/>
  <c r="J236" i="11"/>
  <c r="P236" i="11" s="1"/>
  <c r="J233" i="11"/>
  <c r="P233" i="11" s="1"/>
  <c r="J226" i="11"/>
  <c r="P226" i="11" s="1"/>
  <c r="Q226" i="11" s="1"/>
  <c r="J225" i="11"/>
  <c r="P225" i="11" s="1"/>
  <c r="J224" i="11"/>
  <c r="P224" i="11" s="1"/>
  <c r="Q224" i="11" s="1"/>
  <c r="J221" i="11"/>
  <c r="P221" i="11" s="1"/>
  <c r="J214" i="11"/>
  <c r="P214" i="11" s="1"/>
  <c r="Q214" i="11" s="1"/>
  <c r="J208" i="11"/>
  <c r="P208" i="11" s="1"/>
  <c r="J204" i="11"/>
  <c r="P204" i="11" s="1"/>
  <c r="Q204" i="11" s="1"/>
  <c r="J200" i="11"/>
  <c r="P200" i="11" s="1"/>
  <c r="Q200" i="11" s="1"/>
  <c r="J199" i="11"/>
  <c r="P199" i="11" s="1"/>
  <c r="Q199" i="11" s="1"/>
  <c r="J198" i="11"/>
  <c r="P198" i="11" s="1"/>
  <c r="J195" i="11"/>
  <c r="P195" i="11" s="1"/>
  <c r="Q195" i="11" s="1"/>
  <c r="J192" i="11"/>
  <c r="P192" i="11" s="1"/>
  <c r="J181" i="11"/>
  <c r="P181" i="11" s="1"/>
  <c r="Q181" i="11" s="1"/>
  <c r="J176" i="11"/>
  <c r="P176" i="11" s="1"/>
  <c r="J172" i="11"/>
  <c r="P172" i="11" s="1"/>
  <c r="Q172" i="11" s="1"/>
  <c r="P97" i="11"/>
  <c r="J153" i="11"/>
  <c r="P153" i="11" s="1"/>
  <c r="Q153" i="11" s="1"/>
  <c r="J150" i="11"/>
  <c r="P150" i="11" s="1"/>
  <c r="J144" i="11"/>
  <c r="P144" i="11" s="1"/>
  <c r="J142" i="11"/>
  <c r="P142" i="11" s="1"/>
  <c r="Q142" i="11" s="1"/>
  <c r="J138" i="11"/>
  <c r="P138" i="11" s="1"/>
  <c r="J132" i="11"/>
  <c r="P132" i="11" s="1"/>
  <c r="Q132" i="11" s="1"/>
  <c r="J133" i="11"/>
  <c r="P133" i="11" s="1"/>
  <c r="J530" i="11"/>
  <c r="P530" i="11" s="1"/>
  <c r="Q530" i="11" s="1"/>
  <c r="J518" i="11"/>
  <c r="P518" i="11" s="1"/>
  <c r="J517" i="11"/>
  <c r="P517" i="11" s="1"/>
  <c r="Q517" i="11" s="1"/>
  <c r="J511" i="11"/>
  <c r="P511" i="11" s="1"/>
  <c r="J510" i="11"/>
  <c r="P510" i="11" s="1"/>
  <c r="J509" i="11"/>
  <c r="P509" i="11" s="1"/>
  <c r="J508" i="11"/>
  <c r="P508" i="11" s="1"/>
  <c r="Q508" i="11" s="1"/>
  <c r="J504" i="11"/>
  <c r="P504" i="11" s="1"/>
  <c r="J502" i="11"/>
  <c r="P502" i="11" s="1"/>
  <c r="Q502" i="11" s="1"/>
  <c r="J501" i="11"/>
  <c r="P501" i="11" s="1"/>
  <c r="Q501" i="11" s="1"/>
  <c r="J499" i="11"/>
  <c r="P499" i="11" s="1"/>
  <c r="Q499" i="11" s="1"/>
  <c r="J497" i="11"/>
  <c r="P497" i="11" s="1"/>
  <c r="Q497" i="11" s="1"/>
  <c r="J496" i="11"/>
  <c r="P496" i="11" s="1"/>
  <c r="J495" i="11"/>
  <c r="P495" i="11" s="1"/>
  <c r="Q495" i="11" s="1"/>
  <c r="J94" i="11"/>
  <c r="P94" i="11" s="1"/>
  <c r="J494" i="11"/>
  <c r="P494" i="11" s="1"/>
  <c r="J493" i="11"/>
  <c r="P493" i="11" s="1"/>
  <c r="Q493" i="11" s="1"/>
  <c r="J492" i="11"/>
  <c r="P492" i="11" s="1"/>
  <c r="J490" i="11"/>
  <c r="P490" i="11" s="1"/>
  <c r="J489" i="11"/>
  <c r="P489" i="11" s="1"/>
  <c r="J488" i="11"/>
  <c r="P488" i="11" s="1"/>
  <c r="Q488" i="11" s="1"/>
  <c r="J485" i="11"/>
  <c r="P485" i="11" s="1"/>
  <c r="Q485" i="11" s="1"/>
  <c r="J484" i="11"/>
  <c r="P484" i="11" s="1"/>
  <c r="Q484" i="11" s="1"/>
  <c r="J482" i="11"/>
  <c r="P482" i="11" s="1"/>
  <c r="Q482" i="11" s="1"/>
  <c r="J96" i="11"/>
  <c r="P96" i="11" s="1"/>
  <c r="Q96" i="11" s="1"/>
  <c r="J478" i="11"/>
  <c r="P478" i="11" s="1"/>
  <c r="J474" i="11"/>
  <c r="P474" i="11" s="1"/>
  <c r="Q474" i="11" s="1"/>
  <c r="J469" i="11"/>
  <c r="P469" i="11" s="1"/>
  <c r="Q469" i="11" s="1"/>
  <c r="J465" i="11"/>
  <c r="P465" i="11" s="1"/>
  <c r="J462" i="11"/>
  <c r="P462" i="11" s="1"/>
  <c r="J460" i="11"/>
  <c r="P460" i="11" s="1"/>
  <c r="Q460" i="11" s="1"/>
  <c r="J456" i="11"/>
  <c r="P456" i="11" s="1"/>
  <c r="Q456" i="11" s="1"/>
  <c r="J448" i="11"/>
  <c r="P448" i="11" s="1"/>
  <c r="J442" i="11"/>
  <c r="P442" i="11" s="1"/>
  <c r="Q442" i="11" s="1"/>
  <c r="J440" i="11"/>
  <c r="P440" i="11" s="1"/>
  <c r="J424" i="11"/>
  <c r="P424" i="11" s="1"/>
  <c r="J419" i="11"/>
  <c r="P419" i="11" s="1"/>
  <c r="Q419" i="11" s="1"/>
  <c r="J413" i="11"/>
  <c r="P413" i="11" s="1"/>
  <c r="J412" i="11"/>
  <c r="P412" i="11" s="1"/>
  <c r="Q412" i="11" s="1"/>
  <c r="J410" i="11"/>
  <c r="P410" i="11" s="1"/>
  <c r="J408" i="11"/>
  <c r="P408" i="11" s="1"/>
  <c r="J407" i="11"/>
  <c r="P407" i="11" s="1"/>
  <c r="J406" i="11"/>
  <c r="P406" i="11" s="1"/>
  <c r="Q406" i="11" s="1"/>
  <c r="J405" i="11"/>
  <c r="P405" i="11" s="1"/>
  <c r="Q405" i="11" s="1"/>
  <c r="J402" i="11"/>
  <c r="P402" i="11" s="1"/>
  <c r="Q402" i="11" s="1"/>
  <c r="J14" i="11"/>
  <c r="Q14" i="11" s="1"/>
  <c r="J399" i="11"/>
  <c r="P399" i="11" s="1"/>
  <c r="J397" i="11"/>
  <c r="P397" i="11" s="1"/>
  <c r="J393" i="11"/>
  <c r="P393" i="11" s="1"/>
  <c r="J392" i="11"/>
  <c r="P392" i="11" s="1"/>
  <c r="Q392" i="11" s="1"/>
  <c r="J391" i="11"/>
  <c r="P391" i="11" s="1"/>
  <c r="Q391" i="11" s="1"/>
  <c r="J388" i="11"/>
  <c r="P388" i="11" s="1"/>
  <c r="Q388" i="11" s="1"/>
  <c r="J387" i="11"/>
  <c r="P387" i="11" s="1"/>
  <c r="J386" i="11"/>
  <c r="P386" i="11" s="1"/>
  <c r="Q386" i="11" s="1"/>
  <c r="J383" i="11"/>
  <c r="P383" i="11" s="1"/>
  <c r="J382" i="11"/>
  <c r="P382" i="11" s="1"/>
  <c r="J380" i="11"/>
  <c r="P380" i="11" s="1"/>
  <c r="Q380" i="11" s="1"/>
  <c r="J379" i="11"/>
  <c r="P379" i="11" s="1"/>
  <c r="Q379" i="11" s="1"/>
  <c r="J378" i="11"/>
  <c r="P378" i="11" s="1"/>
  <c r="J375" i="11"/>
  <c r="P375" i="11" s="1"/>
  <c r="Q375" i="11" s="1"/>
  <c r="J374" i="11"/>
  <c r="P374" i="11" s="1"/>
  <c r="J370" i="11"/>
  <c r="P370" i="11" s="1"/>
  <c r="Q370" i="11" s="1"/>
  <c r="J369" i="11"/>
  <c r="P369" i="11" s="1"/>
  <c r="J367" i="11"/>
  <c r="P367" i="11" s="1"/>
  <c r="J362" i="11"/>
  <c r="P362" i="11" s="1"/>
  <c r="Q362" i="11" s="1"/>
  <c r="J360" i="11"/>
  <c r="P360" i="11" s="1"/>
  <c r="J359" i="11"/>
  <c r="P359" i="11" s="1"/>
  <c r="J357" i="11"/>
  <c r="P357" i="11" s="1"/>
  <c r="J355" i="11"/>
  <c r="P355" i="11" s="1"/>
  <c r="Q355" i="11" s="1"/>
  <c r="J354" i="11"/>
  <c r="P354" i="11" s="1"/>
  <c r="Q354" i="11" s="1"/>
  <c r="J353" i="11"/>
  <c r="P353" i="11" s="1"/>
  <c r="Q353" i="11" s="1"/>
  <c r="J351" i="11"/>
  <c r="P351" i="11" s="1"/>
  <c r="J350" i="11"/>
  <c r="P350" i="11" s="1"/>
  <c r="J348" i="11"/>
  <c r="P348" i="11" s="1"/>
  <c r="J342" i="11"/>
  <c r="P342" i="11" s="1"/>
  <c r="Q342" i="11" s="1"/>
  <c r="J337" i="11"/>
  <c r="P337" i="11" s="1"/>
  <c r="Q337" i="11" s="1"/>
  <c r="J336" i="11"/>
  <c r="P336" i="11" s="1"/>
  <c r="J332" i="11"/>
  <c r="P332" i="11" s="1"/>
  <c r="J325" i="11"/>
  <c r="P325" i="11" s="1"/>
  <c r="J324" i="11"/>
  <c r="P324" i="11" s="1"/>
  <c r="Q324" i="11" s="1"/>
  <c r="J323" i="11"/>
  <c r="P323" i="11" s="1"/>
  <c r="J321" i="11"/>
  <c r="P321" i="11" s="1"/>
  <c r="Q321" i="11" s="1"/>
  <c r="J320" i="11"/>
  <c r="P320" i="11" s="1"/>
  <c r="J319" i="11"/>
  <c r="P319" i="11" s="1"/>
  <c r="Q319" i="11" s="1"/>
  <c r="J317" i="11"/>
  <c r="P317" i="11" s="1"/>
  <c r="J304" i="11"/>
  <c r="P304" i="11" s="1"/>
  <c r="Q304" i="11" s="1"/>
  <c r="J303" i="11"/>
  <c r="P303" i="11" s="1"/>
  <c r="J301" i="11"/>
  <c r="P301" i="11" s="1"/>
  <c r="J298" i="11"/>
  <c r="P298" i="11" s="1"/>
  <c r="Q298" i="11" s="1"/>
  <c r="J297" i="11"/>
  <c r="P297" i="11" s="1"/>
  <c r="Q297" i="11" s="1"/>
  <c r="J295" i="11"/>
  <c r="P295" i="11" s="1"/>
  <c r="Q295" i="11" s="1"/>
  <c r="J294" i="11"/>
  <c r="P294" i="11" s="1"/>
  <c r="Q294" i="11" s="1"/>
  <c r="J289" i="11"/>
  <c r="P289" i="11" s="1"/>
  <c r="J286" i="11"/>
  <c r="P286" i="11" s="1"/>
  <c r="J279" i="11"/>
  <c r="P279" i="11" s="1"/>
  <c r="Q279" i="11" s="1"/>
  <c r="J276" i="11"/>
  <c r="P276" i="11" s="1"/>
  <c r="J275" i="11"/>
  <c r="P275" i="11" s="1"/>
  <c r="J272" i="11"/>
  <c r="P272" i="11" s="1"/>
  <c r="Q272" i="11" s="1"/>
  <c r="J267" i="11"/>
  <c r="P267" i="11" s="1"/>
  <c r="J264" i="11"/>
  <c r="P264" i="11" s="1"/>
  <c r="J89" i="11"/>
  <c r="J261" i="11"/>
  <c r="P261" i="11" s="1"/>
  <c r="J259" i="11"/>
  <c r="P259" i="11" s="1"/>
  <c r="Q259" i="11" s="1"/>
  <c r="J257" i="11"/>
  <c r="P257" i="11" s="1"/>
  <c r="Q257" i="11" s="1"/>
  <c r="J254" i="11"/>
  <c r="P254" i="11" s="1"/>
  <c r="Q254" i="11" s="1"/>
  <c r="J252" i="11"/>
  <c r="P252" i="11" s="1"/>
  <c r="Q252" i="11" s="1"/>
  <c r="J250" i="11"/>
  <c r="P250" i="11" s="1"/>
  <c r="J244" i="11"/>
  <c r="P244" i="11" s="1"/>
  <c r="Q244" i="11" s="1"/>
  <c r="J238" i="11"/>
  <c r="P238" i="11" s="1"/>
  <c r="J237" i="11"/>
  <c r="P237" i="11" s="1"/>
  <c r="Q237" i="11" s="1"/>
  <c r="J223" i="11"/>
  <c r="P223" i="11" s="1"/>
  <c r="J219" i="11"/>
  <c r="P219" i="11" s="1"/>
  <c r="J218" i="11"/>
  <c r="P218" i="11" s="1"/>
  <c r="Q218" i="11" s="1"/>
  <c r="J217" i="11"/>
  <c r="P217" i="11" s="1"/>
  <c r="Q217" i="11" s="1"/>
  <c r="J216" i="11"/>
  <c r="P216" i="11" s="1"/>
  <c r="Q216" i="11" s="1"/>
  <c r="J215" i="11"/>
  <c r="P215" i="11" s="1"/>
  <c r="Q215" i="11" s="1"/>
  <c r="J210" i="11"/>
  <c r="P210" i="11" s="1"/>
  <c r="Q210" i="11" s="1"/>
  <c r="J205" i="11"/>
  <c r="P205" i="11" s="1"/>
  <c r="J202" i="11"/>
  <c r="P202" i="11" s="1"/>
  <c r="Q202" i="11" s="1"/>
  <c r="J197" i="11"/>
  <c r="P197" i="11" s="1"/>
  <c r="Q197" i="11" s="1"/>
  <c r="J196" i="11"/>
  <c r="P196" i="11" s="1"/>
  <c r="Q196" i="11" s="1"/>
  <c r="J194" i="11"/>
  <c r="P194" i="11" s="1"/>
  <c r="J188" i="11"/>
  <c r="P188" i="11" s="1"/>
  <c r="J187" i="11"/>
  <c r="P187" i="11" s="1"/>
  <c r="Q187" i="11" s="1"/>
  <c r="J186" i="11"/>
  <c r="P186" i="11" s="1"/>
  <c r="Q186" i="11" s="1"/>
  <c r="J185" i="11"/>
  <c r="P185" i="11" s="1"/>
  <c r="Q185" i="11" s="1"/>
  <c r="J183" i="11"/>
  <c r="P183" i="11" s="1"/>
  <c r="J180" i="11"/>
  <c r="P180" i="11" s="1"/>
  <c r="J179" i="11"/>
  <c r="P179" i="11" s="1"/>
  <c r="J175" i="11"/>
  <c r="P175" i="11" s="1"/>
  <c r="J174" i="11"/>
  <c r="P174" i="11" s="1"/>
  <c r="Q174" i="11" s="1"/>
  <c r="J173" i="11"/>
  <c r="P173" i="11" s="1"/>
  <c r="Q173" i="11" s="1"/>
  <c r="J171" i="11"/>
  <c r="P171" i="11" s="1"/>
  <c r="Q171" i="11" s="1"/>
  <c r="J168" i="11"/>
  <c r="P168" i="11" s="1"/>
  <c r="Q168" i="11" s="1"/>
  <c r="J167" i="11"/>
  <c r="P167" i="11" s="1"/>
  <c r="Q167" i="11" s="1"/>
  <c r="J166" i="11"/>
  <c r="P166" i="11" s="1"/>
  <c r="J165" i="11"/>
  <c r="P165" i="11" s="1"/>
  <c r="Q165" i="11" s="1"/>
  <c r="J164" i="11"/>
  <c r="P164" i="11" s="1"/>
  <c r="J163" i="11"/>
  <c r="P163" i="11" s="1"/>
  <c r="J162" i="11"/>
  <c r="P162" i="11" s="1"/>
  <c r="J161" i="11"/>
  <c r="P161" i="11" s="1"/>
  <c r="J157" i="11"/>
  <c r="P157" i="11" s="1"/>
  <c r="Q157" i="11" s="1"/>
  <c r="J149" i="11"/>
  <c r="P149" i="11" s="1"/>
  <c r="J148" i="11"/>
  <c r="P148" i="11" s="1"/>
  <c r="Q148" i="11" s="1"/>
  <c r="J146" i="11"/>
  <c r="P146" i="11" s="1"/>
  <c r="J145" i="11"/>
  <c r="P145" i="11" s="1"/>
  <c r="J143" i="11"/>
  <c r="P143" i="11" s="1"/>
  <c r="J140" i="11"/>
  <c r="P140" i="11" s="1"/>
  <c r="J137" i="11"/>
  <c r="P137" i="11" s="1"/>
  <c r="J135" i="11"/>
  <c r="P135" i="11" s="1"/>
  <c r="J134" i="11"/>
  <c r="P134" i="11" s="1"/>
  <c r="J130" i="11"/>
  <c r="P130" i="11" s="1"/>
  <c r="J37" i="11"/>
  <c r="J121" i="11"/>
  <c r="P121" i="11" s="1"/>
  <c r="J88" i="11"/>
  <c r="J129" i="11"/>
  <c r="P129" i="11" s="1"/>
  <c r="J127" i="11"/>
  <c r="P127" i="11" s="1"/>
  <c r="J125" i="11"/>
  <c r="J124" i="11"/>
  <c r="P124" i="11" s="1"/>
  <c r="J11" i="11"/>
  <c r="J113" i="11"/>
  <c r="P113" i="11" s="1"/>
  <c r="J112" i="11"/>
  <c r="P112" i="11" s="1"/>
  <c r="J111" i="11"/>
  <c r="P111" i="11" s="1"/>
  <c r="J108" i="11"/>
  <c r="J123" i="11"/>
  <c r="P123" i="11" s="1"/>
  <c r="J122" i="11"/>
  <c r="P122" i="11" s="1"/>
  <c r="J114" i="11"/>
  <c r="P114" i="11" s="1"/>
  <c r="J110" i="11"/>
  <c r="J109" i="11"/>
  <c r="J107" i="11"/>
  <c r="P107" i="11" s="1"/>
  <c r="J103" i="11"/>
  <c r="P103" i="11" s="1"/>
  <c r="J100" i="11"/>
  <c r="P100" i="11" s="1"/>
  <c r="J9" i="11"/>
  <c r="J331" i="10"/>
  <c r="P331" i="10" s="1"/>
  <c r="J128" i="11"/>
  <c r="P128" i="11" s="1"/>
  <c r="Q128" i="11" s="1"/>
  <c r="J126" i="11"/>
  <c r="J120" i="11"/>
  <c r="P120" i="11" s="1"/>
  <c r="J119" i="11"/>
  <c r="P119" i="11" s="1"/>
  <c r="J118" i="11"/>
  <c r="P118" i="11" s="1"/>
  <c r="Q118" i="11" s="1"/>
  <c r="J117" i="11"/>
  <c r="P117" i="11" s="1"/>
  <c r="J116" i="11"/>
  <c r="J115" i="11"/>
  <c r="J106" i="11"/>
  <c r="J105" i="11"/>
  <c r="P105" i="11" s="1"/>
  <c r="J104" i="11"/>
  <c r="P104" i="11" s="1"/>
  <c r="J102" i="11"/>
  <c r="P102" i="11" s="1"/>
  <c r="J101" i="11"/>
  <c r="P101" i="11" s="1"/>
  <c r="J87" i="11"/>
  <c r="J86" i="11"/>
  <c r="J99" i="11"/>
  <c r="P99" i="11" s="1"/>
  <c r="J98" i="11"/>
  <c r="P98" i="11" s="1"/>
  <c r="Q98" i="11" s="1"/>
  <c r="J515" i="10"/>
  <c r="P515" i="10" s="1"/>
  <c r="I60" i="10"/>
  <c r="H60" i="10"/>
  <c r="G60" i="10"/>
  <c r="F60" i="10"/>
  <c r="E60" i="10"/>
  <c r="D60" i="10"/>
  <c r="I59" i="10"/>
  <c r="H59" i="10"/>
  <c r="G59" i="10"/>
  <c r="F59" i="10"/>
  <c r="E59" i="10"/>
  <c r="D59" i="10"/>
  <c r="I499" i="10"/>
  <c r="H499" i="10"/>
  <c r="G499" i="10"/>
  <c r="F499" i="10"/>
  <c r="E499" i="10"/>
  <c r="D499" i="10"/>
  <c r="I319" i="10"/>
  <c r="H319" i="10"/>
  <c r="G319" i="10"/>
  <c r="F319" i="10"/>
  <c r="E319" i="10"/>
  <c r="D319" i="10"/>
  <c r="I58" i="10"/>
  <c r="H58" i="10"/>
  <c r="G58" i="10"/>
  <c r="F58" i="10"/>
  <c r="E58" i="10"/>
  <c r="D58" i="10"/>
  <c r="I57" i="10"/>
  <c r="H57" i="10"/>
  <c r="G57" i="10"/>
  <c r="F57" i="10"/>
  <c r="E57" i="10"/>
  <c r="D57" i="10"/>
  <c r="I498" i="10"/>
  <c r="H498" i="10"/>
  <c r="G498" i="10"/>
  <c r="F498" i="10"/>
  <c r="E498" i="10"/>
  <c r="D498" i="10"/>
  <c r="I56" i="10"/>
  <c r="H56" i="10"/>
  <c r="G56" i="10"/>
  <c r="F56" i="10"/>
  <c r="E56" i="10"/>
  <c r="D56" i="10"/>
  <c r="I55" i="10"/>
  <c r="H55" i="10"/>
  <c r="G55" i="10"/>
  <c r="F55" i="10"/>
  <c r="E55" i="10"/>
  <c r="D55" i="10"/>
  <c r="I318" i="10"/>
  <c r="H318" i="10"/>
  <c r="G318" i="10"/>
  <c r="F318" i="10"/>
  <c r="E318" i="10"/>
  <c r="D318" i="10"/>
  <c r="I497" i="10"/>
  <c r="H497" i="10"/>
  <c r="G497" i="10"/>
  <c r="F497" i="10"/>
  <c r="E497" i="10"/>
  <c r="D497" i="10"/>
  <c r="I54" i="10"/>
  <c r="H54" i="10"/>
  <c r="G54" i="10"/>
  <c r="F54" i="10"/>
  <c r="E54" i="10"/>
  <c r="D54" i="10"/>
  <c r="I496" i="10"/>
  <c r="H496" i="10"/>
  <c r="G496" i="10"/>
  <c r="F496" i="10"/>
  <c r="E496" i="10"/>
  <c r="D496" i="10"/>
  <c r="I53" i="10"/>
  <c r="H53" i="10"/>
  <c r="G53" i="10"/>
  <c r="F53" i="10"/>
  <c r="E53" i="10"/>
  <c r="D53" i="10"/>
  <c r="I317" i="10"/>
  <c r="H317" i="10"/>
  <c r="G317" i="10"/>
  <c r="F317" i="10"/>
  <c r="E317" i="10"/>
  <c r="D317" i="10"/>
  <c r="I52" i="10"/>
  <c r="H52" i="10"/>
  <c r="G52" i="10"/>
  <c r="F52" i="10"/>
  <c r="E52" i="10"/>
  <c r="D52" i="10"/>
  <c r="I51" i="10"/>
  <c r="H51" i="10"/>
  <c r="G51" i="10"/>
  <c r="F51" i="10"/>
  <c r="E51" i="10"/>
  <c r="D51" i="10"/>
  <c r="I316" i="10"/>
  <c r="H316" i="10"/>
  <c r="G316" i="10"/>
  <c r="F316" i="10"/>
  <c r="E316" i="10"/>
  <c r="D316" i="10"/>
  <c r="I49" i="10"/>
  <c r="H49" i="10"/>
  <c r="G49" i="10"/>
  <c r="F49" i="10"/>
  <c r="E49" i="10"/>
  <c r="D49" i="10"/>
  <c r="I50" i="10"/>
  <c r="H50" i="10"/>
  <c r="G50" i="10"/>
  <c r="F50" i="10"/>
  <c r="E50" i="10"/>
  <c r="D50" i="10"/>
  <c r="I48" i="10"/>
  <c r="H48" i="10"/>
  <c r="G48" i="10"/>
  <c r="F48" i="10"/>
  <c r="E48" i="10"/>
  <c r="D48" i="10"/>
  <c r="I47" i="10"/>
  <c r="H47" i="10"/>
  <c r="G47" i="10"/>
  <c r="F47" i="10"/>
  <c r="E47" i="10"/>
  <c r="D47" i="10"/>
  <c r="I46" i="10"/>
  <c r="H46" i="10"/>
  <c r="G46" i="10"/>
  <c r="F46" i="10"/>
  <c r="E46" i="10"/>
  <c r="D46" i="10"/>
  <c r="I495" i="10"/>
  <c r="H495" i="10"/>
  <c r="G495" i="10"/>
  <c r="F495" i="10"/>
  <c r="E495" i="10"/>
  <c r="D495" i="10"/>
  <c r="I315" i="10"/>
  <c r="H315" i="10"/>
  <c r="G315" i="10"/>
  <c r="F315" i="10"/>
  <c r="E315" i="10"/>
  <c r="D315" i="10"/>
  <c r="I494" i="10"/>
  <c r="H494" i="10"/>
  <c r="G494" i="10"/>
  <c r="F494" i="10"/>
  <c r="E494" i="10"/>
  <c r="D494" i="10"/>
  <c r="I314" i="10"/>
  <c r="H314" i="10"/>
  <c r="G314" i="10"/>
  <c r="F314" i="10"/>
  <c r="E314" i="10"/>
  <c r="D314" i="10"/>
  <c r="I44" i="10"/>
  <c r="H44" i="10"/>
  <c r="G44" i="10"/>
  <c r="F44" i="10"/>
  <c r="E44" i="10"/>
  <c r="D44" i="10"/>
  <c r="I43" i="10"/>
  <c r="H43" i="10"/>
  <c r="G43" i="10"/>
  <c r="F43" i="10"/>
  <c r="E43" i="10"/>
  <c r="D43" i="10"/>
  <c r="I42" i="10"/>
  <c r="H42" i="10"/>
  <c r="G42" i="10"/>
  <c r="F42" i="10"/>
  <c r="E42" i="10"/>
  <c r="D42" i="10"/>
  <c r="I41" i="10"/>
  <c r="H41" i="10"/>
  <c r="G41" i="10"/>
  <c r="F41" i="10"/>
  <c r="E41" i="10"/>
  <c r="D41" i="10"/>
  <c r="I40" i="10"/>
  <c r="H40" i="10"/>
  <c r="G40" i="10"/>
  <c r="F40" i="10"/>
  <c r="E40" i="10"/>
  <c r="D40" i="10"/>
  <c r="I313" i="10"/>
  <c r="H313" i="10"/>
  <c r="G313" i="10"/>
  <c r="F313" i="10"/>
  <c r="E313" i="10"/>
  <c r="D313" i="10"/>
  <c r="I312" i="10"/>
  <c r="H312" i="10"/>
  <c r="G312" i="10"/>
  <c r="F312" i="10"/>
  <c r="E312" i="10"/>
  <c r="D312" i="10"/>
  <c r="I39" i="10"/>
  <c r="H39" i="10"/>
  <c r="G39" i="10"/>
  <c r="F39" i="10"/>
  <c r="E39" i="10"/>
  <c r="D39" i="10"/>
  <c r="I38" i="10"/>
  <c r="H38" i="10"/>
  <c r="G38" i="10"/>
  <c r="F38" i="10"/>
  <c r="E38" i="10"/>
  <c r="D38" i="10"/>
  <c r="I37" i="10"/>
  <c r="H37" i="10"/>
  <c r="G37" i="10"/>
  <c r="F37" i="10"/>
  <c r="E37" i="10"/>
  <c r="D37" i="10"/>
  <c r="I36" i="10"/>
  <c r="H36" i="10"/>
  <c r="G36" i="10"/>
  <c r="F36" i="10"/>
  <c r="E36" i="10"/>
  <c r="D36" i="10"/>
  <c r="I35" i="10"/>
  <c r="H35" i="10"/>
  <c r="G35" i="10"/>
  <c r="F35" i="10"/>
  <c r="E35" i="10"/>
  <c r="D35" i="10"/>
  <c r="I34" i="10"/>
  <c r="H34" i="10"/>
  <c r="G34" i="10"/>
  <c r="F34" i="10"/>
  <c r="E34" i="10"/>
  <c r="D34" i="10"/>
  <c r="I311" i="10"/>
  <c r="H311" i="10"/>
  <c r="G311" i="10"/>
  <c r="F311" i="10"/>
  <c r="E311" i="10"/>
  <c r="D311" i="10"/>
  <c r="I25" i="10"/>
  <c r="H25" i="10"/>
  <c r="G25" i="10"/>
  <c r="F25" i="10"/>
  <c r="E25" i="10"/>
  <c r="D25" i="10"/>
  <c r="I33" i="10"/>
  <c r="H33" i="10"/>
  <c r="G33" i="10"/>
  <c r="F33" i="10"/>
  <c r="E33" i="10"/>
  <c r="D33" i="10"/>
  <c r="I493" i="10"/>
  <c r="H493" i="10"/>
  <c r="G493" i="10"/>
  <c r="F493" i="10"/>
  <c r="E493" i="10"/>
  <c r="D493" i="10"/>
  <c r="I310" i="10"/>
  <c r="H310" i="10"/>
  <c r="G310" i="10"/>
  <c r="F310" i="10"/>
  <c r="E310" i="10"/>
  <c r="D310" i="10"/>
  <c r="I32" i="10"/>
  <c r="H32" i="10"/>
  <c r="G32" i="10"/>
  <c r="F32" i="10"/>
  <c r="E32" i="10"/>
  <c r="D32" i="10"/>
  <c r="I31" i="10"/>
  <c r="H31" i="10"/>
  <c r="G31" i="10"/>
  <c r="F31" i="10"/>
  <c r="E31" i="10"/>
  <c r="D31" i="10"/>
  <c r="I492" i="10"/>
  <c r="H492" i="10"/>
  <c r="G492" i="10"/>
  <c r="F492" i="10"/>
  <c r="E492" i="10"/>
  <c r="D492" i="10"/>
  <c r="H19" i="10"/>
  <c r="G19" i="10"/>
  <c r="I22" i="10"/>
  <c r="H22" i="10"/>
  <c r="G22" i="10"/>
  <c r="F22" i="10"/>
  <c r="E22" i="10"/>
  <c r="D22" i="10"/>
  <c r="I30" i="10"/>
  <c r="H30" i="10"/>
  <c r="G30" i="10"/>
  <c r="F30" i="10"/>
  <c r="E30" i="10"/>
  <c r="D30" i="10"/>
  <c r="I29" i="10"/>
  <c r="H29" i="10"/>
  <c r="G29" i="10"/>
  <c r="F29" i="10"/>
  <c r="E29" i="10"/>
  <c r="D29" i="10"/>
  <c r="D10" i="10"/>
  <c r="P10" i="10" s="1"/>
  <c r="I20" i="10"/>
  <c r="D20" i="10"/>
  <c r="F20" i="10"/>
  <c r="E20" i="10"/>
  <c r="I28" i="10"/>
  <c r="H28" i="10"/>
  <c r="G28" i="10"/>
  <c r="F28" i="10"/>
  <c r="E28" i="10"/>
  <c r="D28" i="10"/>
  <c r="I27" i="10"/>
  <c r="H27" i="10"/>
  <c r="G27" i="10"/>
  <c r="F27" i="10"/>
  <c r="E27" i="10"/>
  <c r="D27" i="10"/>
  <c r="I24" i="10"/>
  <c r="H24" i="10"/>
  <c r="G24" i="10"/>
  <c r="F24" i="10"/>
  <c r="E24" i="10"/>
  <c r="D24" i="10"/>
  <c r="F26" i="10"/>
  <c r="E26" i="10"/>
  <c r="I26" i="10"/>
  <c r="H26" i="10"/>
  <c r="G26" i="10"/>
  <c r="D26" i="10"/>
  <c r="I23" i="10"/>
  <c r="H23" i="10"/>
  <c r="G23" i="10"/>
  <c r="F23" i="10"/>
  <c r="E23" i="10"/>
  <c r="D23" i="10"/>
  <c r="J507" i="10"/>
  <c r="P507" i="10" s="1"/>
  <c r="Q507" i="10" s="1"/>
  <c r="I45" i="10"/>
  <c r="H45" i="10"/>
  <c r="G45" i="10"/>
  <c r="F45" i="10"/>
  <c r="E45" i="10"/>
  <c r="D45" i="10"/>
  <c r="I320" i="10"/>
  <c r="H320" i="10"/>
  <c r="G320" i="10"/>
  <c r="F320" i="10"/>
  <c r="E320" i="10"/>
  <c r="D320" i="10"/>
  <c r="I500" i="10"/>
  <c r="H500" i="10"/>
  <c r="G500" i="10"/>
  <c r="F500" i="10"/>
  <c r="E500" i="10"/>
  <c r="D500" i="10"/>
  <c r="I63" i="10"/>
  <c r="H63" i="10"/>
  <c r="G63" i="10"/>
  <c r="F63" i="10"/>
  <c r="E63" i="10"/>
  <c r="D63" i="10"/>
  <c r="I61" i="10"/>
  <c r="H61" i="10"/>
  <c r="G61" i="10"/>
  <c r="F61" i="10"/>
  <c r="E61" i="10"/>
  <c r="D61" i="10"/>
  <c r="I321" i="10"/>
  <c r="H321" i="10"/>
  <c r="G321" i="10"/>
  <c r="F321" i="10"/>
  <c r="E321" i="10"/>
  <c r="D321" i="10"/>
  <c r="I62" i="10"/>
  <c r="H62" i="10"/>
  <c r="G62" i="10"/>
  <c r="F62" i="10"/>
  <c r="E62" i="10"/>
  <c r="D62" i="10"/>
  <c r="I64" i="10"/>
  <c r="H64" i="10"/>
  <c r="G64" i="10"/>
  <c r="F64" i="10"/>
  <c r="E64" i="10"/>
  <c r="D64" i="10"/>
  <c r="P502" i="10"/>
  <c r="Q502" i="10" s="1"/>
  <c r="P503" i="10"/>
  <c r="Q503" i="10" s="1"/>
  <c r="P504" i="10"/>
  <c r="Q504" i="10" s="1"/>
  <c r="P505" i="10"/>
  <c r="Q505" i="10" s="1"/>
  <c r="P506" i="10"/>
  <c r="Q506" i="10" s="1"/>
  <c r="P509" i="10"/>
  <c r="Q509" i="10" s="1"/>
  <c r="P511" i="10"/>
  <c r="Q511" i="10" s="1"/>
  <c r="P512" i="10"/>
  <c r="Q512" i="10" s="1"/>
  <c r="P501" i="10"/>
  <c r="J491" i="10"/>
  <c r="P491" i="10" s="1"/>
  <c r="Q491" i="10" s="1"/>
  <c r="J490" i="10"/>
  <c r="P490" i="10" s="1"/>
  <c r="Q490" i="10" s="1"/>
  <c r="J489" i="10"/>
  <c r="P489" i="10" s="1"/>
  <c r="J488" i="10"/>
  <c r="P488" i="10" s="1"/>
  <c r="Q488" i="10" s="1"/>
  <c r="J487" i="10"/>
  <c r="P487" i="10" s="1"/>
  <c r="Q487" i="10" s="1"/>
  <c r="J486" i="10"/>
  <c r="P486" i="10" s="1"/>
  <c r="Q486" i="10" s="1"/>
  <c r="J485" i="10"/>
  <c r="P485" i="10" s="1"/>
  <c r="J484" i="10"/>
  <c r="P484" i="10" s="1"/>
  <c r="J483" i="10"/>
  <c r="P483" i="10" s="1"/>
  <c r="J482" i="10"/>
  <c r="P482" i="10" s="1"/>
  <c r="Q482" i="10" s="1"/>
  <c r="J481" i="10"/>
  <c r="P481" i="10" s="1"/>
  <c r="J480" i="10"/>
  <c r="P480" i="10" s="1"/>
  <c r="J479" i="10"/>
  <c r="P479" i="10" s="1"/>
  <c r="Q479" i="10" s="1"/>
  <c r="J478" i="10"/>
  <c r="P478" i="10" s="1"/>
  <c r="J477" i="10"/>
  <c r="P477" i="10" s="1"/>
  <c r="Q477" i="10" s="1"/>
  <c r="J476" i="10"/>
  <c r="P476" i="10" s="1"/>
  <c r="Q476" i="10" s="1"/>
  <c r="J475" i="10"/>
  <c r="P475" i="10" s="1"/>
  <c r="J474" i="10"/>
  <c r="P474" i="10" s="1"/>
  <c r="Q474" i="10" s="1"/>
  <c r="J473" i="10"/>
  <c r="P473" i="10" s="1"/>
  <c r="J472" i="10"/>
  <c r="P472" i="10" s="1"/>
  <c r="J471" i="10"/>
  <c r="P471" i="10" s="1"/>
  <c r="Q471" i="10" s="1"/>
  <c r="J470" i="10"/>
  <c r="P470" i="10" s="1"/>
  <c r="J469" i="10"/>
  <c r="P469" i="10" s="1"/>
  <c r="Q469" i="10" s="1"/>
  <c r="J468" i="10"/>
  <c r="P468" i="10" s="1"/>
  <c r="Q468" i="10" s="1"/>
  <c r="J467" i="10"/>
  <c r="P467" i="10" s="1"/>
  <c r="J466" i="10"/>
  <c r="P466" i="10" s="1"/>
  <c r="J465" i="10"/>
  <c r="P465" i="10" s="1"/>
  <c r="Q465" i="10" s="1"/>
  <c r="J464" i="10"/>
  <c r="P464" i="10" s="1"/>
  <c r="Q464" i="10" s="1"/>
  <c r="J463" i="10"/>
  <c r="P463" i="10" s="1"/>
  <c r="Q463" i="10" s="1"/>
  <c r="J462" i="10"/>
  <c r="P462" i="10" s="1"/>
  <c r="Q462" i="10" s="1"/>
  <c r="J461" i="10"/>
  <c r="P461" i="10" s="1"/>
  <c r="Q461" i="10" s="1"/>
  <c r="J460" i="10"/>
  <c r="P460" i="10" s="1"/>
  <c r="Q460" i="10" s="1"/>
  <c r="J459" i="10"/>
  <c r="P459" i="10" s="1"/>
  <c r="J458" i="10"/>
  <c r="P458" i="10" s="1"/>
  <c r="Q458" i="10" s="1"/>
  <c r="J457" i="10"/>
  <c r="P457" i="10" s="1"/>
  <c r="J456" i="10"/>
  <c r="P456" i="10" s="1"/>
  <c r="Q456" i="10" s="1"/>
  <c r="J455" i="10"/>
  <c r="P455" i="10" s="1"/>
  <c r="J454" i="10"/>
  <c r="P454" i="10" s="1"/>
  <c r="J453" i="10"/>
  <c r="P453" i="10" s="1"/>
  <c r="J452" i="10"/>
  <c r="P452" i="10" s="1"/>
  <c r="Q452" i="10" s="1"/>
  <c r="J451" i="10"/>
  <c r="P451" i="10" s="1"/>
  <c r="J450" i="10"/>
  <c r="P450" i="10" s="1"/>
  <c r="Q450" i="10" s="1"/>
  <c r="J449" i="10"/>
  <c r="P449" i="10" s="1"/>
  <c r="Q449" i="10" s="1"/>
  <c r="J448" i="10"/>
  <c r="P448" i="10" s="1"/>
  <c r="Q448" i="10" s="1"/>
  <c r="J447" i="10"/>
  <c r="P447" i="10" s="1"/>
  <c r="Q447" i="10" s="1"/>
  <c r="J446" i="10"/>
  <c r="P446" i="10" s="1"/>
  <c r="J445" i="10"/>
  <c r="P445" i="10" s="1"/>
  <c r="Q445" i="10" s="1"/>
  <c r="J444" i="10"/>
  <c r="P444" i="10" s="1"/>
  <c r="Q444" i="10" s="1"/>
  <c r="J443" i="10"/>
  <c r="P443" i="10" s="1"/>
  <c r="J442" i="10"/>
  <c r="P442" i="10" s="1"/>
  <c r="J441" i="10"/>
  <c r="P441" i="10" s="1"/>
  <c r="Q441" i="10" s="1"/>
  <c r="J440" i="10"/>
  <c r="P440" i="10" s="1"/>
  <c r="Q440" i="10" s="1"/>
  <c r="J439" i="10"/>
  <c r="P439" i="10" s="1"/>
  <c r="J438" i="10"/>
  <c r="P438" i="10" s="1"/>
  <c r="J437" i="10"/>
  <c r="P437" i="10" s="1"/>
  <c r="Q437" i="10" s="1"/>
  <c r="J436" i="10"/>
  <c r="P436" i="10" s="1"/>
  <c r="J435" i="10"/>
  <c r="P435" i="10" s="1"/>
  <c r="Q435" i="10" s="1"/>
  <c r="J434" i="10"/>
  <c r="P434" i="10" s="1"/>
  <c r="Q434" i="10" s="1"/>
  <c r="J433" i="10"/>
  <c r="P433" i="10" s="1"/>
  <c r="J432" i="10"/>
  <c r="P432" i="10" s="1"/>
  <c r="Q432" i="10" s="1"/>
  <c r="J431" i="10"/>
  <c r="P431" i="10" s="1"/>
  <c r="Q431" i="10" s="1"/>
  <c r="J430" i="10"/>
  <c r="P430" i="10" s="1"/>
  <c r="J429" i="10"/>
  <c r="P429" i="10" s="1"/>
  <c r="J428" i="10"/>
  <c r="P428" i="10" s="1"/>
  <c r="Q428" i="10" s="1"/>
  <c r="J427" i="10"/>
  <c r="P427" i="10" s="1"/>
  <c r="Q427" i="10" s="1"/>
  <c r="J426" i="10"/>
  <c r="P426" i="10" s="1"/>
  <c r="J425" i="10"/>
  <c r="P425" i="10" s="1"/>
  <c r="J424" i="10"/>
  <c r="P424" i="10" s="1"/>
  <c r="Q424" i="10" s="1"/>
  <c r="J423" i="10"/>
  <c r="P423" i="10" s="1"/>
  <c r="Q423" i="10" s="1"/>
  <c r="J422" i="10"/>
  <c r="P422" i="10" s="1"/>
  <c r="Q422" i="10" s="1"/>
  <c r="J421" i="10"/>
  <c r="P421" i="10" s="1"/>
  <c r="Q421" i="10" s="1"/>
  <c r="J420" i="10"/>
  <c r="P420" i="10" s="1"/>
  <c r="Q420" i="10" s="1"/>
  <c r="J419" i="10"/>
  <c r="P419" i="10" s="1"/>
  <c r="J418" i="10"/>
  <c r="P418" i="10" s="1"/>
  <c r="Q418" i="10" s="1"/>
  <c r="J417" i="10"/>
  <c r="P417" i="10" s="1"/>
  <c r="Q417" i="10" s="1"/>
  <c r="J416" i="10"/>
  <c r="P416" i="10" s="1"/>
  <c r="Q416" i="10" s="1"/>
  <c r="J415" i="10"/>
  <c r="P415" i="10" s="1"/>
  <c r="J414" i="10"/>
  <c r="P414" i="10" s="1"/>
  <c r="J413" i="10"/>
  <c r="P413" i="10" s="1"/>
  <c r="Q413" i="10" s="1"/>
  <c r="J412" i="10"/>
  <c r="P412" i="10" s="1"/>
  <c r="Q412" i="10" s="1"/>
  <c r="J411" i="10"/>
  <c r="P411" i="10" s="1"/>
  <c r="Q411" i="10" s="1"/>
  <c r="J410" i="10"/>
  <c r="P410" i="10" s="1"/>
  <c r="J409" i="10"/>
  <c r="P409" i="10" s="1"/>
  <c r="J408" i="10"/>
  <c r="P408" i="10" s="1"/>
  <c r="J407" i="10"/>
  <c r="P407" i="10" s="1"/>
  <c r="J406" i="10"/>
  <c r="P406" i="10" s="1"/>
  <c r="Q406" i="10" s="1"/>
  <c r="J405" i="10"/>
  <c r="P405" i="10" s="1"/>
  <c r="J404" i="10"/>
  <c r="P404" i="10" s="1"/>
  <c r="J403" i="10"/>
  <c r="P403" i="10" s="1"/>
  <c r="Q403" i="10" s="1"/>
  <c r="J402" i="10"/>
  <c r="P402" i="10" s="1"/>
  <c r="J401" i="10"/>
  <c r="P401" i="10" s="1"/>
  <c r="J400" i="10"/>
  <c r="P400" i="10" s="1"/>
  <c r="Q400" i="10" s="1"/>
  <c r="J399" i="10"/>
  <c r="P399" i="10" s="1"/>
  <c r="Q399" i="10" s="1"/>
  <c r="J398" i="10"/>
  <c r="P398" i="10" s="1"/>
  <c r="Q398" i="10" s="1"/>
  <c r="J397" i="10"/>
  <c r="P397" i="10" s="1"/>
  <c r="Q397" i="10" s="1"/>
  <c r="J396" i="10"/>
  <c r="P396" i="10" s="1"/>
  <c r="J395" i="10"/>
  <c r="P395" i="10" s="1"/>
  <c r="Q395" i="10" s="1"/>
  <c r="J394" i="10"/>
  <c r="P394" i="10" s="1"/>
  <c r="Q394" i="10" s="1"/>
  <c r="J393" i="10"/>
  <c r="P393" i="10" s="1"/>
  <c r="J392" i="10"/>
  <c r="P392" i="10" s="1"/>
  <c r="Q392" i="10" s="1"/>
  <c r="J391" i="10"/>
  <c r="P391" i="10" s="1"/>
  <c r="J390" i="10"/>
  <c r="P390" i="10" s="1"/>
  <c r="J389" i="10"/>
  <c r="P389" i="10" s="1"/>
  <c r="J388" i="10"/>
  <c r="P388" i="10" s="1"/>
  <c r="Q388" i="10" s="1"/>
  <c r="J387" i="10"/>
  <c r="P387" i="10" s="1"/>
  <c r="Q387" i="10" s="1"/>
  <c r="J386" i="10"/>
  <c r="P386" i="10" s="1"/>
  <c r="J385" i="10"/>
  <c r="P385" i="10" s="1"/>
  <c r="J384" i="10"/>
  <c r="P384" i="10" s="1"/>
  <c r="Q384" i="10" s="1"/>
  <c r="J383" i="10"/>
  <c r="P383" i="10" s="1"/>
  <c r="J382" i="10"/>
  <c r="P382" i="10" s="1"/>
  <c r="J381" i="10"/>
  <c r="P381" i="10" s="1"/>
  <c r="J380" i="10"/>
  <c r="P380" i="10" s="1"/>
  <c r="J379" i="10"/>
  <c r="P379" i="10" s="1"/>
  <c r="Q379" i="10" s="1"/>
  <c r="J378" i="10"/>
  <c r="P378" i="10" s="1"/>
  <c r="Q378" i="10" s="1"/>
  <c r="J377" i="10"/>
  <c r="P377" i="10" s="1"/>
  <c r="Q377" i="10" s="1"/>
  <c r="J376" i="10"/>
  <c r="P376" i="10" s="1"/>
  <c r="Q376" i="10" s="1"/>
  <c r="J375" i="10"/>
  <c r="P375" i="10" s="1"/>
  <c r="Q375" i="10" s="1"/>
  <c r="J374" i="10"/>
  <c r="P374" i="10" s="1"/>
  <c r="J373" i="10"/>
  <c r="P373" i="10" s="1"/>
  <c r="J372" i="10"/>
  <c r="P372" i="10" s="1"/>
  <c r="Q372" i="10" s="1"/>
  <c r="J371" i="10"/>
  <c r="P371" i="10" s="1"/>
  <c r="Q371" i="10" s="1"/>
  <c r="J370" i="10"/>
  <c r="P370" i="10" s="1"/>
  <c r="Q370" i="10" s="1"/>
  <c r="J369" i="10"/>
  <c r="P369" i="10" s="1"/>
  <c r="J368" i="10"/>
  <c r="P368" i="10" s="1"/>
  <c r="Q368" i="10" s="1"/>
  <c r="J321" i="10"/>
  <c r="J367" i="10"/>
  <c r="P367" i="10" s="1"/>
  <c r="J366" i="10"/>
  <c r="P366" i="10" s="1"/>
  <c r="Q366" i="10" s="1"/>
  <c r="J365" i="10"/>
  <c r="P365" i="10" s="1"/>
  <c r="Q365" i="10" s="1"/>
  <c r="J364" i="10"/>
  <c r="P364" i="10" s="1"/>
  <c r="Q364" i="10" s="1"/>
  <c r="J363" i="10"/>
  <c r="P363" i="10" s="1"/>
  <c r="Q363" i="10" s="1"/>
  <c r="J362" i="10"/>
  <c r="P362" i="10" s="1"/>
  <c r="Q362" i="10" s="1"/>
  <c r="J361" i="10"/>
  <c r="P361" i="10" s="1"/>
  <c r="J360" i="10"/>
  <c r="P360" i="10" s="1"/>
  <c r="J359" i="10"/>
  <c r="P359" i="10" s="1"/>
  <c r="Q359" i="10" s="1"/>
  <c r="J358" i="10"/>
  <c r="P358" i="10" s="1"/>
  <c r="Q358" i="10" s="1"/>
  <c r="J357" i="10"/>
  <c r="P357" i="10" s="1"/>
  <c r="Q357" i="10" s="1"/>
  <c r="J356" i="10"/>
  <c r="P356" i="10" s="1"/>
  <c r="Q356" i="10" s="1"/>
  <c r="J355" i="10"/>
  <c r="P355" i="10" s="1"/>
  <c r="Q355" i="10" s="1"/>
  <c r="J354" i="10"/>
  <c r="P354" i="10" s="1"/>
  <c r="Q354" i="10" s="1"/>
  <c r="J353" i="10"/>
  <c r="P353" i="10" s="1"/>
  <c r="Q353" i="10" s="1"/>
  <c r="J352" i="10"/>
  <c r="P352" i="10" s="1"/>
  <c r="J351" i="10"/>
  <c r="P351" i="10" s="1"/>
  <c r="Q351" i="10" s="1"/>
  <c r="J350" i="10"/>
  <c r="P350" i="10" s="1"/>
  <c r="J349" i="10"/>
  <c r="P349" i="10" s="1"/>
  <c r="Q349" i="10" s="1"/>
  <c r="J348" i="10"/>
  <c r="P348" i="10" s="1"/>
  <c r="Q348" i="10" s="1"/>
  <c r="J347" i="10"/>
  <c r="P347" i="10" s="1"/>
  <c r="Q347" i="10" s="1"/>
  <c r="J346" i="10"/>
  <c r="P346" i="10" s="1"/>
  <c r="Q346" i="10" s="1"/>
  <c r="J345" i="10"/>
  <c r="P345" i="10" s="1"/>
  <c r="Q345" i="10" s="1"/>
  <c r="J344" i="10"/>
  <c r="P344" i="10" s="1"/>
  <c r="Q344" i="10" s="1"/>
  <c r="J343" i="10"/>
  <c r="P343" i="10" s="1"/>
  <c r="Q343" i="10" s="1"/>
  <c r="J342" i="10"/>
  <c r="P342" i="10" s="1"/>
  <c r="J341" i="10"/>
  <c r="P341" i="10" s="1"/>
  <c r="Q341" i="10" s="1"/>
  <c r="J340" i="10"/>
  <c r="P340" i="10" s="1"/>
  <c r="Q340" i="10" s="1"/>
  <c r="J339" i="10"/>
  <c r="P339" i="10" s="1"/>
  <c r="J338" i="10"/>
  <c r="P338" i="10" s="1"/>
  <c r="Q338" i="10" s="1"/>
  <c r="J337" i="10"/>
  <c r="P337" i="10" s="1"/>
  <c r="Q337" i="10" s="1"/>
  <c r="J336" i="10"/>
  <c r="P336" i="10" s="1"/>
  <c r="J320" i="10"/>
  <c r="J335" i="10"/>
  <c r="P335" i="10" s="1"/>
  <c r="Q335" i="10" s="1"/>
  <c r="J334" i="10"/>
  <c r="P334" i="10" s="1"/>
  <c r="J333" i="10"/>
  <c r="P333" i="10" s="1"/>
  <c r="J332" i="10"/>
  <c r="P332" i="10" s="1"/>
  <c r="J330" i="10"/>
  <c r="P330" i="10" s="1"/>
  <c r="Q330" i="10" s="1"/>
  <c r="J329" i="10"/>
  <c r="P329" i="10" s="1"/>
  <c r="J328" i="10"/>
  <c r="P328" i="10" s="1"/>
  <c r="Q328" i="10" s="1"/>
  <c r="J327" i="10"/>
  <c r="P327" i="10" s="1"/>
  <c r="Q327" i="10" s="1"/>
  <c r="J326" i="10"/>
  <c r="P326" i="10" s="1"/>
  <c r="J325" i="10"/>
  <c r="P325" i="10" s="1"/>
  <c r="J324" i="10"/>
  <c r="P324" i="10" s="1"/>
  <c r="Q324" i="10" s="1"/>
  <c r="J323" i="10"/>
  <c r="P323" i="10" s="1"/>
  <c r="J319" i="10"/>
  <c r="J322" i="10"/>
  <c r="P322" i="10" s="1"/>
  <c r="J318" i="10"/>
  <c r="J317" i="10"/>
  <c r="J316" i="10"/>
  <c r="J315" i="10"/>
  <c r="J314" i="10"/>
  <c r="J313" i="10"/>
  <c r="J312" i="10"/>
  <c r="J311" i="10"/>
  <c r="J310" i="10"/>
  <c r="J19" i="10"/>
  <c r="J20" i="10"/>
  <c r="J653" i="10"/>
  <c r="P653" i="10" s="1"/>
  <c r="J652" i="10"/>
  <c r="P652" i="10" s="1"/>
  <c r="Q652" i="10" s="1"/>
  <c r="J651" i="10"/>
  <c r="P651" i="10" s="1"/>
  <c r="Q651" i="10" s="1"/>
  <c r="J650" i="10"/>
  <c r="P650" i="10" s="1"/>
  <c r="J649" i="10"/>
  <c r="P649" i="10" s="1"/>
  <c r="J648" i="10"/>
  <c r="P648" i="10" s="1"/>
  <c r="Q648" i="10" s="1"/>
  <c r="J647" i="10"/>
  <c r="P647" i="10" s="1"/>
  <c r="Q647" i="10" s="1"/>
  <c r="J646" i="10"/>
  <c r="P646" i="10" s="1"/>
  <c r="J645" i="10"/>
  <c r="P645" i="10" s="1"/>
  <c r="J644" i="10"/>
  <c r="P644" i="10" s="1"/>
  <c r="J643" i="10"/>
  <c r="P643" i="10" s="1"/>
  <c r="J642" i="10"/>
  <c r="P642" i="10" s="1"/>
  <c r="Q642" i="10" s="1"/>
  <c r="J641" i="10"/>
  <c r="P641" i="10" s="1"/>
  <c r="J640" i="10"/>
  <c r="P640" i="10" s="1"/>
  <c r="J639" i="10"/>
  <c r="P639" i="10" s="1"/>
  <c r="Q639" i="10" s="1"/>
  <c r="J638" i="10"/>
  <c r="P638" i="10" s="1"/>
  <c r="J637" i="10"/>
  <c r="P637" i="10" s="1"/>
  <c r="J636" i="10"/>
  <c r="P636" i="10" s="1"/>
  <c r="Q636" i="10" s="1"/>
  <c r="J635" i="10"/>
  <c r="P635" i="10" s="1"/>
  <c r="J634" i="10"/>
  <c r="P634" i="10" s="1"/>
  <c r="J633" i="10"/>
  <c r="P633" i="10" s="1"/>
  <c r="J632" i="10"/>
  <c r="P632" i="10" s="1"/>
  <c r="Q632" i="10" s="1"/>
  <c r="J631" i="10"/>
  <c r="P631" i="10" s="1"/>
  <c r="J630" i="10"/>
  <c r="P630" i="10" s="1"/>
  <c r="J629" i="10"/>
  <c r="P629" i="10" s="1"/>
  <c r="Q629" i="10" s="1"/>
  <c r="J628" i="10"/>
  <c r="P628" i="10" s="1"/>
  <c r="Q628" i="10" s="1"/>
  <c r="J627" i="10"/>
  <c r="P627" i="10" s="1"/>
  <c r="J626" i="10"/>
  <c r="P626" i="10" s="1"/>
  <c r="Q626" i="10" s="1"/>
  <c r="J625" i="10"/>
  <c r="P625" i="10" s="1"/>
  <c r="Q625" i="10" s="1"/>
  <c r="J624" i="10"/>
  <c r="P624" i="10" s="1"/>
  <c r="J623" i="10"/>
  <c r="P623" i="10" s="1"/>
  <c r="J622" i="10"/>
  <c r="P622" i="10" s="1"/>
  <c r="Q622" i="10" s="1"/>
  <c r="J621" i="10"/>
  <c r="P621" i="10" s="1"/>
  <c r="J620" i="10"/>
  <c r="P620" i="10" s="1"/>
  <c r="Q620" i="10" s="1"/>
  <c r="J619" i="10"/>
  <c r="P619" i="10" s="1"/>
  <c r="Q619" i="10" s="1"/>
  <c r="J618" i="10"/>
  <c r="P618" i="10" s="1"/>
  <c r="Q618" i="10" s="1"/>
  <c r="J617" i="10"/>
  <c r="P617" i="10" s="1"/>
  <c r="Q617" i="10" s="1"/>
  <c r="J616" i="10"/>
  <c r="P616" i="10" s="1"/>
  <c r="Q616" i="10" s="1"/>
  <c r="J615" i="10"/>
  <c r="P615" i="10" s="1"/>
  <c r="J614" i="10"/>
  <c r="P614" i="10" s="1"/>
  <c r="J613" i="10"/>
  <c r="P613" i="10" s="1"/>
  <c r="J612" i="10"/>
  <c r="P612" i="10" s="1"/>
  <c r="Q612" i="10" s="1"/>
  <c r="J611" i="10"/>
  <c r="P611" i="10" s="1"/>
  <c r="Q611" i="10" s="1"/>
  <c r="J610" i="10"/>
  <c r="P610" i="10" s="1"/>
  <c r="J609" i="10"/>
  <c r="P609" i="10" s="1"/>
  <c r="J608" i="10"/>
  <c r="P608" i="10" s="1"/>
  <c r="J607" i="10"/>
  <c r="P607" i="10" s="1"/>
  <c r="J606" i="10"/>
  <c r="P606" i="10" s="1"/>
  <c r="J605" i="10"/>
  <c r="P605" i="10" s="1"/>
  <c r="J604" i="10"/>
  <c r="P604" i="10" s="1"/>
  <c r="J603" i="10"/>
  <c r="P603" i="10" s="1"/>
  <c r="Q603" i="10" s="1"/>
  <c r="J602" i="10"/>
  <c r="P602" i="10" s="1"/>
  <c r="Q602" i="10" s="1"/>
  <c r="J601" i="10"/>
  <c r="P601" i="10" s="1"/>
  <c r="J600" i="10"/>
  <c r="P600" i="10" s="1"/>
  <c r="J599" i="10"/>
  <c r="P599" i="10" s="1"/>
  <c r="J598" i="10"/>
  <c r="P598" i="10" s="1"/>
  <c r="Q598" i="10" s="1"/>
  <c r="J597" i="10"/>
  <c r="P597" i="10" s="1"/>
  <c r="J596" i="10"/>
  <c r="P596" i="10" s="1"/>
  <c r="Q596" i="10" s="1"/>
  <c r="J595" i="10"/>
  <c r="P595" i="10" s="1"/>
  <c r="Q595" i="10" s="1"/>
  <c r="J594" i="10"/>
  <c r="P594" i="10" s="1"/>
  <c r="J593" i="10"/>
  <c r="P593" i="10" s="1"/>
  <c r="J592" i="10"/>
  <c r="P592" i="10" s="1"/>
  <c r="Q592" i="10" s="1"/>
  <c r="J591" i="10"/>
  <c r="P591" i="10" s="1"/>
  <c r="Q591" i="10" s="1"/>
  <c r="J590" i="10"/>
  <c r="P590" i="10" s="1"/>
  <c r="Q590" i="10" s="1"/>
  <c r="J589" i="10"/>
  <c r="P589" i="10" s="1"/>
  <c r="Q589" i="10" s="1"/>
  <c r="J588" i="10"/>
  <c r="P588" i="10" s="1"/>
  <c r="J587" i="10"/>
  <c r="P587" i="10" s="1"/>
  <c r="Q587" i="10" s="1"/>
  <c r="J586" i="10"/>
  <c r="P586" i="10" s="1"/>
  <c r="Q586" i="10" s="1"/>
  <c r="J585" i="10"/>
  <c r="P585" i="10" s="1"/>
  <c r="Q585" i="10" s="1"/>
  <c r="J584" i="10"/>
  <c r="P584" i="10" s="1"/>
  <c r="J583" i="10"/>
  <c r="P583" i="10" s="1"/>
  <c r="J582" i="10"/>
  <c r="P582" i="10" s="1"/>
  <c r="Q582" i="10" s="1"/>
  <c r="J581" i="10"/>
  <c r="P581" i="10" s="1"/>
  <c r="J580" i="10"/>
  <c r="P580" i="10" s="1"/>
  <c r="J579" i="10"/>
  <c r="P579" i="10" s="1"/>
  <c r="J578" i="10"/>
  <c r="P578" i="10" s="1"/>
  <c r="Q578" i="10" s="1"/>
  <c r="J577" i="10"/>
  <c r="P577" i="10" s="1"/>
  <c r="Q577" i="10" s="1"/>
  <c r="J576" i="10"/>
  <c r="P576" i="10" s="1"/>
  <c r="Q576" i="10" s="1"/>
  <c r="J575" i="10"/>
  <c r="P575" i="10" s="1"/>
  <c r="Q575" i="10" s="1"/>
  <c r="J574" i="10"/>
  <c r="P574" i="10" s="1"/>
  <c r="Q574" i="10" s="1"/>
  <c r="J573" i="10"/>
  <c r="P573" i="10" s="1"/>
  <c r="Q573" i="10" s="1"/>
  <c r="J572" i="10"/>
  <c r="P572" i="10" s="1"/>
  <c r="Q572" i="10" s="1"/>
  <c r="J571" i="10"/>
  <c r="P571" i="10" s="1"/>
  <c r="Q571" i="10" s="1"/>
  <c r="J570" i="10"/>
  <c r="P570" i="10" s="1"/>
  <c r="Q570" i="10" s="1"/>
  <c r="J569" i="10"/>
  <c r="P569" i="10" s="1"/>
  <c r="Q569" i="10" s="1"/>
  <c r="J568" i="10"/>
  <c r="P568" i="10" s="1"/>
  <c r="Q568" i="10" s="1"/>
  <c r="J567" i="10"/>
  <c r="P567" i="10" s="1"/>
  <c r="Q567" i="10" s="1"/>
  <c r="J566" i="10"/>
  <c r="P566" i="10" s="1"/>
  <c r="J565" i="10"/>
  <c r="P565" i="10" s="1"/>
  <c r="Q565" i="10" s="1"/>
  <c r="J564" i="10"/>
  <c r="P564" i="10" s="1"/>
  <c r="Q564" i="10" s="1"/>
  <c r="J563" i="10"/>
  <c r="P563" i="10" s="1"/>
  <c r="J562" i="10"/>
  <c r="P562" i="10" s="1"/>
  <c r="Q562" i="10" s="1"/>
  <c r="J561" i="10"/>
  <c r="P561" i="10" s="1"/>
  <c r="Q561" i="10" s="1"/>
  <c r="J560" i="10"/>
  <c r="P560" i="10" s="1"/>
  <c r="J559" i="10"/>
  <c r="P559" i="10" s="1"/>
  <c r="J558" i="10"/>
  <c r="P558" i="10" s="1"/>
  <c r="J557" i="10"/>
  <c r="P557" i="10" s="1"/>
  <c r="Q557" i="10" s="1"/>
  <c r="J556" i="10"/>
  <c r="P556" i="10" s="1"/>
  <c r="Q556" i="10" s="1"/>
  <c r="J555" i="10"/>
  <c r="P555" i="10" s="1"/>
  <c r="J554" i="10"/>
  <c r="P554" i="10" s="1"/>
  <c r="Q554" i="10" s="1"/>
  <c r="J553" i="10"/>
  <c r="P553" i="10" s="1"/>
  <c r="Q553" i="10" s="1"/>
  <c r="J552" i="10"/>
  <c r="P552" i="10" s="1"/>
  <c r="Q552" i="10" s="1"/>
  <c r="J551" i="10"/>
  <c r="P551" i="10" s="1"/>
  <c r="Q551" i="10" s="1"/>
  <c r="J550" i="10"/>
  <c r="P550" i="10" s="1"/>
  <c r="J549" i="10"/>
  <c r="P549" i="10" s="1"/>
  <c r="J548" i="10"/>
  <c r="P548" i="10" s="1"/>
  <c r="Q548" i="10" s="1"/>
  <c r="J547" i="10"/>
  <c r="P547" i="10" s="1"/>
  <c r="Q547" i="10" s="1"/>
  <c r="J546" i="10"/>
  <c r="P546" i="10" s="1"/>
  <c r="J545" i="10"/>
  <c r="P545" i="10" s="1"/>
  <c r="Q545" i="10" s="1"/>
  <c r="J544" i="10"/>
  <c r="P544" i="10" s="1"/>
  <c r="J543" i="10"/>
  <c r="P543" i="10" s="1"/>
  <c r="Q543" i="10" s="1"/>
  <c r="J542" i="10"/>
  <c r="P542" i="10" s="1"/>
  <c r="J541" i="10"/>
  <c r="P541" i="10" s="1"/>
  <c r="Q541" i="10" s="1"/>
  <c r="J500" i="10"/>
  <c r="J540" i="10"/>
  <c r="P540" i="10" s="1"/>
  <c r="Q540" i="10" s="1"/>
  <c r="J539" i="10"/>
  <c r="P539" i="10" s="1"/>
  <c r="J538" i="10"/>
  <c r="P538" i="10" s="1"/>
  <c r="Q538" i="10" s="1"/>
  <c r="J537" i="10"/>
  <c r="P537" i="10" s="1"/>
  <c r="J536" i="10"/>
  <c r="P536" i="10" s="1"/>
  <c r="Q536" i="10" s="1"/>
  <c r="J535" i="10"/>
  <c r="P535" i="10" s="1"/>
  <c r="J534" i="10"/>
  <c r="P534" i="10" s="1"/>
  <c r="Q534" i="10" s="1"/>
  <c r="J533" i="10"/>
  <c r="P533" i="10" s="1"/>
  <c r="Q533" i="10" s="1"/>
  <c r="J532" i="10"/>
  <c r="P532" i="10" s="1"/>
  <c r="Q532" i="10" s="1"/>
  <c r="J531" i="10"/>
  <c r="P531" i="10" s="1"/>
  <c r="J530" i="10"/>
  <c r="P530" i="10" s="1"/>
  <c r="Q530" i="10" s="1"/>
  <c r="J529" i="10"/>
  <c r="P529" i="10" s="1"/>
  <c r="J528" i="10"/>
  <c r="P528" i="10" s="1"/>
  <c r="J527" i="10"/>
  <c r="P527" i="10" s="1"/>
  <c r="Q527" i="10" s="1"/>
  <c r="J526" i="10"/>
  <c r="P526" i="10" s="1"/>
  <c r="Q526" i="10" s="1"/>
  <c r="J525" i="10"/>
  <c r="P525" i="10" s="1"/>
  <c r="J524" i="10"/>
  <c r="P524" i="10" s="1"/>
  <c r="J523" i="10"/>
  <c r="P523" i="10" s="1"/>
  <c r="Q523" i="10" s="1"/>
  <c r="J522" i="10"/>
  <c r="P522" i="10" s="1"/>
  <c r="Q522" i="10" s="1"/>
  <c r="J521" i="10"/>
  <c r="P521" i="10" s="1"/>
  <c r="Q521" i="10" s="1"/>
  <c r="J520" i="10"/>
  <c r="P520" i="10" s="1"/>
  <c r="Q520" i="10" s="1"/>
  <c r="J519" i="10"/>
  <c r="P519" i="10" s="1"/>
  <c r="Q519" i="10" s="1"/>
  <c r="J518" i="10"/>
  <c r="P518" i="10" s="1"/>
  <c r="J517" i="10"/>
  <c r="P517" i="10" s="1"/>
  <c r="Q517" i="10" s="1"/>
  <c r="J516" i="10"/>
  <c r="P516" i="10" s="1"/>
  <c r="Q516" i="10" s="1"/>
  <c r="J514" i="10"/>
  <c r="P514" i="10" s="1"/>
  <c r="Q514" i="10" s="1"/>
  <c r="J499" i="10"/>
  <c r="J498" i="10"/>
  <c r="J497" i="10"/>
  <c r="J496" i="10"/>
  <c r="J513" i="10"/>
  <c r="P513" i="10" s="1"/>
  <c r="Q513" i="10" s="1"/>
  <c r="J495" i="10"/>
  <c r="J494" i="10"/>
  <c r="J493" i="10"/>
  <c r="J510" i="10"/>
  <c r="P510" i="10" s="1"/>
  <c r="J492" i="10"/>
  <c r="J508" i="10"/>
  <c r="P508" i="10" s="1"/>
  <c r="P3" i="10"/>
  <c r="Q3" i="10" s="1"/>
  <c r="J304" i="10"/>
  <c r="P304" i="10" s="1"/>
  <c r="Q304" i="10" s="1"/>
  <c r="J292" i="10"/>
  <c r="P292" i="10" s="1"/>
  <c r="Q292" i="10" s="1"/>
  <c r="J290" i="10"/>
  <c r="P290" i="10" s="1"/>
  <c r="Q290" i="10" s="1"/>
  <c r="J285" i="10"/>
  <c r="P285" i="10" s="1"/>
  <c r="J283" i="10"/>
  <c r="P283" i="10" s="1"/>
  <c r="J278" i="10"/>
  <c r="P278" i="10" s="1"/>
  <c r="Q278" i="10" s="1"/>
  <c r="J276" i="10"/>
  <c r="P276" i="10" s="1"/>
  <c r="Q276" i="10" s="1"/>
  <c r="J270" i="10"/>
  <c r="P270" i="10" s="1"/>
  <c r="J262" i="10"/>
  <c r="P262" i="10" s="1"/>
  <c r="Q262" i="10" s="1"/>
  <c r="J261" i="10"/>
  <c r="P261" i="10" s="1"/>
  <c r="J257" i="10"/>
  <c r="P257" i="10" s="1"/>
  <c r="J255" i="10"/>
  <c r="P255" i="10" s="1"/>
  <c r="Q255" i="10" s="1"/>
  <c r="J252" i="10"/>
  <c r="P252" i="10" s="1"/>
  <c r="Q252" i="10" s="1"/>
  <c r="J251" i="10"/>
  <c r="P251" i="10" s="1"/>
  <c r="J250" i="10"/>
  <c r="P250" i="10" s="1"/>
  <c r="J232" i="10"/>
  <c r="P232" i="10" s="1"/>
  <c r="Q232" i="10" s="1"/>
  <c r="J223" i="10"/>
  <c r="P223" i="10" s="1"/>
  <c r="J217" i="10"/>
  <c r="P217" i="10" s="1"/>
  <c r="Q217" i="10" s="1"/>
  <c r="J206" i="10"/>
  <c r="P206" i="10" s="1"/>
  <c r="J200" i="10"/>
  <c r="P200" i="10" s="1"/>
  <c r="J196" i="10"/>
  <c r="P196" i="10" s="1"/>
  <c r="J191" i="10"/>
  <c r="P191" i="10" s="1"/>
  <c r="Q191" i="10" s="1"/>
  <c r="J188" i="10"/>
  <c r="P188" i="10" s="1"/>
  <c r="J182" i="10"/>
  <c r="P182" i="10" s="1"/>
  <c r="Q182" i="10" s="1"/>
  <c r="J179" i="10"/>
  <c r="P179" i="10" s="1"/>
  <c r="Q179" i="10" s="1"/>
  <c r="J166" i="10"/>
  <c r="P166" i="10" s="1"/>
  <c r="Q166" i="10" s="1"/>
  <c r="J162" i="10"/>
  <c r="P162" i="10" s="1"/>
  <c r="J152" i="10"/>
  <c r="P152" i="10" s="1"/>
  <c r="J150" i="10"/>
  <c r="P150" i="10" s="1"/>
  <c r="J144" i="10"/>
  <c r="P144" i="10" s="1"/>
  <c r="Q144" i="10" s="1"/>
  <c r="J122" i="10"/>
  <c r="P122" i="10" s="1"/>
  <c r="J118" i="10"/>
  <c r="P118" i="10" s="1"/>
  <c r="Q118" i="10" s="1"/>
  <c r="J117" i="10"/>
  <c r="P117" i="10" s="1"/>
  <c r="Q117" i="10" s="1"/>
  <c r="J113" i="10"/>
  <c r="P113" i="10" s="1"/>
  <c r="J110" i="10"/>
  <c r="P110" i="10" s="1"/>
  <c r="J108" i="10"/>
  <c r="P108" i="10" s="1"/>
  <c r="Q108" i="10" s="1"/>
  <c r="J101" i="10"/>
  <c r="P101" i="10" s="1"/>
  <c r="Q101" i="10" s="1"/>
  <c r="J95" i="10"/>
  <c r="P95" i="10" s="1"/>
  <c r="Q95" i="10" s="1"/>
  <c r="J91" i="10"/>
  <c r="P91" i="10" s="1"/>
  <c r="Q91" i="10" s="1"/>
  <c r="J79" i="10"/>
  <c r="P79" i="10" s="1"/>
  <c r="Q79" i="10" s="1"/>
  <c r="J78" i="10"/>
  <c r="P78" i="10" s="1"/>
  <c r="Q78" i="10" s="1"/>
  <c r="J75" i="10"/>
  <c r="P75" i="10" s="1"/>
  <c r="Q75" i="10" s="1"/>
  <c r="J60" i="10"/>
  <c r="J51" i="10"/>
  <c r="J47" i="10"/>
  <c r="J45" i="10"/>
  <c r="J42" i="10"/>
  <c r="J41" i="10"/>
  <c r="J69" i="10"/>
  <c r="P69" i="10" s="1"/>
  <c r="Q69" i="10" s="1"/>
  <c r="J33" i="10"/>
  <c r="J28" i="10"/>
  <c r="J309" i="10"/>
  <c r="P309" i="10" s="1"/>
  <c r="J308" i="10"/>
  <c r="P308" i="10" s="1"/>
  <c r="Q308" i="10" s="1"/>
  <c r="J307" i="10"/>
  <c r="P307" i="10" s="1"/>
  <c r="J306" i="10"/>
  <c r="P306" i="10" s="1"/>
  <c r="Q306" i="10" s="1"/>
  <c r="J305" i="10"/>
  <c r="P305" i="10" s="1"/>
  <c r="J303" i="10"/>
  <c r="P303" i="10" s="1"/>
  <c r="Q303" i="10" s="1"/>
  <c r="J302" i="10"/>
  <c r="P302" i="10" s="1"/>
  <c r="J301" i="10"/>
  <c r="P301" i="10" s="1"/>
  <c r="Q301" i="10" s="1"/>
  <c r="J300" i="10"/>
  <c r="P300" i="10" s="1"/>
  <c r="J299" i="10"/>
  <c r="P299" i="10" s="1"/>
  <c r="J298" i="10"/>
  <c r="P298" i="10" s="1"/>
  <c r="J297" i="10"/>
  <c r="P297" i="10" s="1"/>
  <c r="Q297" i="10" s="1"/>
  <c r="J296" i="10"/>
  <c r="P296" i="10" s="1"/>
  <c r="J295" i="10"/>
  <c r="P295" i="10" s="1"/>
  <c r="Q295" i="10" s="1"/>
  <c r="J294" i="10"/>
  <c r="P294" i="10" s="1"/>
  <c r="Q294" i="10" s="1"/>
  <c r="J293" i="10"/>
  <c r="P293" i="10" s="1"/>
  <c r="J291" i="10"/>
  <c r="P291" i="10" s="1"/>
  <c r="J289" i="10"/>
  <c r="P289" i="10" s="1"/>
  <c r="J288" i="10"/>
  <c r="P288" i="10" s="1"/>
  <c r="J287" i="10"/>
  <c r="P287" i="10" s="1"/>
  <c r="Q287" i="10" s="1"/>
  <c r="J286" i="10"/>
  <c r="P286" i="10" s="1"/>
  <c r="Q286" i="10" s="1"/>
  <c r="J284" i="10"/>
  <c r="P284" i="10" s="1"/>
  <c r="J282" i="10"/>
  <c r="P282" i="10" s="1"/>
  <c r="J281" i="10"/>
  <c r="P281" i="10" s="1"/>
  <c r="Q281" i="10" s="1"/>
  <c r="J280" i="10"/>
  <c r="P280" i="10" s="1"/>
  <c r="Q280" i="10" s="1"/>
  <c r="J279" i="10"/>
  <c r="P279" i="10" s="1"/>
  <c r="J277" i="10"/>
  <c r="P277" i="10" s="1"/>
  <c r="Q277" i="10" s="1"/>
  <c r="J275" i="10"/>
  <c r="P275" i="10" s="1"/>
  <c r="Q275" i="10" s="1"/>
  <c r="J274" i="10"/>
  <c r="P274" i="10" s="1"/>
  <c r="J273" i="10"/>
  <c r="P273" i="10" s="1"/>
  <c r="Q273" i="10" s="1"/>
  <c r="J272" i="10"/>
  <c r="P272" i="10" s="1"/>
  <c r="Q272" i="10" s="1"/>
  <c r="J271" i="10"/>
  <c r="P271" i="10" s="1"/>
  <c r="Q271" i="10" s="1"/>
  <c r="J269" i="10"/>
  <c r="P269" i="10" s="1"/>
  <c r="J268" i="10"/>
  <c r="P268" i="10" s="1"/>
  <c r="J267" i="10"/>
  <c r="P267" i="10" s="1"/>
  <c r="J266" i="10"/>
  <c r="P266" i="10" s="1"/>
  <c r="J265" i="10"/>
  <c r="P265" i="10" s="1"/>
  <c r="Q265" i="10" s="1"/>
  <c r="J264" i="10"/>
  <c r="P264" i="10" s="1"/>
  <c r="J263" i="10"/>
  <c r="P263" i="10" s="1"/>
  <c r="Q263" i="10" s="1"/>
  <c r="J260" i="10"/>
  <c r="P260" i="10" s="1"/>
  <c r="J259" i="10"/>
  <c r="P259" i="10" s="1"/>
  <c r="Q259" i="10" s="1"/>
  <c r="J258" i="10"/>
  <c r="P258" i="10" s="1"/>
  <c r="J64" i="10"/>
  <c r="J256" i="10"/>
  <c r="P256" i="10" s="1"/>
  <c r="Q256" i="10" s="1"/>
  <c r="J254" i="10"/>
  <c r="P254" i="10" s="1"/>
  <c r="J253" i="10"/>
  <c r="P253" i="10" s="1"/>
  <c r="Q253" i="10" s="1"/>
  <c r="J249" i="10"/>
  <c r="P249" i="10" s="1"/>
  <c r="J248" i="10"/>
  <c r="P248" i="10" s="1"/>
  <c r="J247" i="10"/>
  <c r="P247" i="10" s="1"/>
  <c r="J246" i="10"/>
  <c r="P246" i="10" s="1"/>
  <c r="Q246" i="10" s="1"/>
  <c r="J245" i="10"/>
  <c r="P245" i="10" s="1"/>
  <c r="J244" i="10"/>
  <c r="P244" i="10" s="1"/>
  <c r="J243" i="10"/>
  <c r="P243" i="10" s="1"/>
  <c r="Q243" i="10" s="1"/>
  <c r="J242" i="10"/>
  <c r="P242" i="10" s="1"/>
  <c r="Q242" i="10" s="1"/>
  <c r="J241" i="10"/>
  <c r="P241" i="10" s="1"/>
  <c r="J240" i="10"/>
  <c r="P240" i="10" s="1"/>
  <c r="Q240" i="10" s="1"/>
  <c r="J239" i="10"/>
  <c r="P239" i="10" s="1"/>
  <c r="Q239" i="10" s="1"/>
  <c r="J238" i="10"/>
  <c r="P238" i="10" s="1"/>
  <c r="Q238" i="10" s="1"/>
  <c r="J237" i="10"/>
  <c r="P237" i="10" s="1"/>
  <c r="Q237" i="10" s="1"/>
  <c r="J236" i="10"/>
  <c r="P236" i="10" s="1"/>
  <c r="Q236" i="10" s="1"/>
  <c r="J235" i="10"/>
  <c r="P235" i="10" s="1"/>
  <c r="J234" i="10"/>
  <c r="P234" i="10" s="1"/>
  <c r="J233" i="10"/>
  <c r="P233" i="10" s="1"/>
  <c r="Q233" i="10" s="1"/>
  <c r="J231" i="10"/>
  <c r="P231" i="10" s="1"/>
  <c r="Q231" i="10" s="1"/>
  <c r="J230" i="10"/>
  <c r="P230" i="10" s="1"/>
  <c r="J229" i="10"/>
  <c r="P229" i="10" s="1"/>
  <c r="Q229" i="10" s="1"/>
  <c r="J228" i="10"/>
  <c r="P228" i="10" s="1"/>
  <c r="J227" i="10"/>
  <c r="P227" i="10" s="1"/>
  <c r="J226" i="10"/>
  <c r="P226" i="10" s="1"/>
  <c r="Q226" i="10" s="1"/>
  <c r="J225" i="10"/>
  <c r="P225" i="10" s="1"/>
  <c r="Q225" i="10" s="1"/>
  <c r="J224" i="10"/>
  <c r="P224" i="10" s="1"/>
  <c r="J222" i="10"/>
  <c r="P222" i="10" s="1"/>
  <c r="J63" i="10"/>
  <c r="J221" i="10"/>
  <c r="P221" i="10" s="1"/>
  <c r="Q221" i="10" s="1"/>
  <c r="J220" i="10"/>
  <c r="P220" i="10" s="1"/>
  <c r="Q220" i="10" s="1"/>
  <c r="J219" i="10"/>
  <c r="P219" i="10" s="1"/>
  <c r="J218" i="10"/>
  <c r="P218" i="10" s="1"/>
  <c r="Q218" i="10" s="1"/>
  <c r="J216" i="10"/>
  <c r="P216" i="10" s="1"/>
  <c r="Q216" i="10" s="1"/>
  <c r="J215" i="10"/>
  <c r="P215" i="10" s="1"/>
  <c r="J214" i="10"/>
  <c r="P214" i="10" s="1"/>
  <c r="Q214" i="10" s="1"/>
  <c r="J62" i="10"/>
  <c r="J213" i="10"/>
  <c r="P213" i="10" s="1"/>
  <c r="J212" i="10"/>
  <c r="P212" i="10" s="1"/>
  <c r="Q212" i="10" s="1"/>
  <c r="J211" i="10"/>
  <c r="P211" i="10" s="1"/>
  <c r="Q211" i="10" s="1"/>
  <c r="J210" i="10"/>
  <c r="P210" i="10" s="1"/>
  <c r="Q210" i="10" s="1"/>
  <c r="J209" i="10"/>
  <c r="P209" i="10" s="1"/>
  <c r="Q209" i="10" s="1"/>
  <c r="J208" i="10"/>
  <c r="P208" i="10" s="1"/>
  <c r="Q208" i="10" s="1"/>
  <c r="J207" i="10"/>
  <c r="P207" i="10" s="1"/>
  <c r="Q207" i="10" s="1"/>
  <c r="J205" i="10"/>
  <c r="P205" i="10" s="1"/>
  <c r="J204" i="10"/>
  <c r="P204" i="10" s="1"/>
  <c r="J203" i="10"/>
  <c r="P203" i="10" s="1"/>
  <c r="Q203" i="10" s="1"/>
  <c r="J202" i="10"/>
  <c r="P202" i="10" s="1"/>
  <c r="J201" i="10"/>
  <c r="P201" i="10" s="1"/>
  <c r="Q201" i="10" s="1"/>
  <c r="J199" i="10"/>
  <c r="P199" i="10" s="1"/>
  <c r="Q199" i="10" s="1"/>
  <c r="J198" i="10"/>
  <c r="P198" i="10" s="1"/>
  <c r="Q198" i="10" s="1"/>
  <c r="J197" i="10"/>
  <c r="P197" i="10" s="1"/>
  <c r="Q197" i="10" s="1"/>
  <c r="J195" i="10"/>
  <c r="P195" i="10" s="1"/>
  <c r="Q195" i="10" s="1"/>
  <c r="J194" i="10"/>
  <c r="P194" i="10" s="1"/>
  <c r="J193" i="10"/>
  <c r="P193" i="10" s="1"/>
  <c r="Q193" i="10" s="1"/>
  <c r="J192" i="10"/>
  <c r="P192" i="10" s="1"/>
  <c r="Q192" i="10" s="1"/>
  <c r="J190" i="10"/>
  <c r="P190" i="10" s="1"/>
  <c r="Q190" i="10" s="1"/>
  <c r="J189" i="10"/>
  <c r="P189" i="10" s="1"/>
  <c r="J187" i="10"/>
  <c r="P187" i="10" s="1"/>
  <c r="Q187" i="10" s="1"/>
  <c r="J186" i="10"/>
  <c r="P186" i="10" s="1"/>
  <c r="Q186" i="10" s="1"/>
  <c r="J185" i="10"/>
  <c r="P185" i="10" s="1"/>
  <c r="Q185" i="10" s="1"/>
  <c r="J184" i="10"/>
  <c r="P184" i="10" s="1"/>
  <c r="Q184" i="10" s="1"/>
  <c r="J183" i="10"/>
  <c r="P183" i="10" s="1"/>
  <c r="Q183" i="10" s="1"/>
  <c r="J181" i="10"/>
  <c r="P181" i="10" s="1"/>
  <c r="Q181" i="10" s="1"/>
  <c r="J180" i="10"/>
  <c r="P180" i="10" s="1"/>
  <c r="J178" i="10"/>
  <c r="P178" i="10" s="1"/>
  <c r="J177" i="10"/>
  <c r="P177" i="10" s="1"/>
  <c r="Q177" i="10" s="1"/>
  <c r="J176" i="10"/>
  <c r="P176" i="10" s="1"/>
  <c r="Q176" i="10" s="1"/>
  <c r="J175" i="10"/>
  <c r="P175" i="10" s="1"/>
  <c r="J174" i="10"/>
  <c r="P174" i="10" s="1"/>
  <c r="J173" i="10"/>
  <c r="P173" i="10" s="1"/>
  <c r="Q173" i="10" s="1"/>
  <c r="J172" i="10"/>
  <c r="P172" i="10" s="1"/>
  <c r="Q172" i="10" s="1"/>
  <c r="J171" i="10"/>
  <c r="P171" i="10" s="1"/>
  <c r="Q171" i="10" s="1"/>
  <c r="J170" i="10"/>
  <c r="P170" i="10" s="1"/>
  <c r="J169" i="10"/>
  <c r="P169" i="10" s="1"/>
  <c r="Q169" i="10" s="1"/>
  <c r="J168" i="10"/>
  <c r="P168" i="10" s="1"/>
  <c r="Q168" i="10" s="1"/>
  <c r="J167" i="10"/>
  <c r="P167" i="10" s="1"/>
  <c r="Q167" i="10" s="1"/>
  <c r="J165" i="10"/>
  <c r="P165" i="10" s="1"/>
  <c r="J164" i="10"/>
  <c r="P164" i="10" s="1"/>
  <c r="Q164" i="10" s="1"/>
  <c r="J163" i="10"/>
  <c r="P163" i="10" s="1"/>
  <c r="Q163" i="10" s="1"/>
  <c r="J161" i="10"/>
  <c r="P161" i="10" s="1"/>
  <c r="J160" i="10"/>
  <c r="P160" i="10" s="1"/>
  <c r="J159" i="10"/>
  <c r="P159" i="10" s="1"/>
  <c r="Q159" i="10" s="1"/>
  <c r="J158" i="10"/>
  <c r="P158" i="10" s="1"/>
  <c r="J157" i="10"/>
  <c r="P157" i="10" s="1"/>
  <c r="Q157" i="10" s="1"/>
  <c r="J156" i="10"/>
  <c r="P156" i="10" s="1"/>
  <c r="Q156" i="10" s="1"/>
  <c r="J155" i="10"/>
  <c r="P155" i="10" s="1"/>
  <c r="Q155" i="10" s="1"/>
  <c r="J154" i="10"/>
  <c r="P154" i="10" s="1"/>
  <c r="J153" i="10"/>
  <c r="P153" i="10" s="1"/>
  <c r="Q153" i="10" s="1"/>
  <c r="J151" i="10"/>
  <c r="P151" i="10" s="1"/>
  <c r="J149" i="10"/>
  <c r="P149" i="10" s="1"/>
  <c r="Q149" i="10" s="1"/>
  <c r="J148" i="10"/>
  <c r="P148" i="10" s="1"/>
  <c r="Q148" i="10" s="1"/>
  <c r="J147" i="10"/>
  <c r="P147" i="10" s="1"/>
  <c r="Q147" i="10" s="1"/>
  <c r="J146" i="10"/>
  <c r="P146" i="10" s="1"/>
  <c r="Q146" i="10" s="1"/>
  <c r="J145" i="10"/>
  <c r="P145" i="10" s="1"/>
  <c r="J143" i="10"/>
  <c r="P143" i="10" s="1"/>
  <c r="Q143" i="10" s="1"/>
  <c r="J142" i="10"/>
  <c r="P142" i="10" s="1"/>
  <c r="Q142" i="10" s="1"/>
  <c r="J141" i="10"/>
  <c r="P141" i="10" s="1"/>
  <c r="Q141" i="10" s="1"/>
  <c r="J140" i="10"/>
  <c r="P140" i="10" s="1"/>
  <c r="J139" i="10"/>
  <c r="P139" i="10" s="1"/>
  <c r="Q139" i="10" s="1"/>
  <c r="J138" i="10"/>
  <c r="P138" i="10" s="1"/>
  <c r="J137" i="10"/>
  <c r="P137" i="10" s="1"/>
  <c r="Q137" i="10" s="1"/>
  <c r="J136" i="10"/>
  <c r="P136" i="10" s="1"/>
  <c r="J135" i="10"/>
  <c r="P135" i="10" s="1"/>
  <c r="J134" i="10"/>
  <c r="P134" i="10" s="1"/>
  <c r="Q134" i="10" s="1"/>
  <c r="J133" i="10"/>
  <c r="P133" i="10" s="1"/>
  <c r="Q133" i="10" s="1"/>
  <c r="J132" i="10"/>
  <c r="P132" i="10" s="1"/>
  <c r="Q132" i="10" s="1"/>
  <c r="J131" i="10"/>
  <c r="P131" i="10" s="1"/>
  <c r="J130" i="10"/>
  <c r="P130" i="10" s="1"/>
  <c r="Q130" i="10" s="1"/>
  <c r="J129" i="10"/>
  <c r="P129" i="10" s="1"/>
  <c r="Q129" i="10" s="1"/>
  <c r="J128" i="10"/>
  <c r="P128" i="10" s="1"/>
  <c r="Q128" i="10" s="1"/>
  <c r="J127" i="10"/>
  <c r="P127" i="10" s="1"/>
  <c r="J126" i="10"/>
  <c r="P126" i="10" s="1"/>
  <c r="Q126" i="10" s="1"/>
  <c r="J61" i="10"/>
  <c r="J125" i="10"/>
  <c r="P125" i="10" s="1"/>
  <c r="J124" i="10"/>
  <c r="P124" i="10" s="1"/>
  <c r="Q124" i="10" s="1"/>
  <c r="J123" i="10"/>
  <c r="P123" i="10" s="1"/>
  <c r="Q123" i="10" s="1"/>
  <c r="J121" i="10"/>
  <c r="P121" i="10" s="1"/>
  <c r="J120" i="10"/>
  <c r="P120" i="10" s="1"/>
  <c r="Q120" i="10" s="1"/>
  <c r="J119" i="10"/>
  <c r="P119" i="10" s="1"/>
  <c r="Q119" i="10" s="1"/>
  <c r="J116" i="10"/>
  <c r="P116" i="10" s="1"/>
  <c r="Q116" i="10" s="1"/>
  <c r="J115" i="10"/>
  <c r="P115" i="10" s="1"/>
  <c r="Q115" i="10" s="1"/>
  <c r="J114" i="10"/>
  <c r="P114" i="10" s="1"/>
  <c r="J112" i="10"/>
  <c r="P112" i="10" s="1"/>
  <c r="Q112" i="10" s="1"/>
  <c r="J111" i="10"/>
  <c r="P111" i="10" s="1"/>
  <c r="Q111" i="10" s="1"/>
  <c r="J109" i="10"/>
  <c r="P109" i="10" s="1"/>
  <c r="J107" i="10"/>
  <c r="P107" i="10" s="1"/>
  <c r="Q107" i="10" s="1"/>
  <c r="J106" i="10"/>
  <c r="P106" i="10" s="1"/>
  <c r="Q106" i="10" s="1"/>
  <c r="J105" i="10"/>
  <c r="P105" i="10" s="1"/>
  <c r="Q105" i="10" s="1"/>
  <c r="J104" i="10"/>
  <c r="P104" i="10" s="1"/>
  <c r="Q104" i="10" s="1"/>
  <c r="J103" i="10"/>
  <c r="P103" i="10" s="1"/>
  <c r="Q103" i="10" s="1"/>
  <c r="J102" i="10"/>
  <c r="P102" i="10" s="1"/>
  <c r="J100" i="10"/>
  <c r="P100" i="10" s="1"/>
  <c r="Q100" i="10" s="1"/>
  <c r="J99" i="10"/>
  <c r="P99" i="10" s="1"/>
  <c r="J98" i="10"/>
  <c r="P98" i="10" s="1"/>
  <c r="Q98" i="10" s="1"/>
  <c r="J97" i="10"/>
  <c r="P97" i="10" s="1"/>
  <c r="Q97" i="10" s="1"/>
  <c r="J96" i="10"/>
  <c r="P96" i="10" s="1"/>
  <c r="J94" i="10"/>
  <c r="P94" i="10" s="1"/>
  <c r="Q94" i="10" s="1"/>
  <c r="J93" i="10"/>
  <c r="P93" i="10" s="1"/>
  <c r="J92" i="10"/>
  <c r="P92" i="10" s="1"/>
  <c r="J90" i="10"/>
  <c r="P90" i="10" s="1"/>
  <c r="Q90" i="10" s="1"/>
  <c r="J89" i="10"/>
  <c r="P89" i="10" s="1"/>
  <c r="J88" i="10"/>
  <c r="P88" i="10" s="1"/>
  <c r="Q88" i="10" s="1"/>
  <c r="J87" i="10"/>
  <c r="P87" i="10" s="1"/>
  <c r="Q87" i="10" s="1"/>
  <c r="J86" i="10"/>
  <c r="P86" i="10" s="1"/>
  <c r="Q86" i="10" s="1"/>
  <c r="J85" i="10"/>
  <c r="P85" i="10" s="1"/>
  <c r="J84" i="10"/>
  <c r="P84" i="10" s="1"/>
  <c r="Q84" i="10" s="1"/>
  <c r="J83" i="10"/>
  <c r="P83" i="10" s="1"/>
  <c r="Q83" i="10" s="1"/>
  <c r="J82" i="10"/>
  <c r="P82" i="10" s="1"/>
  <c r="Q82" i="10" s="1"/>
  <c r="J81" i="10"/>
  <c r="P81" i="10" s="1"/>
  <c r="Q81" i="10" s="1"/>
  <c r="J80" i="10"/>
  <c r="P80" i="10" s="1"/>
  <c r="Q80" i="10" s="1"/>
  <c r="J77" i="10"/>
  <c r="P77" i="10" s="1"/>
  <c r="Q77" i="10" s="1"/>
  <c r="J76" i="10"/>
  <c r="P76" i="10" s="1"/>
  <c r="Q76" i="10" s="1"/>
  <c r="J74" i="10"/>
  <c r="P74" i="10" s="1"/>
  <c r="J73" i="10"/>
  <c r="P73" i="10" s="1"/>
  <c r="Q73" i="10" s="1"/>
  <c r="J72" i="10"/>
  <c r="P72" i="10" s="1"/>
  <c r="J59" i="10"/>
  <c r="J58" i="10"/>
  <c r="J57" i="10"/>
  <c r="J56" i="10"/>
  <c r="J55" i="10"/>
  <c r="J54" i="10"/>
  <c r="J53" i="10"/>
  <c r="J52" i="10"/>
  <c r="J50" i="10"/>
  <c r="J49" i="10"/>
  <c r="J48" i="10"/>
  <c r="J46" i="10"/>
  <c r="J44" i="10"/>
  <c r="J43" i="10"/>
  <c r="J40" i="10"/>
  <c r="J71" i="10"/>
  <c r="P71" i="10" s="1"/>
  <c r="Q71" i="10" s="1"/>
  <c r="J39" i="10"/>
  <c r="J38" i="10"/>
  <c r="J37" i="10"/>
  <c r="J36" i="10"/>
  <c r="J70" i="10"/>
  <c r="P70" i="10" s="1"/>
  <c r="Q70" i="10" s="1"/>
  <c r="J35" i="10"/>
  <c r="J34" i="10"/>
  <c r="J25" i="10"/>
  <c r="J32" i="10"/>
  <c r="J31" i="10"/>
  <c r="J68" i="10"/>
  <c r="P68" i="10" s="1"/>
  <c r="J22" i="10"/>
  <c r="J30" i="10"/>
  <c r="J29" i="10"/>
  <c r="J67" i="10"/>
  <c r="P67" i="10" s="1"/>
  <c r="J27" i="10"/>
  <c r="J24" i="10"/>
  <c r="J66" i="10"/>
  <c r="P66" i="10" s="1"/>
  <c r="Q66" i="10" s="1"/>
  <c r="J26" i="10"/>
  <c r="J65" i="10"/>
  <c r="P65" i="10" s="1"/>
  <c r="Q65" i="10" s="1"/>
  <c r="J23" i="10"/>
  <c r="P26" i="9"/>
  <c r="Q26" i="9" s="1"/>
  <c r="J27" i="9"/>
  <c r="I27" i="9"/>
  <c r="H27" i="9"/>
  <c r="G27" i="9"/>
  <c r="F27" i="9"/>
  <c r="E27" i="9"/>
  <c r="D27" i="9"/>
  <c r="P184" i="7"/>
  <c r="Q184" i="7" s="1"/>
  <c r="P189" i="7"/>
  <c r="Q189" i="7" s="1"/>
  <c r="P190" i="7"/>
  <c r="I208" i="7"/>
  <c r="H208" i="7"/>
  <c r="G208" i="7"/>
  <c r="F208" i="7"/>
  <c r="E208" i="7"/>
  <c r="D208" i="7"/>
  <c r="I207" i="7"/>
  <c r="H207" i="7"/>
  <c r="G207" i="7"/>
  <c r="F207" i="7"/>
  <c r="E207" i="7"/>
  <c r="D207" i="7"/>
  <c r="I114" i="7"/>
  <c r="H114" i="7"/>
  <c r="G114" i="7"/>
  <c r="F114" i="7"/>
  <c r="E114" i="7"/>
  <c r="D114" i="7"/>
  <c r="I206" i="7"/>
  <c r="H206" i="7"/>
  <c r="G206" i="7"/>
  <c r="F206" i="7"/>
  <c r="E206" i="7"/>
  <c r="D206" i="7"/>
  <c r="I150" i="7"/>
  <c r="H150" i="7"/>
  <c r="G150" i="7"/>
  <c r="F150" i="7"/>
  <c r="E150" i="7"/>
  <c r="D150" i="7"/>
  <c r="I149" i="7"/>
  <c r="H149" i="7"/>
  <c r="G149" i="7"/>
  <c r="F149" i="7"/>
  <c r="E149" i="7"/>
  <c r="D149" i="7"/>
  <c r="I148" i="7"/>
  <c r="H148" i="7"/>
  <c r="G148" i="7"/>
  <c r="F148" i="7"/>
  <c r="E148" i="7"/>
  <c r="D148" i="7"/>
  <c r="I147" i="7"/>
  <c r="H147" i="7"/>
  <c r="G147" i="7"/>
  <c r="F147" i="7"/>
  <c r="E147" i="7"/>
  <c r="D147" i="7"/>
  <c r="I113" i="7"/>
  <c r="H113" i="7"/>
  <c r="G113" i="7"/>
  <c r="F113" i="7"/>
  <c r="E113" i="7"/>
  <c r="D113" i="7"/>
  <c r="I205" i="7"/>
  <c r="H205" i="7"/>
  <c r="G205" i="7"/>
  <c r="F205" i="7"/>
  <c r="E205" i="7"/>
  <c r="D205" i="7"/>
  <c r="I112" i="7"/>
  <c r="H112" i="7"/>
  <c r="G112" i="7"/>
  <c r="F112" i="7"/>
  <c r="E112" i="7"/>
  <c r="D112" i="7"/>
  <c r="I204" i="7"/>
  <c r="H204" i="7"/>
  <c r="G204" i="7"/>
  <c r="F204" i="7"/>
  <c r="E204" i="7"/>
  <c r="D204" i="7"/>
  <c r="I203" i="7"/>
  <c r="H203" i="7"/>
  <c r="G203" i="7"/>
  <c r="F203" i="7"/>
  <c r="E203" i="7"/>
  <c r="D203" i="7"/>
  <c r="I202" i="7"/>
  <c r="H202" i="7"/>
  <c r="G202" i="7"/>
  <c r="F202" i="7"/>
  <c r="E202" i="7"/>
  <c r="D202" i="7"/>
  <c r="I146" i="7"/>
  <c r="H146" i="7"/>
  <c r="G146" i="7"/>
  <c r="F146" i="7"/>
  <c r="E146" i="7"/>
  <c r="D146" i="7"/>
  <c r="I111" i="7"/>
  <c r="H111" i="7"/>
  <c r="G111" i="7"/>
  <c r="F111" i="7"/>
  <c r="E111" i="7"/>
  <c r="D111" i="7"/>
  <c r="I145" i="7"/>
  <c r="H145" i="7"/>
  <c r="G145" i="7"/>
  <c r="F145" i="7"/>
  <c r="E145" i="7"/>
  <c r="D145" i="7"/>
  <c r="I110" i="7"/>
  <c r="H110" i="7"/>
  <c r="G110" i="7"/>
  <c r="F110" i="7"/>
  <c r="E110" i="7"/>
  <c r="D110" i="7"/>
  <c r="I144" i="7"/>
  <c r="H144" i="7"/>
  <c r="G144" i="7"/>
  <c r="F144" i="7"/>
  <c r="E144" i="7"/>
  <c r="D144" i="7"/>
  <c r="I143" i="7"/>
  <c r="H143" i="7"/>
  <c r="G143" i="7"/>
  <c r="F143" i="7"/>
  <c r="E143" i="7"/>
  <c r="D143" i="7"/>
  <c r="I109" i="7"/>
  <c r="H109" i="7"/>
  <c r="G109" i="7"/>
  <c r="F109" i="7"/>
  <c r="E109" i="7"/>
  <c r="D109" i="7"/>
  <c r="I108" i="7"/>
  <c r="H108" i="7"/>
  <c r="G108" i="7"/>
  <c r="F108" i="7"/>
  <c r="E108" i="7"/>
  <c r="D108" i="7"/>
  <c r="I201" i="7"/>
  <c r="H201" i="7"/>
  <c r="G201" i="7"/>
  <c r="F201" i="7"/>
  <c r="E201" i="7"/>
  <c r="D201" i="7"/>
  <c r="I107" i="7"/>
  <c r="H107" i="7"/>
  <c r="G107" i="7"/>
  <c r="F107" i="7"/>
  <c r="E107" i="7"/>
  <c r="D107" i="7"/>
  <c r="I142" i="7"/>
  <c r="H142" i="7"/>
  <c r="G142" i="7"/>
  <c r="F142" i="7"/>
  <c r="E142" i="7"/>
  <c r="D142" i="7"/>
  <c r="I200" i="7"/>
  <c r="H200" i="7"/>
  <c r="G200" i="7"/>
  <c r="F200" i="7"/>
  <c r="E200" i="7"/>
  <c r="D200" i="7"/>
  <c r="I106" i="7"/>
  <c r="H106" i="7"/>
  <c r="G106" i="7"/>
  <c r="F106" i="7"/>
  <c r="E106" i="7"/>
  <c r="D106" i="7"/>
  <c r="I199" i="7"/>
  <c r="H199" i="7"/>
  <c r="G199" i="7"/>
  <c r="F199" i="7"/>
  <c r="E199" i="7"/>
  <c r="D199" i="7"/>
  <c r="I198" i="7"/>
  <c r="H198" i="7"/>
  <c r="G198" i="7"/>
  <c r="F198" i="7"/>
  <c r="E198" i="7"/>
  <c r="D198" i="7"/>
  <c r="I105" i="7"/>
  <c r="H105" i="7"/>
  <c r="G105" i="7"/>
  <c r="F105" i="7"/>
  <c r="E105" i="7"/>
  <c r="D105" i="7"/>
  <c r="I197" i="7"/>
  <c r="H197" i="7"/>
  <c r="G197" i="7"/>
  <c r="F197" i="7"/>
  <c r="E197" i="7"/>
  <c r="D197" i="7"/>
  <c r="I104" i="7"/>
  <c r="H104" i="7"/>
  <c r="G104" i="7"/>
  <c r="F104" i="7"/>
  <c r="E104" i="7"/>
  <c r="D104" i="7"/>
  <c r="I141" i="7"/>
  <c r="H141" i="7"/>
  <c r="G141" i="7"/>
  <c r="F141" i="7"/>
  <c r="E141" i="7"/>
  <c r="D141" i="7"/>
  <c r="I103" i="7"/>
  <c r="H103" i="7"/>
  <c r="G103" i="7"/>
  <c r="F103" i="7"/>
  <c r="E103" i="7"/>
  <c r="D103" i="7"/>
  <c r="I140" i="7"/>
  <c r="H140" i="7"/>
  <c r="G140" i="7"/>
  <c r="F140" i="7"/>
  <c r="E140" i="7"/>
  <c r="D140" i="7"/>
  <c r="I196" i="7"/>
  <c r="H196" i="7"/>
  <c r="G196" i="7"/>
  <c r="F196" i="7"/>
  <c r="E196" i="7"/>
  <c r="D196" i="7"/>
  <c r="I195" i="7"/>
  <c r="H195" i="7"/>
  <c r="G195" i="7"/>
  <c r="F195" i="7"/>
  <c r="E195" i="7"/>
  <c r="D195" i="7"/>
  <c r="I102" i="7"/>
  <c r="H102" i="7"/>
  <c r="G102" i="7"/>
  <c r="F102" i="7"/>
  <c r="E102" i="7"/>
  <c r="D102" i="7"/>
  <c r="I194" i="7"/>
  <c r="H194" i="7"/>
  <c r="G194" i="7"/>
  <c r="F194" i="7"/>
  <c r="E194" i="7"/>
  <c r="D194" i="7"/>
  <c r="I193" i="7"/>
  <c r="H193" i="7"/>
  <c r="G193" i="7"/>
  <c r="F193" i="7"/>
  <c r="E193" i="7"/>
  <c r="D193" i="7"/>
  <c r="I101" i="7"/>
  <c r="H101" i="7"/>
  <c r="G101" i="7"/>
  <c r="F101" i="7"/>
  <c r="E101" i="7"/>
  <c r="D101" i="7"/>
  <c r="J208" i="7"/>
  <c r="J207" i="7"/>
  <c r="J114" i="7"/>
  <c r="J206" i="7"/>
  <c r="J150" i="7"/>
  <c r="J149" i="7"/>
  <c r="J148" i="7"/>
  <c r="J147" i="7"/>
  <c r="J113" i="7"/>
  <c r="J205" i="7"/>
  <c r="J112" i="7"/>
  <c r="J204" i="7"/>
  <c r="J203" i="7"/>
  <c r="J202" i="7"/>
  <c r="J146" i="7"/>
  <c r="J111" i="7"/>
  <c r="J145" i="7"/>
  <c r="J110" i="7"/>
  <c r="J144" i="7"/>
  <c r="J143" i="7"/>
  <c r="J109" i="7"/>
  <c r="J108" i="7"/>
  <c r="J201" i="7"/>
  <c r="J107" i="7"/>
  <c r="J142" i="7"/>
  <c r="J200" i="7"/>
  <c r="J106" i="7"/>
  <c r="J199" i="7"/>
  <c r="J198" i="7"/>
  <c r="J105" i="7"/>
  <c r="J197" i="7"/>
  <c r="J104" i="7"/>
  <c r="J141" i="7"/>
  <c r="J103" i="7"/>
  <c r="J140" i="7"/>
  <c r="J196" i="7"/>
  <c r="J195" i="7"/>
  <c r="J102" i="7"/>
  <c r="J101" i="7"/>
  <c r="J193" i="7"/>
  <c r="J194" i="7"/>
  <c r="J100" i="7"/>
  <c r="I100" i="7"/>
  <c r="H100" i="7"/>
  <c r="G100" i="7"/>
  <c r="F100" i="7"/>
  <c r="E100" i="7"/>
  <c r="D100" i="7"/>
  <c r="I99" i="7"/>
  <c r="H99" i="7"/>
  <c r="G99" i="7"/>
  <c r="F99" i="7"/>
  <c r="E99" i="7"/>
  <c r="D99" i="7"/>
  <c r="I139" i="7"/>
  <c r="H139" i="7"/>
  <c r="G139" i="7"/>
  <c r="F139" i="7"/>
  <c r="E139" i="7"/>
  <c r="D139" i="7"/>
  <c r="I98" i="7"/>
  <c r="H98" i="7"/>
  <c r="G98" i="7"/>
  <c r="F98" i="7"/>
  <c r="E98" i="7"/>
  <c r="D98" i="7"/>
  <c r="I138" i="7"/>
  <c r="H138" i="7"/>
  <c r="G138" i="7"/>
  <c r="F138" i="7"/>
  <c r="E138" i="7"/>
  <c r="D138" i="7"/>
  <c r="I97" i="7"/>
  <c r="H97" i="7"/>
  <c r="G97" i="7"/>
  <c r="F97" i="7"/>
  <c r="E97" i="7"/>
  <c r="D97" i="7"/>
  <c r="I137" i="7"/>
  <c r="H137" i="7"/>
  <c r="G137" i="7"/>
  <c r="F137" i="7"/>
  <c r="E137" i="7"/>
  <c r="D137" i="7"/>
  <c r="J99" i="7"/>
  <c r="J139" i="7"/>
  <c r="J98" i="7"/>
  <c r="J138" i="7"/>
  <c r="J97" i="7"/>
  <c r="J137" i="7"/>
  <c r="I96" i="7"/>
  <c r="H96" i="7"/>
  <c r="G96" i="7"/>
  <c r="F96" i="7"/>
  <c r="E96" i="7"/>
  <c r="D96" i="7"/>
  <c r="I95" i="7"/>
  <c r="H95" i="7"/>
  <c r="G95" i="7"/>
  <c r="F95" i="7"/>
  <c r="E95" i="7"/>
  <c r="D95" i="7"/>
  <c r="I192" i="7"/>
  <c r="H192" i="7"/>
  <c r="G192" i="7"/>
  <c r="F192" i="7"/>
  <c r="E192" i="7"/>
  <c r="D192" i="7"/>
  <c r="I94" i="7"/>
  <c r="H94" i="7"/>
  <c r="G94" i="7"/>
  <c r="F94" i="7"/>
  <c r="E94" i="7"/>
  <c r="D94" i="7"/>
  <c r="I136" i="7"/>
  <c r="H136" i="7"/>
  <c r="G136" i="7"/>
  <c r="F136" i="7"/>
  <c r="E136" i="7"/>
  <c r="D136" i="7"/>
  <c r="I93" i="7"/>
  <c r="H93" i="7"/>
  <c r="G93" i="7"/>
  <c r="F93" i="7"/>
  <c r="E93" i="7"/>
  <c r="D93" i="7"/>
  <c r="I191" i="7"/>
  <c r="H191" i="7"/>
  <c r="G191" i="7"/>
  <c r="F191" i="7"/>
  <c r="E191" i="7"/>
  <c r="D191" i="7"/>
  <c r="I92" i="7"/>
  <c r="H92" i="7"/>
  <c r="G92" i="7"/>
  <c r="F92" i="7"/>
  <c r="E92" i="7"/>
  <c r="D92" i="7"/>
  <c r="I91" i="7"/>
  <c r="H91" i="7"/>
  <c r="G91" i="7"/>
  <c r="F91" i="7"/>
  <c r="E91" i="7"/>
  <c r="D91" i="7"/>
  <c r="I135" i="7"/>
  <c r="H135" i="7"/>
  <c r="G135" i="7"/>
  <c r="F135" i="7"/>
  <c r="E135" i="7"/>
  <c r="D135" i="7"/>
  <c r="I90" i="7"/>
  <c r="H90" i="7"/>
  <c r="G90" i="7"/>
  <c r="F90" i="7"/>
  <c r="E90" i="7"/>
  <c r="D90" i="7"/>
  <c r="I89" i="7"/>
  <c r="H89" i="7"/>
  <c r="G89" i="7"/>
  <c r="F89" i="7"/>
  <c r="E89" i="7"/>
  <c r="D89" i="7"/>
  <c r="I188" i="7"/>
  <c r="H188" i="7"/>
  <c r="G188" i="7"/>
  <c r="F188" i="7"/>
  <c r="E188" i="7"/>
  <c r="D188" i="7"/>
  <c r="I187" i="7"/>
  <c r="H187" i="7"/>
  <c r="G187" i="7"/>
  <c r="F187" i="7"/>
  <c r="E187" i="7"/>
  <c r="D187" i="7"/>
  <c r="I88" i="7"/>
  <c r="H88" i="7"/>
  <c r="G88" i="7"/>
  <c r="F88" i="7"/>
  <c r="E88" i="7"/>
  <c r="D88" i="7"/>
  <c r="I87" i="7"/>
  <c r="H87" i="7"/>
  <c r="G87" i="7"/>
  <c r="F87" i="7"/>
  <c r="E87" i="7"/>
  <c r="D87" i="7"/>
  <c r="I134" i="7"/>
  <c r="H134" i="7"/>
  <c r="G134" i="7"/>
  <c r="F134" i="7"/>
  <c r="E134" i="7"/>
  <c r="D134" i="7"/>
  <c r="I86" i="7"/>
  <c r="H86" i="7"/>
  <c r="G86" i="7"/>
  <c r="F86" i="7"/>
  <c r="E86" i="7"/>
  <c r="D86" i="7"/>
  <c r="I186" i="7"/>
  <c r="H186" i="7"/>
  <c r="G186" i="7"/>
  <c r="F186" i="7"/>
  <c r="E186" i="7"/>
  <c r="D186" i="7"/>
  <c r="I85" i="7"/>
  <c r="H85" i="7"/>
  <c r="G85" i="7"/>
  <c r="F85" i="7"/>
  <c r="E85" i="7"/>
  <c r="D85" i="7"/>
  <c r="J96" i="7"/>
  <c r="J95" i="7"/>
  <c r="J192" i="7"/>
  <c r="J94" i="7"/>
  <c r="J136" i="7"/>
  <c r="J93" i="7"/>
  <c r="J191" i="7"/>
  <c r="J92" i="7"/>
  <c r="J91" i="7"/>
  <c r="J90" i="7"/>
  <c r="J135" i="7"/>
  <c r="J89" i="7"/>
  <c r="J188" i="7"/>
  <c r="I5" i="7"/>
  <c r="D5" i="7"/>
  <c r="E5" i="7"/>
  <c r="J5" i="7"/>
  <c r="J187" i="7"/>
  <c r="J88" i="7"/>
  <c r="J87" i="7"/>
  <c r="J134" i="7"/>
  <c r="J86" i="7"/>
  <c r="J186" i="7"/>
  <c r="J85" i="7"/>
  <c r="J185" i="7"/>
  <c r="I185" i="7"/>
  <c r="H185" i="7"/>
  <c r="G185" i="7"/>
  <c r="F185" i="7"/>
  <c r="E185" i="7"/>
  <c r="D185" i="7"/>
  <c r="I84" i="7"/>
  <c r="H84" i="7"/>
  <c r="G84" i="7"/>
  <c r="F84" i="7"/>
  <c r="E84" i="7"/>
  <c r="D84" i="7"/>
  <c r="I133" i="7"/>
  <c r="H133" i="7"/>
  <c r="G133" i="7"/>
  <c r="F133" i="7"/>
  <c r="E133" i="7"/>
  <c r="D133" i="7"/>
  <c r="I156" i="7"/>
  <c r="H156" i="7"/>
  <c r="G156" i="7"/>
  <c r="F156" i="7"/>
  <c r="E156" i="7"/>
  <c r="D156" i="7"/>
  <c r="J156" i="7"/>
  <c r="J84" i="7"/>
  <c r="J133" i="7"/>
  <c r="I132" i="7"/>
  <c r="H132" i="7"/>
  <c r="G132" i="7"/>
  <c r="F132" i="7"/>
  <c r="E132" i="7"/>
  <c r="D132" i="7"/>
  <c r="I83" i="7"/>
  <c r="H83" i="7"/>
  <c r="G83" i="7"/>
  <c r="F83" i="7"/>
  <c r="E83" i="7"/>
  <c r="D83" i="7"/>
  <c r="I67" i="7"/>
  <c r="H67" i="7"/>
  <c r="G67" i="7"/>
  <c r="F67" i="7"/>
  <c r="E67" i="7"/>
  <c r="D67" i="7"/>
  <c r="J67" i="7"/>
  <c r="J132" i="7"/>
  <c r="J83" i="7"/>
  <c r="J82" i="7"/>
  <c r="I82" i="7"/>
  <c r="H82" i="7"/>
  <c r="G82" i="7"/>
  <c r="F82" i="7"/>
  <c r="E82" i="7"/>
  <c r="D82" i="7"/>
  <c r="J183" i="7"/>
  <c r="I183" i="7"/>
  <c r="H183" i="7"/>
  <c r="G183" i="7"/>
  <c r="F183" i="7"/>
  <c r="E183" i="7"/>
  <c r="D183" i="7"/>
  <c r="J81" i="7"/>
  <c r="I81" i="7"/>
  <c r="H81" i="7"/>
  <c r="G81" i="7"/>
  <c r="F81" i="7"/>
  <c r="E81" i="7"/>
  <c r="D81" i="7"/>
  <c r="J182" i="7"/>
  <c r="I182" i="7"/>
  <c r="H182" i="7"/>
  <c r="G182" i="7"/>
  <c r="F182" i="7"/>
  <c r="E182" i="7"/>
  <c r="D182" i="7"/>
  <c r="I181" i="7"/>
  <c r="H181" i="7"/>
  <c r="G181" i="7"/>
  <c r="F181" i="7"/>
  <c r="E181" i="7"/>
  <c r="D181" i="7"/>
  <c r="J131" i="7"/>
  <c r="I131" i="7"/>
  <c r="H131" i="7"/>
  <c r="G131" i="7"/>
  <c r="F131" i="7"/>
  <c r="E131" i="7"/>
  <c r="D131" i="7"/>
  <c r="J130" i="7"/>
  <c r="I130" i="7"/>
  <c r="H130" i="7"/>
  <c r="G130" i="7"/>
  <c r="F130" i="7"/>
  <c r="E130" i="7"/>
  <c r="D130" i="7"/>
  <c r="J80" i="7"/>
  <c r="I80" i="7"/>
  <c r="H80" i="7"/>
  <c r="G80" i="7"/>
  <c r="F80" i="7"/>
  <c r="E80" i="7"/>
  <c r="D80" i="7"/>
  <c r="J180" i="7"/>
  <c r="I180" i="7"/>
  <c r="H180" i="7"/>
  <c r="G180" i="7"/>
  <c r="F180" i="7"/>
  <c r="E180" i="7"/>
  <c r="D180" i="7"/>
  <c r="J79" i="7"/>
  <c r="I79" i="7"/>
  <c r="H79" i="7"/>
  <c r="G79" i="7"/>
  <c r="F79" i="7"/>
  <c r="E79" i="7"/>
  <c r="D79" i="7"/>
  <c r="J78" i="7"/>
  <c r="I78" i="7"/>
  <c r="H78" i="7"/>
  <c r="G78" i="7"/>
  <c r="F78" i="7"/>
  <c r="E78" i="7"/>
  <c r="D78" i="7"/>
  <c r="J178" i="7"/>
  <c r="I178" i="7"/>
  <c r="H178" i="7"/>
  <c r="G178" i="7"/>
  <c r="F178" i="7"/>
  <c r="E178" i="7"/>
  <c r="D178" i="7"/>
  <c r="J129" i="7"/>
  <c r="I129" i="7"/>
  <c r="H129" i="7"/>
  <c r="G129" i="7"/>
  <c r="F129" i="7"/>
  <c r="E129" i="7"/>
  <c r="D129" i="7"/>
  <c r="J128" i="7"/>
  <c r="I128" i="7"/>
  <c r="H128" i="7"/>
  <c r="G128" i="7"/>
  <c r="F128" i="7"/>
  <c r="E128" i="7"/>
  <c r="D128" i="7"/>
  <c r="J127" i="7"/>
  <c r="I127" i="7"/>
  <c r="H127" i="7"/>
  <c r="G127" i="7"/>
  <c r="F127" i="7"/>
  <c r="E127" i="7"/>
  <c r="D127" i="7"/>
  <c r="P164" i="7"/>
  <c r="Q164" i="7" s="1"/>
  <c r="P165" i="7"/>
  <c r="Q165" i="7" s="1"/>
  <c r="P166" i="7"/>
  <c r="Q166" i="7" s="1"/>
  <c r="P167" i="7"/>
  <c r="Q167" i="7" s="1"/>
  <c r="P168" i="7"/>
  <c r="Q168" i="7" s="1"/>
  <c r="Q19" i="7"/>
  <c r="P172" i="7"/>
  <c r="Q172" i="7" s="1"/>
  <c r="P173" i="7"/>
  <c r="Q173" i="7" s="1"/>
  <c r="P174" i="7"/>
  <c r="Q174" i="7" s="1"/>
  <c r="P175" i="7"/>
  <c r="Q175" i="7" s="1"/>
  <c r="P177" i="7"/>
  <c r="Q177" i="7" s="1"/>
  <c r="P179" i="7"/>
  <c r="Q179" i="7" s="1"/>
  <c r="E77" i="7"/>
  <c r="J77" i="7"/>
  <c r="I77" i="7"/>
  <c r="H77" i="7"/>
  <c r="G77" i="7"/>
  <c r="F77" i="7"/>
  <c r="D77" i="7"/>
  <c r="J176" i="7"/>
  <c r="I176" i="7"/>
  <c r="H176" i="7"/>
  <c r="G176" i="7"/>
  <c r="F176" i="7"/>
  <c r="E176" i="7"/>
  <c r="D176" i="7"/>
  <c r="J119" i="7"/>
  <c r="I119" i="7"/>
  <c r="H119" i="7"/>
  <c r="G119" i="7"/>
  <c r="E119" i="7"/>
  <c r="F119" i="7"/>
  <c r="D119" i="7"/>
  <c r="J62" i="7"/>
  <c r="I62" i="7"/>
  <c r="H62" i="7"/>
  <c r="G62" i="7"/>
  <c r="F62" i="7"/>
  <c r="E62" i="7"/>
  <c r="D62" i="7"/>
  <c r="J66" i="7"/>
  <c r="I66" i="7"/>
  <c r="H66" i="7"/>
  <c r="G66" i="7"/>
  <c r="F66" i="7"/>
  <c r="E66" i="7"/>
  <c r="D66" i="7"/>
  <c r="J171" i="7"/>
  <c r="I171" i="7"/>
  <c r="H171" i="7"/>
  <c r="G171" i="7"/>
  <c r="F171" i="7"/>
  <c r="E171" i="7"/>
  <c r="D171" i="7"/>
  <c r="J155" i="7"/>
  <c r="I155" i="7"/>
  <c r="H155" i="7"/>
  <c r="G155" i="7"/>
  <c r="F155" i="7"/>
  <c r="E155" i="7"/>
  <c r="D155" i="7"/>
  <c r="J154" i="7"/>
  <c r="I154" i="7"/>
  <c r="H154" i="7"/>
  <c r="G154" i="7"/>
  <c r="F154" i="7"/>
  <c r="E154" i="7"/>
  <c r="D154" i="7"/>
  <c r="J126" i="7"/>
  <c r="I126" i="7"/>
  <c r="H126" i="7"/>
  <c r="G126" i="7"/>
  <c r="F126" i="7"/>
  <c r="E126" i="7"/>
  <c r="D126" i="7"/>
  <c r="J76" i="7"/>
  <c r="I76" i="7"/>
  <c r="H76" i="7"/>
  <c r="G76" i="7"/>
  <c r="F76" i="7"/>
  <c r="E76" i="7"/>
  <c r="D76" i="7"/>
  <c r="J75" i="7"/>
  <c r="I75" i="7"/>
  <c r="H75" i="7"/>
  <c r="G75" i="7"/>
  <c r="F75" i="7"/>
  <c r="E75" i="7"/>
  <c r="D75" i="7"/>
  <c r="J170" i="7"/>
  <c r="I170" i="7"/>
  <c r="H170" i="7"/>
  <c r="G170" i="7"/>
  <c r="F170" i="7"/>
  <c r="E170" i="7"/>
  <c r="D170" i="7"/>
  <c r="J74" i="7"/>
  <c r="I74" i="7"/>
  <c r="H74" i="7"/>
  <c r="G74" i="7"/>
  <c r="F74" i="7"/>
  <c r="E74" i="7"/>
  <c r="D74" i="7"/>
  <c r="E169" i="7"/>
  <c r="J169" i="7"/>
  <c r="I169" i="7"/>
  <c r="H169" i="7"/>
  <c r="G169" i="7"/>
  <c r="F169" i="7"/>
  <c r="D169" i="7"/>
  <c r="J65" i="7"/>
  <c r="I65" i="7"/>
  <c r="H65" i="7"/>
  <c r="G65" i="7"/>
  <c r="F65" i="7"/>
  <c r="E65" i="7"/>
  <c r="D65" i="7"/>
  <c r="J73" i="7"/>
  <c r="I73" i="7"/>
  <c r="H73" i="7"/>
  <c r="G73" i="7"/>
  <c r="F73" i="7"/>
  <c r="E73" i="7"/>
  <c r="D73" i="7"/>
  <c r="E125" i="7"/>
  <c r="J125" i="7"/>
  <c r="I125" i="7"/>
  <c r="H125" i="7"/>
  <c r="G125" i="7"/>
  <c r="F125" i="7"/>
  <c r="D125" i="7"/>
  <c r="E64" i="7"/>
  <c r="J64" i="7"/>
  <c r="I64" i="7"/>
  <c r="H64" i="7"/>
  <c r="G64" i="7"/>
  <c r="F64" i="7"/>
  <c r="D64" i="7"/>
  <c r="J72" i="7"/>
  <c r="I72" i="7"/>
  <c r="H72" i="7"/>
  <c r="G72" i="7"/>
  <c r="F72" i="7"/>
  <c r="E72" i="7"/>
  <c r="D72" i="7"/>
  <c r="J71" i="7"/>
  <c r="I71" i="7"/>
  <c r="H71" i="7"/>
  <c r="G71" i="7"/>
  <c r="F71" i="7"/>
  <c r="E71" i="7"/>
  <c r="D71" i="7"/>
  <c r="J70" i="7"/>
  <c r="I70" i="7"/>
  <c r="H70" i="7"/>
  <c r="G70" i="7"/>
  <c r="F70" i="7"/>
  <c r="E70" i="7"/>
  <c r="D70" i="7"/>
  <c r="J118" i="7"/>
  <c r="I118" i="7"/>
  <c r="H118" i="7"/>
  <c r="G118" i="7"/>
  <c r="F118" i="7"/>
  <c r="E118" i="7"/>
  <c r="D118" i="7"/>
  <c r="J117" i="7"/>
  <c r="I117" i="7"/>
  <c r="H117" i="7"/>
  <c r="G117" i="7"/>
  <c r="F117" i="7"/>
  <c r="E117" i="7"/>
  <c r="D117" i="7"/>
  <c r="J116" i="7"/>
  <c r="I116" i="7"/>
  <c r="H116" i="7"/>
  <c r="G116" i="7"/>
  <c r="F116" i="7"/>
  <c r="E116" i="7"/>
  <c r="D116" i="7"/>
  <c r="J124" i="7"/>
  <c r="I124" i="7"/>
  <c r="H124" i="7"/>
  <c r="G124" i="7"/>
  <c r="F124" i="7"/>
  <c r="E124" i="7"/>
  <c r="D124" i="7"/>
  <c r="J123" i="7"/>
  <c r="I123" i="7"/>
  <c r="H123" i="7"/>
  <c r="G123" i="7"/>
  <c r="F123" i="7"/>
  <c r="E123" i="7"/>
  <c r="D123" i="7"/>
  <c r="J122" i="7"/>
  <c r="I122" i="7"/>
  <c r="H122" i="7"/>
  <c r="G122" i="7"/>
  <c r="F122" i="7"/>
  <c r="E122" i="7"/>
  <c r="D122" i="7"/>
  <c r="J153" i="7"/>
  <c r="I153" i="7"/>
  <c r="H153" i="7"/>
  <c r="G153" i="7"/>
  <c r="F153" i="7"/>
  <c r="E153" i="7"/>
  <c r="D153" i="7"/>
  <c r="J63" i="7"/>
  <c r="I63" i="7"/>
  <c r="H63" i="7"/>
  <c r="G63" i="7"/>
  <c r="F63" i="7"/>
  <c r="E63" i="7"/>
  <c r="D63" i="7"/>
  <c r="J69" i="7"/>
  <c r="I69" i="7"/>
  <c r="H69" i="7"/>
  <c r="G69" i="7"/>
  <c r="F69" i="7"/>
  <c r="E69" i="7"/>
  <c r="D69" i="7"/>
  <c r="J115" i="7"/>
  <c r="I115" i="7"/>
  <c r="H115" i="7"/>
  <c r="G115" i="7"/>
  <c r="F115" i="7"/>
  <c r="E115" i="7"/>
  <c r="D115" i="7"/>
  <c r="J121" i="7"/>
  <c r="I121" i="7"/>
  <c r="H121" i="7"/>
  <c r="G121" i="7"/>
  <c r="F121" i="7"/>
  <c r="E121" i="7"/>
  <c r="D121" i="7"/>
  <c r="J152" i="7"/>
  <c r="F152" i="7"/>
  <c r="I152" i="7"/>
  <c r="H152" i="7"/>
  <c r="G152" i="7"/>
  <c r="E152" i="7"/>
  <c r="D152" i="7"/>
  <c r="J68" i="7"/>
  <c r="I68" i="7"/>
  <c r="H68" i="7"/>
  <c r="G68" i="7"/>
  <c r="F68" i="7"/>
  <c r="E68" i="7"/>
  <c r="D68" i="7"/>
  <c r="J47" i="7"/>
  <c r="H47" i="7"/>
  <c r="I47" i="7"/>
  <c r="F47" i="7"/>
  <c r="E47" i="7"/>
  <c r="D47" i="7"/>
  <c r="J151" i="7"/>
  <c r="I151" i="7"/>
  <c r="H151" i="7"/>
  <c r="G151" i="7"/>
  <c r="F151" i="7"/>
  <c r="E151" i="7"/>
  <c r="D151" i="7"/>
  <c r="J120" i="7"/>
  <c r="I120" i="7"/>
  <c r="H120" i="7"/>
  <c r="G120" i="7"/>
  <c r="F120" i="7"/>
  <c r="E120" i="7"/>
  <c r="D120" i="7"/>
  <c r="J57" i="7"/>
  <c r="I57" i="7"/>
  <c r="H57" i="7"/>
  <c r="G57" i="7"/>
  <c r="D57" i="7"/>
  <c r="E57" i="7"/>
  <c r="F57" i="7"/>
  <c r="J161" i="7"/>
  <c r="I161" i="7"/>
  <c r="H161" i="7"/>
  <c r="G161" i="7"/>
  <c r="F161" i="7"/>
  <c r="E161" i="7"/>
  <c r="D161" i="7"/>
  <c r="P160" i="7"/>
  <c r="Q160" i="7" s="1"/>
  <c r="P162" i="7"/>
  <c r="Q162" i="7" s="1"/>
  <c r="P163" i="7"/>
  <c r="Q163" i="7" s="1"/>
  <c r="J6" i="7"/>
  <c r="I6" i="7"/>
  <c r="D6" i="7"/>
  <c r="P158" i="7"/>
  <c r="Q158" i="7" s="1"/>
  <c r="P159" i="7"/>
  <c r="Q159" i="7" s="1"/>
  <c r="J46" i="7"/>
  <c r="I46" i="7"/>
  <c r="G46" i="7"/>
  <c r="F46" i="7"/>
  <c r="E46" i="7"/>
  <c r="D46" i="7"/>
  <c r="J48" i="7"/>
  <c r="E48" i="7"/>
  <c r="D48" i="7"/>
  <c r="I48" i="7"/>
  <c r="H48" i="7"/>
  <c r="G48" i="7"/>
  <c r="F48" i="7"/>
  <c r="J56" i="7"/>
  <c r="I56" i="7"/>
  <c r="H56" i="7"/>
  <c r="G56" i="7"/>
  <c r="F56" i="7"/>
  <c r="E56" i="7"/>
  <c r="D56" i="7"/>
  <c r="J82" i="6"/>
  <c r="I82" i="6"/>
  <c r="H82" i="6"/>
  <c r="G82" i="6"/>
  <c r="F82" i="6"/>
  <c r="E82" i="6"/>
  <c r="D82" i="6"/>
  <c r="J81" i="6"/>
  <c r="I81" i="6"/>
  <c r="H81" i="6"/>
  <c r="G81" i="6"/>
  <c r="F81" i="6"/>
  <c r="E81" i="6"/>
  <c r="D81" i="6"/>
  <c r="J80" i="6"/>
  <c r="I80" i="6"/>
  <c r="H80" i="6"/>
  <c r="G80" i="6"/>
  <c r="D80" i="6"/>
  <c r="F80" i="6"/>
  <c r="E80" i="6"/>
  <c r="J79" i="6"/>
  <c r="I79" i="6"/>
  <c r="H79" i="6"/>
  <c r="G79" i="6"/>
  <c r="F79" i="6"/>
  <c r="E79" i="6"/>
  <c r="D79" i="6"/>
  <c r="P83" i="6"/>
  <c r="J78" i="6"/>
  <c r="I78" i="6"/>
  <c r="H78" i="6"/>
  <c r="G78" i="6"/>
  <c r="F78" i="6"/>
  <c r="E78" i="6"/>
  <c r="D78" i="6"/>
  <c r="J77" i="6"/>
  <c r="I77" i="6"/>
  <c r="H77" i="6"/>
  <c r="G77" i="6"/>
  <c r="F77" i="6"/>
  <c r="E77" i="6"/>
  <c r="D77" i="6"/>
  <c r="J76" i="6"/>
  <c r="I76" i="6"/>
  <c r="H76" i="6"/>
  <c r="G76" i="6"/>
  <c r="F76" i="6"/>
  <c r="E76" i="6"/>
  <c r="D76" i="6"/>
  <c r="J75" i="6"/>
  <c r="I75" i="6"/>
  <c r="H75" i="6"/>
  <c r="G75" i="6"/>
  <c r="F75" i="6"/>
  <c r="E75" i="6"/>
  <c r="D75" i="6"/>
  <c r="J74" i="6"/>
  <c r="I74" i="6"/>
  <c r="H74" i="6"/>
  <c r="G74" i="6"/>
  <c r="F74" i="6"/>
  <c r="E74" i="6"/>
  <c r="D74" i="6"/>
  <c r="J73" i="6"/>
  <c r="I73" i="6"/>
  <c r="H73" i="6"/>
  <c r="G73" i="6"/>
  <c r="F73" i="6"/>
  <c r="D73" i="6"/>
  <c r="E73" i="6"/>
  <c r="J72" i="6"/>
  <c r="I72" i="6"/>
  <c r="H72" i="6"/>
  <c r="G72" i="6"/>
  <c r="D72" i="6"/>
  <c r="F72" i="6"/>
  <c r="E72" i="6"/>
  <c r="I3" i="6"/>
  <c r="J3" i="6"/>
  <c r="D3" i="6"/>
  <c r="H3" i="6"/>
  <c r="G3" i="6"/>
  <c r="E3" i="6"/>
  <c r="J71" i="6"/>
  <c r="I71" i="6"/>
  <c r="H71" i="6"/>
  <c r="G71" i="6"/>
  <c r="F71" i="6"/>
  <c r="E71" i="6"/>
  <c r="D71" i="6"/>
  <c r="J70" i="6"/>
  <c r="I70" i="6"/>
  <c r="H70" i="6"/>
  <c r="G70" i="6"/>
  <c r="F70" i="6"/>
  <c r="E70" i="6"/>
  <c r="D70" i="6"/>
  <c r="J33" i="6"/>
  <c r="I33" i="6"/>
  <c r="H33" i="6"/>
  <c r="G33" i="6"/>
  <c r="F33" i="6"/>
  <c r="E33" i="6"/>
  <c r="D33" i="6"/>
  <c r="J69" i="6"/>
  <c r="I69" i="6"/>
  <c r="H69" i="6"/>
  <c r="G69" i="6"/>
  <c r="D69" i="6"/>
  <c r="E69" i="6"/>
  <c r="F69" i="6"/>
  <c r="J68" i="6"/>
  <c r="I68" i="6"/>
  <c r="H68" i="6"/>
  <c r="G68" i="6"/>
  <c r="F68" i="6"/>
  <c r="E68" i="6"/>
  <c r="D68" i="6"/>
  <c r="J67" i="6"/>
  <c r="I67" i="6"/>
  <c r="H67" i="6"/>
  <c r="G67" i="6"/>
  <c r="F67" i="6"/>
  <c r="E67" i="6"/>
  <c r="D67" i="6"/>
  <c r="J66" i="6"/>
  <c r="I66" i="6"/>
  <c r="H66" i="6"/>
  <c r="G66" i="6"/>
  <c r="D66" i="6"/>
  <c r="F66" i="6"/>
  <c r="E66" i="6"/>
  <c r="J65" i="6"/>
  <c r="I65" i="6"/>
  <c r="H65" i="6"/>
  <c r="G65" i="6"/>
  <c r="F65" i="6"/>
  <c r="D65" i="6"/>
  <c r="E65" i="6"/>
  <c r="J64" i="6"/>
  <c r="I64" i="6"/>
  <c r="H64" i="6"/>
  <c r="G64" i="6"/>
  <c r="F64" i="6"/>
  <c r="E64" i="6"/>
  <c r="D64" i="6"/>
  <c r="D15" i="6"/>
  <c r="J63" i="6"/>
  <c r="I63" i="6"/>
  <c r="H63" i="6"/>
  <c r="G63" i="6"/>
  <c r="F63" i="6"/>
  <c r="D63" i="6"/>
  <c r="E63" i="6"/>
  <c r="D32" i="6"/>
  <c r="J32" i="6"/>
  <c r="I32" i="6"/>
  <c r="H32" i="6"/>
  <c r="G32" i="6"/>
  <c r="F32" i="6"/>
  <c r="E32" i="6"/>
  <c r="P61" i="6"/>
  <c r="J62" i="6"/>
  <c r="I62" i="6"/>
  <c r="H62" i="6"/>
  <c r="G62" i="6"/>
  <c r="F62" i="6"/>
  <c r="E62" i="6"/>
  <c r="D62" i="6"/>
  <c r="J60" i="6"/>
  <c r="I60" i="6"/>
  <c r="H60" i="6"/>
  <c r="G60" i="6"/>
  <c r="F60" i="6"/>
  <c r="E60" i="6"/>
  <c r="D60" i="6"/>
  <c r="J59" i="6"/>
  <c r="I59" i="6"/>
  <c r="H59" i="6"/>
  <c r="G59" i="6"/>
  <c r="F59" i="6"/>
  <c r="E59" i="6"/>
  <c r="D59" i="6"/>
  <c r="H57" i="6"/>
  <c r="D58" i="6"/>
  <c r="J58" i="6"/>
  <c r="J57" i="6"/>
  <c r="I57" i="6"/>
  <c r="G57" i="6"/>
  <c r="F57" i="6"/>
  <c r="E57" i="6"/>
  <c r="D57" i="6"/>
  <c r="P56" i="6"/>
  <c r="Q56" i="6" s="1"/>
  <c r="H21" i="1"/>
  <c r="P347" i="1"/>
  <c r="H123" i="1"/>
  <c r="G123" i="1"/>
  <c r="F123" i="1"/>
  <c r="E123" i="1"/>
  <c r="D123" i="1"/>
  <c r="H96" i="1"/>
  <c r="G96" i="1"/>
  <c r="F96" i="1"/>
  <c r="E96" i="1"/>
  <c r="D96" i="1"/>
  <c r="H340" i="1"/>
  <c r="G340" i="1"/>
  <c r="F340" i="1"/>
  <c r="E340" i="1"/>
  <c r="D340" i="1"/>
  <c r="P312" i="1"/>
  <c r="Q312" i="1" s="1"/>
  <c r="P313" i="1"/>
  <c r="Q313" i="1" s="1"/>
  <c r="P314" i="1"/>
  <c r="P315" i="1"/>
  <c r="Q315" i="1" s="1"/>
  <c r="P318" i="1"/>
  <c r="Q318" i="1" s="1"/>
  <c r="P319" i="1"/>
  <c r="P320" i="1"/>
  <c r="P324" i="1"/>
  <c r="P327" i="1"/>
  <c r="Q327" i="1" s="1"/>
  <c r="P328" i="1"/>
  <c r="Q328" i="1" s="1"/>
  <c r="P331" i="1"/>
  <c r="Q331" i="1" s="1"/>
  <c r="P333" i="1"/>
  <c r="Q333" i="1" s="1"/>
  <c r="P334" i="1"/>
  <c r="Q334" i="1" s="1"/>
  <c r="P336" i="1"/>
  <c r="P337" i="1"/>
  <c r="P339" i="1"/>
  <c r="Q339" i="1" s="1"/>
  <c r="P341" i="1"/>
  <c r="Q341" i="1" s="1"/>
  <c r="P342" i="1"/>
  <c r="P343" i="1"/>
  <c r="Q343" i="1" s="1"/>
  <c r="P344" i="1"/>
  <c r="Q344" i="1" s="1"/>
  <c r="P345" i="1"/>
  <c r="Q345" i="1" s="1"/>
  <c r="P346" i="1"/>
  <c r="Q346" i="1" s="1"/>
  <c r="H335" i="1"/>
  <c r="G335" i="1"/>
  <c r="F335" i="1"/>
  <c r="E335" i="1"/>
  <c r="D335" i="1"/>
  <c r="H135" i="1"/>
  <c r="G135" i="1"/>
  <c r="F135" i="1"/>
  <c r="E135" i="1"/>
  <c r="D135" i="1"/>
  <c r="H332" i="1"/>
  <c r="G332" i="1"/>
  <c r="F332" i="1"/>
  <c r="E332" i="1"/>
  <c r="D332" i="1"/>
  <c r="H330" i="1"/>
  <c r="G330" i="1"/>
  <c r="F330" i="1"/>
  <c r="E330" i="1"/>
  <c r="D330" i="1"/>
  <c r="H329" i="1"/>
  <c r="G329" i="1"/>
  <c r="F329" i="1"/>
  <c r="E329" i="1"/>
  <c r="D329" i="1"/>
  <c r="H134" i="1"/>
  <c r="G134" i="1"/>
  <c r="F134" i="1"/>
  <c r="E134" i="1"/>
  <c r="D134" i="1"/>
  <c r="H326" i="1"/>
  <c r="G326" i="1"/>
  <c r="F326" i="1"/>
  <c r="E326" i="1"/>
  <c r="D326" i="1"/>
  <c r="H325" i="1"/>
  <c r="G325" i="1"/>
  <c r="F325" i="1"/>
  <c r="E325" i="1"/>
  <c r="D325" i="1"/>
  <c r="H178" i="1"/>
  <c r="G178" i="1"/>
  <c r="F178" i="1"/>
  <c r="E178" i="1"/>
  <c r="D178" i="1"/>
  <c r="H321" i="1"/>
  <c r="G321" i="1"/>
  <c r="F321" i="1"/>
  <c r="E321" i="1"/>
  <c r="D321" i="1"/>
  <c r="H177" i="1"/>
  <c r="G177" i="1"/>
  <c r="F177" i="1"/>
  <c r="E177" i="1"/>
  <c r="D177" i="1"/>
  <c r="H227" i="1"/>
  <c r="G227" i="1"/>
  <c r="F227" i="1"/>
  <c r="E227" i="1"/>
  <c r="D227" i="1"/>
  <c r="H317" i="1"/>
  <c r="G317" i="1"/>
  <c r="F317" i="1"/>
  <c r="E317" i="1"/>
  <c r="D317" i="1"/>
  <c r="H188" i="1"/>
  <c r="G188" i="1"/>
  <c r="F188" i="1"/>
  <c r="E188" i="1"/>
  <c r="D188" i="1"/>
  <c r="E316" i="1"/>
  <c r="D316" i="1"/>
  <c r="H316" i="1"/>
  <c r="G316" i="1"/>
  <c r="F316" i="1"/>
  <c r="H176" i="1"/>
  <c r="G176" i="1"/>
  <c r="F176" i="1"/>
  <c r="E176" i="1"/>
  <c r="D176" i="1"/>
  <c r="P308" i="1"/>
  <c r="Q308" i="1" s="1"/>
  <c r="P309" i="1"/>
  <c r="Q309" i="1" s="1"/>
  <c r="P310" i="1"/>
  <c r="Q310" i="1" s="1"/>
  <c r="H175" i="1"/>
  <c r="G175" i="1"/>
  <c r="F175" i="1"/>
  <c r="E175" i="1"/>
  <c r="D175" i="1"/>
  <c r="H174" i="1"/>
  <c r="G174" i="1"/>
  <c r="F174" i="1"/>
  <c r="E174" i="1"/>
  <c r="D174" i="1"/>
  <c r="H231" i="1"/>
  <c r="G231" i="1"/>
  <c r="F231" i="1"/>
  <c r="D231" i="1"/>
  <c r="E231" i="1"/>
  <c r="H173" i="1"/>
  <c r="G173" i="1"/>
  <c r="F173" i="1"/>
  <c r="E173" i="1"/>
  <c r="D173" i="1"/>
  <c r="H311" i="1"/>
  <c r="G311" i="1"/>
  <c r="F311" i="1"/>
  <c r="E311" i="1"/>
  <c r="D311" i="1"/>
  <c r="H226" i="1"/>
  <c r="G226" i="1"/>
  <c r="F226" i="1"/>
  <c r="E226" i="1"/>
  <c r="D226" i="1"/>
  <c r="H225" i="1"/>
  <c r="G225" i="1"/>
  <c r="F225" i="1"/>
  <c r="E225" i="1"/>
  <c r="D225" i="1"/>
  <c r="H172" i="1"/>
  <c r="G172" i="1"/>
  <c r="F172" i="1"/>
  <c r="E172" i="1"/>
  <c r="D172" i="1"/>
  <c r="H171" i="1"/>
  <c r="G171" i="1"/>
  <c r="F171" i="1"/>
  <c r="E171" i="1"/>
  <c r="D171" i="1"/>
  <c r="H170" i="1"/>
  <c r="G170" i="1"/>
  <c r="F170" i="1"/>
  <c r="E170" i="1"/>
  <c r="D170" i="1"/>
  <c r="H169" i="1"/>
  <c r="G169" i="1"/>
  <c r="F169" i="1"/>
  <c r="E169" i="1"/>
  <c r="D169" i="1"/>
  <c r="H306" i="1"/>
  <c r="G306" i="1"/>
  <c r="F306" i="1"/>
  <c r="E306" i="1"/>
  <c r="D306" i="1"/>
  <c r="H168" i="1"/>
  <c r="G168" i="1"/>
  <c r="F168" i="1"/>
  <c r="E168" i="1"/>
  <c r="D168" i="1"/>
  <c r="H303" i="1"/>
  <c r="G303" i="1"/>
  <c r="F303" i="1"/>
  <c r="E303" i="1"/>
  <c r="D303" i="1"/>
  <c r="H224" i="1"/>
  <c r="G224" i="1"/>
  <c r="F224" i="1"/>
  <c r="E224" i="1"/>
  <c r="D224" i="1"/>
  <c r="H223" i="1"/>
  <c r="G223" i="1"/>
  <c r="F223" i="1"/>
  <c r="E223" i="1"/>
  <c r="D223" i="1"/>
  <c r="H167" i="1"/>
  <c r="G167" i="1"/>
  <c r="F167" i="1"/>
  <c r="E167" i="1"/>
  <c r="D167" i="1"/>
  <c r="H222" i="1"/>
  <c r="G222" i="1"/>
  <c r="F222" i="1"/>
  <c r="E222" i="1"/>
  <c r="D222" i="1"/>
  <c r="H166" i="1"/>
  <c r="G166" i="1"/>
  <c r="F166" i="1"/>
  <c r="E166" i="1"/>
  <c r="D166" i="1"/>
  <c r="P300" i="1"/>
  <c r="Q300" i="1" s="1"/>
  <c r="P301" i="1"/>
  <c r="Q301" i="1" s="1"/>
  <c r="P302" i="1"/>
  <c r="P304" i="1"/>
  <c r="P305" i="1"/>
  <c r="H165" i="1"/>
  <c r="G165" i="1"/>
  <c r="F165" i="1"/>
  <c r="E165" i="1"/>
  <c r="D165" i="1"/>
  <c r="P299" i="1"/>
  <c r="Q299" i="1" s="1"/>
  <c r="H221" i="1"/>
  <c r="G221" i="1"/>
  <c r="F221" i="1"/>
  <c r="E221" i="1"/>
  <c r="D221" i="1"/>
  <c r="H220" i="1"/>
  <c r="G220" i="1"/>
  <c r="F220" i="1"/>
  <c r="E220" i="1"/>
  <c r="D220" i="1"/>
  <c r="H164" i="1"/>
  <c r="G164" i="1"/>
  <c r="F164" i="1"/>
  <c r="E164" i="1"/>
  <c r="D164" i="1"/>
  <c r="H219" i="1"/>
  <c r="G219" i="1"/>
  <c r="F219" i="1"/>
  <c r="E219" i="1"/>
  <c r="D219" i="1"/>
  <c r="H27" i="1"/>
  <c r="G27" i="1"/>
  <c r="D27" i="1"/>
  <c r="H296" i="1"/>
  <c r="G296" i="1"/>
  <c r="F296" i="1"/>
  <c r="E296" i="1"/>
  <c r="D296" i="1"/>
  <c r="H163" i="1"/>
  <c r="G163" i="1"/>
  <c r="F163" i="1"/>
  <c r="E163" i="1"/>
  <c r="D163" i="1"/>
  <c r="H218" i="1"/>
  <c r="G218" i="1"/>
  <c r="F218" i="1"/>
  <c r="E218" i="1"/>
  <c r="D218" i="1"/>
  <c r="H162" i="1"/>
  <c r="G162" i="1"/>
  <c r="F162" i="1"/>
  <c r="E162" i="1"/>
  <c r="D162" i="1"/>
  <c r="H161" i="1"/>
  <c r="G161" i="1"/>
  <c r="F161" i="1"/>
  <c r="E161" i="1"/>
  <c r="D161" i="1"/>
  <c r="H160" i="1"/>
  <c r="G160" i="1"/>
  <c r="F160" i="1"/>
  <c r="E160" i="1"/>
  <c r="D160" i="1"/>
  <c r="H159" i="1"/>
  <c r="G159" i="1"/>
  <c r="F159" i="1"/>
  <c r="E159" i="1"/>
  <c r="D159" i="1"/>
  <c r="D217" i="1"/>
  <c r="H217" i="1"/>
  <c r="G217" i="1"/>
  <c r="F217" i="1"/>
  <c r="E217" i="1"/>
  <c r="H216" i="1"/>
  <c r="G216" i="1"/>
  <c r="F216" i="1"/>
  <c r="E216" i="1"/>
  <c r="D216" i="1"/>
  <c r="H158" i="1"/>
  <c r="G158" i="1"/>
  <c r="F158" i="1"/>
  <c r="E158" i="1"/>
  <c r="D158" i="1"/>
  <c r="H133" i="1"/>
  <c r="G133" i="1"/>
  <c r="F133" i="1"/>
  <c r="E133" i="1"/>
  <c r="D133" i="1"/>
  <c r="H185" i="1"/>
  <c r="G185" i="1"/>
  <c r="F185" i="1"/>
  <c r="E185" i="1"/>
  <c r="D185" i="1"/>
  <c r="P255" i="1"/>
  <c r="Q255" i="1" s="1"/>
  <c r="H215" i="1"/>
  <c r="G215" i="1"/>
  <c r="F215" i="1"/>
  <c r="E215" i="1"/>
  <c r="D215" i="1"/>
  <c r="H157" i="1"/>
  <c r="G157" i="1"/>
  <c r="F157" i="1"/>
  <c r="E157" i="1"/>
  <c r="D157" i="1"/>
  <c r="H136" i="1"/>
  <c r="G136" i="1"/>
  <c r="F136" i="1"/>
  <c r="E136" i="1"/>
  <c r="D136" i="1"/>
  <c r="H156" i="1"/>
  <c r="G156" i="1"/>
  <c r="F156" i="1"/>
  <c r="E156" i="1"/>
  <c r="D156" i="1"/>
  <c r="D290" i="1"/>
  <c r="H290" i="1"/>
  <c r="G290" i="1"/>
  <c r="F290" i="1"/>
  <c r="E290" i="1"/>
  <c r="H214" i="1"/>
  <c r="G214" i="1"/>
  <c r="F214" i="1"/>
  <c r="E214" i="1"/>
  <c r="D214" i="1"/>
  <c r="H155" i="1"/>
  <c r="G155" i="1"/>
  <c r="F155" i="1"/>
  <c r="E155" i="1"/>
  <c r="D155" i="1"/>
  <c r="P289" i="1"/>
  <c r="Q289" i="1" s="1"/>
  <c r="P292" i="1"/>
  <c r="Q292" i="1" s="1"/>
  <c r="P293" i="1"/>
  <c r="Q293" i="1" s="1"/>
  <c r="P295" i="1"/>
  <c r="Q295" i="1" s="1"/>
  <c r="P297" i="1"/>
  <c r="Q297" i="1" s="1"/>
  <c r="P298" i="1"/>
  <c r="Q298" i="1" s="1"/>
  <c r="D19" i="1"/>
  <c r="P19" i="1" s="1"/>
  <c r="H154" i="1"/>
  <c r="G154" i="1"/>
  <c r="F154" i="1"/>
  <c r="E154" i="1"/>
  <c r="D154" i="1"/>
  <c r="H153" i="1"/>
  <c r="G153" i="1"/>
  <c r="F153" i="1"/>
  <c r="E153" i="1"/>
  <c r="D153" i="1"/>
  <c r="H152" i="1"/>
  <c r="G152" i="1"/>
  <c r="F152" i="1"/>
  <c r="E152" i="1"/>
  <c r="D152" i="1"/>
  <c r="H151" i="1"/>
  <c r="G151" i="1"/>
  <c r="F151" i="1"/>
  <c r="E151" i="1"/>
  <c r="D151" i="1"/>
  <c r="H150" i="1"/>
  <c r="G150" i="1"/>
  <c r="F150" i="1"/>
  <c r="E150" i="1"/>
  <c r="D150" i="1"/>
  <c r="H149" i="1"/>
  <c r="G149" i="1"/>
  <c r="F149" i="1"/>
  <c r="E149" i="1"/>
  <c r="D149" i="1"/>
  <c r="H213" i="1"/>
  <c r="G213" i="1"/>
  <c r="F213" i="1"/>
  <c r="E213" i="1"/>
  <c r="D213" i="1"/>
  <c r="H288" i="1"/>
  <c r="G288" i="1"/>
  <c r="F288" i="1"/>
  <c r="E288" i="1"/>
  <c r="D288" i="1"/>
  <c r="H287" i="1"/>
  <c r="G287" i="1"/>
  <c r="F287" i="1"/>
  <c r="E287" i="1"/>
  <c r="D287" i="1"/>
  <c r="D212" i="1"/>
  <c r="H212" i="1"/>
  <c r="G212" i="1"/>
  <c r="F212" i="1"/>
  <c r="E212" i="1"/>
  <c r="H148" i="1"/>
  <c r="G148" i="1"/>
  <c r="F148" i="1"/>
  <c r="E148" i="1"/>
  <c r="D148" i="1"/>
  <c r="H147" i="1"/>
  <c r="G147" i="1"/>
  <c r="F147" i="1"/>
  <c r="E147" i="1"/>
  <c r="D147" i="1"/>
  <c r="H146" i="1"/>
  <c r="G146" i="1"/>
  <c r="F146" i="1"/>
  <c r="E146" i="1"/>
  <c r="D146" i="1"/>
  <c r="H132" i="1"/>
  <c r="G132" i="1"/>
  <c r="F132" i="1"/>
  <c r="E132" i="1"/>
  <c r="D132" i="1"/>
  <c r="H230" i="1"/>
  <c r="G230" i="1"/>
  <c r="F230" i="1"/>
  <c r="E230" i="1"/>
  <c r="D230" i="1"/>
  <c r="D211" i="1"/>
  <c r="H211" i="1"/>
  <c r="G211" i="1"/>
  <c r="F211" i="1"/>
  <c r="E211" i="1"/>
  <c r="H95" i="1"/>
  <c r="G95" i="1"/>
  <c r="F95" i="1"/>
  <c r="E95" i="1"/>
  <c r="D95" i="1"/>
  <c r="H184" i="1"/>
  <c r="G184" i="1"/>
  <c r="F184" i="1"/>
  <c r="E184" i="1"/>
  <c r="D184" i="1"/>
  <c r="H286" i="1"/>
  <c r="G286" i="1"/>
  <c r="F286" i="1"/>
  <c r="E286" i="1"/>
  <c r="D286" i="1"/>
  <c r="H285" i="1"/>
  <c r="G285" i="1"/>
  <c r="F285" i="1"/>
  <c r="E285" i="1"/>
  <c r="D285" i="1"/>
  <c r="H117" i="1"/>
  <c r="G117" i="1"/>
  <c r="F117" i="1"/>
  <c r="E117" i="1"/>
  <c r="D117" i="1"/>
  <c r="H145" i="1"/>
  <c r="G145" i="1"/>
  <c r="F145" i="1"/>
  <c r="E145" i="1"/>
  <c r="D145" i="1"/>
  <c r="H144" i="1"/>
  <c r="G144" i="1"/>
  <c r="F144" i="1"/>
  <c r="E144" i="1"/>
  <c r="D144" i="1"/>
  <c r="P254" i="1"/>
  <c r="Q254" i="1" s="1"/>
  <c r="D284" i="1"/>
  <c r="H284" i="1"/>
  <c r="G284" i="1"/>
  <c r="F284" i="1"/>
  <c r="E284" i="1"/>
  <c r="H210" i="1"/>
  <c r="G210" i="1"/>
  <c r="F210" i="1"/>
  <c r="E210" i="1"/>
  <c r="D210" i="1"/>
  <c r="H124" i="1"/>
  <c r="G124" i="1"/>
  <c r="F124" i="1"/>
  <c r="E124" i="1"/>
  <c r="D124" i="1"/>
  <c r="H209" i="1"/>
  <c r="G209" i="1"/>
  <c r="F209" i="1"/>
  <c r="E209" i="1"/>
  <c r="D209" i="1"/>
  <c r="H122" i="1"/>
  <c r="G122" i="1"/>
  <c r="F122" i="1"/>
  <c r="E122" i="1"/>
  <c r="D122" i="1"/>
  <c r="H143" i="1"/>
  <c r="G143" i="1"/>
  <c r="F143" i="1"/>
  <c r="E143" i="1"/>
  <c r="D143" i="1"/>
  <c r="P282" i="1"/>
  <c r="Q282" i="1" s="1"/>
  <c r="P283" i="1"/>
  <c r="Q283" i="1" s="1"/>
  <c r="H281" i="1"/>
  <c r="G281" i="1"/>
  <c r="F281" i="1"/>
  <c r="E281" i="1"/>
  <c r="D281" i="1"/>
  <c r="H142" i="1"/>
  <c r="G142" i="1"/>
  <c r="F142" i="1"/>
  <c r="E142" i="1"/>
  <c r="D142" i="1"/>
  <c r="H208" i="1"/>
  <c r="G208" i="1"/>
  <c r="F208" i="1"/>
  <c r="E208" i="1"/>
  <c r="D208" i="1"/>
  <c r="H141" i="1"/>
  <c r="G141" i="1"/>
  <c r="F141" i="1"/>
  <c r="E141" i="1"/>
  <c r="D141" i="1"/>
  <c r="H207" i="1"/>
  <c r="G207" i="1"/>
  <c r="F207" i="1"/>
  <c r="E207" i="1"/>
  <c r="D207" i="1"/>
  <c r="H206" i="1"/>
  <c r="G206" i="1"/>
  <c r="F206" i="1"/>
  <c r="E206" i="1"/>
  <c r="D206" i="1"/>
  <c r="H140" i="1"/>
  <c r="G140" i="1"/>
  <c r="F140" i="1"/>
  <c r="E140" i="1"/>
  <c r="D140" i="1"/>
  <c r="H279" i="1"/>
  <c r="G279" i="1"/>
  <c r="F279" i="1"/>
  <c r="E279" i="1"/>
  <c r="D279" i="1"/>
  <c r="D205" i="1"/>
  <c r="H205" i="1"/>
  <c r="G205" i="1"/>
  <c r="F205" i="1"/>
  <c r="E205" i="1"/>
  <c r="H119" i="1"/>
  <c r="G119" i="1"/>
  <c r="F119" i="1"/>
  <c r="E119" i="1"/>
  <c r="D119" i="1"/>
  <c r="H204" i="1"/>
  <c r="G204" i="1"/>
  <c r="F204" i="1"/>
  <c r="E204" i="1"/>
  <c r="D204" i="1"/>
  <c r="H131" i="1"/>
  <c r="G131" i="1"/>
  <c r="F131" i="1"/>
  <c r="E131" i="1"/>
  <c r="D131" i="1"/>
  <c r="H277" i="1"/>
  <c r="G277" i="1"/>
  <c r="F277" i="1"/>
  <c r="E277" i="1"/>
  <c r="D277" i="1"/>
  <c r="D183" i="1"/>
  <c r="H183" i="1"/>
  <c r="G183" i="1"/>
  <c r="F183" i="1"/>
  <c r="E183" i="1"/>
  <c r="H130" i="1"/>
  <c r="G130" i="1"/>
  <c r="F130" i="1"/>
  <c r="E130" i="1"/>
  <c r="D130" i="1"/>
  <c r="H203" i="1"/>
  <c r="G203" i="1"/>
  <c r="F203" i="1"/>
  <c r="E203" i="1"/>
  <c r="D203" i="1"/>
  <c r="H202" i="1"/>
  <c r="G202" i="1"/>
  <c r="F202" i="1"/>
  <c r="E202" i="1"/>
  <c r="D202" i="1"/>
  <c r="H129" i="1"/>
  <c r="G129" i="1"/>
  <c r="F129" i="1"/>
  <c r="E129" i="1"/>
  <c r="D129" i="1"/>
  <c r="H182" i="1"/>
  <c r="G182" i="1"/>
  <c r="F182" i="1"/>
  <c r="E182" i="1"/>
  <c r="D182" i="1"/>
  <c r="H180" i="1"/>
  <c r="G180" i="1"/>
  <c r="F180" i="1"/>
  <c r="E180" i="1"/>
  <c r="D180" i="1"/>
  <c r="H274" i="1"/>
  <c r="G274" i="1"/>
  <c r="F274" i="1"/>
  <c r="E274" i="1"/>
  <c r="D274" i="1"/>
  <c r="H121" i="1"/>
  <c r="G121" i="1"/>
  <c r="F121" i="1"/>
  <c r="E121" i="1"/>
  <c r="D121" i="1"/>
  <c r="H273" i="1"/>
  <c r="G273" i="1"/>
  <c r="F273" i="1"/>
  <c r="E273" i="1"/>
  <c r="D273" i="1"/>
  <c r="P272" i="1"/>
  <c r="Q272" i="1" s="1"/>
  <c r="P278" i="1"/>
  <c r="D24" i="1"/>
  <c r="P24" i="1" s="1"/>
  <c r="P252" i="1"/>
  <c r="Q252" i="1" s="1"/>
  <c r="P253" i="1"/>
  <c r="Q253" i="1" s="1"/>
  <c r="P256" i="1"/>
  <c r="Q256" i="1" s="1"/>
  <c r="P257" i="1"/>
  <c r="Q257" i="1" s="1"/>
  <c r="P261" i="1"/>
  <c r="Q261" i="1" s="1"/>
  <c r="P263" i="1"/>
  <c r="Q263" i="1" s="1"/>
  <c r="P264" i="1"/>
  <c r="Q264" i="1" s="1"/>
  <c r="P266" i="1"/>
  <c r="Q266" i="1" s="1"/>
  <c r="P267" i="1"/>
  <c r="Q267" i="1" s="1"/>
  <c r="P268" i="1"/>
  <c r="Q268" i="1" s="1"/>
  <c r="P108" i="1"/>
  <c r="Q108" i="1" s="1"/>
  <c r="Q109" i="1"/>
  <c r="P271" i="1"/>
  <c r="Q271" i="1" s="1"/>
  <c r="P114" i="1"/>
  <c r="P250" i="1"/>
  <c r="Q250" i="1" s="1"/>
  <c r="H139" i="1"/>
  <c r="G139" i="1"/>
  <c r="F139" i="1"/>
  <c r="E139" i="1"/>
  <c r="D139" i="1"/>
  <c r="H201" i="1"/>
  <c r="G201" i="1"/>
  <c r="F201" i="1"/>
  <c r="E201" i="1"/>
  <c r="D201" i="1"/>
  <c r="E51" i="1"/>
  <c r="P51" i="1" s="1"/>
  <c r="D200" i="1"/>
  <c r="H200" i="1"/>
  <c r="G200" i="1"/>
  <c r="F200" i="1"/>
  <c r="E200" i="1"/>
  <c r="H128" i="1"/>
  <c r="G128" i="1"/>
  <c r="F128" i="1"/>
  <c r="E128" i="1"/>
  <c r="D128" i="1"/>
  <c r="H199" i="1"/>
  <c r="G199" i="1"/>
  <c r="F199" i="1"/>
  <c r="E199" i="1"/>
  <c r="D199" i="1"/>
  <c r="H25" i="1"/>
  <c r="G25" i="1"/>
  <c r="F25" i="1"/>
  <c r="E25" i="1"/>
  <c r="D25" i="1"/>
  <c r="H198" i="1"/>
  <c r="G198" i="1"/>
  <c r="F198" i="1"/>
  <c r="E198" i="1"/>
  <c r="D198" i="1"/>
  <c r="H197" i="1"/>
  <c r="G197" i="1"/>
  <c r="F197" i="1"/>
  <c r="E197" i="1"/>
  <c r="D197" i="1"/>
  <c r="H196" i="1"/>
  <c r="G196" i="1"/>
  <c r="F196" i="1"/>
  <c r="E196" i="1"/>
  <c r="D196" i="1"/>
  <c r="H270" i="1"/>
  <c r="G270" i="1"/>
  <c r="F270" i="1"/>
  <c r="E270" i="1"/>
  <c r="D270" i="1"/>
  <c r="H195" i="1"/>
  <c r="G195" i="1"/>
  <c r="F195" i="1"/>
  <c r="E195" i="1"/>
  <c r="D195" i="1"/>
  <c r="D194" i="1"/>
  <c r="H194" i="1"/>
  <c r="G194" i="1"/>
  <c r="F194" i="1"/>
  <c r="E194" i="1"/>
  <c r="H269" i="1"/>
  <c r="G269" i="1"/>
  <c r="F269" i="1"/>
  <c r="E269" i="1"/>
  <c r="D269" i="1"/>
  <c r="H138" i="1"/>
  <c r="G138" i="1"/>
  <c r="F138" i="1"/>
  <c r="E138" i="1"/>
  <c r="D138" i="1"/>
  <c r="H33" i="1"/>
  <c r="G33" i="1"/>
  <c r="F33" i="1"/>
  <c r="E33" i="1"/>
  <c r="D33" i="1"/>
  <c r="H179" i="1"/>
  <c r="G179" i="1"/>
  <c r="F179" i="1"/>
  <c r="E179" i="1"/>
  <c r="D179" i="1"/>
  <c r="E106" i="1"/>
  <c r="H106" i="1"/>
  <c r="G106" i="1"/>
  <c r="F106" i="1"/>
  <c r="D106" i="1"/>
  <c r="H193" i="1"/>
  <c r="G193" i="1"/>
  <c r="F193" i="1"/>
  <c r="E193" i="1"/>
  <c r="D193" i="1"/>
  <c r="H115" i="1"/>
  <c r="G115" i="1"/>
  <c r="F115" i="1"/>
  <c r="E115" i="1"/>
  <c r="D115" i="1"/>
  <c r="H265" i="1"/>
  <c r="G265" i="1"/>
  <c r="F265" i="1"/>
  <c r="E265" i="1"/>
  <c r="D265" i="1"/>
  <c r="H229" i="1"/>
  <c r="G229" i="1"/>
  <c r="F229" i="1"/>
  <c r="E229" i="1"/>
  <c r="D229" i="1"/>
  <c r="H85" i="1"/>
  <c r="G85" i="1"/>
  <c r="F85" i="1"/>
  <c r="E85" i="1"/>
  <c r="D85" i="1"/>
  <c r="H105" i="1"/>
  <c r="G105" i="1"/>
  <c r="F105" i="1"/>
  <c r="E105" i="1"/>
  <c r="D105" i="1"/>
  <c r="H192" i="1"/>
  <c r="G192" i="1"/>
  <c r="F192" i="1"/>
  <c r="E192" i="1"/>
  <c r="D192" i="1"/>
  <c r="H191" i="1"/>
  <c r="G191" i="1"/>
  <c r="F191" i="1"/>
  <c r="E191" i="1"/>
  <c r="D191" i="1"/>
  <c r="D190" i="1"/>
  <c r="H190" i="1"/>
  <c r="G190" i="1"/>
  <c r="F190" i="1"/>
  <c r="E190" i="1"/>
  <c r="H187" i="1"/>
  <c r="G187" i="1"/>
  <c r="F187" i="1"/>
  <c r="E187" i="1"/>
  <c r="D187" i="1"/>
  <c r="H16" i="1"/>
  <c r="G16" i="1"/>
  <c r="F16" i="1"/>
  <c r="E16" i="1"/>
  <c r="D16" i="1"/>
  <c r="H84" i="1"/>
  <c r="G84" i="1"/>
  <c r="F84" i="1"/>
  <c r="E84" i="1"/>
  <c r="D84" i="1"/>
  <c r="H90" i="1"/>
  <c r="G90" i="1"/>
  <c r="F90" i="1"/>
  <c r="E90" i="1"/>
  <c r="D90" i="1"/>
  <c r="H127" i="1"/>
  <c r="G127" i="1"/>
  <c r="F127" i="1"/>
  <c r="E127" i="1"/>
  <c r="D127" i="1"/>
  <c r="H228" i="1"/>
  <c r="G228" i="1"/>
  <c r="F228" i="1"/>
  <c r="E228" i="1"/>
  <c r="D228" i="1"/>
  <c r="H137" i="1"/>
  <c r="G137" i="1"/>
  <c r="F137" i="1"/>
  <c r="E137" i="1"/>
  <c r="D137" i="1"/>
  <c r="H116" i="1"/>
  <c r="G116" i="1"/>
  <c r="F116" i="1"/>
  <c r="E116" i="1"/>
  <c r="D116" i="1"/>
  <c r="H126" i="1"/>
  <c r="G126" i="1"/>
  <c r="F126" i="1"/>
  <c r="E126" i="1"/>
  <c r="D126" i="1"/>
  <c r="H81" i="1"/>
  <c r="G81" i="1"/>
  <c r="F81" i="1"/>
  <c r="E81" i="1"/>
  <c r="D81" i="1"/>
  <c r="H103" i="1"/>
  <c r="G103" i="1"/>
  <c r="F103" i="1"/>
  <c r="E103" i="1"/>
  <c r="D103" i="1"/>
  <c r="D59" i="1"/>
  <c r="P59" i="1" s="1"/>
  <c r="H118" i="1"/>
  <c r="G118" i="1"/>
  <c r="F118" i="1"/>
  <c r="E118" i="1"/>
  <c r="D118" i="1"/>
  <c r="H98" i="1"/>
  <c r="G98" i="1"/>
  <c r="F98" i="1"/>
  <c r="E98" i="1"/>
  <c r="D98" i="1"/>
  <c r="H99" i="1"/>
  <c r="G99" i="1"/>
  <c r="F99" i="1"/>
  <c r="E99" i="1"/>
  <c r="D99" i="1"/>
  <c r="H93" i="1"/>
  <c r="G93" i="1"/>
  <c r="F93" i="1"/>
  <c r="E93" i="1"/>
  <c r="D93" i="1"/>
  <c r="H101" i="1"/>
  <c r="G101" i="1"/>
  <c r="F101" i="1"/>
  <c r="E101" i="1"/>
  <c r="D101" i="1"/>
  <c r="H91" i="1"/>
  <c r="G91" i="1"/>
  <c r="F91" i="1"/>
  <c r="E91" i="1"/>
  <c r="D91" i="1"/>
  <c r="H189" i="1"/>
  <c r="G189" i="1"/>
  <c r="F189" i="1"/>
  <c r="E189" i="1"/>
  <c r="D189" i="1"/>
  <c r="H15" i="1"/>
  <c r="G15" i="1"/>
  <c r="F15" i="1"/>
  <c r="E15" i="1"/>
  <c r="D15" i="1"/>
  <c r="H94" i="1"/>
  <c r="G94" i="1"/>
  <c r="F94" i="1"/>
  <c r="E94" i="1"/>
  <c r="D94" i="1"/>
  <c r="G21" i="1"/>
  <c r="F21" i="1"/>
  <c r="E21" i="1"/>
  <c r="D21" i="1"/>
  <c r="H260" i="1"/>
  <c r="F260" i="1"/>
  <c r="G260" i="1"/>
  <c r="E260" i="1"/>
  <c r="D260" i="1"/>
  <c r="H181" i="1"/>
  <c r="G181" i="1"/>
  <c r="F181" i="1"/>
  <c r="E181" i="1"/>
  <c r="D181" i="1"/>
  <c r="H30" i="1"/>
  <c r="G30" i="1"/>
  <c r="F30" i="1"/>
  <c r="E30" i="1"/>
  <c r="D30" i="1"/>
  <c r="H89" i="1"/>
  <c r="G89" i="1"/>
  <c r="F89" i="1"/>
  <c r="E89" i="1"/>
  <c r="D89" i="1"/>
  <c r="D55" i="1"/>
  <c r="P55" i="1" s="1"/>
  <c r="H104" i="1"/>
  <c r="G104" i="1"/>
  <c r="F104" i="1"/>
  <c r="E104" i="1"/>
  <c r="D104" i="1"/>
  <c r="H125" i="1"/>
  <c r="G125" i="1"/>
  <c r="F125" i="1"/>
  <c r="E125" i="1"/>
  <c r="D125" i="1"/>
  <c r="H79" i="1"/>
  <c r="G79" i="1"/>
  <c r="F79" i="1"/>
  <c r="E79" i="1"/>
  <c r="D79" i="1"/>
  <c r="G87" i="1"/>
  <c r="H102" i="1"/>
  <c r="G102" i="1"/>
  <c r="F102" i="1"/>
  <c r="E102" i="1"/>
  <c r="D102" i="1"/>
  <c r="H92" i="1"/>
  <c r="F92" i="1"/>
  <c r="E92" i="1"/>
  <c r="D92" i="1"/>
  <c r="H186" i="1"/>
  <c r="G186" i="1"/>
  <c r="F186" i="1"/>
  <c r="E186" i="1"/>
  <c r="D186" i="1"/>
  <c r="H87" i="1"/>
  <c r="F87" i="1"/>
  <c r="E87" i="1"/>
  <c r="D87" i="1"/>
  <c r="H82" i="1"/>
  <c r="G82" i="1"/>
  <c r="F82" i="1"/>
  <c r="E82" i="1"/>
  <c r="D82" i="1"/>
  <c r="D78" i="1"/>
  <c r="H251" i="1"/>
  <c r="G251" i="1"/>
  <c r="F251" i="1"/>
  <c r="E251" i="1"/>
  <c r="D251" i="1"/>
  <c r="G86" i="1"/>
  <c r="H86" i="1"/>
  <c r="F86" i="1"/>
  <c r="E86" i="1"/>
  <c r="D86" i="1"/>
  <c r="H4" i="1"/>
  <c r="G4" i="1"/>
  <c r="F4" i="1"/>
  <c r="E4" i="1"/>
  <c r="D4" i="1"/>
  <c r="H83" i="1"/>
  <c r="G83" i="1"/>
  <c r="G77" i="1"/>
  <c r="F83" i="1"/>
  <c r="E83" i="1"/>
  <c r="D83" i="1"/>
  <c r="H77" i="1"/>
  <c r="F77" i="1"/>
  <c r="E77" i="1"/>
  <c r="D77" i="1"/>
  <c r="H97" i="1"/>
  <c r="G97" i="1"/>
  <c r="F97" i="1"/>
  <c r="E97" i="1"/>
  <c r="D97" i="1"/>
  <c r="F34" i="1"/>
  <c r="E34" i="1"/>
  <c r="D34" i="1"/>
  <c r="H78" i="1"/>
  <c r="G78" i="1"/>
  <c r="F78" i="1"/>
  <c r="E78" i="1"/>
  <c r="H76" i="1"/>
  <c r="G76" i="1"/>
  <c r="F76" i="1"/>
  <c r="E76" i="1"/>
  <c r="D76" i="1"/>
  <c r="H80" i="1"/>
  <c r="G80" i="1"/>
  <c r="F80" i="1"/>
  <c r="E80" i="1"/>
  <c r="D80" i="1"/>
  <c r="H32" i="1"/>
  <c r="E32" i="1"/>
  <c r="H120" i="1"/>
  <c r="G120" i="1"/>
  <c r="F120" i="1"/>
  <c r="E120" i="1"/>
  <c r="D120" i="1"/>
  <c r="H100" i="1"/>
  <c r="G100" i="1"/>
  <c r="F100" i="1"/>
  <c r="E100" i="1"/>
  <c r="D100" i="1"/>
  <c r="J5" i="1"/>
  <c r="H5" i="1"/>
  <c r="G5" i="1"/>
  <c r="F5" i="1"/>
  <c r="E5" i="1"/>
  <c r="D5" i="1"/>
  <c r="H88" i="1"/>
  <c r="G88" i="1"/>
  <c r="F88" i="1"/>
  <c r="E88" i="1"/>
  <c r="D88" i="1"/>
  <c r="D75" i="1"/>
  <c r="E13" i="1"/>
  <c r="F13" i="1"/>
  <c r="D13" i="1"/>
  <c r="D107" i="1"/>
  <c r="E107" i="1"/>
  <c r="F107" i="1"/>
  <c r="G107" i="1"/>
  <c r="H107" i="1"/>
  <c r="D31" i="1"/>
  <c r="E31" i="1"/>
  <c r="F31" i="1"/>
  <c r="H31" i="1"/>
  <c r="G31" i="1"/>
  <c r="E75" i="1"/>
  <c r="F75" i="1"/>
  <c r="H75" i="1"/>
  <c r="G75" i="1"/>
  <c r="P11" i="11" l="1"/>
  <c r="P207" i="7"/>
  <c r="Q207" i="7" s="1"/>
  <c r="P206" i="7"/>
  <c r="Q206" i="7" s="1"/>
  <c r="P94" i="1"/>
  <c r="P80" i="1"/>
  <c r="P46" i="7"/>
  <c r="P5" i="1"/>
  <c r="P79" i="1"/>
  <c r="P100" i="1"/>
  <c r="P102" i="1"/>
  <c r="P77" i="1"/>
  <c r="P104" i="1"/>
  <c r="P21" i="1"/>
  <c r="P90" i="1"/>
  <c r="P95" i="1"/>
  <c r="P96" i="1"/>
  <c r="P56" i="7"/>
  <c r="P57" i="7"/>
  <c r="P85" i="11"/>
  <c r="P106" i="1"/>
  <c r="P90" i="11"/>
  <c r="Q90" i="11" s="1"/>
  <c r="R90" i="11" s="1"/>
  <c r="P55" i="7"/>
  <c r="P82" i="1"/>
  <c r="P76" i="1"/>
  <c r="P89" i="1"/>
  <c r="P47" i="7"/>
  <c r="P97" i="1"/>
  <c r="P87" i="1"/>
  <c r="P48" i="7"/>
  <c r="Q48" i="7" s="1"/>
  <c r="P78" i="1"/>
  <c r="P107" i="1"/>
  <c r="P93" i="1"/>
  <c r="P98" i="1"/>
  <c r="P37" i="11"/>
  <c r="P83" i="1"/>
  <c r="P92" i="1"/>
  <c r="P32" i="6"/>
  <c r="P88" i="11"/>
  <c r="P103" i="1"/>
  <c r="P84" i="1"/>
  <c r="P20" i="10"/>
  <c r="P87" i="11"/>
  <c r="P86" i="1"/>
  <c r="P3" i="6"/>
  <c r="P89" i="11"/>
  <c r="P36" i="6"/>
  <c r="P75" i="1"/>
  <c r="P34" i="1"/>
  <c r="P91" i="1"/>
  <c r="P105" i="1"/>
  <c r="P9" i="11"/>
  <c r="P19" i="10"/>
  <c r="R598" i="10"/>
  <c r="P84" i="11"/>
  <c r="Q84" i="11" s="1"/>
  <c r="R491" i="10"/>
  <c r="P16" i="1"/>
  <c r="P27" i="1"/>
  <c r="P5" i="7"/>
  <c r="P81" i="1"/>
  <c r="P85" i="1"/>
  <c r="P25" i="1"/>
  <c r="P18" i="10"/>
  <c r="P83" i="11"/>
  <c r="Q83" i="11" s="1"/>
  <c r="R83" i="11" s="1"/>
  <c r="P88" i="1"/>
  <c r="P33" i="6"/>
  <c r="Q33" i="6" s="1"/>
  <c r="R33" i="6" s="1"/>
  <c r="P86" i="11"/>
  <c r="P32" i="1"/>
  <c r="P34" i="6"/>
  <c r="P4" i="1"/>
  <c r="P101" i="1"/>
  <c r="P99" i="1"/>
  <c r="P6" i="7"/>
  <c r="R98" i="11"/>
  <c r="R437" i="10"/>
  <c r="R306" i="10"/>
  <c r="R277" i="10"/>
  <c r="R117" i="10"/>
  <c r="R98" i="10"/>
  <c r="R622" i="10"/>
  <c r="R469" i="10"/>
  <c r="R290" i="10"/>
  <c r="R101" i="10"/>
  <c r="R592" i="10"/>
  <c r="R435" i="10"/>
  <c r="R275" i="10"/>
  <c r="R83" i="10"/>
  <c r="R590" i="10"/>
  <c r="R427" i="10"/>
  <c r="R259" i="10"/>
  <c r="R82" i="10"/>
  <c r="R589" i="10"/>
  <c r="R421" i="10"/>
  <c r="R243" i="10"/>
  <c r="R69" i="10"/>
  <c r="R582" i="10"/>
  <c r="R411" i="10"/>
  <c r="R229" i="10"/>
  <c r="R66" i="10"/>
  <c r="R576" i="10"/>
  <c r="R403" i="10"/>
  <c r="R211" i="10"/>
  <c r="R574" i="10"/>
  <c r="R395" i="10"/>
  <c r="R197" i="10"/>
  <c r="R573" i="10"/>
  <c r="R387" i="10"/>
  <c r="R195" i="10"/>
  <c r="R557" i="10"/>
  <c r="R379" i="10"/>
  <c r="R181" i="10"/>
  <c r="R541" i="10"/>
  <c r="R371" i="10"/>
  <c r="R163" i="10"/>
  <c r="R534" i="10"/>
  <c r="R357" i="10"/>
  <c r="R149" i="10"/>
  <c r="R526" i="10"/>
  <c r="R354" i="10"/>
  <c r="R147" i="10"/>
  <c r="R512" i="10"/>
  <c r="R341" i="10"/>
  <c r="R146" i="10"/>
  <c r="R509" i="10"/>
  <c r="R338" i="10"/>
  <c r="R130" i="10"/>
  <c r="R56" i="6"/>
  <c r="R329" i="11"/>
  <c r="R312" i="11"/>
  <c r="Q198" i="11"/>
  <c r="R198" i="11" s="1"/>
  <c r="R10" i="11"/>
  <c r="R390" i="11"/>
  <c r="R77" i="11"/>
  <c r="R375" i="11"/>
  <c r="R4" i="11"/>
  <c r="R532" i="11"/>
  <c r="R297" i="11"/>
  <c r="R517" i="11"/>
  <c r="R296" i="11"/>
  <c r="R25" i="11"/>
  <c r="R68" i="11"/>
  <c r="R36" i="11"/>
  <c r="R501" i="11"/>
  <c r="R282" i="11"/>
  <c r="P91" i="11"/>
  <c r="Q91" i="11" s="1"/>
  <c r="R54" i="11"/>
  <c r="R500" i="11"/>
  <c r="R281" i="11"/>
  <c r="R485" i="11"/>
  <c r="R266" i="11"/>
  <c r="R484" i="11"/>
  <c r="R265" i="11"/>
  <c r="R73" i="11"/>
  <c r="R72" i="11"/>
  <c r="R469" i="11"/>
  <c r="R218" i="11"/>
  <c r="R468" i="11"/>
  <c r="R203" i="11"/>
  <c r="R438" i="11"/>
  <c r="R202" i="11"/>
  <c r="R19" i="11"/>
  <c r="R60" i="11"/>
  <c r="R406" i="11"/>
  <c r="R187" i="11"/>
  <c r="R16" i="11"/>
  <c r="R405" i="11"/>
  <c r="R186" i="11"/>
  <c r="R391" i="11"/>
  <c r="R172" i="11"/>
  <c r="P26" i="1"/>
  <c r="R168" i="7"/>
  <c r="R26" i="9"/>
  <c r="R308" i="1"/>
  <c r="R292" i="1"/>
  <c r="R339" i="1"/>
  <c r="R323" i="1"/>
  <c r="R307" i="1"/>
  <c r="R291" i="1"/>
  <c r="R338" i="1"/>
  <c r="R322" i="1"/>
  <c r="R289" i="1"/>
  <c r="R257" i="1"/>
  <c r="R272" i="1"/>
  <c r="R256" i="1"/>
  <c r="R271" i="1"/>
  <c r="R255" i="1"/>
  <c r="R334" i="1"/>
  <c r="R318" i="1"/>
  <c r="R254" i="1"/>
  <c r="R333" i="1"/>
  <c r="R301" i="1"/>
  <c r="R253" i="1"/>
  <c r="R300" i="1"/>
  <c r="R268" i="1"/>
  <c r="R252" i="1"/>
  <c r="R331" i="1"/>
  <c r="R315" i="1"/>
  <c r="R299" i="1"/>
  <c r="R283" i="1"/>
  <c r="R267" i="1"/>
  <c r="R346" i="1"/>
  <c r="R298" i="1"/>
  <c r="R282" i="1"/>
  <c r="R266" i="1"/>
  <c r="R250" i="1"/>
  <c r="R345" i="1"/>
  <c r="R313" i="1"/>
  <c r="R297" i="1"/>
  <c r="R344" i="1"/>
  <c r="R328" i="1"/>
  <c r="R312" i="1"/>
  <c r="R264" i="1"/>
  <c r="R343" i="1"/>
  <c r="R327" i="1"/>
  <c r="R295" i="1"/>
  <c r="R263" i="1"/>
  <c r="R310" i="1"/>
  <c r="R341" i="1"/>
  <c r="R309" i="1"/>
  <c r="R293" i="1"/>
  <c r="R261" i="1"/>
  <c r="Q334" i="11"/>
  <c r="R334" i="11" s="1"/>
  <c r="Q525" i="11"/>
  <c r="R525" i="11" s="1"/>
  <c r="Q516" i="11"/>
  <c r="R516" i="11" s="1"/>
  <c r="Q145" i="11"/>
  <c r="R145" i="11" s="1"/>
  <c r="R5" i="11"/>
  <c r="Q401" i="11"/>
  <c r="R401" i="11" s="1"/>
  <c r="Q524" i="11"/>
  <c r="R524" i="11" s="1"/>
  <c r="Q146" i="11"/>
  <c r="R146" i="11" s="1"/>
  <c r="Q441" i="11"/>
  <c r="R441" i="11" s="1"/>
  <c r="Q179" i="11"/>
  <c r="R179" i="11" s="1"/>
  <c r="Q360" i="11"/>
  <c r="R360" i="11" s="1"/>
  <c r="Q326" i="11"/>
  <c r="R326" i="11" s="1"/>
  <c r="Q443" i="11"/>
  <c r="R443" i="11" s="1"/>
  <c r="Q180" i="11"/>
  <c r="R180" i="11" s="1"/>
  <c r="Q219" i="11"/>
  <c r="R219" i="11" s="1"/>
  <c r="Q393" i="11"/>
  <c r="R393" i="11" s="1"/>
  <c r="Q209" i="11"/>
  <c r="R209" i="11" s="1"/>
  <c r="Q470" i="11"/>
  <c r="R470" i="11" s="1"/>
  <c r="Q325" i="11"/>
  <c r="R325" i="11" s="1"/>
  <c r="R7" i="11"/>
  <c r="Q420" i="11"/>
  <c r="R420" i="11" s="1"/>
  <c r="Q471" i="11"/>
  <c r="R471" i="11" s="1"/>
  <c r="Q246" i="11"/>
  <c r="R246" i="11" s="1"/>
  <c r="Q534" i="11"/>
  <c r="R534" i="11" s="1"/>
  <c r="Q133" i="11"/>
  <c r="R133" i="11" s="1"/>
  <c r="Q169" i="11"/>
  <c r="R169" i="11" s="1"/>
  <c r="Q374" i="11"/>
  <c r="R374" i="11" s="1"/>
  <c r="Q94" i="11"/>
  <c r="R94" i="11" s="1"/>
  <c r="Q514" i="11"/>
  <c r="R514" i="11" s="1"/>
  <c r="Q480" i="11"/>
  <c r="R480" i="11" s="1"/>
  <c r="Q134" i="11"/>
  <c r="R134" i="11" s="1"/>
  <c r="Q273" i="11"/>
  <c r="R273" i="11" s="1"/>
  <c r="Q189" i="11"/>
  <c r="R189" i="11" s="1"/>
  <c r="Q280" i="11"/>
  <c r="R280" i="11" s="1"/>
  <c r="Q154" i="11"/>
  <c r="R154" i="11" s="1"/>
  <c r="Q351" i="11"/>
  <c r="R351" i="11" s="1"/>
  <c r="Q426" i="11"/>
  <c r="R426" i="11" s="1"/>
  <c r="Q507" i="11"/>
  <c r="R507" i="11" s="1"/>
  <c r="Q383" i="11"/>
  <c r="R383" i="11" s="1"/>
  <c r="Q333" i="11"/>
  <c r="R333" i="11" s="1"/>
  <c r="Q427" i="11"/>
  <c r="R427" i="11" s="1"/>
  <c r="Q513" i="11"/>
  <c r="R513" i="11" s="1"/>
  <c r="R313" i="11"/>
  <c r="R452" i="11"/>
  <c r="R171" i="11"/>
  <c r="R155" i="11"/>
  <c r="R96" i="11"/>
  <c r="R531" i="11"/>
  <c r="R515" i="11"/>
  <c r="R499" i="11"/>
  <c r="R451" i="11"/>
  <c r="R436" i="11"/>
  <c r="R404" i="11"/>
  <c r="R389" i="11"/>
  <c r="R342" i="11"/>
  <c r="R327" i="11"/>
  <c r="R311" i="11"/>
  <c r="R295" i="11"/>
  <c r="R232" i="11"/>
  <c r="R217" i="11"/>
  <c r="R201" i="11"/>
  <c r="R185" i="11"/>
  <c r="R170" i="11"/>
  <c r="R530" i="11"/>
  <c r="R498" i="11"/>
  <c r="R482" i="11"/>
  <c r="R466" i="11"/>
  <c r="R419" i="11"/>
  <c r="R403" i="11"/>
  <c r="R388" i="11"/>
  <c r="R372" i="11"/>
  <c r="R341" i="11"/>
  <c r="R310" i="11"/>
  <c r="R279" i="11"/>
  <c r="R231" i="11"/>
  <c r="R216" i="11"/>
  <c r="R200" i="11"/>
  <c r="R184" i="11"/>
  <c r="R153" i="11"/>
  <c r="R529" i="11"/>
  <c r="R497" i="11"/>
  <c r="R418" i="11"/>
  <c r="R402" i="11"/>
  <c r="R371" i="11"/>
  <c r="R340" i="11"/>
  <c r="R309" i="11"/>
  <c r="R294" i="11"/>
  <c r="R230" i="11"/>
  <c r="R215" i="11"/>
  <c r="R199" i="11"/>
  <c r="R168" i="11"/>
  <c r="R528" i="11"/>
  <c r="R417" i="11"/>
  <c r="R386" i="11"/>
  <c r="R370" i="11"/>
  <c r="R355" i="11"/>
  <c r="R339" i="11"/>
  <c r="R324" i="11"/>
  <c r="R308" i="11"/>
  <c r="R293" i="11"/>
  <c r="R277" i="11"/>
  <c r="R245" i="11"/>
  <c r="R229" i="11"/>
  <c r="R214" i="11"/>
  <c r="R182" i="11"/>
  <c r="R167" i="11"/>
  <c r="R136" i="11"/>
  <c r="R495" i="11"/>
  <c r="R463" i="11"/>
  <c r="R432" i="11"/>
  <c r="R400" i="11"/>
  <c r="R385" i="11"/>
  <c r="R354" i="11"/>
  <c r="R338" i="11"/>
  <c r="R260" i="11"/>
  <c r="R244" i="11"/>
  <c r="R228" i="11"/>
  <c r="R197" i="11"/>
  <c r="R181" i="11"/>
  <c r="R92" i="11"/>
  <c r="R431" i="11"/>
  <c r="R415" i="11"/>
  <c r="R14" i="11"/>
  <c r="R384" i="11"/>
  <c r="R353" i="11"/>
  <c r="R337" i="11"/>
  <c r="R322" i="11"/>
  <c r="R306" i="11"/>
  <c r="R291" i="11"/>
  <c r="R259" i="11"/>
  <c r="R243" i="11"/>
  <c r="R212" i="11"/>
  <c r="R196" i="11"/>
  <c r="R165" i="11"/>
  <c r="R493" i="11"/>
  <c r="R461" i="11"/>
  <c r="R445" i="11"/>
  <c r="R430" i="11"/>
  <c r="R414" i="11"/>
  <c r="R352" i="11"/>
  <c r="R321" i="11"/>
  <c r="R274" i="11"/>
  <c r="R258" i="11"/>
  <c r="R242" i="11"/>
  <c r="R227" i="11"/>
  <c r="R211" i="11"/>
  <c r="R195" i="11"/>
  <c r="R148" i="11"/>
  <c r="R118" i="11"/>
  <c r="R508" i="11"/>
  <c r="R460" i="11"/>
  <c r="R444" i="11"/>
  <c r="R429" i="11"/>
  <c r="R398" i="11"/>
  <c r="R366" i="11"/>
  <c r="R2" i="11"/>
  <c r="R304" i="11"/>
  <c r="R257" i="11"/>
  <c r="R226" i="11"/>
  <c r="R210" i="11"/>
  <c r="R147" i="11"/>
  <c r="R132" i="11"/>
  <c r="R523" i="11"/>
  <c r="R459" i="11"/>
  <c r="R428" i="11"/>
  <c r="R412" i="11"/>
  <c r="R365" i="11"/>
  <c r="R335" i="11"/>
  <c r="R319" i="11"/>
  <c r="R272" i="11"/>
  <c r="R256" i="11"/>
  <c r="R240" i="11"/>
  <c r="R533" i="11"/>
  <c r="R474" i="11"/>
  <c r="R458" i="11"/>
  <c r="R380" i="11"/>
  <c r="R364" i="11"/>
  <c r="R349" i="11"/>
  <c r="R271" i="11"/>
  <c r="R255" i="11"/>
  <c r="R239" i="11"/>
  <c r="R224" i="11"/>
  <c r="R61" i="11"/>
  <c r="R473" i="11"/>
  <c r="R457" i="11"/>
  <c r="R442" i="11"/>
  <c r="R379" i="11"/>
  <c r="R363" i="11"/>
  <c r="R270" i="11"/>
  <c r="R254" i="11"/>
  <c r="R160" i="11"/>
  <c r="Q93" i="11"/>
  <c r="R93" i="11" s="1"/>
  <c r="R488" i="11"/>
  <c r="R472" i="11"/>
  <c r="R456" i="11"/>
  <c r="R394" i="11"/>
  <c r="R362" i="11"/>
  <c r="R347" i="11"/>
  <c r="R285" i="11"/>
  <c r="R269" i="11"/>
  <c r="R253" i="11"/>
  <c r="R237" i="11"/>
  <c r="R159" i="11"/>
  <c r="R128" i="11"/>
  <c r="R487" i="11"/>
  <c r="R377" i="11"/>
  <c r="R361" i="11"/>
  <c r="R284" i="11"/>
  <c r="R268" i="11"/>
  <c r="R252" i="11"/>
  <c r="R174" i="11"/>
  <c r="R158" i="11"/>
  <c r="R142" i="11"/>
  <c r="R502" i="11"/>
  <c r="R486" i="11"/>
  <c r="R454" i="11"/>
  <c r="R439" i="11"/>
  <c r="R392" i="11"/>
  <c r="R376" i="11"/>
  <c r="R314" i="11"/>
  <c r="R298" i="11"/>
  <c r="R283" i="11"/>
  <c r="R204" i="11"/>
  <c r="R173" i="11"/>
  <c r="R157" i="11"/>
  <c r="R141" i="11"/>
  <c r="R482" i="10"/>
  <c r="R450" i="10"/>
  <c r="R418" i="10"/>
  <c r="R242" i="10"/>
  <c r="R226" i="10"/>
  <c r="R210" i="10"/>
  <c r="R652" i="10"/>
  <c r="R636" i="10"/>
  <c r="R620" i="10"/>
  <c r="R572" i="10"/>
  <c r="R556" i="10"/>
  <c r="R540" i="10"/>
  <c r="R465" i="10"/>
  <c r="R449" i="10"/>
  <c r="R417" i="10"/>
  <c r="R353" i="10"/>
  <c r="R337" i="10"/>
  <c r="R273" i="10"/>
  <c r="R225" i="10"/>
  <c r="R209" i="10"/>
  <c r="R193" i="10"/>
  <c r="R177" i="10"/>
  <c r="R129" i="10"/>
  <c r="R97" i="10"/>
  <c r="R81" i="10"/>
  <c r="R65" i="10"/>
  <c r="R651" i="10"/>
  <c r="R619" i="10"/>
  <c r="R603" i="10"/>
  <c r="R587" i="10"/>
  <c r="R571" i="10"/>
  <c r="R523" i="10"/>
  <c r="R3" i="10"/>
  <c r="R464" i="10"/>
  <c r="R448" i="10"/>
  <c r="R432" i="10"/>
  <c r="R416" i="10"/>
  <c r="R400" i="10"/>
  <c r="R384" i="10"/>
  <c r="R368" i="10"/>
  <c r="R304" i="10"/>
  <c r="R272" i="10"/>
  <c r="R256" i="10"/>
  <c r="R240" i="10"/>
  <c r="R208" i="10"/>
  <c r="R192" i="10"/>
  <c r="R176" i="10"/>
  <c r="R144" i="10"/>
  <c r="R128" i="10"/>
  <c r="R112" i="10"/>
  <c r="R80" i="10"/>
  <c r="R618" i="10"/>
  <c r="R602" i="10"/>
  <c r="R586" i="10"/>
  <c r="R570" i="10"/>
  <c r="R554" i="10"/>
  <c r="R538" i="10"/>
  <c r="R522" i="10"/>
  <c r="R507" i="10"/>
  <c r="R479" i="10"/>
  <c r="R463" i="10"/>
  <c r="R447" i="10"/>
  <c r="R431" i="10"/>
  <c r="R399" i="10"/>
  <c r="R351" i="10"/>
  <c r="R335" i="10"/>
  <c r="R303" i="10"/>
  <c r="R287" i="10"/>
  <c r="R271" i="10"/>
  <c r="R255" i="10"/>
  <c r="R239" i="10"/>
  <c r="R207" i="10"/>
  <c r="R191" i="10"/>
  <c r="R159" i="10"/>
  <c r="R143" i="10"/>
  <c r="R111" i="10"/>
  <c r="R95" i="10"/>
  <c r="R79" i="10"/>
  <c r="R355" i="10"/>
  <c r="R179" i="10"/>
  <c r="R434" i="10"/>
  <c r="R370" i="10"/>
  <c r="R617" i="10"/>
  <c r="R585" i="10"/>
  <c r="R569" i="10"/>
  <c r="R553" i="10"/>
  <c r="R521" i="10"/>
  <c r="R506" i="10"/>
  <c r="R462" i="10"/>
  <c r="R398" i="10"/>
  <c r="R366" i="10"/>
  <c r="R286" i="10"/>
  <c r="R238" i="10"/>
  <c r="R190" i="10"/>
  <c r="R142" i="10"/>
  <c r="R126" i="10"/>
  <c r="R94" i="10"/>
  <c r="R78" i="10"/>
  <c r="R648" i="10"/>
  <c r="R632" i="10"/>
  <c r="R616" i="10"/>
  <c r="R568" i="10"/>
  <c r="R552" i="10"/>
  <c r="R536" i="10"/>
  <c r="R520" i="10"/>
  <c r="R2" i="10"/>
  <c r="R477" i="10"/>
  <c r="R461" i="10"/>
  <c r="R445" i="10"/>
  <c r="R413" i="10"/>
  <c r="R397" i="10"/>
  <c r="R365" i="10"/>
  <c r="R349" i="10"/>
  <c r="R301" i="10"/>
  <c r="R253" i="10"/>
  <c r="R237" i="10"/>
  <c r="R221" i="10"/>
  <c r="R173" i="10"/>
  <c r="R157" i="10"/>
  <c r="R141" i="10"/>
  <c r="R77" i="10"/>
  <c r="R647" i="10"/>
  <c r="R567" i="10"/>
  <c r="R551" i="10"/>
  <c r="R519" i="10"/>
  <c r="R505" i="10"/>
  <c r="R476" i="10"/>
  <c r="R460" i="10"/>
  <c r="R444" i="10"/>
  <c r="R428" i="10"/>
  <c r="R412" i="10"/>
  <c r="R364" i="10"/>
  <c r="R348" i="10"/>
  <c r="R252" i="10"/>
  <c r="R236" i="10"/>
  <c r="R220" i="10"/>
  <c r="R172" i="10"/>
  <c r="R156" i="10"/>
  <c r="R124" i="10"/>
  <c r="R108" i="10"/>
  <c r="R76" i="10"/>
  <c r="R363" i="10"/>
  <c r="R347" i="10"/>
  <c r="R203" i="10"/>
  <c r="R187" i="10"/>
  <c r="R171" i="10"/>
  <c r="R155" i="10"/>
  <c r="R139" i="10"/>
  <c r="R123" i="10"/>
  <c r="R107" i="10"/>
  <c r="R91" i="10"/>
  <c r="R75" i="10"/>
  <c r="R629" i="10"/>
  <c r="R565" i="10"/>
  <c r="R533" i="10"/>
  <c r="R517" i="10"/>
  <c r="R504" i="10"/>
  <c r="R490" i="10"/>
  <c r="R474" i="10"/>
  <c r="R458" i="10"/>
  <c r="R394" i="10"/>
  <c r="R378" i="10"/>
  <c r="R362" i="10"/>
  <c r="R346" i="10"/>
  <c r="R330" i="10"/>
  <c r="R218" i="10"/>
  <c r="R186" i="10"/>
  <c r="R106" i="10"/>
  <c r="R90" i="10"/>
  <c r="R628" i="10"/>
  <c r="R612" i="10"/>
  <c r="R596" i="10"/>
  <c r="R564" i="10"/>
  <c r="R548" i="10"/>
  <c r="R532" i="10"/>
  <c r="R516" i="10"/>
  <c r="R5" i="10"/>
  <c r="R441" i="10"/>
  <c r="R377" i="10"/>
  <c r="R345" i="10"/>
  <c r="R297" i="10"/>
  <c r="R281" i="10"/>
  <c r="R265" i="10"/>
  <c r="R233" i="10"/>
  <c r="R217" i="10"/>
  <c r="R201" i="10"/>
  <c r="R185" i="10"/>
  <c r="R169" i="10"/>
  <c r="R153" i="10"/>
  <c r="R137" i="10"/>
  <c r="R105" i="10"/>
  <c r="R73" i="10"/>
  <c r="R611" i="10"/>
  <c r="R595" i="10"/>
  <c r="R547" i="10"/>
  <c r="R503" i="10"/>
  <c r="R488" i="10"/>
  <c r="R456" i="10"/>
  <c r="R440" i="10"/>
  <c r="R424" i="10"/>
  <c r="R392" i="10"/>
  <c r="R376" i="10"/>
  <c r="R344" i="10"/>
  <c r="R328" i="10"/>
  <c r="R280" i="10"/>
  <c r="R232" i="10"/>
  <c r="R216" i="10"/>
  <c r="R184" i="10"/>
  <c r="R168" i="10"/>
  <c r="R120" i="10"/>
  <c r="R104" i="10"/>
  <c r="R88" i="10"/>
  <c r="R642" i="10"/>
  <c r="R626" i="10"/>
  <c r="R578" i="10"/>
  <c r="R562" i="10"/>
  <c r="R530" i="10"/>
  <c r="R514" i="10"/>
  <c r="R502" i="10"/>
  <c r="R487" i="10"/>
  <c r="R471" i="10"/>
  <c r="R423" i="10"/>
  <c r="R375" i="10"/>
  <c r="R359" i="10"/>
  <c r="R343" i="10"/>
  <c r="R327" i="10"/>
  <c r="R295" i="10"/>
  <c r="R263" i="10"/>
  <c r="R231" i="10"/>
  <c r="R199" i="10"/>
  <c r="R183" i="10"/>
  <c r="R167" i="10"/>
  <c r="R119" i="10"/>
  <c r="R103" i="10"/>
  <c r="R87" i="10"/>
  <c r="R71" i="10"/>
  <c r="R625" i="10"/>
  <c r="R577" i="10"/>
  <c r="R561" i="10"/>
  <c r="R545" i="10"/>
  <c r="R513" i="10"/>
  <c r="R486" i="10"/>
  <c r="R422" i="10"/>
  <c r="R406" i="10"/>
  <c r="R358" i="10"/>
  <c r="R294" i="10"/>
  <c r="R278" i="10"/>
  <c r="R262" i="10"/>
  <c r="R246" i="10"/>
  <c r="R214" i="10"/>
  <c r="R198" i="10"/>
  <c r="R182" i="10"/>
  <c r="R166" i="10"/>
  <c r="R134" i="10"/>
  <c r="R118" i="10"/>
  <c r="R86" i="10"/>
  <c r="R70" i="10"/>
  <c r="R115" i="10"/>
  <c r="R133" i="10"/>
  <c r="R639" i="10"/>
  <c r="R591" i="10"/>
  <c r="R575" i="10"/>
  <c r="R543" i="10"/>
  <c r="R527" i="10"/>
  <c r="R511" i="10"/>
  <c r="R468" i="10"/>
  <c r="R452" i="10"/>
  <c r="R420" i="10"/>
  <c r="R388" i="10"/>
  <c r="R372" i="10"/>
  <c r="R356" i="10"/>
  <c r="R340" i="10"/>
  <c r="R324" i="10"/>
  <c r="R308" i="10"/>
  <c r="R292" i="10"/>
  <c r="R276" i="10"/>
  <c r="R212" i="10"/>
  <c r="R164" i="10"/>
  <c r="R148" i="10"/>
  <c r="R132" i="10"/>
  <c r="R116" i="10"/>
  <c r="R100" i="10"/>
  <c r="R84" i="10"/>
  <c r="R165" i="7"/>
  <c r="R179" i="7"/>
  <c r="R164" i="7"/>
  <c r="R163" i="7"/>
  <c r="R177" i="7"/>
  <c r="R162" i="7"/>
  <c r="R167" i="7"/>
  <c r="R166" i="7"/>
  <c r="R175" i="7"/>
  <c r="R160" i="7"/>
  <c r="R174" i="7"/>
  <c r="R159" i="7"/>
  <c r="R189" i="7"/>
  <c r="R173" i="7"/>
  <c r="R7" i="7"/>
  <c r="R172" i="7"/>
  <c r="R11" i="7"/>
  <c r="R158" i="7"/>
  <c r="R19" i="7"/>
  <c r="R184" i="7"/>
  <c r="Q483" i="11"/>
  <c r="R483" i="11" s="1"/>
  <c r="Q235" i="11"/>
  <c r="R235" i="11" s="1"/>
  <c r="Q262" i="11"/>
  <c r="R262" i="11" s="1"/>
  <c r="Q288" i="11"/>
  <c r="R288" i="11" s="1"/>
  <c r="Q356" i="11"/>
  <c r="R356" i="11" s="1"/>
  <c r="Q175" i="11"/>
  <c r="R175" i="11" s="1"/>
  <c r="Q359" i="11"/>
  <c r="R359" i="11" s="1"/>
  <c r="Q424" i="11"/>
  <c r="R424" i="11" s="1"/>
  <c r="Q318" i="11"/>
  <c r="R318" i="11" s="1"/>
  <c r="Q275" i="11"/>
  <c r="R275" i="11" s="1"/>
  <c r="Q323" i="11"/>
  <c r="R323" i="11" s="1"/>
  <c r="Q440" i="11"/>
  <c r="R440" i="11" s="1"/>
  <c r="Q489" i="11"/>
  <c r="R489" i="11" s="1"/>
  <c r="Q511" i="11"/>
  <c r="R511" i="11" s="1"/>
  <c r="Q233" i="11"/>
  <c r="R233" i="11" s="1"/>
  <c r="Q395" i="11"/>
  <c r="R395" i="11" s="1"/>
  <c r="Q433" i="11"/>
  <c r="R433" i="11" s="1"/>
  <c r="Q491" i="11"/>
  <c r="R491" i="11" s="1"/>
  <c r="Q207" i="11"/>
  <c r="R207" i="11" s="1"/>
  <c r="Q467" i="11"/>
  <c r="R467" i="11" s="1"/>
  <c r="Q292" i="11"/>
  <c r="R292" i="11" s="1"/>
  <c r="Q276" i="11"/>
  <c r="R276" i="11" s="1"/>
  <c r="Q490" i="11"/>
  <c r="R490" i="11" s="1"/>
  <c r="Q192" i="11"/>
  <c r="R192" i="11" s="1"/>
  <c r="R35" i="11"/>
  <c r="Q396" i="11"/>
  <c r="R396" i="11" s="1"/>
  <c r="Q241" i="11"/>
  <c r="R241" i="11" s="1"/>
  <c r="Q328" i="11"/>
  <c r="R328" i="11" s="1"/>
  <c r="Q446" i="11"/>
  <c r="R446" i="11" s="1"/>
  <c r="Q206" i="11"/>
  <c r="R206" i="11" s="1"/>
  <c r="Q149" i="11"/>
  <c r="R149" i="11" s="1"/>
  <c r="Q183" i="11"/>
  <c r="R183" i="11" s="1"/>
  <c r="Q223" i="11"/>
  <c r="R223" i="11" s="1"/>
  <c r="Q367" i="11"/>
  <c r="R367" i="11" s="1"/>
  <c r="Q397" i="11"/>
  <c r="R397" i="11" s="1"/>
  <c r="Q492" i="11"/>
  <c r="R492" i="11" s="1"/>
  <c r="Q518" i="11"/>
  <c r="R518" i="11" s="1"/>
  <c r="R28" i="11"/>
  <c r="Q503" i="11"/>
  <c r="R503" i="11" s="1"/>
  <c r="Q299" i="11"/>
  <c r="R299" i="11" s="1"/>
  <c r="Q447" i="11"/>
  <c r="R447" i="11" s="1"/>
  <c r="Q286" i="11"/>
  <c r="R286" i="11" s="1"/>
  <c r="Q332" i="11"/>
  <c r="R332" i="11" s="1"/>
  <c r="Q369" i="11"/>
  <c r="R369" i="11" s="1"/>
  <c r="Q399" i="11"/>
  <c r="R399" i="11" s="1"/>
  <c r="Q448" i="11"/>
  <c r="R448" i="11" s="1"/>
  <c r="Q505" i="11"/>
  <c r="R505" i="11" s="1"/>
  <c r="Q300" i="11"/>
  <c r="R300" i="11" s="1"/>
  <c r="Q421" i="11"/>
  <c r="R421" i="11" s="1"/>
  <c r="Q450" i="11"/>
  <c r="R450" i="11" s="1"/>
  <c r="Q213" i="11"/>
  <c r="R213" i="11" s="1"/>
  <c r="Q176" i="11"/>
  <c r="R176" i="11" s="1"/>
  <c r="Q161" i="11"/>
  <c r="R161" i="11" s="1"/>
  <c r="Q238" i="11"/>
  <c r="R238" i="11" s="1"/>
  <c r="Q494" i="11"/>
  <c r="R494" i="11" s="1"/>
  <c r="Q512" i="11"/>
  <c r="R512" i="11" s="1"/>
  <c r="Q131" i="11"/>
  <c r="R131" i="11" s="1"/>
  <c r="Q305" i="11"/>
  <c r="R305" i="11" s="1"/>
  <c r="Q423" i="11"/>
  <c r="R423" i="11" s="1"/>
  <c r="Q320" i="11"/>
  <c r="R320" i="11" s="1"/>
  <c r="Q336" i="11"/>
  <c r="R336" i="11" s="1"/>
  <c r="Q267" i="11"/>
  <c r="R267" i="11" s="1"/>
  <c r="Q509" i="11"/>
  <c r="R509" i="11" s="1"/>
  <c r="Q163" i="11"/>
  <c r="R163" i="11" s="1"/>
  <c r="Q188" i="11"/>
  <c r="R188" i="11" s="1"/>
  <c r="Q462" i="11"/>
  <c r="R462" i="11" s="1"/>
  <c r="Q416" i="11"/>
  <c r="R416" i="11" s="1"/>
  <c r="Q177" i="11"/>
  <c r="R177" i="11" s="1"/>
  <c r="Q307" i="11"/>
  <c r="R307" i="11" s="1"/>
  <c r="Q453" i="11"/>
  <c r="R453" i="11" s="1"/>
  <c r="Q481" i="11"/>
  <c r="R481" i="11" s="1"/>
  <c r="Q194" i="11"/>
  <c r="R194" i="11" s="1"/>
  <c r="Q378" i="11"/>
  <c r="R378" i="11" s="1"/>
  <c r="Q465" i="11"/>
  <c r="R465" i="11" s="1"/>
  <c r="Q496" i="11"/>
  <c r="R496" i="11" s="1"/>
  <c r="Q138" i="11"/>
  <c r="R138" i="11" s="1"/>
  <c r="Q263" i="11"/>
  <c r="R263" i="11" s="1"/>
  <c r="Q248" i="11"/>
  <c r="R248" i="11" s="1"/>
  <c r="Q343" i="11"/>
  <c r="R343" i="11" s="1"/>
  <c r="Q409" i="11"/>
  <c r="R409" i="11" s="1"/>
  <c r="Q135" i="11"/>
  <c r="R135" i="11" s="1"/>
  <c r="Q348" i="11"/>
  <c r="R348" i="11" s="1"/>
  <c r="Q422" i="11"/>
  <c r="R422" i="11" s="1"/>
  <c r="Q519" i="11"/>
  <c r="R519" i="11" s="1"/>
  <c r="R38" i="11"/>
  <c r="Q249" i="11"/>
  <c r="R249" i="11" s="1"/>
  <c r="Q345" i="11"/>
  <c r="R345" i="11" s="1"/>
  <c r="Q455" i="11"/>
  <c r="R455" i="11" s="1"/>
  <c r="Q137" i="11"/>
  <c r="R137" i="11" s="1"/>
  <c r="Q166" i="11"/>
  <c r="R166" i="11" s="1"/>
  <c r="Q301" i="11"/>
  <c r="R301" i="11" s="1"/>
  <c r="Q350" i="11"/>
  <c r="R350" i="11" s="1"/>
  <c r="Q407" i="11"/>
  <c r="R407" i="11" s="1"/>
  <c r="Q144" i="11"/>
  <c r="R144" i="11" s="1"/>
  <c r="Q330" i="11"/>
  <c r="R330" i="11" s="1"/>
  <c r="Q425" i="11"/>
  <c r="R425" i="11" s="1"/>
  <c r="Q251" i="11"/>
  <c r="R251" i="11" s="1"/>
  <c r="Q381" i="11"/>
  <c r="R381" i="11" s="1"/>
  <c r="Q434" i="11"/>
  <c r="R434" i="11" s="1"/>
  <c r="Q303" i="11"/>
  <c r="R303" i="11" s="1"/>
  <c r="Q408" i="11"/>
  <c r="R408" i="11" s="1"/>
  <c r="Q478" i="11"/>
  <c r="R478" i="11" s="1"/>
  <c r="Q221" i="11"/>
  <c r="R221" i="11" s="1"/>
  <c r="Q331" i="11"/>
  <c r="R331" i="11" s="1"/>
  <c r="Q373" i="11"/>
  <c r="R373" i="11" s="1"/>
  <c r="Q475" i="11"/>
  <c r="R475" i="11" s="1"/>
  <c r="Q522" i="11"/>
  <c r="R522" i="11" s="1"/>
  <c r="Q152" i="11"/>
  <c r="R152" i="11" s="1"/>
  <c r="Q346" i="11"/>
  <c r="R346" i="11" s="1"/>
  <c r="Q435" i="11"/>
  <c r="R435" i="11" s="1"/>
  <c r="Q510" i="11"/>
  <c r="R510" i="11" s="1"/>
  <c r="Q140" i="11"/>
  <c r="R140" i="11" s="1"/>
  <c r="Q205" i="11"/>
  <c r="R205" i="11" s="1"/>
  <c r="Q261" i="11"/>
  <c r="R261" i="11" s="1"/>
  <c r="Q150" i="11"/>
  <c r="R150" i="11" s="1"/>
  <c r="Q278" i="11"/>
  <c r="R278" i="11" s="1"/>
  <c r="Q476" i="11"/>
  <c r="R476" i="11" s="1"/>
  <c r="Q191" i="11"/>
  <c r="R191" i="11" s="1"/>
  <c r="Q95" i="11"/>
  <c r="R95" i="11" s="1"/>
  <c r="Q504" i="11"/>
  <c r="R504" i="11" s="1"/>
  <c r="Q225" i="11"/>
  <c r="R225" i="11" s="1"/>
  <c r="Q477" i="11"/>
  <c r="R477" i="11" s="1"/>
  <c r="Q357" i="11"/>
  <c r="R357" i="11" s="1"/>
  <c r="Q527" i="11"/>
  <c r="R527" i="11" s="1"/>
  <c r="Q143" i="11"/>
  <c r="R143" i="11" s="1"/>
  <c r="Q264" i="11"/>
  <c r="R264" i="11" s="1"/>
  <c r="Q387" i="11"/>
  <c r="R387" i="11" s="1"/>
  <c r="Q413" i="11"/>
  <c r="R413" i="11" s="1"/>
  <c r="Q97" i="11"/>
  <c r="R97" i="11" s="1"/>
  <c r="Q479" i="11"/>
  <c r="R479" i="11" s="1"/>
  <c r="Q526" i="11"/>
  <c r="R526" i="11" s="1"/>
  <c r="Q156" i="11"/>
  <c r="R156" i="11" s="1"/>
  <c r="Q234" i="11"/>
  <c r="R234" i="11" s="1"/>
  <c r="Q287" i="11"/>
  <c r="R287" i="11" s="1"/>
  <c r="Q315" i="11"/>
  <c r="R315" i="11" s="1"/>
  <c r="Q437" i="11"/>
  <c r="R437" i="11" s="1"/>
  <c r="Q464" i="11"/>
  <c r="R464" i="11" s="1"/>
  <c r="Q520" i="11"/>
  <c r="R520" i="11" s="1"/>
  <c r="R32" i="11"/>
  <c r="Q411" i="11"/>
  <c r="R411" i="11" s="1"/>
  <c r="Q344" i="11"/>
  <c r="R344" i="11" s="1"/>
  <c r="Q316" i="11"/>
  <c r="R316" i="11" s="1"/>
  <c r="Q290" i="11"/>
  <c r="R290" i="11" s="1"/>
  <c r="Q247" i="11"/>
  <c r="R247" i="11" s="1"/>
  <c r="Q220" i="11"/>
  <c r="R220" i="11" s="1"/>
  <c r="Q190" i="11"/>
  <c r="R190" i="11" s="1"/>
  <c r="Q162" i="11"/>
  <c r="R162" i="11" s="1"/>
  <c r="R27" i="11"/>
  <c r="Q521" i="11"/>
  <c r="R521" i="11" s="1"/>
  <c r="Q506" i="11"/>
  <c r="R506" i="11" s="1"/>
  <c r="Q449" i="11"/>
  <c r="R449" i="11" s="1"/>
  <c r="Q410" i="11"/>
  <c r="R410" i="11" s="1"/>
  <c r="Q382" i="11"/>
  <c r="R382" i="11" s="1"/>
  <c r="Q368" i="11"/>
  <c r="R368" i="11" s="1"/>
  <c r="Q358" i="11"/>
  <c r="R358" i="11" s="1"/>
  <c r="Q317" i="11"/>
  <c r="R317" i="11" s="1"/>
  <c r="Q302" i="11"/>
  <c r="R302" i="11" s="1"/>
  <c r="Q289" i="11"/>
  <c r="R289" i="11" s="1"/>
  <c r="Q250" i="11"/>
  <c r="R250" i="11" s="1"/>
  <c r="Q236" i="11"/>
  <c r="R236" i="11" s="1"/>
  <c r="Q222" i="11"/>
  <c r="R222" i="11" s="1"/>
  <c r="Q208" i="11"/>
  <c r="R208" i="11" s="1"/>
  <c r="Q193" i="11"/>
  <c r="R193" i="11" s="1"/>
  <c r="Q178" i="11"/>
  <c r="R178" i="11" s="1"/>
  <c r="Q164" i="11"/>
  <c r="R164" i="11" s="1"/>
  <c r="Q151" i="11"/>
  <c r="R151" i="11" s="1"/>
  <c r="Q139" i="11"/>
  <c r="R139" i="11" s="1"/>
  <c r="P108" i="11"/>
  <c r="P126" i="11"/>
  <c r="P41" i="10"/>
  <c r="P493" i="10"/>
  <c r="P315" i="10"/>
  <c r="P27" i="10"/>
  <c r="Q83" i="6"/>
  <c r="R83" i="6" s="1"/>
  <c r="Q61" i="6"/>
  <c r="R61" i="6" s="1"/>
  <c r="P59" i="10"/>
  <c r="Q59" i="10" s="1"/>
  <c r="P63" i="10"/>
  <c r="P321" i="10"/>
  <c r="P106" i="11"/>
  <c r="P319" i="10"/>
  <c r="P115" i="11"/>
  <c r="P116" i="11"/>
  <c r="P44" i="10"/>
  <c r="P500" i="10"/>
  <c r="P46" i="10"/>
  <c r="P498" i="10"/>
  <c r="P316" i="10"/>
  <c r="P125" i="11"/>
  <c r="P110" i="11"/>
  <c r="P109" i="11"/>
  <c r="Q104" i="11"/>
  <c r="R104" i="11" s="1"/>
  <c r="Q112" i="11"/>
  <c r="R112" i="11" s="1"/>
  <c r="Q105" i="11"/>
  <c r="R105" i="11" s="1"/>
  <c r="R8" i="11"/>
  <c r="Q113" i="11"/>
  <c r="R113" i="11" s="1"/>
  <c r="Q100" i="11"/>
  <c r="R100" i="11" s="1"/>
  <c r="Q33" i="11"/>
  <c r="R33" i="11" s="1"/>
  <c r="Q124" i="11"/>
  <c r="R124" i="11" s="1"/>
  <c r="Q466" i="10"/>
  <c r="R466" i="10" s="1"/>
  <c r="Q103" i="11"/>
  <c r="R103" i="11" s="1"/>
  <c r="Q117" i="11"/>
  <c r="R117" i="11" s="1"/>
  <c r="Q107" i="11"/>
  <c r="R107" i="11" s="1"/>
  <c r="Q127" i="11"/>
  <c r="R127" i="11" s="1"/>
  <c r="R3" i="11"/>
  <c r="Q129" i="11"/>
  <c r="R129" i="11" s="1"/>
  <c r="Q99" i="11"/>
  <c r="R99" i="11" s="1"/>
  <c r="Q114" i="11"/>
  <c r="R114" i="11" s="1"/>
  <c r="Q121" i="11"/>
  <c r="R121" i="11" s="1"/>
  <c r="Q119" i="11"/>
  <c r="R119" i="11" s="1"/>
  <c r="Q12" i="11"/>
  <c r="R12" i="11" s="1"/>
  <c r="Q120" i="11"/>
  <c r="R120" i="11" s="1"/>
  <c r="Q122" i="11"/>
  <c r="R122" i="11" s="1"/>
  <c r="Q123" i="11"/>
  <c r="R123" i="11" s="1"/>
  <c r="Q101" i="11"/>
  <c r="R101" i="11" s="1"/>
  <c r="R6" i="11"/>
  <c r="Q102" i="11"/>
  <c r="R102" i="11" s="1"/>
  <c r="Q130" i="11"/>
  <c r="R130" i="11" s="1"/>
  <c r="Q111" i="11"/>
  <c r="R111" i="11" s="1"/>
  <c r="P313" i="10"/>
  <c r="P51" i="10"/>
  <c r="P54" i="10"/>
  <c r="P55" i="10"/>
  <c r="P147" i="7"/>
  <c r="Q147" i="7" s="1"/>
  <c r="P92" i="7"/>
  <c r="Q92" i="7" s="1"/>
  <c r="P96" i="7"/>
  <c r="Q96" i="7" s="1"/>
  <c r="P100" i="7"/>
  <c r="Q100" i="7" s="1"/>
  <c r="P27" i="9"/>
  <c r="P196" i="7"/>
  <c r="Q196" i="7" s="1"/>
  <c r="P143" i="7"/>
  <c r="P64" i="10"/>
  <c r="P320" i="10"/>
  <c r="P28" i="10"/>
  <c r="P32" i="10"/>
  <c r="P34" i="10"/>
  <c r="P36" i="10"/>
  <c r="P39" i="10"/>
  <c r="P40" i="10"/>
  <c r="P42" i="10"/>
  <c r="P495" i="10"/>
  <c r="P49" i="10"/>
  <c r="P52" i="10"/>
  <c r="P497" i="10"/>
  <c r="P56" i="10"/>
  <c r="P57" i="10"/>
  <c r="P499" i="10"/>
  <c r="P188" i="7"/>
  <c r="P97" i="7"/>
  <c r="P208" i="7"/>
  <c r="P58" i="6"/>
  <c r="P496" i="10"/>
  <c r="R54" i="6"/>
  <c r="P15" i="6"/>
  <c r="Q15" i="6" s="1"/>
  <c r="Q18" i="6"/>
  <c r="P57" i="6"/>
  <c r="Q57" i="6" s="1"/>
  <c r="Q39" i="6"/>
  <c r="Q309" i="10"/>
  <c r="R309" i="10" s="1"/>
  <c r="Q125" i="10"/>
  <c r="R125" i="10" s="1"/>
  <c r="Q140" i="10"/>
  <c r="R140" i="10" s="1"/>
  <c r="Q215" i="10"/>
  <c r="R215" i="10" s="1"/>
  <c r="Q249" i="10"/>
  <c r="R249" i="10" s="1"/>
  <c r="Q113" i="10"/>
  <c r="R113" i="10" s="1"/>
  <c r="Q515" i="10"/>
  <c r="R515" i="10" s="1"/>
  <c r="Q531" i="10"/>
  <c r="R531" i="10" s="1"/>
  <c r="Q546" i="10"/>
  <c r="R546" i="10" s="1"/>
  <c r="Q594" i="10"/>
  <c r="R594" i="10" s="1"/>
  <c r="Q610" i="10"/>
  <c r="R610" i="10" s="1"/>
  <c r="Q361" i="10"/>
  <c r="R361" i="10" s="1"/>
  <c r="Q408" i="10"/>
  <c r="R408" i="10" s="1"/>
  <c r="Q472" i="10"/>
  <c r="R472" i="10" s="1"/>
  <c r="Q175" i="10"/>
  <c r="R175" i="10" s="1"/>
  <c r="Q640" i="10"/>
  <c r="R640" i="10" s="1"/>
  <c r="Q206" i="10"/>
  <c r="R206" i="10" s="1"/>
  <c r="Q85" i="10"/>
  <c r="R85" i="10" s="1"/>
  <c r="Q160" i="10"/>
  <c r="R160" i="10" s="1"/>
  <c r="Q178" i="10"/>
  <c r="R178" i="10" s="1"/>
  <c r="Q234" i="10"/>
  <c r="R234" i="10" s="1"/>
  <c r="Q223" i="10"/>
  <c r="R223" i="10" s="1"/>
  <c r="Q563" i="10"/>
  <c r="R563" i="10" s="1"/>
  <c r="Q579" i="10"/>
  <c r="R579" i="10" s="1"/>
  <c r="Q627" i="10"/>
  <c r="R627" i="10" s="1"/>
  <c r="Q643" i="10"/>
  <c r="R643" i="10" s="1"/>
  <c r="Q331" i="10"/>
  <c r="R331" i="10" s="1"/>
  <c r="Q393" i="10"/>
  <c r="R393" i="10" s="1"/>
  <c r="Q409" i="10"/>
  <c r="R409" i="10" s="1"/>
  <c r="Q425" i="10"/>
  <c r="R425" i="10" s="1"/>
  <c r="Q457" i="10"/>
  <c r="R457" i="10" s="1"/>
  <c r="Q473" i="10"/>
  <c r="R473" i="10" s="1"/>
  <c r="Q489" i="10"/>
  <c r="R489" i="10" s="1"/>
  <c r="Q285" i="10"/>
  <c r="R285" i="10" s="1"/>
  <c r="Q161" i="10"/>
  <c r="R161" i="10" s="1"/>
  <c r="Q180" i="10"/>
  <c r="R180" i="10" s="1"/>
  <c r="Q235" i="10"/>
  <c r="R235" i="10" s="1"/>
  <c r="Q254" i="10"/>
  <c r="R254" i="10" s="1"/>
  <c r="Q274" i="10"/>
  <c r="R274" i="10" s="1"/>
  <c r="Q296" i="10"/>
  <c r="R296" i="10" s="1"/>
  <c r="Q580" i="10"/>
  <c r="R580" i="10" s="1"/>
  <c r="Q644" i="10"/>
  <c r="R644" i="10" s="1"/>
  <c r="Q332" i="10"/>
  <c r="R332" i="10" s="1"/>
  <c r="Q410" i="10"/>
  <c r="R410" i="10" s="1"/>
  <c r="Q426" i="10"/>
  <c r="R426" i="10" s="1"/>
  <c r="Q442" i="10"/>
  <c r="R442" i="10" s="1"/>
  <c r="Q609" i="10"/>
  <c r="R609" i="10" s="1"/>
  <c r="Q127" i="10"/>
  <c r="R127" i="10" s="1"/>
  <c r="Q202" i="10"/>
  <c r="R202" i="10" s="1"/>
  <c r="Q219" i="10"/>
  <c r="R219" i="10" s="1"/>
  <c r="Q122" i="10"/>
  <c r="R122" i="10" s="1"/>
  <c r="Q250" i="10"/>
  <c r="R250" i="10" s="1"/>
  <c r="Q518" i="10"/>
  <c r="R518" i="10" s="1"/>
  <c r="Q549" i="10"/>
  <c r="R549" i="10" s="1"/>
  <c r="Q581" i="10"/>
  <c r="R581" i="10" s="1"/>
  <c r="Q597" i="10"/>
  <c r="R597" i="10" s="1"/>
  <c r="Q613" i="10"/>
  <c r="R613" i="10" s="1"/>
  <c r="Q645" i="10"/>
  <c r="R645" i="10" s="1"/>
  <c r="Q333" i="10"/>
  <c r="R333" i="10" s="1"/>
  <c r="Q443" i="10"/>
  <c r="R443" i="10" s="1"/>
  <c r="Q459" i="10"/>
  <c r="R459" i="10" s="1"/>
  <c r="Q475" i="10"/>
  <c r="R475" i="10" s="1"/>
  <c r="Q291" i="10"/>
  <c r="R291" i="10" s="1"/>
  <c r="Q200" i="10"/>
  <c r="R200" i="10" s="1"/>
  <c r="Q608" i="10"/>
  <c r="R608" i="10" s="1"/>
  <c r="Q158" i="10"/>
  <c r="R158" i="10" s="1"/>
  <c r="Q293" i="10"/>
  <c r="R293" i="10" s="1"/>
  <c r="Q391" i="10"/>
  <c r="R391" i="10" s="1"/>
  <c r="Q145" i="10"/>
  <c r="R145" i="10" s="1"/>
  <c r="Q298" i="10"/>
  <c r="R298" i="10" s="1"/>
  <c r="Q251" i="10"/>
  <c r="R251" i="10" s="1"/>
  <c r="Q508" i="10"/>
  <c r="R508" i="10" s="1"/>
  <c r="Q535" i="10"/>
  <c r="R535" i="10" s="1"/>
  <c r="Q550" i="10"/>
  <c r="R550" i="10" s="1"/>
  <c r="Q566" i="10"/>
  <c r="R566" i="10" s="1"/>
  <c r="Q614" i="10"/>
  <c r="R614" i="10" s="1"/>
  <c r="Q630" i="10"/>
  <c r="R630" i="10" s="1"/>
  <c r="Q646" i="10"/>
  <c r="R646" i="10" s="1"/>
  <c r="Q334" i="10"/>
  <c r="R334" i="10" s="1"/>
  <c r="Q380" i="10"/>
  <c r="R380" i="10" s="1"/>
  <c r="Q247" i="10"/>
  <c r="R247" i="10" s="1"/>
  <c r="Q89" i="10"/>
  <c r="R89" i="10" s="1"/>
  <c r="Q109" i="10"/>
  <c r="R109" i="10" s="1"/>
  <c r="Q165" i="10"/>
  <c r="R165" i="10" s="1"/>
  <c r="Q204" i="10"/>
  <c r="R204" i="10" s="1"/>
  <c r="Q258" i="10"/>
  <c r="R258" i="10" s="1"/>
  <c r="Q279" i="10"/>
  <c r="R279" i="10" s="1"/>
  <c r="Q299" i="10"/>
  <c r="R299" i="10" s="1"/>
  <c r="Q150" i="10"/>
  <c r="R150" i="10" s="1"/>
  <c r="Q583" i="10"/>
  <c r="R583" i="10" s="1"/>
  <c r="Q599" i="10"/>
  <c r="R599" i="10" s="1"/>
  <c r="Q615" i="10"/>
  <c r="R615" i="10" s="1"/>
  <c r="Q631" i="10"/>
  <c r="R631" i="10" s="1"/>
  <c r="Q350" i="10"/>
  <c r="R350" i="10" s="1"/>
  <c r="Q381" i="10"/>
  <c r="R381" i="10" s="1"/>
  <c r="Q429" i="10"/>
  <c r="R429" i="10" s="1"/>
  <c r="Q110" i="10"/>
  <c r="R110" i="10" s="1"/>
  <c r="Q205" i="10"/>
  <c r="R205" i="10" s="1"/>
  <c r="Q300" i="10"/>
  <c r="R300" i="10" s="1"/>
  <c r="Q152" i="10"/>
  <c r="R152" i="10" s="1"/>
  <c r="Q510" i="10"/>
  <c r="R510" i="10" s="1"/>
  <c r="Q537" i="10"/>
  <c r="R537" i="10" s="1"/>
  <c r="Q584" i="10"/>
  <c r="R584" i="10" s="1"/>
  <c r="Q600" i="10"/>
  <c r="R600" i="10" s="1"/>
  <c r="Q367" i="10"/>
  <c r="R367" i="10" s="1"/>
  <c r="Q382" i="10"/>
  <c r="R382" i="10" s="1"/>
  <c r="Q414" i="10"/>
  <c r="R414" i="10" s="1"/>
  <c r="Q430" i="10"/>
  <c r="R430" i="10" s="1"/>
  <c r="Q446" i="10"/>
  <c r="R446" i="10" s="1"/>
  <c r="Q478" i="10"/>
  <c r="R478" i="10" s="1"/>
  <c r="Q138" i="10"/>
  <c r="R138" i="10" s="1"/>
  <c r="Q560" i="10"/>
  <c r="R560" i="10" s="1"/>
  <c r="Q67" i="10"/>
  <c r="R67" i="10" s="1"/>
  <c r="Q72" i="10"/>
  <c r="R72" i="10" s="1"/>
  <c r="Q92" i="10"/>
  <c r="R92" i="10" s="1"/>
  <c r="Q131" i="10"/>
  <c r="R131" i="10" s="1"/>
  <c r="Q222" i="10"/>
  <c r="R222" i="10" s="1"/>
  <c r="Q260" i="10"/>
  <c r="R260" i="10" s="1"/>
  <c r="Q162" i="10"/>
  <c r="R162" i="10" s="1"/>
  <c r="Q257" i="10"/>
  <c r="R257" i="10" s="1"/>
  <c r="Q601" i="10"/>
  <c r="R601" i="10" s="1"/>
  <c r="Q633" i="10"/>
  <c r="R633" i="10" s="1"/>
  <c r="Q649" i="10"/>
  <c r="R649" i="10" s="1"/>
  <c r="Q322" i="10"/>
  <c r="R322" i="10" s="1"/>
  <c r="Q336" i="10"/>
  <c r="R336" i="10" s="1"/>
  <c r="Q352" i="10"/>
  <c r="R352" i="10" s="1"/>
  <c r="Q383" i="10"/>
  <c r="R383" i="10" s="1"/>
  <c r="Q415" i="10"/>
  <c r="R415" i="10" s="1"/>
  <c r="Q269" i="10"/>
  <c r="R269" i="10" s="1"/>
  <c r="Q93" i="10"/>
  <c r="R93" i="10" s="1"/>
  <c r="Q114" i="10"/>
  <c r="R114" i="10" s="1"/>
  <c r="Q224" i="10"/>
  <c r="R224" i="10" s="1"/>
  <c r="Q241" i="10"/>
  <c r="R241" i="10" s="1"/>
  <c r="Q282" i="10"/>
  <c r="R282" i="10" s="1"/>
  <c r="Q302" i="10"/>
  <c r="R302" i="10" s="1"/>
  <c r="Q261" i="10"/>
  <c r="R261" i="10" s="1"/>
  <c r="Q539" i="10"/>
  <c r="R539" i="10" s="1"/>
  <c r="Q634" i="10"/>
  <c r="R634" i="10" s="1"/>
  <c r="Q650" i="10"/>
  <c r="R650" i="10" s="1"/>
  <c r="Q480" i="10"/>
  <c r="R480" i="10" s="1"/>
  <c r="Q230" i="10"/>
  <c r="R230" i="10" s="1"/>
  <c r="Q529" i="10"/>
  <c r="R529" i="10" s="1"/>
  <c r="Q390" i="10"/>
  <c r="R390" i="10" s="1"/>
  <c r="Q438" i="10"/>
  <c r="R438" i="10" s="1"/>
  <c r="Q102" i="10"/>
  <c r="R102" i="10" s="1"/>
  <c r="Q248" i="10"/>
  <c r="R248" i="10" s="1"/>
  <c r="Q593" i="10"/>
  <c r="R593" i="10" s="1"/>
  <c r="Q360" i="10"/>
  <c r="R360" i="10" s="1"/>
  <c r="Q455" i="10"/>
  <c r="R455" i="10" s="1"/>
  <c r="Q74" i="10"/>
  <c r="R74" i="10" s="1"/>
  <c r="Q151" i="10"/>
  <c r="R151" i="10" s="1"/>
  <c r="Q170" i="10"/>
  <c r="R170" i="10" s="1"/>
  <c r="Q189" i="10"/>
  <c r="R189" i="10" s="1"/>
  <c r="Q264" i="10"/>
  <c r="R264" i="10" s="1"/>
  <c r="Q284" i="10"/>
  <c r="R284" i="10" s="1"/>
  <c r="Q524" i="10"/>
  <c r="R524" i="10" s="1"/>
  <c r="Q555" i="10"/>
  <c r="R555" i="10" s="1"/>
  <c r="Q635" i="10"/>
  <c r="R635" i="10" s="1"/>
  <c r="Q323" i="10"/>
  <c r="R323" i="10" s="1"/>
  <c r="Q369" i="10"/>
  <c r="R369" i="10" s="1"/>
  <c r="Q385" i="10"/>
  <c r="R385" i="10" s="1"/>
  <c r="Q401" i="10"/>
  <c r="R401" i="10" s="1"/>
  <c r="Q433" i="10"/>
  <c r="R433" i="10" s="1"/>
  <c r="Q481" i="10"/>
  <c r="R481" i="10" s="1"/>
  <c r="Q641" i="10"/>
  <c r="R641" i="10" s="1"/>
  <c r="Q96" i="10"/>
  <c r="R96" i="10" s="1"/>
  <c r="Q305" i="10"/>
  <c r="R305" i="10" s="1"/>
  <c r="Q270" i="10"/>
  <c r="R270" i="10" s="1"/>
  <c r="Q525" i="10"/>
  <c r="R525" i="10" s="1"/>
  <c r="Q588" i="10"/>
  <c r="R588" i="10" s="1"/>
  <c r="Q604" i="10"/>
  <c r="R604" i="10" s="1"/>
  <c r="Q339" i="10"/>
  <c r="R339" i="10" s="1"/>
  <c r="Q386" i="10"/>
  <c r="R386" i="10" s="1"/>
  <c r="Q402" i="10"/>
  <c r="R402" i="10" s="1"/>
  <c r="Q544" i="10"/>
  <c r="R544" i="10" s="1"/>
  <c r="Q135" i="10"/>
  <c r="R135" i="10" s="1"/>
  <c r="Q227" i="10"/>
  <c r="R227" i="10" s="1"/>
  <c r="Q244" i="10"/>
  <c r="R244" i="10" s="1"/>
  <c r="Q266" i="10"/>
  <c r="R266" i="10" s="1"/>
  <c r="Q188" i="10"/>
  <c r="R188" i="10" s="1"/>
  <c r="Q605" i="10"/>
  <c r="R605" i="10" s="1"/>
  <c r="Q621" i="10"/>
  <c r="R621" i="10" s="1"/>
  <c r="Q637" i="10"/>
  <c r="R637" i="10" s="1"/>
  <c r="Q653" i="10"/>
  <c r="R653" i="10" s="1"/>
  <c r="Q325" i="10"/>
  <c r="R325" i="10" s="1"/>
  <c r="Q419" i="10"/>
  <c r="R419" i="10" s="1"/>
  <c r="Q451" i="10"/>
  <c r="R451" i="10" s="1"/>
  <c r="Q467" i="10"/>
  <c r="R467" i="10" s="1"/>
  <c r="Q483" i="10"/>
  <c r="R483" i="10" s="1"/>
  <c r="Q624" i="10"/>
  <c r="R624" i="10" s="1"/>
  <c r="Q374" i="10"/>
  <c r="R374" i="10" s="1"/>
  <c r="Q470" i="10"/>
  <c r="R470" i="10" s="1"/>
  <c r="Q329" i="10"/>
  <c r="R329" i="10" s="1"/>
  <c r="Q407" i="10"/>
  <c r="R407" i="10" s="1"/>
  <c r="Q439" i="10"/>
  <c r="R439" i="10" s="1"/>
  <c r="Q68" i="10"/>
  <c r="R68" i="10" s="1"/>
  <c r="Q136" i="10"/>
  <c r="R136" i="10" s="1"/>
  <c r="Q228" i="10"/>
  <c r="R228" i="10" s="1"/>
  <c r="Q245" i="10"/>
  <c r="R245" i="10" s="1"/>
  <c r="Q267" i="10"/>
  <c r="R267" i="10" s="1"/>
  <c r="Q288" i="10"/>
  <c r="R288" i="10" s="1"/>
  <c r="Q307" i="10"/>
  <c r="R307" i="10" s="1"/>
  <c r="Q542" i="10"/>
  <c r="R542" i="10" s="1"/>
  <c r="Q558" i="10"/>
  <c r="R558" i="10" s="1"/>
  <c r="Q606" i="10"/>
  <c r="R606" i="10" s="1"/>
  <c r="Q638" i="10"/>
  <c r="R638" i="10" s="1"/>
  <c r="Q326" i="10"/>
  <c r="R326" i="10" s="1"/>
  <c r="Q404" i="10"/>
  <c r="R404" i="10" s="1"/>
  <c r="Q436" i="10"/>
  <c r="R436" i="10" s="1"/>
  <c r="Q484" i="10"/>
  <c r="R484" i="10" s="1"/>
  <c r="Q154" i="10"/>
  <c r="R154" i="10" s="1"/>
  <c r="Q99" i="10"/>
  <c r="R99" i="10" s="1"/>
  <c r="Q121" i="10"/>
  <c r="R121" i="10" s="1"/>
  <c r="Q174" i="10"/>
  <c r="R174" i="10" s="1"/>
  <c r="Q194" i="10"/>
  <c r="R194" i="10" s="1"/>
  <c r="Q213" i="10"/>
  <c r="R213" i="10" s="1"/>
  <c r="Q268" i="10"/>
  <c r="R268" i="10" s="1"/>
  <c r="Q289" i="10"/>
  <c r="R289" i="10" s="1"/>
  <c r="Q196" i="10"/>
  <c r="R196" i="10" s="1"/>
  <c r="Q283" i="10"/>
  <c r="R283" i="10" s="1"/>
  <c r="Q528" i="10"/>
  <c r="R528" i="10" s="1"/>
  <c r="Q559" i="10"/>
  <c r="R559" i="10" s="1"/>
  <c r="Q607" i="10"/>
  <c r="R607" i="10" s="1"/>
  <c r="Q342" i="10"/>
  <c r="R342" i="10" s="1"/>
  <c r="Q373" i="10"/>
  <c r="R373" i="10" s="1"/>
  <c r="Q389" i="10"/>
  <c r="R389" i="10" s="1"/>
  <c r="Q405" i="10"/>
  <c r="R405" i="10" s="1"/>
  <c r="Q453" i="10"/>
  <c r="R453" i="10" s="1"/>
  <c r="Q485" i="10"/>
  <c r="R485" i="10" s="1"/>
  <c r="P23" i="10"/>
  <c r="P62" i="10"/>
  <c r="P37" i="10"/>
  <c r="P48" i="10"/>
  <c r="P29" i="10"/>
  <c r="P310" i="10"/>
  <c r="P43" i="10"/>
  <c r="P58" i="10"/>
  <c r="P312" i="10"/>
  <c r="P318" i="10"/>
  <c r="P45" i="10"/>
  <c r="P24" i="10"/>
  <c r="P25" i="10"/>
  <c r="P494" i="10"/>
  <c r="P35" i="10"/>
  <c r="P26" i="10"/>
  <c r="P31" i="10"/>
  <c r="P38" i="10"/>
  <c r="P50" i="10"/>
  <c r="P317" i="10"/>
  <c r="P30" i="10"/>
  <c r="P311" i="10"/>
  <c r="P60" i="10"/>
  <c r="P47" i="10"/>
  <c r="P53" i="10"/>
  <c r="P314" i="10"/>
  <c r="Q623" i="10"/>
  <c r="R623" i="10" s="1"/>
  <c r="Q454" i="10"/>
  <c r="R454" i="10" s="1"/>
  <c r="Q396" i="10"/>
  <c r="R396" i="10" s="1"/>
  <c r="R13" i="10"/>
  <c r="P61" i="10"/>
  <c r="P33" i="10"/>
  <c r="P492" i="10"/>
  <c r="P22" i="10"/>
  <c r="Q501" i="10"/>
  <c r="R501" i="10" s="1"/>
  <c r="Q51" i="6"/>
  <c r="Q51" i="7"/>
  <c r="P199" i="7"/>
  <c r="Q4" i="6"/>
  <c r="R4" i="6" s="1"/>
  <c r="P122" i="7"/>
  <c r="P169" i="7"/>
  <c r="P183" i="7"/>
  <c r="P67" i="7"/>
  <c r="Q67" i="7" s="1"/>
  <c r="P186" i="7"/>
  <c r="P90" i="7"/>
  <c r="Q90" i="7" s="1"/>
  <c r="P94" i="7"/>
  <c r="Q94" i="7" s="1"/>
  <c r="P98" i="7"/>
  <c r="P200" i="7"/>
  <c r="P76" i="6"/>
  <c r="P204" i="7"/>
  <c r="Q204" i="7" s="1"/>
  <c r="P62" i="6"/>
  <c r="P70" i="6"/>
  <c r="P78" i="6"/>
  <c r="Q78" i="6" s="1"/>
  <c r="P127" i="7"/>
  <c r="P156" i="7"/>
  <c r="P101" i="7"/>
  <c r="P142" i="7"/>
  <c r="Q142" i="7" s="1"/>
  <c r="P113" i="7"/>
  <c r="P81" i="6"/>
  <c r="P71" i="7"/>
  <c r="P62" i="7"/>
  <c r="P77" i="6"/>
  <c r="P80" i="7"/>
  <c r="P59" i="6"/>
  <c r="Q59" i="6" s="1"/>
  <c r="P63" i="6"/>
  <c r="P89" i="7"/>
  <c r="P64" i="6"/>
  <c r="P66" i="6"/>
  <c r="P75" i="7"/>
  <c r="P77" i="7"/>
  <c r="P178" i="7"/>
  <c r="P79" i="7"/>
  <c r="P102" i="7"/>
  <c r="P114" i="7"/>
  <c r="P68" i="6"/>
  <c r="P69" i="6"/>
  <c r="R55" i="6"/>
  <c r="P116" i="7"/>
  <c r="P71" i="6"/>
  <c r="P75" i="6"/>
  <c r="P80" i="6"/>
  <c r="P76" i="7"/>
  <c r="P119" i="7"/>
  <c r="P60" i="6"/>
  <c r="P35" i="6"/>
  <c r="P82" i="6"/>
  <c r="P110" i="7"/>
  <c r="Q110" i="7" s="1"/>
  <c r="P154" i="7"/>
  <c r="P182" i="7"/>
  <c r="P84" i="7"/>
  <c r="P194" i="7"/>
  <c r="P103" i="7"/>
  <c r="P197" i="7"/>
  <c r="P201" i="7"/>
  <c r="P146" i="7"/>
  <c r="P205" i="7"/>
  <c r="P148" i="7"/>
  <c r="Q9" i="7"/>
  <c r="P118" i="7"/>
  <c r="P74" i="7"/>
  <c r="P87" i="7"/>
  <c r="P170" i="7"/>
  <c r="P191" i="7"/>
  <c r="P66" i="7"/>
  <c r="P131" i="7"/>
  <c r="Q131" i="7" s="1"/>
  <c r="P93" i="7"/>
  <c r="P141" i="7"/>
  <c r="Q141" i="7" s="1"/>
  <c r="P145" i="7"/>
  <c r="P68" i="7"/>
  <c r="P115" i="7"/>
  <c r="Q44" i="7"/>
  <c r="P70" i="7"/>
  <c r="P72" i="7"/>
  <c r="P125" i="7"/>
  <c r="P155" i="7"/>
  <c r="P82" i="7"/>
  <c r="P83" i="7"/>
  <c r="P86" i="7"/>
  <c r="P135" i="7"/>
  <c r="P192" i="7"/>
  <c r="P139" i="7"/>
  <c r="Q190" i="7"/>
  <c r="R190" i="7" s="1"/>
  <c r="P63" i="7"/>
  <c r="P73" i="7"/>
  <c r="P105" i="7"/>
  <c r="P108" i="7"/>
  <c r="Q108" i="7" s="1"/>
  <c r="P202" i="7"/>
  <c r="P117" i="7"/>
  <c r="P126" i="7"/>
  <c r="P88" i="7"/>
  <c r="P64" i="7"/>
  <c r="P176" i="7"/>
  <c r="P124" i="7"/>
  <c r="P121" i="7"/>
  <c r="P181" i="7"/>
  <c r="P133" i="7"/>
  <c r="P104" i="7"/>
  <c r="P123" i="7"/>
  <c r="P134" i="7"/>
  <c r="P91" i="7"/>
  <c r="P95" i="7"/>
  <c r="P193" i="7"/>
  <c r="P171" i="7"/>
  <c r="P128" i="7"/>
  <c r="P81" i="7"/>
  <c r="P132" i="7"/>
  <c r="P185" i="7"/>
  <c r="P85" i="7"/>
  <c r="P136" i="7"/>
  <c r="P138" i="7"/>
  <c r="P99" i="7"/>
  <c r="P195" i="7"/>
  <c r="P140" i="7"/>
  <c r="P198" i="7"/>
  <c r="P106" i="7"/>
  <c r="P107" i="7"/>
  <c r="P109" i="7"/>
  <c r="P144" i="7"/>
  <c r="P111" i="7"/>
  <c r="P203" i="7"/>
  <c r="P112" i="7"/>
  <c r="P149" i="7"/>
  <c r="P150" i="7"/>
  <c r="Q52" i="7"/>
  <c r="P153" i="7"/>
  <c r="P65" i="7"/>
  <c r="P157" i="7"/>
  <c r="P187" i="7"/>
  <c r="P137" i="7"/>
  <c r="P130" i="7"/>
  <c r="P120" i="7"/>
  <c r="P180" i="7"/>
  <c r="P152" i="7"/>
  <c r="P69" i="7"/>
  <c r="P129" i="7"/>
  <c r="P78" i="7"/>
  <c r="P161" i="7"/>
  <c r="P151" i="7"/>
  <c r="P72" i="6"/>
  <c r="P74" i="6"/>
  <c r="P67" i="6"/>
  <c r="P73" i="6"/>
  <c r="P79" i="6"/>
  <c r="P65" i="6"/>
  <c r="Q347" i="1"/>
  <c r="R347" i="1" s="1"/>
  <c r="Q324" i="1"/>
  <c r="R324" i="1" s="1"/>
  <c r="Q278" i="1"/>
  <c r="R278" i="1" s="1"/>
  <c r="Q342" i="1"/>
  <c r="R342" i="1" s="1"/>
  <c r="Q336" i="1"/>
  <c r="R336" i="1" s="1"/>
  <c r="Q319" i="1"/>
  <c r="R319" i="1" s="1"/>
  <c r="Q314" i="1"/>
  <c r="R314" i="1" s="1"/>
  <c r="Q304" i="1"/>
  <c r="R304" i="1" s="1"/>
  <c r="Q302" i="1"/>
  <c r="R302" i="1" s="1"/>
  <c r="Q337" i="1"/>
  <c r="R337" i="1" s="1"/>
  <c r="Q305" i="1"/>
  <c r="R305" i="1" s="1"/>
  <c r="Q320" i="1"/>
  <c r="R320" i="1" s="1"/>
  <c r="Q259" i="1"/>
  <c r="R259" i="1" s="1"/>
  <c r="Q114" i="1"/>
  <c r="Q258" i="1"/>
  <c r="R258" i="1" s="1"/>
  <c r="P148" i="1"/>
  <c r="P317" i="1"/>
  <c r="P143" i="1"/>
  <c r="P117" i="1"/>
  <c r="P147" i="1"/>
  <c r="P150" i="1"/>
  <c r="P155" i="1"/>
  <c r="P173" i="1"/>
  <c r="P284" i="1"/>
  <c r="P280" i="1"/>
  <c r="P141" i="1"/>
  <c r="P157" i="1"/>
  <c r="P294" i="1"/>
  <c r="P160" i="1"/>
  <c r="P163" i="1"/>
  <c r="P221" i="1"/>
  <c r="P329" i="1"/>
  <c r="P177" i="1"/>
  <c r="P326" i="1"/>
  <c r="P144" i="1"/>
  <c r="P303" i="1"/>
  <c r="P153" i="1"/>
  <c r="P208" i="1"/>
  <c r="P151" i="1"/>
  <c r="P185" i="1"/>
  <c r="P149" i="1"/>
  <c r="P205" i="1"/>
  <c r="P209" i="1"/>
  <c r="P112" i="1"/>
  <c r="P133" i="1"/>
  <c r="P220" i="1"/>
  <c r="P171" i="1"/>
  <c r="P161" i="1"/>
  <c r="P164" i="1"/>
  <c r="P174" i="1"/>
  <c r="P159" i="1"/>
  <c r="P169" i="1"/>
  <c r="P183" i="1"/>
  <c r="P119" i="1"/>
  <c r="P279" i="1"/>
  <c r="P286" i="1"/>
  <c r="P273" i="1"/>
  <c r="P204" i="1"/>
  <c r="P211" i="1"/>
  <c r="P136" i="1"/>
  <c r="P215" i="1"/>
  <c r="P216" i="1"/>
  <c r="P226" i="1"/>
  <c r="P316" i="1"/>
  <c r="P135" i="1"/>
  <c r="P340" i="1"/>
  <c r="P202" i="1"/>
  <c r="P132" i="1"/>
  <c r="P154" i="1"/>
  <c r="P172" i="1"/>
  <c r="P131" i="1"/>
  <c r="P288" i="1"/>
  <c r="P165" i="1"/>
  <c r="P175" i="1"/>
  <c r="P245" i="1"/>
  <c r="P281" i="1"/>
  <c r="P152" i="1"/>
  <c r="P243" i="1"/>
  <c r="P290" i="1"/>
  <c r="P219" i="1"/>
  <c r="P188" i="1"/>
  <c r="P321" i="1"/>
  <c r="P178" i="1"/>
  <c r="P330" i="1"/>
  <c r="P142" i="1"/>
  <c r="P176" i="1"/>
  <c r="P134" i="1"/>
  <c r="P180" i="1"/>
  <c r="P276" i="1"/>
  <c r="P210" i="1"/>
  <c r="P227" i="1"/>
  <c r="P146" i="1"/>
  <c r="P248" i="1"/>
  <c r="P145" i="1"/>
  <c r="P285" i="1"/>
  <c r="P222" i="1"/>
  <c r="P231" i="1"/>
  <c r="P207" i="1"/>
  <c r="P244" i="1"/>
  <c r="P225" i="1"/>
  <c r="P311" i="1"/>
  <c r="P247" i="1"/>
  <c r="P325" i="1"/>
  <c r="P335" i="1"/>
  <c r="P121" i="1"/>
  <c r="P203" i="1"/>
  <c r="P240" i="1"/>
  <c r="P246" i="1"/>
  <c r="P332" i="1"/>
  <c r="P214" i="1"/>
  <c r="P275" i="1"/>
  <c r="P239" i="1"/>
  <c r="P224" i="1"/>
  <c r="P230" i="1"/>
  <c r="P123" i="1"/>
  <c r="P140" i="1"/>
  <c r="P296" i="1"/>
  <c r="P167" i="1"/>
  <c r="P130" i="1"/>
  <c r="P184" i="1"/>
  <c r="P218" i="1"/>
  <c r="P166" i="1"/>
  <c r="P162" i="1"/>
  <c r="P168" i="1"/>
  <c r="P241" i="1"/>
  <c r="P212" i="1"/>
  <c r="P206" i="1"/>
  <c r="P213" i="1"/>
  <c r="P223" i="1"/>
  <c r="P170" i="1"/>
  <c r="P182" i="1"/>
  <c r="P217" i="1"/>
  <c r="P129" i="1"/>
  <c r="P277" i="1"/>
  <c r="P156" i="1"/>
  <c r="P158" i="1"/>
  <c r="P274" i="1"/>
  <c r="P124" i="1"/>
  <c r="P287" i="1"/>
  <c r="P306" i="1"/>
  <c r="P122" i="1"/>
  <c r="P187" i="1"/>
  <c r="P249" i="1"/>
  <c r="P193" i="1"/>
  <c r="P242" i="1"/>
  <c r="P111" i="1"/>
  <c r="P232" i="1"/>
  <c r="P233" i="1"/>
  <c r="P237" i="1"/>
  <c r="P228" i="1"/>
  <c r="P251" i="1"/>
  <c r="P116" i="1"/>
  <c r="P33" i="1"/>
  <c r="P128" i="1"/>
  <c r="P262" i="1"/>
  <c r="P115" i="1"/>
  <c r="P238" i="1"/>
  <c r="P260" i="1"/>
  <c r="P265" i="1"/>
  <c r="P195" i="1"/>
  <c r="P110" i="1"/>
  <c r="P13" i="1"/>
  <c r="P30" i="1"/>
  <c r="P191" i="1"/>
  <c r="P229" i="1"/>
  <c r="P196" i="1"/>
  <c r="P139" i="1"/>
  <c r="P194" i="1"/>
  <c r="P269" i="1"/>
  <c r="P190" i="1"/>
  <c r="P15" i="1"/>
  <c r="P118" i="1"/>
  <c r="P235" i="1"/>
  <c r="P198" i="1"/>
  <c r="P120" i="1"/>
  <c r="P127" i="1"/>
  <c r="P236" i="1"/>
  <c r="P197" i="1"/>
  <c r="P137" i="1"/>
  <c r="P138" i="1"/>
  <c r="P270" i="1"/>
  <c r="P186" i="1"/>
  <c r="P126" i="1"/>
  <c r="P125" i="1"/>
  <c r="P189" i="1"/>
  <c r="P179" i="1"/>
  <c r="P199" i="1"/>
  <c r="P200" i="1"/>
  <c r="P31" i="1"/>
  <c r="P181" i="1"/>
  <c r="P113" i="1"/>
  <c r="P192" i="1"/>
  <c r="P234" i="1"/>
  <c r="P201" i="1"/>
  <c r="R67" i="11" l="1"/>
  <c r="R91" i="11"/>
  <c r="R79" i="11"/>
  <c r="R82" i="11"/>
  <c r="R42" i="6"/>
  <c r="Q29" i="6"/>
  <c r="R29" i="6" s="1"/>
  <c r="Q25" i="6"/>
  <c r="R25" i="6" s="1"/>
  <c r="R50" i="6"/>
  <c r="Q20" i="6"/>
  <c r="R20" i="6" s="1"/>
  <c r="Q21" i="6"/>
  <c r="R21" i="6" s="1"/>
  <c r="Q52" i="6"/>
  <c r="R52" i="6" s="1"/>
  <c r="R51" i="6"/>
  <c r="Q30" i="6"/>
  <c r="R30" i="6" s="1"/>
  <c r="R49" i="6"/>
  <c r="R46" i="6"/>
  <c r="Q10" i="6"/>
  <c r="R10" i="6" s="1"/>
  <c r="R41" i="6"/>
  <c r="Q27" i="6"/>
  <c r="R27" i="6" s="1"/>
  <c r="Q12" i="6"/>
  <c r="R12" i="6" s="1"/>
  <c r="Q32" i="6"/>
  <c r="R32" i="6" s="1"/>
  <c r="Q26" i="6"/>
  <c r="R26" i="6" s="1"/>
  <c r="R40" i="6"/>
  <c r="Q35" i="6"/>
  <c r="R35" i="6" s="1"/>
  <c r="R48" i="6"/>
  <c r="R47" i="6"/>
  <c r="R38" i="6"/>
  <c r="R39" i="6"/>
  <c r="Q16" i="6"/>
  <c r="R16" i="6" s="1"/>
  <c r="Q34" i="6"/>
  <c r="R34" i="6" s="1"/>
  <c r="R45" i="6"/>
  <c r="Q82" i="6"/>
  <c r="R82" i="6" s="1"/>
  <c r="Q68" i="6"/>
  <c r="R68" i="6" s="1"/>
  <c r="R57" i="6"/>
  <c r="R17" i="6"/>
  <c r="Q22" i="6"/>
  <c r="R22" i="6" s="1"/>
  <c r="Q63" i="6"/>
  <c r="R63" i="6" s="1"/>
  <c r="R59" i="6"/>
  <c r="R78" i="6"/>
  <c r="R18" i="6"/>
  <c r="Q60" i="6"/>
  <c r="R60" i="6" s="1"/>
  <c r="Q70" i="6"/>
  <c r="R70" i="6" s="1"/>
  <c r="R15" i="6"/>
  <c r="Q69" i="6"/>
  <c r="R69" i="6" s="1"/>
  <c r="Q77" i="6"/>
  <c r="R77" i="6" s="1"/>
  <c r="Q62" i="6"/>
  <c r="R62" i="6" s="1"/>
  <c r="Q80" i="6"/>
  <c r="R80" i="6" s="1"/>
  <c r="Q75" i="6"/>
  <c r="R75" i="6" s="1"/>
  <c r="Q66" i="6"/>
  <c r="R66" i="6" s="1"/>
  <c r="Q81" i="6"/>
  <c r="R81" i="6" s="1"/>
  <c r="R19" i="6"/>
  <c r="Q71" i="6"/>
  <c r="R71" i="6" s="1"/>
  <c r="Q64" i="6"/>
  <c r="R64" i="6" s="1"/>
  <c r="Q76" i="6"/>
  <c r="R76" i="6" s="1"/>
  <c r="Q58" i="6"/>
  <c r="R58" i="6" s="1"/>
  <c r="R78" i="11"/>
  <c r="R56" i="11"/>
  <c r="R26" i="11"/>
  <c r="R81" i="11"/>
  <c r="R21" i="11"/>
  <c r="Q27" i="9"/>
  <c r="R27" i="9" s="1"/>
  <c r="Q36" i="6"/>
  <c r="R36" i="6" s="1"/>
  <c r="R44" i="6"/>
  <c r="Q3" i="6"/>
  <c r="R3" i="6" s="1"/>
  <c r="Q7" i="1"/>
  <c r="R58" i="11"/>
  <c r="R23" i="11"/>
  <c r="Q37" i="11"/>
  <c r="R37" i="11" s="1"/>
  <c r="R62" i="11"/>
  <c r="R84" i="11"/>
  <c r="R65" i="11"/>
  <c r="R20" i="11"/>
  <c r="Q88" i="11"/>
  <c r="R88" i="11" s="1"/>
  <c r="R70" i="11"/>
  <c r="R15" i="11"/>
  <c r="R74" i="11"/>
  <c r="R18" i="11"/>
  <c r="Q106" i="11"/>
  <c r="R106" i="11" s="1"/>
  <c r="R76" i="11"/>
  <c r="R29" i="11"/>
  <c r="R52" i="11"/>
  <c r="R24" i="11"/>
  <c r="R31" i="11"/>
  <c r="Q9" i="11"/>
  <c r="R9" i="11" s="1"/>
  <c r="Q86" i="11"/>
  <c r="R86" i="11" s="1"/>
  <c r="Q109" i="11"/>
  <c r="R109" i="11" s="1"/>
  <c r="Q116" i="11"/>
  <c r="R116" i="11" s="1"/>
  <c r="Q126" i="11"/>
  <c r="R126" i="11" s="1"/>
  <c r="R63" i="11"/>
  <c r="Q110" i="11"/>
  <c r="R110" i="11" s="1"/>
  <c r="Q108" i="11"/>
  <c r="R108" i="11" s="1"/>
  <c r="Q11" i="11"/>
  <c r="R11" i="11" s="1"/>
  <c r="R22" i="11"/>
  <c r="R17" i="11"/>
  <c r="Q89" i="11"/>
  <c r="R89" i="11" s="1"/>
  <c r="R13" i="11"/>
  <c r="Q125" i="11"/>
  <c r="R125" i="11" s="1"/>
  <c r="Q115" i="11"/>
  <c r="R115" i="11" s="1"/>
  <c r="R30" i="11"/>
  <c r="R64" i="11"/>
  <c r="R75" i="11"/>
  <c r="R55" i="11"/>
  <c r="Q85" i="11"/>
  <c r="R85" i="11" s="1"/>
  <c r="R59" i="11"/>
  <c r="Q87" i="11"/>
  <c r="R87" i="11" s="1"/>
  <c r="R80" i="11"/>
  <c r="R57" i="11"/>
  <c r="R71" i="11"/>
  <c r="R69" i="11"/>
  <c r="R53" i="11"/>
  <c r="R66" i="11"/>
  <c r="Q33" i="10"/>
  <c r="R33" i="10" s="1"/>
  <c r="Q61" i="10"/>
  <c r="R61" i="10" s="1"/>
  <c r="Q50" i="10"/>
  <c r="R50" i="10" s="1"/>
  <c r="Q48" i="10"/>
  <c r="R48" i="10" s="1"/>
  <c r="Q40" i="10"/>
  <c r="R40" i="10" s="1"/>
  <c r="Q63" i="10"/>
  <c r="R63" i="10" s="1"/>
  <c r="Q321" i="10"/>
  <c r="R321" i="10" s="1"/>
  <c r="Q38" i="10"/>
  <c r="R38" i="10" s="1"/>
  <c r="Q37" i="10"/>
  <c r="R37" i="10" s="1"/>
  <c r="Q496" i="10"/>
  <c r="R496" i="10" s="1"/>
  <c r="Q39" i="10"/>
  <c r="R39" i="10" s="1"/>
  <c r="Q498" i="10"/>
  <c r="R498" i="10" s="1"/>
  <c r="R59" i="10"/>
  <c r="Q4" i="10"/>
  <c r="R4" i="10" s="1"/>
  <c r="Q36" i="10"/>
  <c r="R36" i="10" s="1"/>
  <c r="Q23" i="10"/>
  <c r="R23" i="10" s="1"/>
  <c r="Q8" i="10"/>
  <c r="R8" i="10" s="1"/>
  <c r="Q34" i="10"/>
  <c r="R34" i="10" s="1"/>
  <c r="Q55" i="10"/>
  <c r="R55" i="10" s="1"/>
  <c r="Q46" i="10"/>
  <c r="R46" i="10" s="1"/>
  <c r="Q11" i="10"/>
  <c r="R11" i="10" s="1"/>
  <c r="Q32" i="10"/>
  <c r="R32" i="10" s="1"/>
  <c r="Q54" i="10"/>
  <c r="R54" i="10" s="1"/>
  <c r="Q27" i="10"/>
  <c r="R27" i="10" s="1"/>
  <c r="Q29" i="10"/>
  <c r="R29" i="10" s="1"/>
  <c r="Q18" i="10"/>
  <c r="R18" i="10" s="1"/>
  <c r="Q51" i="10"/>
  <c r="R51" i="10" s="1"/>
  <c r="Q315" i="10"/>
  <c r="R315" i="10" s="1"/>
  <c r="Q9" i="10"/>
  <c r="R9" i="10" s="1"/>
  <c r="Q42" i="10"/>
  <c r="R42" i="10" s="1"/>
  <c r="Q31" i="10"/>
  <c r="R31" i="10" s="1"/>
  <c r="Q314" i="10"/>
  <c r="R314" i="10" s="1"/>
  <c r="Q494" i="10"/>
  <c r="R494" i="10" s="1"/>
  <c r="Q28" i="10"/>
  <c r="R28" i="10" s="1"/>
  <c r="Q313" i="10"/>
  <c r="R313" i="10" s="1"/>
  <c r="Q500" i="10"/>
  <c r="R500" i="10" s="1"/>
  <c r="Q493" i="10"/>
  <c r="R493" i="10" s="1"/>
  <c r="Q317" i="10"/>
  <c r="R317" i="10" s="1"/>
  <c r="R21" i="10"/>
  <c r="Q25" i="10"/>
  <c r="R25" i="10" s="1"/>
  <c r="Q7" i="10"/>
  <c r="R7" i="10" s="1"/>
  <c r="Q44" i="10"/>
  <c r="R44" i="10" s="1"/>
  <c r="Q41" i="10"/>
  <c r="R41" i="10" s="1"/>
  <c r="Q16" i="10"/>
  <c r="R16" i="10" s="1"/>
  <c r="Q53" i="10"/>
  <c r="R53" i="10" s="1"/>
  <c r="Q24" i="10"/>
  <c r="R24" i="10" s="1"/>
  <c r="Q499" i="10"/>
  <c r="R499" i="10" s="1"/>
  <c r="Q320" i="10"/>
  <c r="R320" i="10" s="1"/>
  <c r="Q17" i="10"/>
  <c r="R17" i="10" s="1"/>
  <c r="Q47" i="10"/>
  <c r="R47" i="10" s="1"/>
  <c r="Q45" i="10"/>
  <c r="R45" i="10" s="1"/>
  <c r="Q57" i="10"/>
  <c r="R57" i="10" s="1"/>
  <c r="Q64" i="10"/>
  <c r="R64" i="10" s="1"/>
  <c r="R12" i="10"/>
  <c r="Q6" i="10"/>
  <c r="R6" i="10" s="1"/>
  <c r="Q318" i="10"/>
  <c r="R318" i="10" s="1"/>
  <c r="Q56" i="10"/>
  <c r="R56" i="10" s="1"/>
  <c r="Q20" i="10"/>
  <c r="R20" i="10" s="1"/>
  <c r="Q22" i="10"/>
  <c r="R22" i="10" s="1"/>
  <c r="Q60" i="10"/>
  <c r="R60" i="10" s="1"/>
  <c r="Q312" i="10"/>
  <c r="R312" i="10" s="1"/>
  <c r="Q19" i="10"/>
  <c r="R19" i="10" s="1"/>
  <c r="Q497" i="10"/>
  <c r="R497" i="10" s="1"/>
  <c r="Q492" i="10"/>
  <c r="R492" i="10" s="1"/>
  <c r="Q316" i="10"/>
  <c r="R316" i="10" s="1"/>
  <c r="Q319" i="10"/>
  <c r="R319" i="10" s="1"/>
  <c r="Q35" i="10"/>
  <c r="R35" i="10" s="1"/>
  <c r="Q43" i="10"/>
  <c r="R43" i="10" s="1"/>
  <c r="Q49" i="10"/>
  <c r="R49" i="10" s="1"/>
  <c r="Q62" i="10"/>
  <c r="R62" i="10" s="1"/>
  <c r="Q311" i="10"/>
  <c r="R311" i="10" s="1"/>
  <c r="Q58" i="10"/>
  <c r="R58" i="10" s="1"/>
  <c r="Q10" i="10"/>
  <c r="R10" i="10" s="1"/>
  <c r="Q52" i="10"/>
  <c r="R52" i="10" s="1"/>
  <c r="Q30" i="10"/>
  <c r="R30" i="10" s="1"/>
  <c r="Q310" i="10"/>
  <c r="R310" i="10" s="1"/>
  <c r="Q495" i="10"/>
  <c r="R495" i="10" s="1"/>
  <c r="Q125" i="7"/>
  <c r="R125" i="7" s="1"/>
  <c r="Q191" i="7"/>
  <c r="R191" i="7" s="1"/>
  <c r="Q197" i="7"/>
  <c r="R197" i="7" s="1"/>
  <c r="R204" i="7"/>
  <c r="R96" i="7"/>
  <c r="Q193" i="7"/>
  <c r="R193" i="7" s="1"/>
  <c r="Q106" i="7"/>
  <c r="R106" i="7" s="1"/>
  <c r="Q91" i="7"/>
  <c r="R91" i="7" s="1"/>
  <c r="Q46" i="7"/>
  <c r="R46" i="7" s="1"/>
  <c r="Q72" i="7"/>
  <c r="R72" i="7" s="1"/>
  <c r="Q170" i="7"/>
  <c r="R170" i="7" s="1"/>
  <c r="Q103" i="7"/>
  <c r="R103" i="7" s="1"/>
  <c r="R92" i="7"/>
  <c r="Q66" i="7"/>
  <c r="R66" i="7" s="1"/>
  <c r="Q117" i="7"/>
  <c r="R117" i="7" s="1"/>
  <c r="Q54" i="7"/>
  <c r="R54" i="7" s="1"/>
  <c r="Q198" i="7"/>
  <c r="R198" i="7" s="1"/>
  <c r="Q134" i="7"/>
  <c r="R134" i="7" s="1"/>
  <c r="Q202" i="7"/>
  <c r="R202" i="7" s="1"/>
  <c r="Q70" i="7"/>
  <c r="R70" i="7" s="1"/>
  <c r="Q8" i="7"/>
  <c r="R8" i="7" s="1"/>
  <c r="Q194" i="7"/>
  <c r="R194" i="7" s="1"/>
  <c r="R48" i="7"/>
  <c r="Q62" i="7"/>
  <c r="R62" i="7" s="1"/>
  <c r="Q187" i="7"/>
  <c r="R187" i="7" s="1"/>
  <c r="Q123" i="7"/>
  <c r="R123" i="7" s="1"/>
  <c r="R108" i="7"/>
  <c r="R44" i="7"/>
  <c r="Q58" i="7"/>
  <c r="R58" i="7" s="1"/>
  <c r="Q84" i="7"/>
  <c r="R84" i="7" s="1"/>
  <c r="Q116" i="7"/>
  <c r="R116" i="7" s="1"/>
  <c r="Q89" i="7"/>
  <c r="R89" i="7" s="1"/>
  <c r="Q199" i="7"/>
  <c r="R199" i="7" s="1"/>
  <c r="R147" i="7"/>
  <c r="Q12" i="7"/>
  <c r="R12" i="7" s="1"/>
  <c r="Q95" i="7"/>
  <c r="R95" i="7" s="1"/>
  <c r="Q157" i="7"/>
  <c r="R157" i="7" s="1"/>
  <c r="Q195" i="7"/>
  <c r="R195" i="7" s="1"/>
  <c r="R13" i="7"/>
  <c r="Q105" i="7"/>
  <c r="R105" i="7" s="1"/>
  <c r="Q115" i="7"/>
  <c r="R115" i="7" s="1"/>
  <c r="Q6" i="7"/>
  <c r="R6" i="7" s="1"/>
  <c r="Q182" i="7"/>
  <c r="R182" i="7" s="1"/>
  <c r="R206" i="7"/>
  <c r="Q201" i="7"/>
  <c r="R201" i="7" s="1"/>
  <c r="Q65" i="7"/>
  <c r="R65" i="7" s="1"/>
  <c r="Q68" i="7"/>
  <c r="R68" i="7" s="1"/>
  <c r="Q87" i="7"/>
  <c r="R87" i="7" s="1"/>
  <c r="Q154" i="7"/>
  <c r="R154" i="7" s="1"/>
  <c r="Q113" i="7"/>
  <c r="R113" i="7" s="1"/>
  <c r="R51" i="7"/>
  <c r="Q14" i="7"/>
  <c r="R14" i="7" s="1"/>
  <c r="Q169" i="7"/>
  <c r="R169" i="7" s="1"/>
  <c r="Q99" i="7"/>
  <c r="R99" i="7" s="1"/>
  <c r="Q153" i="7"/>
  <c r="R153" i="7" s="1"/>
  <c r="Q138" i="7"/>
  <c r="R138" i="7" s="1"/>
  <c r="Q133" i="7"/>
  <c r="R133" i="7" s="1"/>
  <c r="Q57" i="7"/>
  <c r="R57" i="7" s="1"/>
  <c r="Q74" i="7"/>
  <c r="R74" i="7" s="1"/>
  <c r="Q61" i="7"/>
  <c r="R61" i="7" s="1"/>
  <c r="R142" i="7"/>
  <c r="Q208" i="7"/>
  <c r="R208" i="7" s="1"/>
  <c r="Q75" i="7"/>
  <c r="R75" i="7" s="1"/>
  <c r="Q107" i="7"/>
  <c r="R107" i="7" s="1"/>
  <c r="Q73" i="7"/>
  <c r="R73" i="7" s="1"/>
  <c r="Q71" i="7"/>
  <c r="R71" i="7" s="1"/>
  <c r="R52" i="7"/>
  <c r="Q136" i="7"/>
  <c r="R136" i="7" s="1"/>
  <c r="Q181" i="7"/>
  <c r="R181" i="7" s="1"/>
  <c r="Q49" i="7"/>
  <c r="R49" i="7" s="1"/>
  <c r="Q118" i="7"/>
  <c r="R118" i="7" s="1"/>
  <c r="R110" i="7"/>
  <c r="Q101" i="7"/>
  <c r="R101" i="7" s="1"/>
  <c r="Q97" i="7"/>
  <c r="R97" i="7" s="1"/>
  <c r="Q139" i="7"/>
  <c r="R139" i="7" s="1"/>
  <c r="Q4" i="7"/>
  <c r="R4" i="7" s="1"/>
  <c r="Q156" i="7"/>
  <c r="R156" i="7" s="1"/>
  <c r="Q200" i="7"/>
  <c r="R200" i="7" s="1"/>
  <c r="Q188" i="7"/>
  <c r="R188" i="7" s="1"/>
  <c r="Q155" i="7"/>
  <c r="R155" i="7" s="1"/>
  <c r="R100" i="7"/>
  <c r="R9" i="7"/>
  <c r="Q150" i="7"/>
  <c r="R150" i="7" s="1"/>
  <c r="Q185" i="7"/>
  <c r="R185" i="7" s="1"/>
  <c r="Q124" i="7"/>
  <c r="R124" i="7" s="1"/>
  <c r="Q192" i="7"/>
  <c r="R192" i="7" s="1"/>
  <c r="Q50" i="7"/>
  <c r="R50" i="7" s="1"/>
  <c r="Q59" i="7"/>
  <c r="R59" i="7" s="1"/>
  <c r="Q127" i="7"/>
  <c r="R127" i="7" s="1"/>
  <c r="Q98" i="7"/>
  <c r="R98" i="7" s="1"/>
  <c r="Q126" i="7"/>
  <c r="R126" i="7" s="1"/>
  <c r="Q132" i="7"/>
  <c r="R132" i="7" s="1"/>
  <c r="Q53" i="7"/>
  <c r="R53" i="7" s="1"/>
  <c r="Q135" i="7"/>
  <c r="R135" i="7" s="1"/>
  <c r="Q60" i="7"/>
  <c r="R60" i="7" s="1"/>
  <c r="R207" i="7"/>
  <c r="Q114" i="7"/>
  <c r="R114" i="7" s="1"/>
  <c r="Q17" i="7"/>
  <c r="R17" i="7" s="1"/>
  <c r="R94" i="7"/>
  <c r="Q85" i="7"/>
  <c r="R85" i="7" s="1"/>
  <c r="Q56" i="7"/>
  <c r="R56" i="7" s="1"/>
  <c r="Q112" i="7"/>
  <c r="R112" i="7" s="1"/>
  <c r="Q81" i="7"/>
  <c r="R81" i="7" s="1"/>
  <c r="Q55" i="7"/>
  <c r="R55" i="7" s="1"/>
  <c r="Q86" i="7"/>
  <c r="R86" i="7" s="1"/>
  <c r="Q145" i="7"/>
  <c r="R145" i="7" s="1"/>
  <c r="Q18" i="7"/>
  <c r="R18" i="7" s="1"/>
  <c r="Q102" i="7"/>
  <c r="R102" i="7" s="1"/>
  <c r="R90" i="7"/>
  <c r="Q143" i="7"/>
  <c r="R143" i="7" s="1"/>
  <c r="Q10" i="7"/>
  <c r="R10" i="7" s="1"/>
  <c r="Q203" i="7"/>
  <c r="R203" i="7" s="1"/>
  <c r="Q128" i="7"/>
  <c r="R128" i="7" s="1"/>
  <c r="Q176" i="7"/>
  <c r="R176" i="7" s="1"/>
  <c r="Q5" i="7"/>
  <c r="R5" i="7" s="1"/>
  <c r="R141" i="7"/>
  <c r="Q148" i="7"/>
  <c r="R148" i="7" s="1"/>
  <c r="Q79" i="7"/>
  <c r="R79" i="7" s="1"/>
  <c r="R15" i="7"/>
  <c r="Q186" i="7"/>
  <c r="R186" i="7" s="1"/>
  <c r="R196" i="7"/>
  <c r="Q109" i="7"/>
  <c r="R109" i="7" s="1"/>
  <c r="Q149" i="7"/>
  <c r="R149" i="7" s="1"/>
  <c r="Q111" i="7"/>
  <c r="R111" i="7" s="1"/>
  <c r="Q171" i="7"/>
  <c r="R171" i="7" s="1"/>
  <c r="Q64" i="7"/>
  <c r="R64" i="7" s="1"/>
  <c r="Q83" i="7"/>
  <c r="R83" i="7" s="1"/>
  <c r="Q205" i="7"/>
  <c r="R205" i="7" s="1"/>
  <c r="Q119" i="7"/>
  <c r="R119" i="7" s="1"/>
  <c r="Q178" i="7"/>
  <c r="R178" i="7" s="1"/>
  <c r="Q80" i="7"/>
  <c r="R80" i="7" s="1"/>
  <c r="R67" i="7"/>
  <c r="Q121" i="7"/>
  <c r="R121" i="7" s="1"/>
  <c r="Q122" i="7"/>
  <c r="R122" i="7" s="1"/>
  <c r="Q144" i="7"/>
  <c r="R144" i="7" s="1"/>
  <c r="Q45" i="7"/>
  <c r="R45" i="7" s="1"/>
  <c r="Q88" i="7"/>
  <c r="R88" i="7" s="1"/>
  <c r="Q82" i="7"/>
  <c r="R82" i="7" s="1"/>
  <c r="R131" i="7"/>
  <c r="Q146" i="7"/>
  <c r="R146" i="7" s="1"/>
  <c r="Q76" i="7"/>
  <c r="R76" i="7" s="1"/>
  <c r="Q77" i="7"/>
  <c r="R77" i="7" s="1"/>
  <c r="Q183" i="7"/>
  <c r="R183" i="7" s="1"/>
  <c r="R16" i="7"/>
  <c r="Q26" i="10"/>
  <c r="R26" i="10" s="1"/>
  <c r="Q2" i="7"/>
  <c r="R2" i="7" s="1"/>
  <c r="Q63" i="7"/>
  <c r="R63" i="7" s="1"/>
  <c r="Q93" i="7"/>
  <c r="R93" i="7" s="1"/>
  <c r="Q137" i="7"/>
  <c r="R137" i="7" s="1"/>
  <c r="Q140" i="7"/>
  <c r="R140" i="7" s="1"/>
  <c r="Q104" i="7"/>
  <c r="R104" i="7" s="1"/>
  <c r="Q3" i="7"/>
  <c r="R3" i="7" s="1"/>
  <c r="Q151" i="7"/>
  <c r="R151" i="7" s="1"/>
  <c r="Q47" i="7"/>
  <c r="R47" i="7" s="1"/>
  <c r="Q78" i="7"/>
  <c r="R78" i="7" s="1"/>
  <c r="Q120" i="7"/>
  <c r="R120" i="7" s="1"/>
  <c r="Q180" i="7"/>
  <c r="R180" i="7" s="1"/>
  <c r="Q129" i="7"/>
  <c r="R129" i="7" s="1"/>
  <c r="Q130" i="7"/>
  <c r="R130" i="7" s="1"/>
  <c r="Q152" i="7"/>
  <c r="R152" i="7" s="1"/>
  <c r="Q69" i="7"/>
  <c r="R69" i="7" s="1"/>
  <c r="Q161" i="7"/>
  <c r="R161" i="7" s="1"/>
  <c r="R43" i="6"/>
  <c r="Q73" i="6"/>
  <c r="R73" i="6" s="1"/>
  <c r="R14" i="6"/>
  <c r="Q67" i="6"/>
  <c r="R67" i="6" s="1"/>
  <c r="Q74" i="6"/>
  <c r="R74" i="6" s="1"/>
  <c r="Q72" i="6"/>
  <c r="R72" i="6" s="1"/>
  <c r="R53" i="6"/>
  <c r="Q65" i="6"/>
  <c r="R65" i="6" s="1"/>
  <c r="R37" i="6"/>
  <c r="Q79" i="6"/>
  <c r="R79" i="6" s="1"/>
  <c r="Q32" i="1"/>
  <c r="Q139" i="1"/>
  <c r="R139" i="1" s="1"/>
  <c r="Q89" i="1"/>
  <c r="R89" i="1" s="1"/>
  <c r="Q77" i="1"/>
  <c r="Q265" i="1"/>
  <c r="R265" i="1" s="1"/>
  <c r="Q128" i="1"/>
  <c r="R128" i="1" s="1"/>
  <c r="Q71" i="1"/>
  <c r="Q287" i="1"/>
  <c r="R287" i="1" s="1"/>
  <c r="Q206" i="1"/>
  <c r="R206" i="1" s="1"/>
  <c r="Q296" i="1"/>
  <c r="R296" i="1" s="1"/>
  <c r="Q311" i="1"/>
  <c r="R311" i="1" s="1"/>
  <c r="Q176" i="1"/>
  <c r="R176" i="1" s="1"/>
  <c r="Q131" i="1"/>
  <c r="R131" i="1" s="1"/>
  <c r="Q10" i="1"/>
  <c r="Q133" i="1"/>
  <c r="R133" i="1" s="1"/>
  <c r="Q329" i="1"/>
  <c r="R329" i="1" s="1"/>
  <c r="Q104" i="1"/>
  <c r="Q59" i="1"/>
  <c r="Q167" i="1"/>
  <c r="R167" i="1" s="1"/>
  <c r="Q212" i="1"/>
  <c r="R212" i="1" s="1"/>
  <c r="Q225" i="1"/>
  <c r="R225" i="1" s="1"/>
  <c r="Q142" i="1"/>
  <c r="R142" i="1" s="1"/>
  <c r="Q172" i="1"/>
  <c r="R172" i="1" s="1"/>
  <c r="Q286" i="1"/>
  <c r="R286" i="1" s="1"/>
  <c r="Q112" i="1"/>
  <c r="Q221" i="1"/>
  <c r="R221" i="1" s="1"/>
  <c r="Q117" i="1"/>
  <c r="R117" i="1" s="1"/>
  <c r="Q97" i="1"/>
  <c r="Q14" i="1"/>
  <c r="R14" i="1" s="1"/>
  <c r="Q244" i="1"/>
  <c r="R244" i="1" s="1"/>
  <c r="Q154" i="1"/>
  <c r="R154" i="1" s="1"/>
  <c r="Q35" i="1"/>
  <c r="Q209" i="1"/>
  <c r="R209" i="1" s="1"/>
  <c r="Q27" i="1"/>
  <c r="Q143" i="1"/>
  <c r="R143" i="1" s="1"/>
  <c r="Q247" i="1"/>
  <c r="R247" i="1" s="1"/>
  <c r="Q2" i="1"/>
  <c r="R2" i="1" s="1"/>
  <c r="Q106" i="1"/>
  <c r="R106" i="1" s="1"/>
  <c r="Q230" i="1"/>
  <c r="R230" i="1" s="1"/>
  <c r="Q207" i="1"/>
  <c r="R207" i="1" s="1"/>
  <c r="Q330" i="1"/>
  <c r="R330" i="1" s="1"/>
  <c r="Q132" i="1"/>
  <c r="R132" i="1" s="1"/>
  <c r="Q279" i="1"/>
  <c r="R279" i="1" s="1"/>
  <c r="Q205" i="1"/>
  <c r="R205" i="1" s="1"/>
  <c r="Q163" i="1"/>
  <c r="R163" i="1" s="1"/>
  <c r="Q317" i="1"/>
  <c r="R317" i="1" s="1"/>
  <c r="Q41" i="1"/>
  <c r="Q213" i="1"/>
  <c r="R213" i="1" s="1"/>
  <c r="Q201" i="1"/>
  <c r="R201" i="1" s="1"/>
  <c r="Q189" i="1"/>
  <c r="R189" i="1" s="1"/>
  <c r="Q58" i="1"/>
  <c r="R58" i="1" s="1"/>
  <c r="Q118" i="1"/>
  <c r="R118" i="1" s="1"/>
  <c r="Q229" i="1"/>
  <c r="R229" i="1" s="1"/>
  <c r="Q42" i="1"/>
  <c r="R42" i="1" s="1"/>
  <c r="Q251" i="1"/>
  <c r="R251" i="1" s="1"/>
  <c r="Q75" i="1"/>
  <c r="Q18" i="1"/>
  <c r="Q68" i="1"/>
  <c r="Q224" i="1"/>
  <c r="R224" i="1" s="1"/>
  <c r="Q24" i="1"/>
  <c r="Q178" i="1"/>
  <c r="R178" i="1" s="1"/>
  <c r="Q23" i="1"/>
  <c r="Q119" i="1"/>
  <c r="R119" i="1" s="1"/>
  <c r="Q149" i="1"/>
  <c r="R149" i="1" s="1"/>
  <c r="Q148" i="1"/>
  <c r="R148" i="1" s="1"/>
  <c r="Q56" i="1"/>
  <c r="Q306" i="1"/>
  <c r="R306" i="1" s="1"/>
  <c r="Q140" i="1"/>
  <c r="R140" i="1" s="1"/>
  <c r="Q57" i="1"/>
  <c r="R57" i="1" s="1"/>
  <c r="Q94" i="1"/>
  <c r="Q8" i="1"/>
  <c r="Q9" i="1"/>
  <c r="Q47" i="1"/>
  <c r="Q40" i="1"/>
  <c r="Q193" i="1"/>
  <c r="R193" i="1" s="1"/>
  <c r="Q158" i="1"/>
  <c r="R158" i="1" s="1"/>
  <c r="Q48" i="1"/>
  <c r="R48" i="1" s="1"/>
  <c r="Q239" i="1"/>
  <c r="R239" i="1" s="1"/>
  <c r="Q231" i="1"/>
  <c r="R231" i="1" s="1"/>
  <c r="Q321" i="1"/>
  <c r="R321" i="1" s="1"/>
  <c r="Q202" i="1"/>
  <c r="R202" i="1" s="1"/>
  <c r="Q183" i="1"/>
  <c r="R183" i="1" s="1"/>
  <c r="Q185" i="1"/>
  <c r="R185" i="1" s="1"/>
  <c r="Q160" i="1"/>
  <c r="R160" i="1" s="1"/>
  <c r="Q111" i="1"/>
  <c r="R111" i="1" s="1"/>
  <c r="Q235" i="1"/>
  <c r="R235" i="1" s="1"/>
  <c r="Q61" i="1"/>
  <c r="Q191" i="1"/>
  <c r="R191" i="1" s="1"/>
  <c r="Q100" i="1"/>
  <c r="Q105" i="1"/>
  <c r="R105" i="1" s="1"/>
  <c r="Q156" i="1"/>
  <c r="R156" i="1" s="1"/>
  <c r="Q29" i="1"/>
  <c r="Q275" i="1"/>
  <c r="R275" i="1" s="1"/>
  <c r="Q222" i="1"/>
  <c r="R222" i="1" s="1"/>
  <c r="Q188" i="1"/>
  <c r="R188" i="1" s="1"/>
  <c r="Q340" i="1"/>
  <c r="R340" i="1" s="1"/>
  <c r="Q169" i="1"/>
  <c r="R169" i="1" s="1"/>
  <c r="Q63" i="1"/>
  <c r="R63" i="1" s="1"/>
  <c r="Q294" i="1"/>
  <c r="R294" i="1" s="1"/>
  <c r="Q220" i="1"/>
  <c r="R220" i="1" s="1"/>
  <c r="Q25" i="1"/>
  <c r="Q116" i="1"/>
  <c r="R116" i="1" s="1"/>
  <c r="Q249" i="1"/>
  <c r="R249" i="1" s="1"/>
  <c r="Q214" i="1"/>
  <c r="R214" i="1" s="1"/>
  <c r="Q285" i="1"/>
  <c r="R285" i="1" s="1"/>
  <c r="Q219" i="1"/>
  <c r="R219" i="1" s="1"/>
  <c r="Q135" i="1"/>
  <c r="R135" i="1" s="1"/>
  <c r="Q52" i="1"/>
  <c r="Q70" i="1"/>
  <c r="Q157" i="1"/>
  <c r="R157" i="1" s="1"/>
  <c r="Q288" i="1"/>
  <c r="R288" i="1" s="1"/>
  <c r="Q12" i="1"/>
  <c r="Q241" i="1"/>
  <c r="R241" i="1" s="1"/>
  <c r="Q81" i="1"/>
  <c r="R81" i="1" s="1"/>
  <c r="Q93" i="1"/>
  <c r="R93" i="1" s="1"/>
  <c r="Q39" i="1"/>
  <c r="R39" i="1" s="1"/>
  <c r="Q181" i="1"/>
  <c r="R181" i="1" s="1"/>
  <c r="Q260" i="1"/>
  <c r="R260" i="1" s="1"/>
  <c r="Q22" i="1"/>
  <c r="R22" i="1" s="1"/>
  <c r="Q21" i="1"/>
  <c r="Q197" i="1"/>
  <c r="R197" i="1" s="1"/>
  <c r="Q107" i="1"/>
  <c r="Q11" i="1"/>
  <c r="Q99" i="1"/>
  <c r="Q38" i="1"/>
  <c r="Q129" i="1"/>
  <c r="R129" i="1" s="1"/>
  <c r="Q162" i="1"/>
  <c r="R162" i="1" s="1"/>
  <c r="Q332" i="1"/>
  <c r="R332" i="1" s="1"/>
  <c r="Q145" i="1"/>
  <c r="R145" i="1" s="1"/>
  <c r="Q290" i="1"/>
  <c r="R290" i="1" s="1"/>
  <c r="Q316" i="1"/>
  <c r="R316" i="1" s="1"/>
  <c r="Q159" i="1"/>
  <c r="R159" i="1" s="1"/>
  <c r="Q151" i="1"/>
  <c r="R151" i="1" s="1"/>
  <c r="Q141" i="1"/>
  <c r="R141" i="1" s="1"/>
  <c r="Q134" i="1"/>
  <c r="R134" i="1" s="1"/>
  <c r="Q124" i="1"/>
  <c r="R124" i="1" s="1"/>
  <c r="Q73" i="1"/>
  <c r="Q242" i="1"/>
  <c r="R242" i="1" s="1"/>
  <c r="Q37" i="1"/>
  <c r="Q3" i="1"/>
  <c r="R3" i="1" s="1"/>
  <c r="Q85" i="1"/>
  <c r="Q50" i="1"/>
  <c r="Q30" i="1"/>
  <c r="Q238" i="1"/>
  <c r="R238" i="1" s="1"/>
  <c r="Q237" i="1"/>
  <c r="R237" i="1" s="1"/>
  <c r="Q101" i="1"/>
  <c r="Q217" i="1"/>
  <c r="R217" i="1" s="1"/>
  <c r="Q166" i="1"/>
  <c r="R166" i="1" s="1"/>
  <c r="Q246" i="1"/>
  <c r="R246" i="1" s="1"/>
  <c r="Q248" i="1"/>
  <c r="R248" i="1" s="1"/>
  <c r="Q243" i="1"/>
  <c r="R243" i="1" s="1"/>
  <c r="Q226" i="1"/>
  <c r="R226" i="1" s="1"/>
  <c r="Q19" i="1"/>
  <c r="Q45" i="1"/>
  <c r="R45" i="1" s="1"/>
  <c r="Q280" i="1"/>
  <c r="R280" i="1" s="1"/>
  <c r="Q195" i="1"/>
  <c r="R195" i="1" s="1"/>
  <c r="Q120" i="1"/>
  <c r="R120" i="1" s="1"/>
  <c r="Q51" i="1"/>
  <c r="Q34" i="1"/>
  <c r="R34" i="1" s="1"/>
  <c r="Q26" i="1"/>
  <c r="Q83" i="1"/>
  <c r="R83" i="1" s="1"/>
  <c r="Q86" i="1"/>
  <c r="R86" i="1" s="1"/>
  <c r="Q4" i="1"/>
  <c r="R4" i="1" s="1"/>
  <c r="Q115" i="1"/>
  <c r="R115" i="1" s="1"/>
  <c r="Q60" i="1"/>
  <c r="R60" i="1" s="1"/>
  <c r="Q49" i="1"/>
  <c r="Q72" i="1"/>
  <c r="R72" i="1" s="1"/>
  <c r="Q218" i="1"/>
  <c r="R218" i="1" s="1"/>
  <c r="Q240" i="1"/>
  <c r="R240" i="1" s="1"/>
  <c r="Q146" i="1"/>
  <c r="R146" i="1" s="1"/>
  <c r="Q152" i="1"/>
  <c r="R152" i="1" s="1"/>
  <c r="Q216" i="1"/>
  <c r="R216" i="1" s="1"/>
  <c r="Q174" i="1"/>
  <c r="R174" i="1" s="1"/>
  <c r="Q208" i="1"/>
  <c r="R208" i="1" s="1"/>
  <c r="Q284" i="1"/>
  <c r="R284" i="1" s="1"/>
  <c r="Q273" i="1"/>
  <c r="R273" i="1" s="1"/>
  <c r="Q198" i="1"/>
  <c r="R198" i="1" s="1"/>
  <c r="Q125" i="1"/>
  <c r="R125" i="1" s="1"/>
  <c r="Q92" i="1"/>
  <c r="R92" i="1" s="1"/>
  <c r="Q36" i="1"/>
  <c r="R36" i="1" s="1"/>
  <c r="Q277" i="1"/>
  <c r="R277" i="1" s="1"/>
  <c r="Q87" i="1"/>
  <c r="R87" i="1" s="1"/>
  <c r="Q233" i="1"/>
  <c r="R233" i="1" s="1"/>
  <c r="Q187" i="1"/>
  <c r="R187" i="1" s="1"/>
  <c r="Q182" i="1"/>
  <c r="R182" i="1" s="1"/>
  <c r="Q69" i="1"/>
  <c r="Q203" i="1"/>
  <c r="R203" i="1" s="1"/>
  <c r="Q227" i="1"/>
  <c r="R227" i="1" s="1"/>
  <c r="Q281" i="1"/>
  <c r="R281" i="1" s="1"/>
  <c r="Q215" i="1"/>
  <c r="R215" i="1" s="1"/>
  <c r="Q164" i="1"/>
  <c r="R164" i="1" s="1"/>
  <c r="Q153" i="1"/>
  <c r="R153" i="1" s="1"/>
  <c r="Q74" i="1"/>
  <c r="Q5" i="1"/>
  <c r="R5" i="1" s="1"/>
  <c r="Q123" i="1"/>
  <c r="R123" i="1" s="1"/>
  <c r="Q234" i="1"/>
  <c r="R234" i="1" s="1"/>
  <c r="Q192" i="1"/>
  <c r="R192" i="1" s="1"/>
  <c r="Q28" i="1"/>
  <c r="R28" i="1" s="1"/>
  <c r="Q228" i="1"/>
  <c r="R228" i="1" s="1"/>
  <c r="Q186" i="1"/>
  <c r="R186" i="1" s="1"/>
  <c r="Q55" i="1"/>
  <c r="Q200" i="1"/>
  <c r="R200" i="1" s="1"/>
  <c r="Q79" i="1"/>
  <c r="Q88" i="1"/>
  <c r="Q103" i="1"/>
  <c r="Q95" i="1"/>
  <c r="R95" i="1" s="1"/>
  <c r="Q121" i="1"/>
  <c r="R121" i="1" s="1"/>
  <c r="Q210" i="1"/>
  <c r="R210" i="1" s="1"/>
  <c r="Q245" i="1"/>
  <c r="R245" i="1" s="1"/>
  <c r="Q136" i="1"/>
  <c r="R136" i="1" s="1"/>
  <c r="Q161" i="1"/>
  <c r="R161" i="1" s="1"/>
  <c r="Q303" i="1"/>
  <c r="R303" i="1" s="1"/>
  <c r="Q173" i="1"/>
  <c r="R173" i="1" s="1"/>
  <c r="Q177" i="1"/>
  <c r="R177" i="1" s="1"/>
  <c r="Q64" i="1"/>
  <c r="R64" i="1" s="1"/>
  <c r="Q196" i="1"/>
  <c r="R196" i="1" s="1"/>
  <c r="Q274" i="1"/>
  <c r="R274" i="1" s="1"/>
  <c r="Q137" i="1"/>
  <c r="R137" i="1" s="1"/>
  <c r="Q17" i="1"/>
  <c r="Q15" i="1"/>
  <c r="Q126" i="1"/>
  <c r="R126" i="1" s="1"/>
  <c r="Q31" i="1"/>
  <c r="Q20" i="1"/>
  <c r="Q190" i="1"/>
  <c r="R190" i="1" s="1"/>
  <c r="Q76" i="1"/>
  <c r="Q13" i="1"/>
  <c r="Q199" i="1"/>
  <c r="R199" i="1" s="1"/>
  <c r="Q236" i="1"/>
  <c r="R236" i="1" s="1"/>
  <c r="Q80" i="1"/>
  <c r="R80" i="1" s="1"/>
  <c r="Q46" i="1"/>
  <c r="R46" i="1" s="1"/>
  <c r="Q179" i="1"/>
  <c r="R179" i="1" s="1"/>
  <c r="Q127" i="1"/>
  <c r="R127" i="1" s="1"/>
  <c r="Q269" i="1"/>
  <c r="R269" i="1" s="1"/>
  <c r="Q110" i="1"/>
  <c r="Q91" i="1"/>
  <c r="R91" i="1" s="1"/>
  <c r="Q232" i="1"/>
  <c r="R232" i="1" s="1"/>
  <c r="Q98" i="1"/>
  <c r="Q96" i="1"/>
  <c r="Q184" i="1"/>
  <c r="R184" i="1" s="1"/>
  <c r="Q335" i="1"/>
  <c r="R335" i="1" s="1"/>
  <c r="Q276" i="1"/>
  <c r="R276" i="1" s="1"/>
  <c r="Q175" i="1"/>
  <c r="R175" i="1" s="1"/>
  <c r="Q211" i="1"/>
  <c r="R211" i="1" s="1"/>
  <c r="Q54" i="1"/>
  <c r="R54" i="1" s="1"/>
  <c r="Q144" i="1"/>
  <c r="R144" i="1" s="1"/>
  <c r="Q155" i="1"/>
  <c r="R155" i="1" s="1"/>
  <c r="Q147" i="1"/>
  <c r="R147" i="1" s="1"/>
  <c r="Q33" i="1"/>
  <c r="Q138" i="1"/>
  <c r="R138" i="1" s="1"/>
  <c r="Q102" i="1"/>
  <c r="Q113" i="1"/>
  <c r="R113" i="1" s="1"/>
  <c r="Q168" i="1"/>
  <c r="R168" i="1" s="1"/>
  <c r="Q43" i="1"/>
  <c r="Q6" i="1"/>
  <c r="R6" i="1" s="1"/>
  <c r="Q53" i="1"/>
  <c r="R53" i="1" s="1"/>
  <c r="Q84" i="1"/>
  <c r="Q66" i="1"/>
  <c r="Q262" i="1"/>
  <c r="R262" i="1" s="1"/>
  <c r="Q170" i="1"/>
  <c r="R170" i="1" s="1"/>
  <c r="Q82" i="1"/>
  <c r="R82" i="1" s="1"/>
  <c r="Q270" i="1"/>
  <c r="R270" i="1" s="1"/>
  <c r="Q78" i="1"/>
  <c r="R78" i="1" s="1"/>
  <c r="Q90" i="1"/>
  <c r="R90" i="1" s="1"/>
  <c r="Q16" i="1"/>
  <c r="Q62" i="1"/>
  <c r="R62" i="1" s="1"/>
  <c r="Q194" i="1"/>
  <c r="R194" i="1" s="1"/>
  <c r="Q67" i="1"/>
  <c r="Q44" i="1"/>
  <c r="Q65" i="1"/>
  <c r="Q122" i="1"/>
  <c r="R122" i="1" s="1"/>
  <c r="Q223" i="1"/>
  <c r="R223" i="1" s="1"/>
  <c r="Q130" i="1"/>
  <c r="R130" i="1" s="1"/>
  <c r="Q325" i="1"/>
  <c r="R325" i="1" s="1"/>
  <c r="Q180" i="1"/>
  <c r="R180" i="1" s="1"/>
  <c r="Q165" i="1"/>
  <c r="R165" i="1" s="1"/>
  <c r="Q204" i="1"/>
  <c r="R204" i="1" s="1"/>
  <c r="Q171" i="1"/>
  <c r="R171" i="1" s="1"/>
  <c r="Q326" i="1"/>
  <c r="R326" i="1" s="1"/>
  <c r="Q150" i="1"/>
  <c r="R150" i="1" s="1"/>
  <c r="R25" i="1" l="1"/>
  <c r="R49" i="1"/>
  <c r="R94" i="1"/>
  <c r="R7" i="1"/>
  <c r="R56" i="1"/>
  <c r="R27" i="1"/>
  <c r="R20" i="1"/>
  <c r="R96" i="1"/>
  <c r="R50" i="1"/>
  <c r="R43" i="1"/>
  <c r="R85" i="1"/>
  <c r="R38" i="1"/>
  <c r="R44" i="1"/>
  <c r="R15" i="1"/>
  <c r="R88" i="1"/>
  <c r="R99" i="1"/>
  <c r="R79" i="1"/>
  <c r="R67" i="1"/>
  <c r="R17" i="1"/>
  <c r="R77" i="1"/>
  <c r="R59" i="1"/>
  <c r="R104" i="1"/>
  <c r="R32" i="1"/>
  <c r="R66" i="1"/>
  <c r="R76" i="1"/>
  <c r="R74" i="1"/>
  <c r="R84" i="1"/>
  <c r="R26" i="1"/>
  <c r="R12" i="1"/>
  <c r="R35" i="1"/>
  <c r="R41" i="1"/>
  <c r="R31" i="1"/>
  <c r="R51" i="1"/>
  <c r="R23" i="1"/>
  <c r="R10" i="1"/>
  <c r="R101" i="1"/>
  <c r="R30" i="1"/>
  <c r="R70" i="1"/>
  <c r="R52" i="1"/>
  <c r="R29" i="1"/>
  <c r="R24" i="1"/>
  <c r="R97" i="1"/>
  <c r="R103" i="1"/>
  <c r="R37" i="1"/>
  <c r="R11" i="1"/>
  <c r="R98" i="1"/>
  <c r="R110" i="1"/>
  <c r="R107" i="1"/>
  <c r="R40" i="1"/>
  <c r="R68" i="1"/>
  <c r="R13" i="1"/>
  <c r="R55" i="1"/>
  <c r="R73" i="1"/>
  <c r="R100" i="1"/>
  <c r="R47" i="1"/>
  <c r="R18" i="1"/>
  <c r="R112" i="1"/>
  <c r="R114" i="1"/>
  <c r="R65" i="1"/>
  <c r="R102" i="1"/>
  <c r="R69" i="1"/>
  <c r="R19" i="1"/>
  <c r="R16" i="1"/>
  <c r="R33" i="1"/>
  <c r="R21" i="1"/>
  <c r="R9" i="1"/>
  <c r="R75" i="1"/>
  <c r="R108" i="1"/>
  <c r="R61" i="1"/>
  <c r="R8" i="1"/>
  <c r="R71" i="1"/>
  <c r="R109" i="1"/>
</calcChain>
</file>

<file path=xl/sharedStrings.xml><?xml version="1.0" encoding="utf-8"?>
<sst xmlns="http://schemas.openxmlformats.org/spreadsheetml/2006/main" count="10607" uniqueCount="7134">
  <si>
    <t>Title</t>
  </si>
  <si>
    <t>Link</t>
  </si>
  <si>
    <t>Pubblication Class</t>
  </si>
  <si>
    <t>Q1</t>
  </si>
  <si>
    <t>Q2</t>
  </si>
  <si>
    <t>Q3</t>
  </si>
  <si>
    <t>Q4</t>
  </si>
  <si>
    <t>Q5</t>
  </si>
  <si>
    <t>Q6</t>
  </si>
  <si>
    <t>Q7</t>
  </si>
  <si>
    <t>Exc.Crit</t>
  </si>
  <si>
    <t>Inc.Crit</t>
  </si>
  <si>
    <t>Pubblication Venue</t>
  </si>
  <si>
    <t>Vanue Name</t>
  </si>
  <si>
    <t>IDQ</t>
  </si>
  <si>
    <t>CDQ</t>
  </si>
  <si>
    <t>FDQ</t>
  </si>
  <si>
    <t>Selected</t>
  </si>
  <si>
    <t>Design and evaluation of highly accurate smart contract code vulnerability detection framework</t>
  </si>
  <si>
    <t>https://link.springer.com/article/10.1007/s10618-023-00981-1</t>
  </si>
  <si>
    <t>PS</t>
  </si>
  <si>
    <t>Journal Article</t>
  </si>
  <si>
    <t xml:space="preserve">Data Mining and Knowledge Discovery </t>
  </si>
  <si>
    <t>Automation and smart materials in detecting smart contracts vulnerabilities in Blockchain using deep learning</t>
  </si>
  <si>
    <t>https://www.sciencedirect.com/science/article/pii/S2214785321030273?casa_token=iI8eqBHd0dAAAAAA:IsrBBuibA8NSlZ2kPSsIOCioFA4YnsqFasV7Uz0FasX4NaFgid2wbeF7pHvjC-05SulB-Rii</t>
  </si>
  <si>
    <t>2,3</t>
  </si>
  <si>
    <t>Materials Today: Proceedings</t>
  </si>
  <si>
    <t>SmartFast: an accurate and robust formal analysis tool for Ethereum smart contracts</t>
  </si>
  <si>
    <t>https://link.springer.com/article/10.1007/s10664-022-10218-2</t>
  </si>
  <si>
    <t>Empirical Software Engineering</t>
  </si>
  <si>
    <t>ConvMHSA-SCVD: Enhancing Smart Contract Vulnerability Detection through a Knowledge-Driven and Data-Driven Framework</t>
  </si>
  <si>
    <t>https://ieeexplore.ieee.org/abstract/document/10301256</t>
  </si>
  <si>
    <t>Conference Proceeding or Workshop</t>
  </si>
  <si>
    <t>International Symposium on Software Reliability Engineering (ISSRE)</t>
  </si>
  <si>
    <t>Contextual Language Model and Transfer Learning for Reentrancy Vulnerability Detection in Smart Contracts</t>
  </si>
  <si>
    <t>https://dl.acm.org/doi/abs/10.1145/3628797.3628945</t>
  </si>
  <si>
    <t>SOICT '23: Proceedings of the 12th International Symposium on Information and Communication Technology</t>
  </si>
  <si>
    <t>MSmart: Smart Contract Vulnerability Analysis and Improved Strategies Based on Smartcheck</t>
  </si>
  <si>
    <t>https://www.mdpi.com/2076-3417/13/3/1733</t>
  </si>
  <si>
    <t>Applied Science</t>
  </si>
  <si>
    <t>A Smart Contract Vulnerability Detection Model Based on Syntactic and Semantic Fusion Learning</t>
  </si>
  <si>
    <t>https://www.hindawi.com/journals/wcmc/2023/9212269/</t>
  </si>
  <si>
    <t>Wireless Communications and Mobile Computing</t>
  </si>
  <si>
    <t>Smart contract vulnerability detection based on a semantic code structure and a self-designed neural network</t>
  </si>
  <si>
    <t>https://www.sciencedirect.com/science/article/pii/S0045790623001908</t>
  </si>
  <si>
    <t>Computers and Electrical Engineering</t>
  </si>
  <si>
    <t>A Smart Contract Vulnerability Detection Method Based on Multimodal Feature Fusion and Deep Learning</t>
  </si>
  <si>
    <t>https://www.mdpi.com/2227-7390/11/23/4823</t>
  </si>
  <si>
    <t>Mathematics</t>
  </si>
  <si>
    <t>SuMo: A mutation testing approach and tool for the Ethereum blockchain</t>
  </si>
  <si>
    <t>https://www.sciencedirect.com/science/article/pii/S0164121222001418</t>
  </si>
  <si>
    <t>Journal of Systems and Software</t>
  </si>
  <si>
    <t>ReSuMo: a regression strategy and tool for mutation testing of solidity smart contracts</t>
  </si>
  <si>
    <t>https://link.springer.com/article/10.1007/s11219-023-09637-1</t>
  </si>
  <si>
    <t xml:space="preserve">Software Quality Journal </t>
  </si>
  <si>
    <t>Detecting Smart Contract Vulnerabilities with Combined Binary and Multiclass Classification</t>
  </si>
  <si>
    <t>https://www.mdpi.com/2410-387X/7/3/34</t>
  </si>
  <si>
    <t>Cryptography</t>
  </si>
  <si>
    <t>Fine-grained smart contract vulnerability detection by heterogeneous code feature learning and automated dataset construction</t>
  </si>
  <si>
    <t>https://www.sciencedirect.com/science/article/pii/S016412122300314X?casa_token=ya4gUTqe5o8AAAAA:IT9sZYUq2FC5Po8TLXJ7PoTcvnGVSfU1w0AAnKmtwnkGWehJmtrSvcaYCMgWlk25ROquMz2U</t>
  </si>
  <si>
    <t>Smart contract vulnerability detection based on semantic graph and residual graph convolutional networks with edge attention</t>
  </si>
  <si>
    <t>https://www.sciencedirect.com/science/article/pii/S0164121223001000</t>
  </si>
  <si>
    <t>SCGformer: Smart contract vulnerability detection based on control flow graph and transformer</t>
  </si>
  <si>
    <t>https://ietresearch.onlinelibrary.wiley.com/doi/full/10.1049/blc2.12046</t>
  </si>
  <si>
    <t>The Institution of Engineering and Technology</t>
  </si>
  <si>
    <t>SCGRU: A Model for Ethereum Smart Contract Vulnerability Detection Combining CNN and BiGRU-Attention</t>
  </si>
  <si>
    <t>https://ieeexplore.ieee.org/abstract/document/10270857</t>
  </si>
  <si>
    <t>IEEE International Conference on Signal and Image Processing (ICSIP)</t>
  </si>
  <si>
    <t>GraphSA: Smart Contract Vulnerability Detection Combining Graph Neural Networks and Static Analysis</t>
  </si>
  <si>
    <t>https://ebooks.iospress.nl/doi/10.3233/FAIA230374</t>
  </si>
  <si>
    <t>Book Section</t>
  </si>
  <si>
    <t>IOS Press</t>
  </si>
  <si>
    <t>Smart Contract Vulnerability Detection Based on Deep Learning and Multimodal Decision Fusion</t>
  </si>
  <si>
    <t>https://www.mdpi.com/1424-8220/23/16/7246</t>
  </si>
  <si>
    <t>Sensors</t>
  </si>
  <si>
    <t>A New Smart Contract Anomaly Detection Method by Fusing Opcode and Source Code Features for Blockchain Services</t>
  </si>
  <si>
    <t>https://ieeexplore.ieee.org/abstract/document/10130487</t>
  </si>
  <si>
    <t>IEEE Transactions on Network and Service Management</t>
  </si>
  <si>
    <t>Improving Robustness and Accuracy of Ponzi Scheme Detection on Ethereum Using Time-Dependent Features</t>
  </si>
  <si>
    <t>https://arxiv.org/abs/2308.16391</t>
  </si>
  <si>
    <t>Arxiv Paper or Preprint</t>
  </si>
  <si>
    <t>EDIT: A data inspection tool for smart contracts temporal behavior modeling and prediction</t>
  </si>
  <si>
    <t>https://www.sciencedirect.com/science/article/pii/S0167739X24000013</t>
  </si>
  <si>
    <t>Future Generation Computer Systems</t>
  </si>
  <si>
    <t>ASSBert: Active and semi-supervised bert for smart contract vulnerability detection</t>
  </si>
  <si>
    <t>https://www.sciencedirect.com/science/article/pii/S221421262300008X?casa_token=L17-2HJTgKsAAAAA:23B-zr-DrCcMyTvK3pFKbj39IVgciQFPTp_DaQSmLk8oOziBxuzZ7HZ2uvb-4gb_A9oGJQHW</t>
  </si>
  <si>
    <t>Journal of Information Security and Applications</t>
  </si>
  <si>
    <t>Vulnerability Detection of Smart Contracts Based on Bidirectional GRU and Attention Mechanism</t>
  </si>
  <si>
    <t>https://link.springer.com/chapter/10.1007/978-3-031-48325-7_21</t>
  </si>
  <si>
    <t>Smart Contract Vulnerability Detection Based on Automated Feature Extraction and Feature Interaction</t>
  </si>
  <si>
    <t>https://ieeexplore.ieee.org/abstract/document/10319764</t>
  </si>
  <si>
    <t>IEEE Transactions on Knowledge and Data Engineering</t>
  </si>
  <si>
    <t>GRATDet: Smart Contract Vulnerability Detector Based on Graph Representation and Transformer</t>
  </si>
  <si>
    <t>https://cdn.techscience.cn/files/cmc/2023/TSP_CMC-76-2/TSP_CMC_38878/TSP_CMC_38878.pdf</t>
  </si>
  <si>
    <t>Computers, Materials &amp; Continua</t>
  </si>
  <si>
    <t>Optimizing smart contract vulnerability detection via multi-modality code and entropy embedding</t>
  </si>
  <si>
    <t>https://www.sciencedirect.com/science/article/pii/S0164121223000948</t>
  </si>
  <si>
    <t>https://books.google.com/books?hl=it&amp;lr=&amp;id=4x3nEAAAQBAJ&amp;oi=fnd&amp;pg=PA276&amp;dq=+(%E2%80%9Csmart+contract%E2%80%9D+OR+%E2%80%9Csmart+contracts%E2%80%9D+OR+Ethereum)+AND+(vulnerability+OR+vulnerabilities+OR+bug+OR+bugs+OR+security+OR+analysis+OR+detection+OR+tool+OR+verification)&amp;ots=QS1SRii5yW&amp;sig=ab-mjqZulvTgEXTwBKQRY-m47d4</t>
  </si>
  <si>
    <t>Modelling And Simulation For Detecting Vulnerabilities And Security Threats Of Smart Contracts Using Machine Learning</t>
  </si>
  <si>
    <t>https://ieeexplore.ieee.org/abstract/document/10305867</t>
  </si>
  <si>
    <t>International Conference on Fog and Mobile Edge Computing (FMEC)</t>
  </si>
  <si>
    <t>Smart Contract Vulnerability Detection Based on Critical Combination Path and Deep Learning</t>
  </si>
  <si>
    <t>https://dl.acm.org/doi/abs/10.1145/3586102.3586135</t>
  </si>
  <si>
    <t>ICCNS '22: Proceedings of the 2022 12th International Conference on Communication and Network Security</t>
  </si>
  <si>
    <t>Data Flow-driven and Attention Mechanism-enabled Smart Contract Vulnerability Detection for Secure and Green Blockchain-based Service Networks</t>
  </si>
  <si>
    <t>https://ieeexplore.ieee.org/abstract/document/10279381</t>
  </si>
  <si>
    <t>IEEE International Conference on Communications (ICC)</t>
  </si>
  <si>
    <t>Ethereum Phishing Detection Based on Graph Structure and Transaction Sequence Features Fusion</t>
  </si>
  <si>
    <t>https://link.springer.com/chapter/10.1007/978-981-99-4402-6_18</t>
  </si>
  <si>
    <t>International Conference on Service Science</t>
  </si>
  <si>
    <t>AutoMESC: Automatic Framework for Mining and Classifying Ethereum Smart Contract Vulnerabilities and Their Fixes</t>
  </si>
  <si>
    <t>https://ieeexplore.ieee.org/abstract/document/10371421?casa_token=mSO-2-SQH6wAAAAA:TxW1DRrUmpfyKVVIY9sJfnUq6o24yaXucDPJ7Q-RuH778THgkvPEOJ9lbptgqemmDqQ1M-s</t>
  </si>
  <si>
    <t>Euromicro Conference on Software Engineering and Advanced Applications</t>
  </si>
  <si>
    <t>VulnSense: Efficient Vulnerability Detection in Ethereum Smart Contracts by Multimodal Learning with Graph Neural Network and Language Model</t>
  </si>
  <si>
    <t>https://arxiv.org/abs/2309.08474</t>
  </si>
  <si>
    <t>Cryptography and Security</t>
  </si>
  <si>
    <t>https://ui.adsabs.harvard.edu/abs/2023arXiv230908474D/abstract</t>
  </si>
  <si>
    <t>Strengthening Smart Contracts: An Investigation into Vulnerability Detection and Mitigation in Smart Contracts with a Web Application Based Tool</t>
  </si>
  <si>
    <t>https://www.proquest.com/docview/2896757878?pq-origsite=gscholar&amp;fromopenview=true&amp;sourcetype=Scholarly%20Journals</t>
  </si>
  <si>
    <t>International Research Journal of Innovations in Engineering and Technology</t>
  </si>
  <si>
    <t>Detection and Analysis of Ethereum Energy Smart Contracts</t>
  </si>
  <si>
    <t>https://www.mdpi.com/2076-3417/13/10/6027</t>
  </si>
  <si>
    <t>Applied Sciences</t>
  </si>
  <si>
    <t>Highsimb: A Concrete Blockchain High Simulation with Contract Vulnerability Detection for Ethereum and Hyperledger Fabric</t>
  </si>
  <si>
    <t>https://link.springer.com/chapter/10.1007/978-3-031-20099-1_39</t>
  </si>
  <si>
    <t>Machine Learning for Cyber Security</t>
  </si>
  <si>
    <t>EF-CF Fuzzer and Extorsionware: Uncovering and Exploiting Smart Contract Vulnerabilities</t>
  </si>
  <si>
    <t>https://thesis.unipd.it/handle/20.500.12608/53846</t>
  </si>
  <si>
    <t>Thesis or Seminar Paper</t>
  </si>
  <si>
    <t>PhD Thesis</t>
  </si>
  <si>
    <t>AUTOMATED MUTATION ANALYSIS FOR SMART CONTRACT USING AMA TOOL WITH ENHANCED GA AND MACHINE LEARNING APPROACH</t>
  </si>
  <si>
    <t>https://www.jatit.org/volumes/Vol101No21/22Vol101No21.pdf</t>
  </si>
  <si>
    <t>Journal of Theoretical and Applied Information Technology</t>
  </si>
  <si>
    <t>Smart Contracts Classification and Vulnerabilities Detection</t>
  </si>
  <si>
    <t>https://www.informatics-europe.org/images/ECSS/ECSS2022/members-spotlight/Proceedings-Early-Career-Researchers-Workshop-ECSS2021.pdf#page=43</t>
  </si>
  <si>
    <t>Proceedings-Early-Career-Researchers-Workshop-ECSS</t>
  </si>
  <si>
    <t>Fraud Detection in Ethereum Using Web-scraping and Natural Language Processing Techniques</t>
  </si>
  <si>
    <t>https://www.research-collection.ethz.ch/handle/20.500.11850/523134</t>
  </si>
  <si>
    <t>Master Thesis</t>
  </si>
  <si>
    <t>Detection of Re-Entrancy, Timestamp Dependence and Infinite Loop Attack in Smart Contracts Using Graph Convolution Network</t>
  </si>
  <si>
    <t>https://ijisae.org/index.php/IJISAE/article/view/3471</t>
  </si>
  <si>
    <t>International Journal of INTELLIGENT SYSTEMS AND APPLICATIONS IN ENGINEERING</t>
  </si>
  <si>
    <t>Deep Learning-Based Malicious Smart Contract and Intrusion Detection System for IoT Environment</t>
  </si>
  <si>
    <t>https://www.mdpi.com/2227-7390/11/2/418</t>
  </si>
  <si>
    <t>Demystifying Random Number in Ethereum Smart Contract: Taxonomy, Vulnerability Identification, and Attack Detection</t>
  </si>
  <si>
    <t>https://ieeexplore.ieee.org/abstract/document/10111037?casa_token=QEdDIblGokYAAAAA:0B4lB52irnYXlCYtNceVkNaGiA5hElARm1S8YLbzMMQtbyF5ZRpIQp76i-3VF9gQPwTO31g</t>
  </si>
  <si>
    <t>IEEE Transactions on Software Engineering</t>
  </si>
  <si>
    <t>Extorsionware: Exploiting Smart Contract Vulnerabilities for Fun and Profit</t>
  </si>
  <si>
    <t>https://arxiv.org/abs/2203.09843</t>
  </si>
  <si>
    <t>A bytecode-based integrated detection and repair method for reentrancy vulnerabilities in smart contracts</t>
  </si>
  <si>
    <t>https://ietresearch.onlinelibrary.wiley.com/doi/full/10.1049/blc2.12043</t>
  </si>
  <si>
    <t>Hybrid analysis of smart contracts and malicious behaviors in ethereum</t>
  </si>
  <si>
    <t>https://theses.lib.polyu.edu.hk/handle/200/11411</t>
  </si>
  <si>
    <t>A Novel Smart Contract Vulnerability Detection Method Based on Information Graph and Ensemble Learning</t>
  </si>
  <si>
    <t>https://www.mdpi.com/1424-8220/22/9/3581</t>
  </si>
  <si>
    <t>Smart Contract Vulnerability Detection Based on Deep and Cross Network</t>
  </si>
  <si>
    <t>https://ieeexplore.ieee.org/abstract/document/9824581</t>
  </si>
  <si>
    <t>International Conference on Computer Engineering and Applications</t>
  </si>
  <si>
    <t>PrAIoritize: Learning to Prioritize Smart Contract Bugs and Vulnerabilities</t>
  </si>
  <si>
    <t>https://arxiv.org/abs/2308.11082</t>
  </si>
  <si>
    <t>Software Engineering</t>
  </si>
  <si>
    <t>A study on gas cost of ethereum smart contracts and performance of blockchain on simulation tool</t>
  </si>
  <si>
    <t>https://link.springer.com/article/10.1007/s12083-023-01598-3</t>
  </si>
  <si>
    <t>Peer-to-Peer Networking and Applications</t>
  </si>
  <si>
    <t>Ponzi scheme detection in smart contracts using the integration of deep learning and formal verification</t>
  </si>
  <si>
    <t>https://ietresearch.onlinelibrary.wiley.com/doi/full/10.1049/blc2.12056</t>
  </si>
  <si>
    <t>The Detection of Fraudulent Smart Contracts Based on ECA-EfficientNet and Data Enhancement</t>
  </si>
  <si>
    <t>https://cdn.techscience.cn/files/cmc/2023/TSP_CMC-77-3/TSP_CMC_40253/TSP_CMC_40253.pdf</t>
  </si>
  <si>
    <t>Peculiar: Smart Contract Vulnerability Detection Based on Crucial Data Flow Graph and Pre-training Techniques</t>
  </si>
  <si>
    <t>https://ieeexplore.ieee.org/abstract/document/9700296?casa_token=lmrU2K8lxAMAAAAA:w85DTIFlG9-ewMjMMCbw2QTfMA03uOAtCuwtATVBOeHYRImk5ezYIv2ZHSimPwUGi4puGMw</t>
  </si>
  <si>
    <t>A Practical Detection and Defense Scheme Against Smart Contract Attacks Based on Transaction Features</t>
  </si>
  <si>
    <t>https://link.springer.com/chapter/10.1007/978-981-99-4430-9_21</t>
  </si>
  <si>
    <t>International Symposium on Mobile Internet Security</t>
  </si>
  <si>
    <t>A lightweight approach to smart contracts supporting safety, security, and privacy</t>
  </si>
  <si>
    <t>https://www.sciencedirect.com/science/article/pii/S2352220822000256</t>
  </si>
  <si>
    <t>Journal of Logical and Algebraic Methods in Programming</t>
  </si>
  <si>
    <t>EtherProv: Provenance-Aware Detection, Analysis, and Mitigation of Ethereum Smart Contract Security Issues</t>
  </si>
  <si>
    <t>https://ieeexplore.ieee.org/abstract/document/9680507?casa_token=EvobFcapGO8AAAAA:77f_1k1cz7PPbn_R-F_IJdxxZf7jSADmcjNxkRh-oNewQmKb3GQK9IwdCv1A8Ikm6fWqoRE</t>
  </si>
  <si>
    <t>IEEE International Conference on Blockchain</t>
  </si>
  <si>
    <t>STUDY ON SMART CONTRACT HONEYPOT COMBINED WITH MACHINE LEARNING TECHNIQUES AND DATA ANALYSIS</t>
  </si>
  <si>
    <t>https://jmcms.s3.amazonaws.com/wp-content/uploads/2022/08/24093022/jmcms-2208001-STUDY-ON-SMART-CONTRACT-HONEYPOT-Swapna-Siddamsetti.pdf</t>
  </si>
  <si>
    <t>JOURNAL OF MECHANICS OF CONTINUA AND MATHEMATICAL SCIENCES</t>
  </si>
  <si>
    <t>A systematic literature review of undiscovered vulnerabilities and tools in smart contract technology</t>
  </si>
  <si>
    <t>https://www.degruyter.com/document/doi/10.1515/jisys-2023-0038/html</t>
  </si>
  <si>
    <t>SLR</t>
  </si>
  <si>
    <t>1,2,3</t>
  </si>
  <si>
    <t>Journal of Intelligent Systems</t>
  </si>
  <si>
    <t>Security Risks and Best Practices for Blockchain and Smart Contracts: A Systematic Literature Review</t>
  </si>
  <si>
    <t>https://ieeexplore.ieee.org/abstract/document/10278055</t>
  </si>
  <si>
    <t>International Conference on Information Management and Technology (ICIMTech)</t>
  </si>
  <si>
    <t>Vulnerabilities and Open Issues of Smart Contracts: A Systematic Mapping</t>
  </si>
  <si>
    <t>https://arxiv.org/abs/2104.12295</t>
  </si>
  <si>
    <t>Computational Science and Its Applications – ICCSA 2021</t>
  </si>
  <si>
    <t>https://link.springer.com/chapter/10.1007/978-3-030-86973-1_1#Tab3</t>
  </si>
  <si>
    <t>Systematic Review of Ethereum Smart Contract Security Vulnerabilities, Analysis Methods and Tools</t>
  </si>
  <si>
    <t>https://web.archive.org/web/20210909005434id_/https://repositum.tuwien.at/bitstream/20.500.12708/18323/1/Rameder%20Heidelinde%20-%202021%20-%20Systematic%20Review%20of%20Ethereum%20Smart%20Contract...pdf</t>
  </si>
  <si>
    <t>Detecting functional and security-related issues in smartcontracts: A systematic literature review</t>
  </si>
  <si>
    <t>https://onlinelibrary.wiley.com/doi/epdf/10.1002/spe.3156</t>
  </si>
  <si>
    <t>Software - Practice and Experience</t>
  </si>
  <si>
    <t>From Smart to Secure Contracts: Automated Security Assessment and Improvement of Ethereum Smart Contracts</t>
  </si>
  <si>
    <t>https://orbilu.uni.lu/handle/10993/51118</t>
  </si>
  <si>
    <t>Survey</t>
  </si>
  <si>
    <t>https://mediatum.ub.tum.de/doc/1641114/jmaww4489686mnp3sw290kuf3.Christof%20Ferreira%20Torres.pdf</t>
  </si>
  <si>
    <t>Research on smart contract vulnerability detection method based on domain features of solidity contracts and attention mechanism</t>
  </si>
  <si>
    <t>https://www.researchgate.net/publication/370644368_Research_on_smart_contract_vulnerability_detection_method_based_on_domain_features_of_solidity_contracts_and_attention_mechanism</t>
  </si>
  <si>
    <t>Journal of Intelligent &amp; Fuzzy Systems</t>
  </si>
  <si>
    <t>Vulnerability and Transaction Behavior Based Detection of Malicious Smart Contracts</t>
  </si>
  <si>
    <t>https://link.springer.com/chapter/10.1007/978-3-030-94029-4_6</t>
  </si>
  <si>
    <t>Cyberspace Safety and Security</t>
  </si>
  <si>
    <t>Improvement and Optimization of Vulnerability Detection Methods for Ethernet Smart Contracts</t>
  </si>
  <si>
    <t>https://ieeexplore.ieee.org/abstract/document/10192903</t>
  </si>
  <si>
    <t>IEEE Access</t>
  </si>
  <si>
    <t>Smart contract: a survey towards extortionate vulnerability detection and security enhancement</t>
  </si>
  <si>
    <t>https://link.springer.com/article/10.1007/s11276-023-03587-z</t>
  </si>
  <si>
    <t>Wireless Networks</t>
  </si>
  <si>
    <t>Combatting Front-Running in Smart Contracts: Attack Mining, Benchmark Construction and Vulnerability Detector Evaluation</t>
  </si>
  <si>
    <t>https://ieeexplore.ieee.org/abstract/document/10108045</t>
  </si>
  <si>
    <t>Security analysis of smart contract based rating and review systems: the perilous state of blockchain-based recommendation practices</t>
  </si>
  <si>
    <t>https://www.tandfonline.com/doi/full/10.1080/09540091.2022.2066065</t>
  </si>
  <si>
    <t>CONNECTION SCIENCE</t>
  </si>
  <si>
    <t>Detecting Vulnerabilities in Smart Contract within Blockchain: A Review and Comparative Analysis of Key Approaches</t>
  </si>
  <si>
    <t>https://ieeexplore.ieee.org/abstract/document/9932169</t>
  </si>
  <si>
    <t>International Conference on Next Generation Computing Applications</t>
  </si>
  <si>
    <t>DESIGNING AND EVALUATING DL-MODEL FOR VULNERABILITY DETECTION IN SMART CONTRACTS</t>
  </si>
  <si>
    <t>http://ais.khpi.edu.ua/article/view/292286</t>
  </si>
  <si>
    <t>International Conference on Advanced Information Systems Engineering</t>
  </si>
  <si>
    <t>Model Checking and Gas Optimization of Move Smart Contracts, and Transaction Order Dependency Detection and Rectification</t>
  </si>
  <si>
    <t>https://www.proquest.com/openview/3fb3dbefede8061f461635b5fc687ab3/1?cbl=18750&amp;diss=y&amp;pq-origsite=gscholar&amp;parentSessionId=fy9LcjO8oXi1gTWKyV9svvgCHyN76salsyg2t8oIF%2Fs%3D</t>
  </si>
  <si>
    <t>Detecting Security Breaches on Smart Contracts Through Techniques and Tools a Brief Review: Applications and Challenges</t>
  </si>
  <si>
    <t>https://link.springer.com/chapter/10.1007/978-981-99-2742-5_38</t>
  </si>
  <si>
    <t>International Conference on Cognitive and Intelligent Computing</t>
  </si>
  <si>
    <t>A Survey of Security Vulnerabilities and Detection Methods for Smart Contracts</t>
  </si>
  <si>
    <t>https://link.springer.com/chapter/10.1007/978-981-99-9247-8_43</t>
  </si>
  <si>
    <t>Proceedings of the 13th International Conference on Computer Engineering and Networks</t>
  </si>
  <si>
    <t>A survey on smart contract vulnerabilities: Data sources, detection and repair</t>
  </si>
  <si>
    <t>https://www.sciencedirect.com/science/article/pii/S0950584923000757</t>
  </si>
  <si>
    <t>Information and Software Technology</t>
  </si>
  <si>
    <t>Towards the Assessment and the Improvement of Smart Contract Security</t>
  </si>
  <si>
    <t>https://flore.unifi.it/handle/2158/1272428</t>
  </si>
  <si>
    <t>Thesis</t>
  </si>
  <si>
    <t>Enhancing Smart-Contract Security through Machine Learning: A Survey of Approaches and Techniques</t>
  </si>
  <si>
    <t>https://www.mdpi.com/2079-9292/12/9/2046</t>
  </si>
  <si>
    <t>Electronics</t>
  </si>
  <si>
    <t>Requirements for the development of smart contracts and an overview of smart contract vulnerabilities at the Solidity code level on the Ethereum platform</t>
  </si>
  <si>
    <t>http://dspace.op.edu.ua/jspui/bitstream/123456789/13894/1/157-%d0%a2%d0%b5%d0%ba%d1%81%d1%82%20%d1%81%d1%82%d0%b0%d1%82%d1%82%d1%96-199-2-10-20230420.pdf</t>
  </si>
  <si>
    <t>Herald of Advanced Information Technology</t>
  </si>
  <si>
    <t>Security Strengths and Weaknesses of Blockchain Smart Contract System: A Survey</t>
  </si>
  <si>
    <t>https://www.researchgate.net/profile/Malaw-Ndiaye/publication/360624196_Security_Strengths_and_Weaknesses_of_Blockchain_Smart_Contract_System_A_Survey/links/62824c3590841d5155d7dbb7/Security-Strengths-and-Weaknesses-of-Blockchain-Smart-Contract-System-A-Survey.pdf</t>
  </si>
  <si>
    <t>World Academy of Science, Engineering and Technology International Journal of Information and Communication Engineering</t>
  </si>
  <si>
    <t>Investigating Security Vulnerabilities and Tools of Blockchain Smart Contract: A Review</t>
  </si>
  <si>
    <t>https://dl.acm.org/doi/abs/10.1145/3607947.3608069</t>
  </si>
  <si>
    <t>IC3-2023: Proceedings of the 2023 Fifteenth International Conference on Contemporary Computing</t>
  </si>
  <si>
    <t>A Survey on Smart Contract Vulnerabilities and Safeguards in Blockchain</t>
  </si>
  <si>
    <t>https://ijisae.org/index.php/IJISAE/article/view/2405</t>
  </si>
  <si>
    <t>Smart Contracts Security Threats and Solutions</t>
  </si>
  <si>
    <t>https://www.igi-global.com/gateway/article/full-text-pdf/304048&amp;riu=true</t>
  </si>
  <si>
    <t>International Journal of Information Technology and Web Engineering</t>
  </si>
  <si>
    <t>A Survey of Smart Contract Formal Specification and Verification</t>
  </si>
  <si>
    <t>https://dl.acm.org/doi/abs/10.1145/3464421</t>
  </si>
  <si>
    <t>ACM Computing Surveys</t>
  </si>
  <si>
    <t>A Survey of Verification, Validation and Testing Solutions for Smart Contracts</t>
  </si>
  <si>
    <t>https://ieeexplore.ieee.org/abstract/document/9657040?casa_token=sxjoBMYV0BoAAAAA:fbZVMqj7ERWlHa1l9k2ULcgTb0sZ0T9F4VWN2sW8DgFQgf6Om35GWgjT_oPlkZm9QCoVeDY</t>
  </si>
  <si>
    <t>International Conference on Blockchain Computing and Applications (BCCA)</t>
  </si>
  <si>
    <t>Cybersecurity and Ethereum Security Vulnerabilities Analysis</t>
  </si>
  <si>
    <t>https://drpress.org/ojs/index.php/HSET/article/view/5498/5317</t>
  </si>
  <si>
    <t>highlights in science engineering and technology</t>
  </si>
  <si>
    <t>Definition and Detection of Defects in NFT Smart Contracts</t>
  </si>
  <si>
    <t>https://arxiv.org/abs/2305.15829</t>
  </si>
  <si>
    <t>OpenAI ChatGPT for Smart Contract Security Testing: Discussion and Future Directions</t>
  </si>
  <si>
    <t>https://papers.ssrn.com/sol3/papers.cfm?abstract_id=4412215</t>
  </si>
  <si>
    <t>Smart Contract Vulnerabilities: Vulnerable Does Not Imply Exploited</t>
  </si>
  <si>
    <t>https://www.usenix.org/conference/usenixsecurity21/presentation/perez</t>
  </si>
  <si>
    <t>30th USENIX Security Symposium</t>
  </si>
  <si>
    <t>An empirical study on the complexity, security and maintainability of Ethereum-based decentralized applications (DApps)</t>
  </si>
  <si>
    <t>https://www.sciencedirect.com/science/article/pii/S2096720922000616</t>
  </si>
  <si>
    <t>Blockchain: Research and Applications</t>
  </si>
  <si>
    <t>Management of blockchain-based data provenance and addressing smart contract security issues</t>
  </si>
  <si>
    <t>https://unbscholar.lib.unb.ca/items/a16c685b-381d-4f5c-89f4-008b338dd114</t>
  </si>
  <si>
    <t>Security Analysis Methods for Detection and Repair of DoS Vulnerabilities in Smart Contracts</t>
  </si>
  <si>
    <t>https://uwspace.uwaterloo.ca/handle/10012/16885</t>
  </si>
  <si>
    <t>Electrical and Computer Engineering</t>
  </si>
  <si>
    <t>Analysis Of The Relationship Between Smart Contracts' Categories and Vulnerabilities</t>
  </si>
  <si>
    <t>https://ieeexplore.ieee.org/abstract/document/9825811?casa_token=F6WplxvqwtEAAAAA:6jyLbZz5SpWgtnYziT4UWJ6vn9ZidG_bSjTZORu76jHUMLDbEBUAbbWE2l3CXvtKIPej2ys</t>
  </si>
  <si>
    <t>IEEE International Conference on Software Analysis, Evolution and Reengineering (SANER)</t>
  </si>
  <si>
    <t>A Literature Survey on Smart Contract Testing and Analysis for Smart Contract Based Blockchain Application Development</t>
  </si>
  <si>
    <t>https://ieeexplore.ieee.org/abstract/document/9591750</t>
  </si>
  <si>
    <t>Smart Electronics and Communication (ICOSEC), International Conference on</t>
  </si>
  <si>
    <t>Vulnerabilities and Attacks on Smart Contracts over BlockChain</t>
  </si>
  <si>
    <t>https://turcomat.org/index.php/turkbilmat/article/view/6773</t>
  </si>
  <si>
    <t>Turkish Journal of Computer and Mathematics Education (TURCOMAT)</t>
  </si>
  <si>
    <t>Security Vulnerabilities and Countermeasures of Smart Contracts: A Survey</t>
  </si>
  <si>
    <t>https://ieeexplore.ieee.org/document/9881816</t>
  </si>
  <si>
    <t>IEEE International Conference on Blockchain (Blockchain)</t>
  </si>
  <si>
    <t>Security Evaluation of Smart Contracts based on Code and Transaction - A Survey</t>
  </si>
  <si>
    <t>https://ieeexplore.ieee.org/abstract/document/9860122</t>
  </si>
  <si>
    <t>International Conference on Service Sciences (ICSS)</t>
  </si>
  <si>
    <t>SMART CONTRACTS: SECURITY ISSUES AND FURTHER DEVELOPMENT IN BRAZIL</t>
  </si>
  <si>
    <t>https://ijlcw.emnuvens.com.br/revista/article/view/22</t>
  </si>
  <si>
    <t>The International Journal of Law in Changing World Issue</t>
  </si>
  <si>
    <t>Ethereum smart contract security research: survey and future research opportunities</t>
  </si>
  <si>
    <t>https://link.springer.com/article/10.1007/s11704-020-9284-9</t>
  </si>
  <si>
    <t xml:space="preserve"> Frontiers of Computer Science</t>
  </si>
  <si>
    <t>ESCORT: Ethereum Smart COntRacTs Vulnerability Detection using Deep Neural Network and Transfer Learning</t>
  </si>
  <si>
    <t>https://arxiv.org/abs/2103.12607</t>
  </si>
  <si>
    <t>Empirical Review of Smart Contract and DeFi Security: Vulnerability Detection and Automated Repair</t>
  </si>
  <si>
    <t>https://arxiv.org/abs/2309.02391</t>
  </si>
  <si>
    <t>The State of Ethereum Smart Contracts Security: Vulnerabilities, Countermeasures, and Tool Support</t>
  </si>
  <si>
    <t>https://www.mdpi.com/2624-800X/2/2/19</t>
  </si>
  <si>
    <t>Journal of Cybersecurity and Privacy</t>
  </si>
  <si>
    <t>Unveiling the Landscape of Smart Contract Vulnerabilities: A Detailed Examination and Codification of Vulnerabilities in Prominent Blockchains</t>
  </si>
  <si>
    <t>https://papers.ssrn.com/sol3/papers.cfm?abstract_id=4650383</t>
  </si>
  <si>
    <t xml:space="preserve">International Journal of Computer Networks &amp; Communications (IJCNC) </t>
  </si>
  <si>
    <t>Smart Contract Security and Privacy Taxonomy, Tools, and Challenges</t>
  </si>
  <si>
    <t>https://link.springer.com/chapter/10.1007/978-981-16-4486-3_17</t>
  </si>
  <si>
    <t>Data Science and Security</t>
  </si>
  <si>
    <t>Solidity Smart Contract Vulnerabilities, Attack Scenarios, and Mitigation—A Survey</t>
  </si>
  <si>
    <t>https://link.springer.com/chapter/10.1007/978-981-99-3485-0_71</t>
  </si>
  <si>
    <t>Proceedings of International Conference on Communication and Computational Technologies</t>
  </si>
  <si>
    <t>Smart Contract and DeFi Security Tools: Do They Meet the Needs of Practitioners?</t>
  </si>
  <si>
    <t>https://synthical.com/article/ed404388-ffad-11ed-9b54-72eb57fa10b3</t>
  </si>
  <si>
    <t>IEEE/ACM International Conference on Software Engineering</t>
  </si>
  <si>
    <t>https://arxiv.org/abs/2304.02981</t>
  </si>
  <si>
    <t>Securing smart contracts with formal verification and automated program repair</t>
  </si>
  <si>
    <t>https://dr.ntu.edu.sg/handle/10356/169305</t>
  </si>
  <si>
    <t>Detection of Ethereum Eclipse Attack based on Hybrid Method and Dynamic Weighted Entropy</t>
  </si>
  <si>
    <t>https://ieeexplore.ieee.org/abstract/document/10115068</t>
  </si>
  <si>
    <t>IEEE Southeastcon</t>
  </si>
  <si>
    <t>Empirical Studies of Security and Privacy on Real World Ethereum Smart Contracts</t>
  </si>
  <si>
    <t>https://dro.deakin.edu.au/articles/thesis/Empirical_Studies_of_Security_and_Privacy_on_Real_World_Ethereum_Smart_Contracts/23797176/1/files/41737689.pdf</t>
  </si>
  <si>
    <t>Smart Contract: A Literature-Based Analysis and Development of a Taxonomy Framework</t>
  </si>
  <si>
    <t>https://link.springer.com/chapter/10.1007/978-3-030-85843-8_4</t>
  </si>
  <si>
    <t>Logistics Management</t>
  </si>
  <si>
    <t>GSVD: Common Vulnerability Dataset for Smart Contracts on BSC and Polygon</t>
  </si>
  <si>
    <t>https://csitcp.com/paper/13/136csit01.pdf</t>
  </si>
  <si>
    <t>Computer Science &amp; Information Technology</t>
  </si>
  <si>
    <t>Extraction, indexing and analysis of Ethereum smart contracts data</t>
  </si>
  <si>
    <t>https://webthesis.biblio.polito.it/28450/</t>
  </si>
  <si>
    <t>Smart contracts attribute-based access control model for security &amp; privacy of IoT system using blockchain and edge computing</t>
  </si>
  <si>
    <t>https://link.springer.com/article/10.1007/s11227-023-05517-4</t>
  </si>
  <si>
    <t>Multi-Label Vulnerability Detection of Smart Contracts Based on Bi-LSTM and Attention Mechanism</t>
  </si>
  <si>
    <t>https://www.mdpi.com/2079-9292/11/19/3260</t>
  </si>
  <si>
    <t>Enhancing Cloud-Based Smart Contract Security: A Hybrid AI and Optimization Approach for Vulnerability Prediction in FinTech</t>
  </si>
  <si>
    <t>https://www.researchgate.net/profile/Ranadeep-Reddy-Palle/publication/377302689_Enhancing_Cloud-Based_Smart_Contract_Security_A_Hybrid_AI_and_Optimization_Approach_for_Vulnerability_Prediction_in_FinTech/links/659f51bbaf617b0d873bcb2a/Enhancing-Cloud-Based-Smart-Contract-Security-A-Hybrid-AI-and-Optimization-Approach-for-Vulnerability-Prediction-in-FinTech.pdf</t>
  </si>
  <si>
    <t>International Journal of Science and Research</t>
  </si>
  <si>
    <t>Transaction-based classification and detection approach for Ethereum smart contract</t>
  </si>
  <si>
    <t>https://www.sciencedirect.com/science/article/pii/S0306457320309547?casa_token=ybb9-luq2bgAAAAA:6FevXDqgpHUgt_lhlVNhGtNRnQxOhwJvJdxYR4FCqQa-2FK4XmDC-_uRJXHVswNcPbo-PI7l</t>
  </si>
  <si>
    <t>Detecting Ethereum Ponzi Schemes Through Opcode Context Analysis and Oversampling-Based AdaBoost Algorithm</t>
  </si>
  <si>
    <t>https://cdn.techscience.cn/files/csse/2023/TSP_CSSE-47-1/TSP_CSSE_39569/TSP_CSSE_39569.pdf</t>
  </si>
  <si>
    <t>A Comparative Analysis of Ethereum Solidity and Sui Move Smart Contract Languages: Advantages and Trade-Offs</t>
  </si>
  <si>
    <t>https://ieeexplore.ieee.org/abstract/document/10365887</t>
  </si>
  <si>
    <t>Ethereum Smart Contract Analysis through Chat-GPT and other NLP Techniques</t>
  </si>
  <si>
    <t>https://webthesis.biblio.polito.it/secure/26527/1/tesi.pdf</t>
  </si>
  <si>
    <t>Bytecode Similarity Detection of Smart Contract across Optimization Options and Compiler Versions Based on Triplet Network</t>
  </si>
  <si>
    <t>https://www.mdpi.com/2079-9292/11/4/597</t>
  </si>
  <si>
    <t>Exemplary Ethereum Development Strategies Regarding Security and Gas-Saving</t>
  </si>
  <si>
    <t>https://www.mdpi.com/2079-9292/13/1/117</t>
  </si>
  <si>
    <t>Storage State Analysis and Extraction of Ethereum Blockchain Smart Contracts</t>
  </si>
  <si>
    <t>https://dl.acm.org/doi/full/10.1145/3548683</t>
  </si>
  <si>
    <t>Beyond “Protected” and “Private”: An Empirical Security Analysis of Custom Function Modifiers in Smart Contracts</t>
  </si>
  <si>
    <t>https://dl.acm.org/doi/abs/10.1145/3597926.3598125</t>
  </si>
  <si>
    <t>Enabling Security Analysis and Education of the Ethereum Platform: A Network Traffic Dissection Tool</t>
  </si>
  <si>
    <t>https://commons.lib.jmu.edu/masters202029/214/</t>
  </si>
  <si>
    <t>Data management in Ethereum DApps: A cost and performance analysis</t>
  </si>
  <si>
    <t>https://www.sciencedirect.com/science/article/pii/S0167739X23004351</t>
  </si>
  <si>
    <t>Investigating the impact of structural and temporal behaviors in Ethereum phishing users detection</t>
  </si>
  <si>
    <t>https://www.sciencedirect.com/science/article/pii/S2096720923000283</t>
  </si>
  <si>
    <t>Blockchains, Cryptocurrency, and Smart Contracts Technologies: Security Considerations</t>
  </si>
  <si>
    <t>https://link.springer.com/chapter/10.1007/978-3-031-47549-8_26</t>
  </si>
  <si>
    <t>An Automated Policy Verification and Enforcement Framework for Ethereum Applications</t>
  </si>
  <si>
    <t>https://ieeexplore.ieee.org/abstract/document/10174879</t>
  </si>
  <si>
    <t>Analysis of Information Propagation in Ethereum Network Using Combined Graph Attention Network and Reinforcement Learning to Optimize Network Efficiency and Scalability</t>
  </si>
  <si>
    <t>https://arxiv.org/abs/2311.01406</t>
  </si>
  <si>
    <t>https://ui.adsabs.harvard.edu/abs/2023arXiv231101406K/abstract</t>
  </si>
  <si>
    <t>Detection and Mitigation of Active Attacks in Ethereum Blockchain (EBC)-IoMT Based Smart Contract</t>
  </si>
  <si>
    <t>https://papers.ssrn.com/sol3/papers.cfm?abstract_id=4545214</t>
  </si>
  <si>
    <t>Smart Contract Evaluation By Multi-Criteria Analysis: Selection Challenges And Open Issues, a Review</t>
  </si>
  <si>
    <t>https://ieeexplore.ieee.org/abstract/document/10293363</t>
  </si>
  <si>
    <t>Enabling Trust and Security in Digital Twin Management: A Blockchain-Based Approach with Ethereum and IPFS</t>
  </si>
  <si>
    <t>https://www.mdpi.com/1424-8220/23/14/6641</t>
  </si>
  <si>
    <t>The Relationship Between Voting Power Distribution and the Bug Resilience of an Ethereum Proof-of-Stake Blockchain</t>
  </si>
  <si>
    <t>https://ntnuopen.ntnu.no/ntnu-xmlui/bitstream/handle/11250/3097878/no.ntnu:inspera:142737689:35422088.pdf?sequence=1</t>
  </si>
  <si>
    <t>An Interoperable Blockchain Security Frameworks Based on Microservices and Smart Contract in IoT Environment</t>
  </si>
  <si>
    <t>https://www.mdpi.com/2079-9292/12/3/776</t>
  </si>
  <si>
    <t>Exploring the NFT market on ethereum: a comprehensive analysis and daily volume forecasting</t>
  </si>
  <si>
    <t>https://www.tandfonline.com/doi/full/10.1080/09540091.2023.2286912</t>
  </si>
  <si>
    <t>Enhancement of UAV Data Security and Privacy via Ethereum Blockchain Technology</t>
  </si>
  <si>
    <t>https://cdn.techscience.cn/files/cmc/2023/TSP_CMC-76-2/TSP_CMC_39381/TSP_CMC_39381.pdf</t>
  </si>
  <si>
    <t>The Vulnerability Through Cyberattacks Related to Technological Differences Between Centralized, Server-Based and Ethereum Based Smart Home Systems</t>
  </si>
  <si>
    <t>https://arrow.tudublin.ie/scschcomdis/281/</t>
  </si>
  <si>
    <t>Sound analysis and extraction of data from Smart Contract</t>
  </si>
  <si>
    <t>https://www.researchsquare.com/article/rs-3241488/v1</t>
  </si>
  <si>
    <t>Blockchains and Smart Contracts for Cryptocurrency: An Analysis of Their Functionality and Performance</t>
  </si>
  <si>
    <t>https://www.diva-portal.org/smash/record.jsf?pid=diva2%3A1783639&amp;dswid=-5744</t>
  </si>
  <si>
    <t>EVMTracer: Dynamic Analysis of the Parallelization and Redundancy Potential in the Ethereum Virtual Machine</t>
  </si>
  <si>
    <t>https://ieeexplore.ieee.org/abstract/document/10102454</t>
  </si>
  <si>
    <t>Blockchain and Smart Contracts for Telecommunications: Requirements vs. Cost Analysis</t>
  </si>
  <si>
    <t>https://ieeexplore.ieee.org/abstract/document/10232988</t>
  </si>
  <si>
    <t>A Data Integrity Verification Scheme for Centralized Database Using Smart Contract and Game Theory</t>
  </si>
  <si>
    <t>https://ieeexplore.ieee.org/abstract/document/10147781</t>
  </si>
  <si>
    <t>Multi-level caching and data verification based on ethereum blockchain</t>
  </si>
  <si>
    <t>https://link.springer.com/article/10.1007/s11276-022-03151-1</t>
  </si>
  <si>
    <t>VM-Studio: A Universal Crosschain Smart Contract Verification and Execution Scheme</t>
  </si>
  <si>
    <t>https://www.hindawi.com/journals/scn/2023/2413532/</t>
  </si>
  <si>
    <t>Adoption of smart contracts in the construction industry: an institutional analysis of drivers and barriers</t>
  </si>
  <si>
    <t>https://www.emerald.com/insight/content/doi/10.1108/CI-03-2022-0066/full/html</t>
  </si>
  <si>
    <t>An Adaptive Decision-Making Approach for Better Selection of Blockchain Platform for Health Insurance Frauds Detection with Smart Contracts: Development and Performance Evaluation</t>
  </si>
  <si>
    <t>https://www.sciencedirect.com/science/article/pii/S1877050923005951</t>
  </si>
  <si>
    <t>Educational Certification on Ethereum blockchain: Analysis on How BCert and UZHBC differ</t>
  </si>
  <si>
    <t>https://ieeexplore.ieee.org/abstract/document/10198929</t>
  </si>
  <si>
    <t>JPBlock: augmenting security of current journal and paper publication processes using blockchain and smart contract</t>
  </si>
  <si>
    <t>https://www.inderscienceonline.com/doi/abs/10.1504/IJICS.2023.132733</t>
  </si>
  <si>
    <t>Formal Modeling and Verification of ERC Smart Contracts: Application to NF</t>
  </si>
  <si>
    <t>https://ieeexplore.ieee.org/abstract/document/10218105</t>
  </si>
  <si>
    <t>Analysis of Users’ Most Discussed Topics and Trends on Blockchain Technologies and Smart Contracts</t>
  </si>
  <si>
    <t>https://ieeexplore.ieee.org/abstract/document/10123598</t>
  </si>
  <si>
    <t>PTTS: Zero-Knowledge Proof-based Private Token Transfer System on Ethereum Blockchain and its Network Flow Based Balance Range Privacy Attack Analysis</t>
  </si>
  <si>
    <t>https://arxiv.org/abs/2308.15139</t>
  </si>
  <si>
    <t>Transformer-based approach for Ethereum Price Prediction Using Crosscurrency correlation and Sentiment Analysis</t>
  </si>
  <si>
    <t>https://arxiv.org/abs/2401.08077</t>
  </si>
  <si>
    <t>IoT Security Based on Smart Contracts: Classification of Algorithms, Complexity, Robustness and Fields of Application</t>
  </si>
  <si>
    <t>https://ieeexplore.ieee.org/abstract/document/10322936</t>
  </si>
  <si>
    <t>Smart Contracts as a tool for small and midsized companies</t>
  </si>
  <si>
    <t>https://www.techrxiv.org/doi/full/10.36227/techrxiv.24005568.v1</t>
  </si>
  <si>
    <t>An Efficient Blockchain and Smart Contracts Based Approach for Document Verification</t>
  </si>
  <si>
    <t>https://ieeexplore.ieee.org/abstract/document/10323829</t>
  </si>
  <si>
    <t>Performance analysis of Ethereum smart contracts: A Study on Gas cost and block size impact</t>
  </si>
  <si>
    <t>https://ieeexplore.ieee.org/abstract/document/10207974</t>
  </si>
  <si>
    <t>Analysis on the Development of Ethereum and Its Consensus Mechanisms</t>
  </si>
  <si>
    <t>https://ieeexplore.ieee.org/abstract/document/9973903</t>
  </si>
  <si>
    <t>Study and Resource Analysis of Ethereum Execution Client Bootstrapping</t>
  </si>
  <si>
    <t>https://dspace.lib.ntua.gr/xmlui/bitstream/handle/123456789/57592/Tsiaras_thesis.pdf?sequence=1</t>
  </si>
  <si>
    <t>An Implementation and Analysis of Zero Knowledge Based E-Voting Solution With Proof of Vote on Public Ethereum Blockchain</t>
  </si>
  <si>
    <t>https://ieeexplore.ieee.org/abstract/document/10271845</t>
  </si>
  <si>
    <t>Cryptocurrencies as a safe tool for portfolio before and during COVID-19 pandemic: cases of Bitcoin and Ethereum</t>
  </si>
  <si>
    <t>https://jb.ibsu.edu.ge/jms/index.php/jb/article/view/233</t>
  </si>
  <si>
    <t>Gas Cost Analysis of Proxy and Diamond Patterns: Towards Trusted Smart Contract Engineering in EVM Blockchains</t>
  </si>
  <si>
    <t>https://arxiv.org/abs/2312.08945</t>
  </si>
  <si>
    <t>The New Architecture of Smart Contracts and Its Impact on Performance, Vulnerability, Pollution, and Energy Saving</t>
  </si>
  <si>
    <t>https://www.igi-global.com/chapter/the-new-architecture-of-smart-contracts-and-its-impact-on-performance-vulnerability-pollution-and-energy-saving/323023</t>
  </si>
  <si>
    <t>A FRAMEWORK FOR BIRTH DATA REGISTRATION AND VERIFICATION USING SMART CONTRACTS, PUBLIC KEY ENCRYPTION, AND NATIONAL IDENTIFICATION NUMBER (NIN)</t>
  </si>
  <si>
    <t>http://repository.futminna.edu.ng:8080/jspui/handle/123456789/19712</t>
  </si>
  <si>
    <t>Data Security Access Control Based on Blockchain and Smart Contracts</t>
  </si>
  <si>
    <t>https://dl.acm.org/doi/abs/10.1145/3617733.3617774</t>
  </si>
  <si>
    <t>Performance and Scalability Analysis of Ethereum and Hyperledger Fabric</t>
  </si>
  <si>
    <t>https://d1wqtxts1xzle7.cloudfront.net/104912542/10171380-libre.pdf?1691705283=&amp;response-content-disposition=inline%3B+filename%3DPerformance_and_Scalability_Analysis_of.pdf&amp;Expires=1706525801&amp;Signature=OvpeOeXPZWppzTywf8kpKSvlY7bO9qCp1g3jutZQXA6jx1XJRFxLH8~L02J3AsErp4sb0sgVBOukXc~tvmid7oW9xaVom0O4q3FpTc52xHamtJta7id~p~ST6p7DUcNI-mik6yBDUDa2zjyJvHU59jJVnwQAaxgaf11KD21PzXuYGYYHK2ydS-My1O9EXo7-06UxbZzsKy5N5UltfDjxSJg1L8J6ky9imTI138zs7lPSbzBVf1ro6IyjCbwGA5TBjD9~khey2Bg~5iXWoMYAKB6LIQM8rkU-Z5g0wiSfgGJWJe4JrjMvoXBS4FOceAdPil~s2wWuCwjQdHTaMPqQEA__&amp;Key-Pair-Id=APKAJLOHF5GGSLRBV4ZA</t>
  </si>
  <si>
    <t>Validating and Enhancing Security of Certificates Using the Ethereum</t>
  </si>
  <si>
    <t>https://d1wqtxts1xzle7.cloudfront.net/100715724/D13042531-libre.pdf?1680685811=&amp;response-content-disposition=inline%3B+filename%3DValidating_and_Enhancing_Security_of_Cer.pdf&amp;Expires=1706525856&amp;Signature=fWSWcaXiFXwYwPafo0~qXIdJ0MPikHwwM2XIYfSVw0WxcUVJanrky1aS~xpSpxROHn9f1CgGtqHQALGSBkxolW9iHBJQKsG6WJAeO3-zTC9v1VcUx7gY1cv5Y0KkFSIw0gyGDY9WA8ynnpN0ATTGDUrIzrWyiucmTuyijCePXjd1iQFKEYxF59Jl7pdQ1I7ZfoeT4Q8XjQrLbOENe1WiuKdRYbWZKcMWSnapQLvUQAwDSbTxd5urjOdevB07EVoDJw7quyYt3LEeRy2pJZ3zE1brV6l6jgQMusMnzNgQEXWmRNOC1Jw5OSxPpVDHysB58iFRNeyP4F6XfwodN6Z9Xw__&amp;Key-Pair-Id=APKAJLOHF5GGSLRBV4ZA</t>
  </si>
  <si>
    <t>From business process to Corda R3: enforcing privity and security of smart contracts</t>
  </si>
  <si>
    <t>https://www.politesi.polimi.it/handle/10589/209991</t>
  </si>
  <si>
    <t>Kontrak Pintar: Analisis Syariah dan Parameter Smart Contract: Shariah Analysis and Parameter</t>
  </si>
  <si>
    <t>https://jurnalumran.utm.my/index.php/umran/article/view/638</t>
  </si>
  <si>
    <t>Sectoral Analysis of Block chain and Smart Contract Innovation in the European Union</t>
  </si>
  <si>
    <t>https://dk.upce.cz/handle/10195/82092</t>
  </si>
  <si>
    <t>Formalization and Verification of Data Auction Mechanism Based on Smart Contract Using CSP</t>
  </si>
  <si>
    <t>https://ksiresearch.org/seke/seke23paper/paper172.pdf</t>
  </si>
  <si>
    <t>https://papers.ssrn.com/sol3/papers.cfm?abstract_id=4326588</t>
  </si>
  <si>
    <t>A Survey Analysis on Decentralized Land Registry System Using Blockchain and Smart Contracts</t>
  </si>
  <si>
    <t>https://ieeexplore.ieee.org/abstract/document/10346967</t>
  </si>
  <si>
    <t>Ensuring Data Privacy in a Decentralized World: An Analysis of the Legal Challenges and Implications of Smart Contracts</t>
  </si>
  <si>
    <t>https://repository.usfca.edu/studentwork/13/</t>
  </si>
  <si>
    <t>SMART CONTRACTS: VULNERABILITIES AND REAL ATTACKS</t>
  </si>
  <si>
    <t>https://d1wqtxts1xzle7.cloudfront.net/66211551/IJARET_11_08_089-libre.pdf?1617893166=&amp;response-content-disposition=inline%3B+filename%3DSMART_CONTRACTS_VULNERABILITIES_AND_REAL.pdf&amp;Expires=1706192787&amp;Signature=QD1tsvlMNUKAMjrIFNLlZsn0pbxQkaB2YCT-cIaNDP25xHV93FgRWXB8TpIh36F7MDWcfxHNhDSubhSJ2E-sXN3LoMrYqkP7B~IntQgPStMkwSiJF-ec6lWzuRWjaHHmtVrnRXGlDnBq3h6Cq45Wo5ITGV5CntgoQDat3lMfJKsZXieH4enHjOKt6~qdX6tyukWujTs6FL2YluntLU2GwIq61INX6zrOpLvwwCUtBmDbCh2~S-X7GE5MklHssjSfiILQJdjhPqJ-iriUhsd5xFGmF-ikOq6vuDd7-Ubni6o3~JTlFfG4gSnJZlgpWc5NRiLpUPK8PkEmvKguJN8Aeg__&amp;Key-Pair-Id=APKAJLOHF5GGSLRBV4ZA</t>
  </si>
  <si>
    <t>Abusing the Ethereum Smart Contract Verification Services for Fun and Profit</t>
  </si>
  <si>
    <t>https://arxiv.org/abs/2307.00549</t>
  </si>
  <si>
    <t>Hide and Seek: An Adversarial Hiding Approach Against Phishing Detection on Ethereum</t>
  </si>
  <si>
    <t>https://ieeexplore.ieee.org/document/9893742</t>
  </si>
  <si>
    <t>Methodology and Analysis of Smart Contracts in Blockchain-Based International Trade Application</t>
  </si>
  <si>
    <t>https://arxiv.org/abs/2107.14140</t>
  </si>
  <si>
    <t>https://ieeexplore.ieee.org/abstract/document/9893742</t>
  </si>
  <si>
    <t>Prediction and analysis of illegal accounts on Ethereum based on Catboost algorithm</t>
  </si>
  <si>
    <t>https://ieeexplore.ieee.org/abstract/document/9758467</t>
  </si>
  <si>
    <t>Multifaceted Analysis of Malicious Ethereum Accounts and Corresponding Activities</t>
  </si>
  <si>
    <t>https://ieeexplore.ieee.org/abstract/document/9845313</t>
  </si>
  <si>
    <t>Static Profiling and Optimization of Ethereum Smart Contracts Using Resource Analysis</t>
  </si>
  <si>
    <t>https://ieeexplore.ieee.org/abstract/document/9348894</t>
  </si>
  <si>
    <t>A Comparative Analysis Between Hyperledger Fabric and Ethereum in Medical Sector: A Systematic Review</t>
  </si>
  <si>
    <t>https://link.springer.com/chapter/10.1007/978-981-16-6605-6_5</t>
  </si>
  <si>
    <t>Evolution of Smart Contracts- A Bibliometric Analysis and Review</t>
  </si>
  <si>
    <t>https://d1wqtxts1xzle7.cloudfront.net/89234242/Evolution_of_Smart_Contracts_A_Bibliometric_Analysis_and_Review-libre.pdf?1659530972=&amp;response-content-disposition=inline%3B+filename%3DEvolution_of_Smart_Contracts_A_Bibliomet.pdf&amp;Expires=1705937697&amp;Signature=DS2~nC228RbzPKT3wLB6uf2s1I8k-3KcwZo6Es1Cxl0bfOyJLMf7bokWL~UxAlCW2I7P6J4Gr1NCbgjrMMka9W5FrQE-zh7TFMZI2lPdS5mtmQupTAtI3GulybfzIlAOWlxSkk3lkNHAwZbb-gzIxus9Z9ZhMnCGa7ASLsxYlKXTgYyYXNddMFdwlB7DnPcJvBJW97XWRoQH5fDGcN9MvaG7VXeKmHwPgXs7z-QM3t6U7mM-9a9yMSXzNdE8kv~0xza5bCzftMYuE9cQIMz0PV~NqdnsFRPobRKa769T3hCjuH9nOzyCoQV3yIG7NKyVVdqe4o~GfUBZJyl15CmXtw__&amp;Key-Pair-Id=APKAJLOHF5GGSLRBV4ZA</t>
  </si>
  <si>
    <t>On the use of Petri Nets in Smart Contracts modeling, generation and verification</t>
  </si>
  <si>
    <t>https://ieeexplore.ieee.org/abstract/document/9825824?casa_token=8pf0iNNRR0QAAAAA:2o145aQjIEPrjATjhzVR2JvRiz4U1rZ3VGzZlYkhHAOMf_Y3f5T6NRoVIaFZ-8HKlkjap-I</t>
  </si>
  <si>
    <t>Demystifying Ethereum account diversity: observations, models and analysis</t>
  </si>
  <si>
    <t>https://link.springer.com/article/10.1007/s11704-021-0221-3</t>
  </si>
  <si>
    <t>Analysis, Evaluation and Benchmark The Ethereum Incentive Mechanism</t>
  </si>
  <si>
    <t>https://ieeexplore.ieee.org/abstract/document/9463723</t>
  </si>
  <si>
    <t>Using Automated Reasoning Techniques for Enhancing the Efficiency and Security of (Ethereum) Smart Contracts</t>
  </si>
  <si>
    <t>https://library.oapen.org/bitstream/handle/20.500.12657/57927/1/978-3-031-10769-6.pdf#page=16</t>
  </si>
  <si>
    <t>Smart Contract Obfuscation Technique to Enhance Code Security and Prevent Code Reusability</t>
  </si>
  <si>
    <t>https://www.mecs-press.org/ijmsc/ijmsc-v8-n3/IJMSC-V8-N3-3.pdf</t>
  </si>
  <si>
    <t>A Smart Contract Weakness and Security Hole Analyzer Using Virtual Machine Based Dynamic Monitor</t>
  </si>
  <si>
    <t>https://www.aasmr.org/liss/Vol.9/JLISS%20February%202022%20(2)/Vol.9No.01.04.pdf</t>
  </si>
  <si>
    <t>ROS-Ethereum: A Convenient Tool to Bridge ROS and Blockchain (Ethereum)</t>
  </si>
  <si>
    <t>https://www.hindawi.com/journals/scn/2022/7206494/</t>
  </si>
  <si>
    <t>Bubble detection in Bitcoin and Ethereum and its relationship with volatility regimes</t>
  </si>
  <si>
    <t>https://www.emerald.com/insight/content/doi/10.1108/JES-09-2021-0452/full/html</t>
  </si>
  <si>
    <t>An Analysis of Upgradeability, Oracles, and Stablecoins in the Ethereum Blockchain</t>
  </si>
  <si>
    <t>https://spectrum.library.concordia.ca/id/eprint/990541/</t>
  </si>
  <si>
    <t>Modeling and Security Verification of State-Based Smart Contracts</t>
  </si>
  <si>
    <t>https://www.sciencedirect.com/science/article/pii/S240589632202403X</t>
  </si>
  <si>
    <t>Tutela: An Open-Source Tool for Assessing User-Privacy on Ethereum and Tornado Cash</t>
  </si>
  <si>
    <t>https://arxiv.org/abs/2201.06811</t>
  </si>
  <si>
    <t>Graph Analysis of the Ethereum Blockchain Data: A Survey of Datasets, Methods, and Future Work</t>
  </si>
  <si>
    <t>https://ieeexplore.ieee.org/abstract/document/9881605</t>
  </si>
  <si>
    <t>An Empirical Study on Ethereum Private Transactions and the Security Implications</t>
  </si>
  <si>
    <t>https://arxiv.org/abs/2208.02858</t>
  </si>
  <si>
    <t>Formal Modeling and Verification of Smart Contracts with Spin</t>
  </si>
  <si>
    <t>https://www.mdpi.com/2079-9292/11/19/3091</t>
  </si>
  <si>
    <t>Electronic Healthcare Data Record Security Using Blockchain and Smart Contract</t>
  </si>
  <si>
    <t>https://www.hindawi.com/journals/js/2022/7299185/</t>
  </si>
  <si>
    <t>https://ieeexplore.ieee.org/abstract/document/9825824</t>
  </si>
  <si>
    <t>Verification and Validation for data marketplaces via a blockchain and smart contracts</t>
  </si>
  <si>
    <t>https://www.sciencedirect.com/science/article/pii/S2096720922000410</t>
  </si>
  <si>
    <t>Analysis and Design of Scalable Blockchain-based Smart Contract System for Smart Grid Monitoring and Control</t>
  </si>
  <si>
    <t>https://era.library.ualberta.ca/items/7f696f89-eb96-4a24-a418-da9f28a34dce</t>
  </si>
  <si>
    <t>Fast and Reliable Formal Verification of Smart Contracts with the Move Prover</t>
  </si>
  <si>
    <t>https://link.springer.com/chapter/10.1007/978-3-030-99524-9_10</t>
  </si>
  <si>
    <t>Automatic Monitoring System for Security Using IoT Devices and Smart Contracts</t>
  </si>
  <si>
    <t>https://link.springer.com/chapter/10.1007/978-3-030-99584-3_18</t>
  </si>
  <si>
    <t>Coalition Logic for Specification and Verification of Smart Contract Upgrades</t>
  </si>
  <si>
    <t>https://link.springer.com/chapter/10.1007/978-3-031-21203-1_34</t>
  </si>
  <si>
    <t>Using Amazon Managed Blockchain for ePHI An Analysis of Hyperledger Fabric and Ethereum</t>
  </si>
  <si>
    <t>https://ieeexplore.ieee.org/abstract/document/9817198</t>
  </si>
  <si>
    <t>Tainting in Smart Contracts: Combining Static and Runtime Verification</t>
  </si>
  <si>
    <t>https://link.springer.com/chapter/10.1007/978-3-031-17196-3_8</t>
  </si>
  <si>
    <t>An Automated Liver Disease Detection System using Machine Learning and Smart Contract</t>
  </si>
  <si>
    <t>https://ieeexplore.ieee.org/abstract/document/10080177</t>
  </si>
  <si>
    <t>Is the cryptocurrency market efficient? Evidence from an analysis of fundamental factors for Bitcoin and Ethereum</t>
  </si>
  <si>
    <t>https://sciendo.com/article/10.2478/ijme-2022-0030?tab=figures-tables</t>
  </si>
  <si>
    <t>An interpretable ensemble model framework for real-time anomaly detection and prediction of Ethereum blockchain transactions</t>
  </si>
  <si>
    <t>https://www.researchgate.net/profile/Sabri-Ahmad-Hisham/publication/377486941_An_interpretable_ensemble_model_framework_for_real-time_anomaly_detection_and_prediction_of_Ethereum_blockchain_transactions/links/65a92111a59bf45fc9d52ad7/An-interpretable-ensemble-model-framework-for-real-time-anomaly-detection-and-prediction-of-Ethereum-blockchain-transactions.pdf</t>
  </si>
  <si>
    <t>Analysis of Address Lifespans in Bitcoin and Ethereum</t>
  </si>
  <si>
    <t>https://ieeexplore.ieee.org/abstract/document/9959980</t>
  </si>
  <si>
    <t>Data Integrity Verification in Network Slicing using Oracles and Smart Contracts</t>
  </si>
  <si>
    <t>https://ieeexplore.ieee.org/abstract/document/9881858</t>
  </si>
  <si>
    <t>A Framework for Formal Transformation and Analysis of Smart Contract Code</t>
  </si>
  <si>
    <t>https://ieeexplore.ieee.org/abstract/document/9914429</t>
  </si>
  <si>
    <t>Analysis of Blockchain Technology and Security Principles in Cryptocurrency Transactions according to the perspective of Islamic Economics</t>
  </si>
  <si>
    <t>https://ejournal.staiduba.ac.id/index.php/taamul/article/view/2</t>
  </si>
  <si>
    <t>A Decentralised Real Estate Transfer Verification Based on Self-Sovereign Identity and Smart Contracts</t>
  </si>
  <si>
    <t>https://arxiv.org/abs/2207.04459</t>
  </si>
  <si>
    <t>Blockchain Security from the Bottom Up: Securing and Preventing Attacks on Cryptocurrencies, Decentralized Applications, NFTs, and Smart Contracts</t>
  </si>
  <si>
    <t>https://books.google.com/books?hl=it&amp;lr=&amp;id=5Ex-EAAAQBAJ&amp;oi=fnd&amp;pg=PT5&amp;dq=+(%E2%80%9Csmart+contract%E2%80%9D+OR+%E2%80%9Csmart+contracts%E2%80%9D+OR+Ethereum)+AND+(vulnerability+OR+vulnerabilities+OR+bug+OR+bugs+OR+security+OR+analysis+OR+detection+OR+tool+OR+verification)&amp;ots=riVAuaZI4b&amp;sig=Ya4XH0iHHDz-YREIYvmt7EJlLog</t>
  </si>
  <si>
    <t>Analysis of the Dynamic Characteristics of Bitcoin and Ethereum</t>
  </si>
  <si>
    <t>https://books.google.com/books?hl=it&amp;lr=&amp;id=jEqkEAAAQBAJ&amp;oi=fnd&amp;pg=PA65&amp;dq=+(%E2%80%9Csmart+contract%E2%80%9D+OR+%E2%80%9Csmart+contracts%E2%80%9D+OR+Ethereum)+AND+(vulnerability+OR+vulnerabilities+OR+bug+OR+bugs+OR+security+OR+analysis+OR+detection+OR+tool+OR+verification)&amp;ots=cthK1_9OHS&amp;sig=exUuPaVNM8sasA0tsgrRzKwY7Zw</t>
  </si>
  <si>
    <t>Bitcoin and Ethereum -- A Decade of Risk/Return Analysis</t>
  </si>
  <si>
    <t>https://papers.ssrn.com/sol3/papers.cfm?abstract_id=4193273</t>
  </si>
  <si>
    <t>GLOBAL ECONOMIC POLICY UNCERTAINTY AND ETHEREUM PRICE—A TIME-SERIES ANALYSIS FROM 2015 TO 2022</t>
  </si>
  <si>
    <t>https://www.atlantis-press.com/proceedings/msea-22/125982679</t>
  </si>
  <si>
    <t>DEEP LEARNING ETHEREUM TOKEN PRICE PREDICTION ON DYNAMIC NETWORK AND TIME SERIES ANALYSIS</t>
  </si>
  <si>
    <t>https://www.atlantis-press.com/proceedings/msea-22/125982733</t>
  </si>
  <si>
    <t>Machine Learning and the Network Analysis of Ethereum Trading Data</t>
  </si>
  <si>
    <t>https://digitalcommons.dartmouth.edu/senior_theses/265/</t>
  </si>
  <si>
    <t>A Recursive Descent Analysis-based Solution for Smart Contract Generation and Management</t>
  </si>
  <si>
    <t>https://ieeexplore.ieee.org/abstract/document/10086472</t>
  </si>
  <si>
    <t>Blockchain Application in Genomic Data Challenges and Use of Smart Contracts to Enhance Data Security: Review</t>
  </si>
  <si>
    <t>https://www.researchgate.net/profile/Okafor-Geraldine/publication/365039839_Blockchain_Application_in_Genomic_Data_Challenges_and_Use_of_Smart_Contracts_to_Enhance_Data_Security_Review/links/6363b6e537878b3e877bd07c/Blockchain-Application-in-Genomic-Data-Challenges-and-Use-of-Smart-Contracts-to-Enhance-Data-Security-Review.pdf</t>
  </si>
  <si>
    <t>A survey on security in consensus and smart contracts</t>
  </si>
  <si>
    <t>https://link.springer.com/article/10.1007/s12083-021-01268-2</t>
  </si>
  <si>
    <t>Development and Verification of Smart-Contracts for the ScientificCoin Platform</t>
  </si>
  <si>
    <t>https://ieeexplore.ieee.org/abstract/document/9507717</t>
  </si>
  <si>
    <t>Security and Privacy Smart Contract Architecture for Energy Trading based on Blockchains</t>
  </si>
  <si>
    <t>https://ieeexplore.ieee.org/abstract/document/9544155</t>
  </si>
  <si>
    <t>Bubble detection in Bitcoin and Ethereum and their relationship with volatility regimes</t>
  </si>
  <si>
    <t>https://www.anpec.org.br/encontro/2021/submissao/files_I/i8-0baa40fecb0cb1947c35cdc02eb3b753.pdf</t>
  </si>
  <si>
    <t>Towards Auto Contract Generation and Ensemble-based Smart Contract Vulnerability Detection</t>
  </si>
  <si>
    <t>https://hrcak.srce.hr/clanak/414268</t>
  </si>
  <si>
    <t>Multiple-Layer Security Threats on the Ethereum Blockchain and Their Countermeasures</t>
  </si>
  <si>
    <t>https://www.hindawi.com/journals/scn/2022/5307697/</t>
  </si>
  <si>
    <t>Smart Contract Migration: Security Analysis of Smart Contract Migration from Ethereum to Arbitrum</t>
  </si>
  <si>
    <t>https://arxiv.org/abs/2307.14773</t>
  </si>
  <si>
    <t>https://ieeexplore.ieee.org/abstract/document/10171380</t>
  </si>
  <si>
    <t>Token Spammers, Rug Pulls, and Sniper Bots: An Analysis of the Ecosystem of Tokens in Ethereum and in the Binance Smart Chain (BNB)</t>
  </si>
  <si>
    <t>https://www.usenix.org/conference/usenixsecurity23/presentation/cernera</t>
  </si>
  <si>
    <t>Ethereum-Based Information System for Digital Higher Education Registry and Verification of Student Achievement Documents</t>
  </si>
  <si>
    <t>https://www.mdpi.com/1999-5903/15/1/3</t>
  </si>
  <si>
    <t>Multi-Level Security in Healthcare by Integrating Lattice-Based Access Control and Blockchain- Based Smart Contracts System</t>
  </si>
  <si>
    <t>https://ieeexplore.ieee.org/abstract/document/10285844</t>
  </si>
  <si>
    <t>Fabric Smart Contract Read-After-Write Risk Detection Method Based on Key Methods and Call Chains</t>
  </si>
  <si>
    <t>https://link.springer.com/chapter/10.1007/978-3-031-28124-2_36</t>
  </si>
  <si>
    <t>Evaluation of Different Factors Affecting the Implementation of Smart Contract Technology Blockchain in Oil and Gas Companies: Moderating Role of Organizational Culture, Measurement Model, and Smart PLS-SEM Analysis</t>
  </si>
  <si>
    <t>https://papers.ssrn.com/sol3/papers.cfm?abstract_id=4560308</t>
  </si>
  <si>
    <t>A Comparative Study on Blockchain-based Electronic Health Record Systems: Performance, Privacy, and Security Between Hyperledger Fabric and Ethereum Frameworks</t>
  </si>
  <si>
    <t>https://digitalcommons.kennesaw.edu/msse_etd/7/</t>
  </si>
  <si>
    <t>Security Challenges and Opportunities for Smart Contracts in Internet of Things: A Survey</t>
  </si>
  <si>
    <t>https://ieeexplore.ieee.org/abstract/document/9409120</t>
  </si>
  <si>
    <t>The Analysis of the Roles of Bitcoin, Ethereum, and Gold as Hedge and Safe-Haven Assets on the Indonesian Stock Market before and during the COVID-19 Pandemic</t>
  </si>
  <si>
    <t>https://scholarhub.ui.ac.id/icmr/vol14/iss1/4/</t>
  </si>
  <si>
    <t>Analysis of Causality Between Bitcoin and Ethereum Using Transfer Entropy</t>
  </si>
  <si>
    <t>http://openaccess.iste.edu.tr/xmlui/handle/20.500.12508/2468</t>
  </si>
  <si>
    <t>Analysis of Smart Contracts, DLT and Fintech Laws in India</t>
  </si>
  <si>
    <t>https://heinonline.org/HOL/LandingPage?handle=hein.journals/injlolw6&amp;div=68&amp;id=&amp;page=</t>
  </si>
  <si>
    <t>Comparative Graph Analysis on Ethereum: ‘The Merge’ and Gas Price Prediction</t>
  </si>
  <si>
    <t>https://www.graphen.ai/course/bigdata/reports/202212-22.pdf</t>
  </si>
  <si>
    <t>Application Of Blockchain Technology Smart Contract and IOT to Monitor and Enhance Food Security in Katsina State</t>
  </si>
  <si>
    <t>https://nijocet.fud.edu.ng/wp-content/uploads/2023/09/NIJOCET-VOL2-ID006.pdf</t>
  </si>
  <si>
    <t>Sidechain testing system and method for improving security and stability of a smart contract by generating sidechains having mirror image accounts of part or all mainchain assets</t>
  </si>
  <si>
    <t>https://patents.google.com/patent/US11301361B2/en</t>
  </si>
  <si>
    <t>Smart Contract: Security and Privacy</t>
  </si>
  <si>
    <t>https://cdn.techscience.cn/ueditor/files/csse/TSP_CSSE-38-1/TSP_CSSE_15547/TSP_CSSE_15547.pdf</t>
  </si>
  <si>
    <t xml:space="preserve">Detecting Vulnerabilities in Smart Contract within Blockchain: A Review and Comparative Analysis of Key Approaches </t>
  </si>
  <si>
    <t>https://ieeexplore.ieee.org/stamp/stamp.jsp?tp=&amp;arnumber=9932169</t>
  </si>
  <si>
    <t>Smart contracts on the blockchain – A bibliometric analysis and review</t>
  </si>
  <si>
    <t>https://www.sciencedirect.com/science/article/pii/S0736585320301787</t>
  </si>
  <si>
    <t>Smart Contracts Security Application and Challenges: A Review</t>
  </si>
  <si>
    <t>https://ojs.wiserpub.com/index.php/CCDS/article/view/3271/1593</t>
  </si>
  <si>
    <t>Smart Contract in the Supply Chain – A Bibliometric Analysis and Review</t>
  </si>
  <si>
    <t>https://repository.ubaya.ac.id/43142/</t>
  </si>
  <si>
    <t>AN ANALYSIS OF BLOCKCHAIN TECHNOLOGY AND SMART CONTRACTS FOR BUILDING INFORMATION MODELING</t>
  </si>
  <si>
    <t>https://itcon.org/papers/2022_47-ITcon-Chung.pdf</t>
  </si>
  <si>
    <t>A review of Smart Contract Blockchain Based on Multi-Criteria Analysis: Challenges and Motivations</t>
  </si>
  <si>
    <t>https://arxiv.org/abs/2302.08496</t>
  </si>
  <si>
    <t>An Overview of Smart Contract in Blockchian Technology: Security and Platforms</t>
  </si>
  <si>
    <t>https://link.springer.com/chapter/10.1007/978-981-99-2443-1_14</t>
  </si>
  <si>
    <t>Ethereum Security Based on Blockchain Framework and its Algorithms and Components</t>
  </si>
  <si>
    <t>https://drpress.org/ojs/index.php/HSET/article/view/10348</t>
  </si>
  <si>
    <t>Blockchain-Powered Security and Transparency in Supply Chain: Exploring Traceability and Authenticity through Smart Contracts</t>
  </si>
  <si>
    <t>https://www.researchgate.net/profile/Abhijit-Pathak-8/publication/376787011_Blockchain-Powered_Security_and_Transparency_in_Supply_Chain_Exploring_Traceability_and_Authenticity_through_Smart_Contracts/links/6587b44f3c472d2e8e8242ac/Blockchain-Powered-Security-and-Transparency-in-Supply-Chain-Exploring-Traceability-and-Authenticity-through-Smart-Contracts.pdf</t>
  </si>
  <si>
    <t>A Vulnerability Detection Framework for Hyperledger Fabric Smart Contracts Based on Dynamic and Static Analysis</t>
  </si>
  <si>
    <t>https://dl.acm.org/doi/abs/10.1145/3530019.3531342?casa_token=9DDoe2yjtboAAAAA:XJBEeeUxKl4FQ5M9dzsWBcfQJJhXOsKbHdV21CQxSRYh7UoLEX-URQe_gtQH97nBe3eIIk_XO5U</t>
  </si>
  <si>
    <t>News Verification using Ethereum Smart Contract and Inter Planetary File System (IPFS)</t>
  </si>
  <si>
    <t>https://ieeexplore.ieee.org/abstract/document/9608826?casa_token=sqe-HBwD9OoAAAAA:FEFNa_Sf5sYwrQC-C9qZF7c_mCZ4UQyaegYX0CdAIHCMqnwcp_PkyrbuUTri7vnAvrqtl1c</t>
  </si>
  <si>
    <t>On security and reliability of smart contracts: the applications of dynamic specification mining on solidity</t>
  </si>
  <si>
    <t>https://dr.ntu.edu.sg/handle/10356/168560</t>
  </si>
  <si>
    <t>Apparatus and method for analyzing vulnerabilities of smart contract code</t>
  </si>
  <si>
    <t>https://patents.google.com/patent/US20230418951A1/en</t>
  </si>
  <si>
    <t>Review, Enhancement and Security Assessment of a Smart Contract Codebase Powering a Blockchain Payment Service</t>
  </si>
  <si>
    <t>https://www.politesi.polimi.it/handle/10589/215678</t>
  </si>
  <si>
    <t>Improving Coverage and Vulnerability Detection in Smart Contract Testing Using Self-Adaptive Learning GA</t>
  </si>
  <si>
    <t>https://www.tandfonline.com/doi/abs/10.1080/03772063.2023.2280672</t>
  </si>
  <si>
    <t>An analysis of the fees and pending time correlation in Ethereum</t>
  </si>
  <si>
    <t>https://onlinelibrary.wiley.com/doi/full/10.1002/nem.2113</t>
  </si>
  <si>
    <t>ANALYSIS AND SOLUTION OF EXPLOITING VULNERABILITIES OF SMART CONTRACTS IN DECENTRALIZED FINANCIAL APPLICATIONS</t>
  </si>
  <si>
    <t>https://cccisa.ccisa.org.tw/article/view/2532</t>
  </si>
  <si>
    <t>Prevention and Detection Mechanisms for Re-Entrancy Attack and King of Ether Throne Attack for Ethereum Smart Contracts.</t>
  </si>
  <si>
    <t>https://eds.p.ebscohost.com/eds/detail/detail?vid=0&amp;sid=2fd0b3bd-f636-468a-b6e7-55289a0f2a54%40redis&amp;bdata=JkF1dGhUeXBlPWlwLHNzbyZsYW5nPWl0JnNpdGU9ZWRzLWxpdmU%3d#AN=161257514&amp;db=bth</t>
  </si>
  <si>
    <t>SMART CONTRACT SECURITY PROTECTION AND DETECTION PLATFORM IMPLEMENTATION</t>
  </si>
  <si>
    <t>https://cccisa.ccisa.org.tw/article/view/2858</t>
  </si>
  <si>
    <t>Continuous vulnerability management system for blockchain smart contract based digital asset using sandbox and artificial intelligence</t>
  </si>
  <si>
    <t>https://patents.google.com/patent/US11526614B2/en</t>
  </si>
  <si>
    <t>Framework and Smart Contract for Blockchain Enabled Certificate Verification System Using Robotics</t>
  </si>
  <si>
    <t>https://link.springer.com/chapter/10.1007/978-981-16-0598-7_10</t>
  </si>
  <si>
    <t>Smart Contract Security Audit Trends and Services</t>
  </si>
  <si>
    <t>https://koreascience.kr/article/JAKO202334662410041.page</t>
  </si>
  <si>
    <t>Attack Vectors for Blockchain and Mapping OWASP Vulnerabilities to Smart Contracts</t>
  </si>
  <si>
    <t>https://www.worldscientific.com/doi/abs/10.1142/9789811205279_0006</t>
  </si>
  <si>
    <t>Practical smart contract sharding with ownership and commutativity analysis</t>
  </si>
  <si>
    <t>https://dl.acm.org/doi/abs/10.1145/3453483.3454112</t>
  </si>
  <si>
    <t>A Comparative and Comprehensive Analysis of Smart Contract Enabled Blockchain Applications</t>
  </si>
  <si>
    <t>https://www.researchgate.net/profile/Vishalkumar-Langaliya/publication/355045586_A_Comparative_and_Comprehensive_Analysis_of_Smart_Contract_Enabled_Blockchain_Applications_Smart_Contract_Enabled_Blockchain_Applications/links/62ff8097e3c7de4c3469f5e1/A-Comparative-and-Comprehensive-Analysis-of-Smart-Contract-Enabled-Blockchain-Applications-Smart-Contract-Enabled-Blockchain-Applications.pdf</t>
  </si>
  <si>
    <t>A Model for Verification and Validation of Law Compliance of Smart Contracts in IoT Environment</t>
  </si>
  <si>
    <t>https://ieeexplore.ieee.org/abstract/document/9349177</t>
  </si>
  <si>
    <t>A secure vehicle theft detection framework using Blockchain and smart contract</t>
  </si>
  <si>
    <t>https://link.springer.com/article/10.1007/s12083-020-01022-0</t>
  </si>
  <si>
    <t>https://ieeexplore.ieee.org/abstract/document/9608826</t>
  </si>
  <si>
    <t>Smart Contracts and DeFi Security and Threats</t>
  </si>
  <si>
    <t>https://link.springer.com/chapter/10.1007/978-3-031-23340-1_5</t>
  </si>
  <si>
    <t>Anonymity Analysis of Bitcoin, Zcash and Ethereum</t>
  </si>
  <si>
    <t>https://ieeexplore.ieee.org/abstract/document/9389894</t>
  </si>
  <si>
    <t>Cyber Security Intelligence and Ethereum Blockchain Technology for E-commerce</t>
  </si>
  <si>
    <t>https://d1wqtxts1xzle7.cloudfront.net/67889801/ijeter21972021-libre.pdf?1625557204=&amp;response-content-disposition=inline%3B+filename%3DCyber_Security_Intelligence_and_Ethereum.pdf&amp;Expires=1706267310&amp;Signature=SbiwhXbhSffZdoL-2IU9X2heBvs~DAPywwo~N7L~jZG5P~tLYVFZUMnqHZ8Sp31IpLW8PzIbyvHYPFwo2iEKGYzoSZNr91I8294p4hVG5f1j2uFHCYiuVXDC~ERjU2cjryopFYweGcUsuTH~qoKnRkfHLkID4ah-CTCsDGsabA-QhmxcCwnTyoPNMNiBs4jeCgb8YUSSE64X-WfKaIGa9VpIlwKBcug6MTtB-0Qoozu30Bx~vnI-MkQ8Ync~by1I7ngboVAgfNur5CA2oECXqXoO0t-pltrlVf3Zh6iUAa5n42x0MocTTiyL5eGw6hwnzW7agD9kcQT1k9oB9wRv8Q__&amp;Key-Pair-Id=APKAJLOHF5GGSLRBV4ZA</t>
  </si>
  <si>
    <t>Off-chain Execution and Verification of Computationally Intensive Smart Contracts</t>
  </si>
  <si>
    <t>https://ieeexplore.ieee.org/abstract/document/9461142ù</t>
  </si>
  <si>
    <t>System and method for improving security of smart contract on blockchain</t>
  </si>
  <si>
    <t>https://patents.google.com/patent/US11354727B2/en</t>
  </si>
  <si>
    <t>Introduction to Blockchain and Smart Contract – Principles, Applications, and Security</t>
  </si>
  <si>
    <t>https://www.taylorfrancis.com/chapters/edit/10.1201/9781003224075-9/introduction-blockchain-smart-contract-principles-applications-security-adarsh-singh-ananya-smirti-raghav-gupta-chamitha-de-alwis-anshuman-kalla</t>
  </si>
  <si>
    <t>Twitter Sentiment Data Analysis of User Behavior on Cryptocurrencies: Bitcoin and Ethereum</t>
  </si>
  <si>
    <t>https://www.igi-global.com/chapter/twitter-sentiment-data-analysis-of-user-behavior-on-cryptocurrencies/264943</t>
  </si>
  <si>
    <t>Deep-Dive Analysis of Selfish and Stubborn Mining in Bitcoin and Ethereum</t>
  </si>
  <si>
    <t>https://arxiv.org/abs/2112.02588</t>
  </si>
  <si>
    <t>Security Accreditation and Software Approval with Smart Contracts</t>
  </si>
  <si>
    <t>https://ieeexplore.ieee.org/abstract/document/9374640</t>
  </si>
  <si>
    <t>Detailed analysis of Ethereum network on transaction behavior, community structure and link prediction</t>
  </si>
  <si>
    <t>https://peerj.com/articles/cs-815/</t>
  </si>
  <si>
    <t>Blockchain and IOT Security–Can an Ethereum Blockchain be the solution for securing IOT devices</t>
  </si>
  <si>
    <t>https://norma.ncirl.ie/5097/1/jakemurphy.pdf</t>
  </si>
  <si>
    <t>Three technical aspects and security issues of Ethereum</t>
  </si>
  <si>
    <t>https://www.spiedigitallibrary.org/conference-proceedings-of-spie/12636/126362Z/Three-technical-aspects-and-security-issues-of-Ethereum/10.1117/12.2675425.short</t>
  </si>
  <si>
    <t>Smart Markers in Smart Contracts: Enabling Multiway Branching and Merging in Blockchain for Decentralized Runtime Verification</t>
  </si>
  <si>
    <t>https://ieeexplore.ieee.org/abstract/document/9346270</t>
  </si>
  <si>
    <t>Formal verification and code generation for solidity smart contracts</t>
  </si>
  <si>
    <t>https://www.sciencedirect.com/science/article/abs/pii/B9780323961462000280</t>
  </si>
  <si>
    <t>Ethereum-Based Certificate Creation and Verification Using Blockchain</t>
  </si>
  <si>
    <t>https://link.springer.com/chapter/10.1007/978-981-19-8338-2_28</t>
  </si>
  <si>
    <t>Ethereum Phishing Scam Detection based on Graph Embedding and Semi-Supervised Learning</t>
  </si>
  <si>
    <t>https://koreascience.kr/article/JAKO202315853501251.page</t>
  </si>
  <si>
    <t>Electronic document authenticity verification of diploma and transcript using smart contract on Ethereum blockchain</t>
  </si>
  <si>
    <t>https://journal.unipdu.ac.id/index.php/register/article/download/1959/1235</t>
  </si>
  <si>
    <t>Developing Business-Business Private Block-Chain Smart Contracts Using Hyper-Ledger Fabric for Security, Privacy and Transparency in Supply Chain</t>
  </si>
  <si>
    <t>https://link.springer.com/chapter/10.1007/978-981-16-2937-2_26</t>
  </si>
  <si>
    <t>Comparison and Analysis of Data and Transaction Structure of Bitcoin and Ethereum</t>
  </si>
  <si>
    <t>https://ieeexplore.ieee.org/abstract/document/9565661</t>
  </si>
  <si>
    <t>Methods and systems for smart contracts for security and filtering</t>
  </si>
  <si>
    <t>https://patents.google.com/patent/US11494764B2/en</t>
  </si>
  <si>
    <t>Systems and methods for vehicle configuration verification using smart contracts</t>
  </si>
  <si>
    <t>https://patents.google.com/patent/US11050849B1/en</t>
  </si>
  <si>
    <t>Enhancing Data Security in Smart Cities with a Smart Contract-based Architecture and Hyperledger Fabric</t>
  </si>
  <si>
    <t>https://www.researchsquare.com/article/rs-3747878/v1</t>
  </si>
  <si>
    <t>Analysis of the Feasibility of Smart Contracts in Mexico's Legal and Social Framework: A Study on the Future of Trade Agreements.</t>
  </si>
  <si>
    <t>https://eds.p.ebscohost.com/eds/detail/detail?vid=0&amp;sid=96d97792-cb53-4678-bede-db7772ab538c%40redis&amp;bdata=JkF1dGhUeXBlPWlwLHNzbyZsYW5nPWl0JnNpdGU9ZWRzLWxpdmU%3d#AN=174778270&amp;db=asx</t>
  </si>
  <si>
    <t>Time Constraint Patterns of Smart Contracts and Their Formal Verification</t>
  </si>
  <si>
    <t>https://www.jos.org.cn/josen/article/abstract/6603</t>
  </si>
  <si>
    <t>Analysis of Ethereum Transactions during the Prevention and Investigation of Criminal Offenses</t>
  </si>
  <si>
    <t>https://heinonline.org/HOL/LandingPage?handle=hein.journals/lwsfkhv2022&amp;div=81&amp;id=&amp;page=</t>
  </si>
  <si>
    <t>A Comparative Analysis of Bitcoin and Ethereum Blockchain</t>
  </si>
  <si>
    <t>https://ieeexplore.ieee.org/abstract/document/9724726</t>
  </si>
  <si>
    <t>Survey of Ethereum and Cardano with respect to security vulnerabilities</t>
  </si>
  <si>
    <t>https://dr.ntu.edu.sg/handle/10356/162925</t>
  </si>
  <si>
    <t>Comparative Analysis of Schnorr Digital Signature and ECDSA for Efficiency using Private Ethereum Network</t>
  </si>
  <si>
    <t>https://www.dbpia.co.kr/Journal/articleDetail?nodeId=NODE11100955</t>
  </si>
  <si>
    <t>Feeding Smart Contract Legal Requirements with Semantic and Event Detection Logic Structures from Modern Service Oriented Supply Chains</t>
  </si>
  <si>
    <t>https://papers.ssrn.com/sol3/papers.cfm?abstract_id=3876382</t>
  </si>
  <si>
    <t>Smart contract-based access control architecture and verification for internet of things</t>
  </si>
  <si>
    <t>http://www.joca.cn/EN/Y2022/V42/I6/1922</t>
  </si>
  <si>
    <t>The New Approach to the Architecture of Smart Contracts: Its Impact on Performance, Vulnerability, Pollution, and Energy Saving Optimization</t>
  </si>
  <si>
    <t>https://www.igi-global.com/chapter/the-new-approach-to-the-architecture-of-smart-contracts/324648</t>
  </si>
  <si>
    <t>Data control-oriented smart contract static analysis method and system</t>
  </si>
  <si>
    <t>https://patents.google.com/patent/US11036614B1/en</t>
  </si>
  <si>
    <t>Smart contracts functionality analysis and game-theoretic modeling</t>
  </si>
  <si>
    <t>https://pubs.aip.org/aip/acp/article/2383/1/070010/2820348/Smart-contracts-functionality-analysis-and-game</t>
  </si>
  <si>
    <t>Blockchain-Based Security and Privacy for Smart Contracts</t>
  </si>
  <si>
    <t>https://books.google.com/books?hl=it&amp;lr=&amp;id=ajZIEAAAQBAJ&amp;oi=fnd&amp;pg=PT286&amp;dq=+(%E2%80%9Csmart+contract%E2%80%9D+OR+%E2%80%9Csmart+contracts%E2%80%9D+OR+Ethereum)+AND+(vulnerability+OR+vulnerabilities+OR+bug+OR+bugs+OR+security+OR+analysis+OR+detection+OR+tool+OR+verification)&amp;ots=Guv8z9bcwJ&amp;sig=-Qs-GaQ61ERpbDYG-nLRrQey7Wc</t>
  </si>
  <si>
    <t>Smart Contract and DeFi Security: Insights from Tool Evaluations and Practitioner Surveys</t>
  </si>
  <si>
    <t>https://discovery.ucl.ac.uk/id/eprint/10182359/</t>
  </si>
  <si>
    <t>Review on blockchain smart contract vulnerability detection and automatic repair</t>
  </si>
  <si>
    <t>http://www.joca.cn/EN/abstract/abstract25613.shtml</t>
  </si>
  <si>
    <t>Blockchain and Ethereum Vulnerabilities</t>
  </si>
  <si>
    <t>https://digitalcommons.kennesaw.edu/undergradsymposiumksu/fall2023/presentations/82/</t>
  </si>
  <si>
    <t>Smart Contracts in the Civil Law Countries: The Legislative Analysis and Regulation Perspectives</t>
  </si>
  <si>
    <t>https://link.springer.com/chapter/10.1007/978-3-030-90513-2_16</t>
  </si>
  <si>
    <t>CROWDFUNDING SMART CONTRACT: SECURITY AND CHALLENGES</t>
  </si>
  <si>
    <t>https://www.researchgate.net/profile/Md-Ratul-Amin/publication/349473746_CROWDFUNDING_SMART_CONTRACT_SECURITY_AND_CHALLENGES/links/603f39fca6fdcc9c780c8781/CROWDFUNDING-SMART-CONTRACT-SECURITY-AND-CHALLENGES.pdf</t>
  </si>
  <si>
    <t>TRADING DATA ANALYSIS AND DETECTION OF SUCCESSFUL MARKET PARTICIPANTS IN ETHEREUM BLOCKCHAIN</t>
  </si>
  <si>
    <t>https://nur.nu.edu.kz/handle/123456789/5384</t>
  </si>
  <si>
    <t>Systems and methods of smart contract and distributed ledger platform with blockchain authenticity verification</t>
  </si>
  <si>
    <t>https://patents.google.com/patent/US11605124B2/en</t>
  </si>
  <si>
    <t>https://patents.google.com/patent/US11138597B2/en</t>
  </si>
  <si>
    <t>Methods and Systems for Smart Contracts for Security and Filtering</t>
  </si>
  <si>
    <t>https://patents.google.com/patent/US20220405744A1/en</t>
  </si>
  <si>
    <t>Improvements to parametric cost analysis and its application to smart contracts</t>
  </si>
  <si>
    <t>https://oa.upm.es/68767/</t>
  </si>
  <si>
    <t>https://patents.google.com/patent/US11580540B2/en</t>
  </si>
  <si>
    <t>Systems and methods for smart contract-based detection of authentication attacks</t>
  </si>
  <si>
    <t>https://patents.google.com/patent/US11411947B2/en</t>
  </si>
  <si>
    <t>Blockchain smart contract-based signature verification methods and systems</t>
  </si>
  <si>
    <t>https://patents.google.com/patent/US20210152369A1/en</t>
  </si>
  <si>
    <t>Impact of technology in the real estate sector. Analysis of blockchain and smart contracts implementation</t>
  </si>
  <si>
    <t>https://www.politesi.polimi.it/handle/10589/173329</t>
  </si>
  <si>
    <t>Improvements to Parametric Cost Analysis and its Application to Smart Contracts</t>
  </si>
  <si>
    <t>https://cliplab.org/~clip/papers/victor-perez:msc.pdf</t>
  </si>
  <si>
    <t>Time series and graph analysis of Ethereum blockchain</t>
  </si>
  <si>
    <t>https://dr.ntu.edu.sg/handle/10356/157055</t>
  </si>
  <si>
    <t>Exploring DLT and blockchain: A comparative analysis of Hedera, Bitcoin, Ethereum, and how they integrate with AI technologies</t>
  </si>
  <si>
    <t>https://policycommons.net/artifacts/11285548/exploring-dlt-and-blockchain/12170916/</t>
  </si>
  <si>
    <t>Analysis of the Ethereum Current Transaction Fee Mechanism and EIP 1559</t>
  </si>
  <si>
    <t>https://scholarship.claremont.edu/cmc_theses/2608/</t>
  </si>
  <si>
    <t>Design and Implementation of a Signaling Approach for the Detection of Net Neutrality Breaches using Blockchain-based Smart Contracts</t>
  </si>
  <si>
    <t>https://ederjohn.com/files/theses/MAP-D-Demeter-L-Muhamad.pdf</t>
  </si>
  <si>
    <t>A method and system for detecting and preventing issues in smart contracts based on historical behavior analysis</t>
  </si>
  <si>
    <t>https://patents.google.com/patent/US20210365555A1/en</t>
  </si>
  <si>
    <t>Enhancing the privacy and security of Hyperledger Fabric smart contracts using different encryption methods</t>
  </si>
  <si>
    <t>https://repository.tudelft.nl/islandora/object/uuid:dbf548c7-849f-4aad-b4b7-455ba4a1835d</t>
  </si>
  <si>
    <t>Formal verification method for certificate storage smart contract, computer device, and non-transitory computer-readable storage medium</t>
  </si>
  <si>
    <t>https://patents.google.com/patent/US20220294776A1/en</t>
  </si>
  <si>
    <t>Consensus and Forks of Blockchain:Analysis and Implications of The DAO's Impact on Ethereum</t>
  </si>
  <si>
    <t>https://journal05.magtech.org.cn/jweb_glpl/EN/abstract/abstract2205.shtml</t>
  </si>
  <si>
    <t>Analysis of Legality and Scope of Smart Contracts in India</t>
  </si>
  <si>
    <t>https://heinonline.org/HOL/LandingPage?handle=hein.journals/supami24&amp;div=111&amp;id=&amp;page=</t>
  </si>
  <si>
    <t>Smart Contract Performance Analysis and Computational Efficiency of A Hyperledger Blockchain Based Academic Certificate Verification System-HLFeCERT</t>
  </si>
  <si>
    <t>https://jslxxb.cn/index.php/jslxxb/article/view/4395</t>
  </si>
  <si>
    <t>Systems and Methods for Instant NFTs and Protection Structure, Detection of Malicious Code within Blockchain Smart Contracts, Tokens with Transfer Limitations, Mirror Tokens and Parallel Addresses, Smart Contract Risk Scoring Method, and Cross-Device Digital Rights Management</t>
  </si>
  <si>
    <t>https://patents.google.com/patent/US20230325814A1/en</t>
  </si>
  <si>
    <t>The linkage between Google search volume intensity and cryptocurrency trade volume: An analysis on bitcoin, ethereum, and cardano</t>
  </si>
  <si>
    <t>https://animorepository.dlsu.edu.ph/etdb_econ/47/</t>
  </si>
  <si>
    <t>Security Evaluation of GoQuorum-based Smart Contracts: A Case Study of Malfunctioning Access Control and Double-Spending</t>
  </si>
  <si>
    <t>https://repository.tudelft.nl/islandora/object/uuid:693159cd-8dee-453b-b7f6-f69dd1235b86</t>
  </si>
  <si>
    <t>The Analysis of Effective Factors on Virtual Currency Prices (A Case Study of Bitcoin and Ethereum)</t>
  </si>
  <si>
    <t>https://www.sid.ir/paper/1060154/en</t>
  </si>
  <si>
    <t>Smart contract research for data outlier detection and processing of ARIMA model</t>
  </si>
  <si>
    <t>https://www.earticle.net/Article/A430800</t>
  </si>
  <si>
    <t>https://www.earticle.net/Article/A421040</t>
  </si>
  <si>
    <t>DRIVERS AND BARRIERS TO THE ADOPTION OF SMART CONTRACTS IN THE CONSTRUCTION INDUSTRY: AN INSTITUTIONAL ANALYSIS</t>
  </si>
  <si>
    <t>https://scholarbank.nus.edu.sg/handle/10635/210232</t>
  </si>
  <si>
    <t>Smart detection of and templates for contract edits in a workflow</t>
  </si>
  <si>
    <t>https://www.freepatentsonline.com/11880650.html</t>
  </si>
  <si>
    <t>Demonstration of LegalHelper: A Low-cost tool for Smart Translation and Creation of Legal Contracts</t>
  </si>
  <si>
    <t>https://ieeexplore.ieee.org/abstract/document/10041386</t>
  </si>
  <si>
    <t>Sentiment analysis of crypto coin on twitter data using text mining method with k-means clustering case study: bitcoin, ethereum, and binance</t>
  </si>
  <si>
    <t>http://repository.uph.edu/48742/</t>
  </si>
  <si>
    <t>Benchmarking Ethereum security tools againstmajor smart contract pitfalls and errors</t>
  </si>
  <si>
    <t>https://dialnet.unirioja.es/servlet/articulo?codigo=9206663</t>
  </si>
  <si>
    <t>Pre-deployment Analysis of Smart Contracts -- A Survey</t>
  </si>
  <si>
    <t>https://arxiv.org/abs/2301.06079</t>
  </si>
  <si>
    <t>An Empirical Evaluation of the Effectiveness of Smart Contract Verification Tools</t>
  </si>
  <si>
    <t>https://ieeexplore.ieee.org/document/9667768</t>
  </si>
  <si>
    <t>Pacific Rim International Symposium on Dependable Computing</t>
  </si>
  <si>
    <t>Verifying Security Vulnerabilities for Blockchain-based Smart Contracts</t>
  </si>
  <si>
    <t>https://ieeexplore.ieee.org/document/9628229</t>
  </si>
  <si>
    <t>Brazilian Symposium on Computing System Engineering</t>
  </si>
  <si>
    <t>Ethereum Smart Contract Analysis Tools: A Systematic Review</t>
  </si>
  <si>
    <t>https://ieeexplore.ieee.org/document/9762279</t>
  </si>
  <si>
    <t>A systematic literature review of blockchain and smart contract development: Techniques, tools, and open challenges</t>
  </si>
  <si>
    <t>https://www.sciencedirect.com/science/article/pii/S0164121220302818</t>
  </si>
  <si>
    <t>Systematic Review of Security Vulnerabilities in Ethereum Blockchain Smart Contract</t>
  </si>
  <si>
    <t>https://ieeexplore.ieee.org/abstract/document/9667515</t>
  </si>
  <si>
    <t>SGUARD: Towards Fixing Vulnerable Smart Contracts Automatically</t>
  </si>
  <si>
    <t>https://ieeexplore.ieee.org/document/9519444</t>
  </si>
  <si>
    <t>IEEE Symposium on Security and Privacy</t>
  </si>
  <si>
    <t>Aroc: An Automatic Repair Framework for On-Chain Smart Contracts</t>
  </si>
  <si>
    <t>https://ieeexplore.ieee.org/abstract/document/9591399</t>
  </si>
  <si>
    <t>SC-VDM: A Lightweight Smart Contract Vulnerability Detection Model</t>
  </si>
  <si>
    <t>https://link.springer.com/chapter/10.1007/978-981-16-7476-1_13</t>
  </si>
  <si>
    <t xml:space="preserve"> Data Mining and Big Data</t>
  </si>
  <si>
    <t>Dynamic Vulnerability Detection on Smart Contracts Using Machine Learning</t>
  </si>
  <si>
    <t>https://dl.acm.org/doi/10.1145/3463274.3463348</t>
  </si>
  <si>
    <t>EASE</t>
  </si>
  <si>
    <t>CodeNet: Code-Targeted Convolutional Neural Network Architecture for Smart Contract Vulnerability Detection</t>
  </si>
  <si>
    <t>https://ieeexplore.ieee.org/document/9740682</t>
  </si>
  <si>
    <t>Vulpedia: Detecting vulnerable ethereum smart contracts via abstracted vulnerability signatures</t>
  </si>
  <si>
    <t>https://www.sciencedirect.com/science/article/pii/S0164121222001236</t>
  </si>
  <si>
    <t>Smart Contract Vulnerability Detection Model Based on Multi-Task Learning</t>
  </si>
  <si>
    <t>https://www.mdpi.com/1424-8220/22/5/1829</t>
  </si>
  <si>
    <t>Combine sliced joint graph with graph neural networks for smart contract vulnerability detection</t>
  </si>
  <si>
    <t>https://www.sciencedirect.com/science/article/pii/S0164121222002266</t>
  </si>
  <si>
    <t>SmartGraph: Static Analysis Tool for Solidity Smart Contracts</t>
  </si>
  <si>
    <t>https://link.springer.com/chapter/10.1007/978-3-031-37105-9_39</t>
  </si>
  <si>
    <t>Computational Science and Its Applications</t>
  </si>
  <si>
    <t>Multi-model Smart Contract Vulnerability Detection Based on BiGRU</t>
  </si>
  <si>
    <t>https://link.springer.com/chapter/10.1007/978-981-99-8132-8_1</t>
  </si>
  <si>
    <t>International Conference on Neural Information Processing</t>
  </si>
  <si>
    <t>DefectChecker: Automated Smart Contract Defect Detection by Analyzing EVM Bytecode</t>
  </si>
  <si>
    <t>https://ieeexplore.ieee.org/document/9337195</t>
  </si>
  <si>
    <t>ConFuzzius: A Data Dependency-Aware Hybrid Fuzzer for Smart Contracts</t>
  </si>
  <si>
    <t>https://ieeexplore.ieee.org/document/9581164</t>
  </si>
  <si>
    <t xml:space="preserve">IEEE European Symposium on Security and Privacy </t>
  </si>
  <si>
    <t>Combining Graph Neural Networks With Expert Knowledge for Smart Contract Vulnerability Detection</t>
  </si>
  <si>
    <t>https://ieeexplore.ieee.org/document/9477066</t>
  </si>
  <si>
    <t>https://www.sciencedirect.com/science/article/pii/S2214785321030273?via%3Dihub</t>
  </si>
  <si>
    <t>EtherSolve: Computing an Accurate Control-Flow Graph from Ethereum Bytecode</t>
  </si>
  <si>
    <t>https://ieeexplore.ieee.org/document/9462980</t>
  </si>
  <si>
    <t>IEEE/ACM International Conference on Program Comprehension</t>
  </si>
  <si>
    <t>DeeSCVHunter: A Deep Learning-Based Framework for Smart Contract Vulnerability Detection</t>
  </si>
  <si>
    <t>https://ieeexplore.ieee.org/document/9534324</t>
  </si>
  <si>
    <t>International Joint Conference on Neural Networks</t>
  </si>
  <si>
    <t>Eth2Vec: Learning Contract-Wide Code Representations for Vulnerability Detection on Ethereum Smart Contracts</t>
  </si>
  <si>
    <t>https://dl.acm.org/doi/10.1145/3457337.3457841</t>
  </si>
  <si>
    <t>International Symposium on Blockchain and Secure Critical Infrastructure</t>
  </si>
  <si>
    <t>VSCL: Automating Vulnerability Detection in Smart Contracts with Deep Learning</t>
  </si>
  <si>
    <t>https://ieeexplore.ieee.org/document/9461050</t>
  </si>
  <si>
    <t>IEEE International Conference on Blockchain and Cryptocurrency</t>
  </si>
  <si>
    <t>A security framework for Ethereum smart contracts</t>
  </si>
  <si>
    <t>https://www.sciencedirect.com/science/article/pii/S0140366421001043?via%3Dihub</t>
  </si>
  <si>
    <t>Computer Communications</t>
  </si>
  <si>
    <t>Smart Contract Vulnerability Detection Using Code Representation Fusion</t>
  </si>
  <si>
    <t>https://ieeexplore.ieee.org/document/9712091</t>
  </si>
  <si>
    <t>Asia-Pacific Conference on Software Engineering</t>
  </si>
  <si>
    <t>Full-Stack Hierarchical Fusion of Static Features for Smart Contracts Vulnerability Detection</t>
  </si>
  <si>
    <t>https://ieeexplore.ieee.org/document/9680540</t>
  </si>
  <si>
    <t>SmartGift: Learning to Generate Practical Inputs for Testing Smart Contracts</t>
  </si>
  <si>
    <t>https://ieeexplore.ieee.org/document/9609227</t>
  </si>
  <si>
    <t>International Conference on Software Maintenance</t>
  </si>
  <si>
    <t>Smart Contract Vulnerability Detection Based on Multi-Scale Encoders</t>
  </si>
  <si>
    <t>https://www.mdpi.com/2079-9292/13/3/489</t>
  </si>
  <si>
    <t>WANA: Symbolic Execution of Wasm Bytecode for Extensible Smart Contract Vulnerability Detection</t>
  </si>
  <si>
    <t>https://ieeexplore.ieee.org/document/9724855</t>
  </si>
  <si>
    <t>IEEE International Conference on Software Quality, Reliability and Security</t>
  </si>
  <si>
    <t>ReDetect: Reentrancy Vulnerability Detection in Smart Contracts with High Accuracy</t>
  </si>
  <si>
    <t>https://ieeexplore.ieee.org/document/9751549</t>
  </si>
  <si>
    <t>International Conference on Mobile Ad-hoc and Sensor Networks, MSN</t>
  </si>
  <si>
    <t>VulHunter: Hunting Vulnerable Smart Contracts at EVM Bytecode-Level via Multiple Instance Learning</t>
  </si>
  <si>
    <t>https://ieeexplore.ieee.org/abstract/document/10261219</t>
  </si>
  <si>
    <t>SmartScan: An approach to detect Denial of Service Vulnerability in Ethereum Smart Contracts</t>
  </si>
  <si>
    <t>https://ieeexplore.ieee.org/document/9474789</t>
  </si>
  <si>
    <t>IEEE/ACM International Workshop on Emerging Trends in Software Engineering for Blockchain (WETSEB)</t>
  </si>
  <si>
    <t>ReDefender: A Tool for Detecting Reentrancy Vulnerabilities in Smart Contracts Effectively</t>
  </si>
  <si>
    <t>https://ieeexplore.ieee.org/document/9724842</t>
  </si>
  <si>
    <t>IEEE International Conference on Software Quality, Reliability and Security (QRS)</t>
  </si>
  <si>
    <t>Toward Vulnerability Detection for Ethereum Smart Contracts Using Graph-Matching Network</t>
  </si>
  <si>
    <t>https://www.mdpi.com/1999-5903/14/11/326</t>
  </si>
  <si>
    <t>Future Internet</t>
  </si>
  <si>
    <t>A Novel Machine Learning-Based Analysis Model for Smart Contract Vulnerability</t>
  </si>
  <si>
    <t>https://www.hindawi.com/journals/scn/2021/5798033/</t>
  </si>
  <si>
    <t>Security and Communication Networks</t>
  </si>
  <si>
    <t>Green Balanced Scorecard: A Tool of Sustainable Information Systems for an Energy Efficient Business</t>
  </si>
  <si>
    <t>https://www.mdpi.com/1996-1073/16/18/6432</t>
  </si>
  <si>
    <t>INCHAIN: a cyber insurance architecture with smart contracts and self-sovereign identity on top of blockchain</t>
  </si>
  <si>
    <t>https://link.springer.com/article/10.1007/s10207-023-00741-8</t>
  </si>
  <si>
    <t>Use of Graph Neural Networks in Aiding Defensive Cyber Operations</t>
  </si>
  <si>
    <t>https://arxiv.org/abs/2401.05680</t>
  </si>
  <si>
    <t>Smart Contracts and International Trade: European Legal Strategies for Managing Challenges</t>
  </si>
  <si>
    <t>https://cyberleninka.ru/article/n/smart-contracts-and-international-trade-european-legal-strategies-for-managing-challenges</t>
  </si>
  <si>
    <t>A Framework for Effective Smart Contracting</t>
  </si>
  <si>
    <t>https://blr.flaw.uniba.sk/index.php/BLR/article/view/511</t>
  </si>
  <si>
    <t>A survey on ethereum smart contract vulnerability detection using machine learning</t>
  </si>
  <si>
    <t>https://www.spiedigitallibrary.org/conference-proceedings-of-spie/12117/121170C/A-survey-on-ethereum-smart-contract-vulnerability-detection-using-machine/10.1117/12.2618899.short#_=_</t>
  </si>
  <si>
    <t>Secure and privacy-preserving crowdsensing using smart contracts: Issues and solutions</t>
  </si>
  <si>
    <t>https://www.sciencedirect.com/science/article/pii/S1574013721000873</t>
  </si>
  <si>
    <t>A comprehensive survey on smart contract construction and execution: paradigms, tools, and systems</t>
  </si>
  <si>
    <t>https://www.sciencedirect.com/science/article/pii/S2666389920302439?via%3Dihub</t>
  </si>
  <si>
    <t>InvCon: A Dynamic Invariant Detector for Ethereum Smart Contracts</t>
  </si>
  <si>
    <t>https://dl.acm.org/doi/10.1145/3551349.3559539</t>
  </si>
  <si>
    <t>Empirical evaluation of smart contract testing: what is the best choice?</t>
  </si>
  <si>
    <t>https://dl.acm.org/doi/10.1145/3460319.3464837</t>
  </si>
  <si>
    <t>Smart Contract Security: A Practitioners' Perspective: The Artifact of a Paper Accepted in the 43rd IEEE/ACM International Conference on Software Engineering (ICSE 2021)</t>
  </si>
  <si>
    <t>https://ieeexplore.ieee.org/document/9402512</t>
  </si>
  <si>
    <t>DeFiRanger: Detecting Price Manipulation Attacks on DeFi Applications</t>
  </si>
  <si>
    <t>https://arxiv.org/abs/2104.15068</t>
  </si>
  <si>
    <t>The DAO Induction Attack: Analysis and Countermeasure</t>
  </si>
  <si>
    <t>https://ieeexplore.ieee.org/document/9524336</t>
  </si>
  <si>
    <t>A Systematic Overview of Blockchain Research</t>
  </si>
  <si>
    <t>https://www.degruyter.com/document/doi/10.21078/JSSI-2021-205-34/html</t>
  </si>
  <si>
    <t>Smart Contract Vulnerability Detection: From Pure Neural Network to Interpretable Graph Feature and Expert Pattern Fusion</t>
  </si>
  <si>
    <t>https://www.ijcai.org/proceedings/2021/379</t>
  </si>
  <si>
    <t>SCStudio: a secure and efficient integrated development environment for smart contracts</t>
  </si>
  <si>
    <t>https://dl.acm.org/doi/10.1145/3460319.3469078</t>
  </si>
  <si>
    <t>Vulnerability Assessment on Ethereum Based Smart Contract Applications</t>
  </si>
  <si>
    <t>https://ieeexplore.ieee.org/document/9495892</t>
  </si>
  <si>
    <t>Lightweight extension of an execution environment for safer function calls in Solidity/Ethereum Virtual Machine smart contracts</t>
  </si>
  <si>
    <t>https://ieeexplore.ieee.org/document/9425913</t>
  </si>
  <si>
    <t>Checking Smart Contracts With Structural Code Embedding</t>
  </si>
  <si>
    <t>https://ieeexplore.ieee.org/document/8979435</t>
  </si>
  <si>
    <t>Rethinking of Reentrancy on the Ethereum</t>
  </si>
  <si>
    <t>https://ieeexplore.ieee.org/document/9730357</t>
  </si>
  <si>
    <t>Increasing Fuzz Testing Coverage for Smart Contracts with Dynamic Taint Analysis</t>
  </si>
  <si>
    <t>https://ieeexplore.ieee.org/document/9724805</t>
  </si>
  <si>
    <t>Security reinforcement for Ethereum virtual machine</t>
  </si>
  <si>
    <t>https://www.sciencedirect.com/science/article/pii/S0306457321000674?via%3Dihub</t>
  </si>
  <si>
    <t>Assessing Smart Contracts Security Technical Debts</t>
  </si>
  <si>
    <t>https://ieeexplore.ieee.org/document/9463047</t>
  </si>
  <si>
    <t>Solidifier: bounded model checking solidity using lazy contract deployment and precise memory modelling</t>
  </si>
  <si>
    <t>https://dl.acm.org/doi/10.1145/3412841.3442051</t>
  </si>
  <si>
    <t>Attention-based Machine Learning Model for Smart Contract Vulnerability Detection</t>
  </si>
  <si>
    <t>https://iopscience.iop.org/article/10.1088/1742-6596/1820/1/012004</t>
  </si>
  <si>
    <t>Smart Contracts on the Blockchain–A Bibliometric Analysis and Review</t>
  </si>
  <si>
    <t>https://www.sciencedirect.com/science/article/pii/S0736585320301787?via%3Dihub</t>
  </si>
  <si>
    <t>A Survey on Formal Verification for Solidity Smart Contracts</t>
  </si>
  <si>
    <t>https://dl.acm.org/doi/10.1145/3437378.3437879</t>
  </si>
  <si>
    <t>echidna-parade: a tool for diverse multicore smart contract fuzzing</t>
  </si>
  <si>
    <t>https://dl.acm.org/doi/10.1145/3460319.3469076</t>
  </si>
  <si>
    <t>ETHEREUM: A SECURE DECENTRALISED GENERALISED TRANSACTION LEDGER</t>
  </si>
  <si>
    <t>https://ethereum.github.io/yellowpaper/paper.pdf</t>
  </si>
  <si>
    <t>Unmanned Aerial Vehicles Traffic Management Solution Using Crowd-Sensing and Blockchain</t>
  </si>
  <si>
    <t>https://ieeexplore.ieee.org/abstract/document/9868084</t>
  </si>
  <si>
    <t>A fly in the ointment: an empirical study on the characteristics of Ethereum smart contract code weaknesses</t>
  </si>
  <si>
    <t>https://link.springer.com/article/10.1007/s10664-023-10398-5</t>
  </si>
  <si>
    <t>BISCUIT - Blockchain Security Incident Reporting based on Human Observations</t>
  </si>
  <si>
    <t>https://dl.acm.org/doi/abs/10.1145/3538969.3538984</t>
  </si>
  <si>
    <t>Finding Unchecked Low-Level Calls with Zero False Positives and Negatives in Ethereum Smart Contracts</t>
  </si>
  <si>
    <t>https://link.springer.com/chapter/10.1007/978-3-031-30122-3_19</t>
  </si>
  <si>
    <t>Exploring Deep Learning for Vulnerability Detection in Smart Contracts</t>
  </si>
  <si>
    <t>https://soar.suny.edu/handle/20.500.12648/8620</t>
  </si>
  <si>
    <t>A Solicitous Approach to Smart Contract Verification</t>
  </si>
  <si>
    <t>https://dl.acm.org/doi/10.1145/3564699</t>
  </si>
  <si>
    <t>ACM Transactions on Privacy and Security</t>
  </si>
  <si>
    <t>Elysium: Context-Aware Bytecode-Level Patching to Automatically Heal Vulnerable Smart Contracts</t>
  </si>
  <si>
    <t>https://dl.acm.org/doi/10.1145/3545948.3545975</t>
  </si>
  <si>
    <t>RAID '22: Proceedings of the 25th International Symposium on Research in Attacks, Intrusions and Defenses</t>
  </si>
  <si>
    <t>Modelling a Blockchain for Smart Contract Verification using DeepSEA</t>
  </si>
  <si>
    <t>https://dl.acm.org/doi/10.1145/3563822.3568011</t>
  </si>
  <si>
    <t>FTSCS 2022: Proceedings of the 8th ACM SIGPLAN International Workshop on Formal Techniques for Safety-Critical Systems</t>
  </si>
  <si>
    <t>Predicate abstractions for smart contract validation</t>
  </si>
  <si>
    <t>https://dl.acm.org/doi/10.1145/3550355.3552462</t>
  </si>
  <si>
    <t>MODELS '22: Proceedings of the 25th International Conference on Model Driven Engineering Languages and Systems</t>
  </si>
  <si>
    <t>SynTest-solidity: automated test case generation and fuzzing for smart contracts</t>
  </si>
  <si>
    <t>https://dl.acm.org/doi/10.1145/3510454.3516869</t>
  </si>
  <si>
    <t>ICSE '22: Proceedings of the ACM/IEEE 44th International Conference on Software Engineering: Companion Proceedings</t>
  </si>
  <si>
    <t>An Analysis of Important Factors Affecting the Success of Blockchain Smart Contract Security Vulnerability Scanning Tools</t>
  </si>
  <si>
    <t>https://dl.acm.org/doi/10.1145/3594556.3594615</t>
  </si>
  <si>
    <t>BSCI '23: Proceedings of the 5th ACM International Symposium on Blockchain and Secure Critical Infrastructure</t>
  </si>
  <si>
    <t>Turn the Rudder: A Beacon of Reentrancy Detection for Smart Contracts on Ethereum</t>
  </si>
  <si>
    <t>https://dl.acm.org/doi/10.1109/ICSE48619.2023.00036</t>
  </si>
  <si>
    <t>ICSE '23: Proceedings of the 45th International Conference on Software Engineering</t>
  </si>
  <si>
    <t>Testing Smart Contracts: Which Technique Performs Best?</t>
  </si>
  <si>
    <t>https://dl.acm.org/doi/10.1145/3475716.3475779</t>
  </si>
  <si>
    <t>ESEM '21: Proceedings of the 15th ACM / IEEE International Symposium on Empirical Software Engineering and Measurement</t>
  </si>
  <si>
    <t>Smart contract vulnerability detection based on variant LSTM</t>
  </si>
  <si>
    <t>https://dl.acm.org/doi/10.1145/3588340.3588369</t>
  </si>
  <si>
    <t>ICBICC '22: Proceedings of the 2022 International Conference on Big Data, IoT, and Cloud Computing</t>
  </si>
  <si>
    <t>Cross-Modality Mutual Learning for Enhancing Smart Contract Vulnerability Detection on Bytecode</t>
  </si>
  <si>
    <t>https://dl.acm.org/doi/10.1145/3543507.3583367</t>
  </si>
  <si>
    <t>WWW '23: Proceedings of the ACM Web Conference 2023</t>
  </si>
  <si>
    <t>SmartState: Detecting State-Reverting Vulnerabilities in Smart Contracts via Fine-Grained State-Dependency Analysis</t>
  </si>
  <si>
    <t>https://dl.acm.org/doi/10.1145/3597926.3598111</t>
  </si>
  <si>
    <t>ISSTA 2023: Proceedings of the 32nd ACM SIGSOFT International Symposium on Software Testing and Analysis</t>
  </si>
  <si>
    <t>Vulnerable Smart Contract Detection by Means of Model Checking</t>
  </si>
  <si>
    <t>https://dl.acm.org/doi/10.1145/3494106.3528672</t>
  </si>
  <si>
    <t>BSCI '22: Proceedings of the Fourth ACM International Symposium on Blockchain and Secure Critical Infrastructure</t>
  </si>
  <si>
    <t>Siguard: Detecting Signature-Related Vulnerabilities in Smart Contracts</t>
  </si>
  <si>
    <t>https://dl.acm.org/doi/10.1109/ICSE-Companion58688.2023.00019</t>
  </si>
  <si>
    <t>ICSE '23: Proceedings of the 45th International Conference on Software Engineering: Companion Proceedings</t>
  </si>
  <si>
    <t>AChecker: Statically Detecting Smart Contract Access Control Vulnerabilities</t>
  </si>
  <si>
    <t>https://dl.acm.org/doi/10.1109/ICSE48619.2023.00087</t>
  </si>
  <si>
    <t>Smart Contract Symbol Execution Vulnerability Detection Method Based on CFG Path Pruning</t>
  </si>
  <si>
    <t>https://dl.acm.org/doi/10.1145/3594556.3594618</t>
  </si>
  <si>
    <t>Cross-contract static analysis for detecting practical reentrancy vulnerabilities in smart contracts</t>
  </si>
  <si>
    <t>https://dl.acm.org/doi/10.1145/3324884.3416553</t>
  </si>
  <si>
    <t>ASE '20: Proceedings of the 35th IEEE/ACM International Conference on Automated Software Engineering</t>
  </si>
  <si>
    <t>Park: accelerating smart contract vulnerability detection via parallel-fork symbolic execution</t>
  </si>
  <si>
    <t>https://dl.acm.org/doi/10.1145/3533767.3534395</t>
  </si>
  <si>
    <t>ISSTA 2022: Proceedings of the 31st ACM SIGSOFT International Symposium on Software Testing and Analysis</t>
  </si>
  <si>
    <t>SmartFix: Fixing Vulnerable Smart Contracts by Accelerating Generate-and-Verify Repair using Statistical Models</t>
  </si>
  <si>
    <t>https://dl.acm.org/doi/10.1145/3611643.3616341</t>
  </si>
  <si>
    <t>ESEC/FSE 2023: Proceedings of the 31st ACM Joint European Software Engineering Conference and Symposium on the Foundations of Software Engineering</t>
  </si>
  <si>
    <t>eTainter: detecting gas-related vulnerabilities in smart contracts</t>
  </si>
  <si>
    <t>https://dl.acm.org/doi/10.1145/3533767.3534378</t>
  </si>
  <si>
    <t>Uncovering Smart Contract VM Bugs Via Differential Fuzzing</t>
  </si>
  <si>
    <t>https://dl.acm.org/doi/10.1145/3503921.3503923</t>
  </si>
  <si>
    <t>ROOTS'21: Reversing and Offensive-oriented Trends Symposium</t>
  </si>
  <si>
    <t>EOSFuzzer: Fuzzing EOSIO Smart Contracts for Vulnerability Detection</t>
  </si>
  <si>
    <t>https://dl.acm.org/doi/10.1145/3457913.3457920</t>
  </si>
  <si>
    <t>Internetware '20: Proceedings of the 12th Asia-Pacific Symposium on Internetware</t>
  </si>
  <si>
    <t>https://dl.acm.org/doi/10.1145/3607947.3608069</t>
  </si>
  <si>
    <t>Demystifying Exploitable Bugs in Smart Contracts</t>
  </si>
  <si>
    <t>https://dl.acm.org/doi/10.1109/ICSE48619.2023.00061</t>
  </si>
  <si>
    <t>International Conference on Software Engineering</t>
  </si>
  <si>
    <t>Towards Effective Static Analysis Approaches for Security Vulnerabilities in Smart Contracts</t>
  </si>
  <si>
    <t>https://dl.acm.org/doi/10.1145/3551349.3559567</t>
  </si>
  <si>
    <t>ASE '22: Proceedings of the 37th IEEE/ACM International Conference on Automated Software Engineering</t>
  </si>
  <si>
    <t>Research on Blockchain Smart Contracts Vulnerability and A Code Audit Tool based on Matching Rules</t>
  </si>
  <si>
    <t>https://dl.acm.org/doi/10.1145/3444370.3444617</t>
  </si>
  <si>
    <t>CIAT 2020: Proceedings of the 2020 International Conference on Cyberspace Innovation of Advanced Technologies</t>
  </si>
  <si>
    <t>Finding permission bugs in smart contracts with role mining</t>
  </si>
  <si>
    <t>https://dl.acm.org/doi/10.1145/3533767.3534372</t>
  </si>
  <si>
    <t>Model checking of vulnerabilities in smart contracts: a solidity-to-CPN approach</t>
  </si>
  <si>
    <t>https://dl.acm.org/doi/10.1145/3477314.3507309</t>
  </si>
  <si>
    <t>SAC '22: Proceedings of the 37th ACM/SIGAPP Symposium on Applied Computing</t>
  </si>
  <si>
    <t>Smart Contracts Vulnerability Classification through Deep Learning</t>
  </si>
  <si>
    <t>https://dl.acm.org/doi/10.1145/3560905.3568175</t>
  </si>
  <si>
    <t>SenSys '22: Proceedings of the 20th ACM Conference on Embedded Networked Sensor Systems</t>
  </si>
  <si>
    <t>Poster: A Privacy-Preserving Smart Contract Vulnerability Detection Framework for Permissioned Blockchain</t>
  </si>
  <si>
    <t>https://dl.acm.org/doi/10.1145/3576915.3624366</t>
  </si>
  <si>
    <t>CCS '23: Proceedings of the 2023 ACM SIGSAC Conference on Computer and Communications Security</t>
  </si>
  <si>
    <t>WASAI: uncovering vulnerabilities in Wasm smart contracts</t>
  </si>
  <si>
    <t>https://dl.acm.org/doi/10.1145/3533767.3534218</t>
  </si>
  <si>
    <t>SmartMark: Software Watermarking Scheme for Smart Contracts</t>
  </si>
  <si>
    <t>https://dl.acm.org/doi/10.1109/ICSE48619.2023.00035</t>
  </si>
  <si>
    <t>Smart Contract based Skill Verification System for Recruitment</t>
  </si>
  <si>
    <t>https://dl.acm.org/doi/10.1145/3607947.3607973</t>
  </si>
  <si>
    <t>Toward Automated Detecting Unanticipated Price Feed in Smart Contract</t>
  </si>
  <si>
    <t>https://dl.acm.org/doi/10.1145/3597926.3598133</t>
  </si>
  <si>
    <t>Lanturn: Measuring Economic Security of Smart Contracts Through Adaptive Learning</t>
  </si>
  <si>
    <t>https://dl.acm.org/doi/10.1145/3576915.3623204</t>
  </si>
  <si>
    <t>Identifying Solidity Smart Contract API Documentation Errors</t>
  </si>
  <si>
    <t>https://dl.acm.org/doi/10.1145/3551349.3556963</t>
  </si>
  <si>
    <t>Towards Assessing the Real-World Impact of Defects in Blockchain-Based Smart Contracts</t>
  </si>
  <si>
    <t>https://dl.acm.org/doi/10.1145/3617572.3617880</t>
  </si>
  <si>
    <t>Smart contract testing: challenges and opportunities</t>
  </si>
  <si>
    <t>https://dl.acm.org/doi/10.1145/3528226.3528370</t>
  </si>
  <si>
    <t>SmartFuzzDriverGen: Smart Contract Fuzzing Automation for Golang</t>
  </si>
  <si>
    <t>https://dl.acm.org/doi/10.1145/3578527.3578538</t>
  </si>
  <si>
    <t>Effectively Generating Vulnerable Transaction Sequences in Smart Contracts with Reinforcement Learning-guided Fuzzing</t>
  </si>
  <si>
    <t>https://dl.acm.org/doi/10.1145/3551349.3560429</t>
  </si>
  <si>
    <t>ItyFuzz: Snapshot-Based Fuzzer for Smart Contract</t>
  </si>
  <si>
    <t>https://dl.acm.org/doi/10.1145/3597926.3598059</t>
  </si>
  <si>
    <t>Automated Generation of Security-Centric Descriptions for Smart Contract Bytecode</t>
  </si>
  <si>
    <t>https://dl.acm.org/doi/10.1145/3597926.3598132</t>
  </si>
  <si>
    <t>Preserving Privacy of Vulnerable Users across Heterogeneous Sensitive Sensor Data Streams using Smart Contracts</t>
  </si>
  <si>
    <t>https://dl.acm.org/doi/10.1145/3628354.3629532</t>
  </si>
  <si>
    <t>TransRacer: Function Dependence-Guided Transaction Race Detection for Smart Contracts</t>
  </si>
  <si>
    <t>https://dl.acm.org/doi/10.1145/3611643.3616281</t>
  </si>
  <si>
    <t>Can Neural Networks Help Smart Contract Testing? An Empirical Study</t>
  </si>
  <si>
    <t>https://dl.acm.org/doi/10.1145/3609437.3609455</t>
  </si>
  <si>
    <t>Transactional Cross-Chain Smart Contract Invocations</t>
  </si>
  <si>
    <t>https://dl.acm.org/doi/10.1145/3616023</t>
  </si>
  <si>
    <t>Formal Verification of Smart Contract Based on Timed Colored Petri Net</t>
  </si>
  <si>
    <t>https://dl.acm.org/doi/10.1145/3579895.3579943</t>
  </si>
  <si>
    <t>Smart Contract Based Honey Production Supply Chain</t>
  </si>
  <si>
    <t>https://dl.acm.org/doi/10.1145/3581971.3581981</t>
  </si>
  <si>
    <t>Asparagus: Automated Synthesis of Parametric Gas Upper-Bounds for Smart Contracts</t>
  </si>
  <si>
    <t>https://dl.acm.org/doi/10.1145/3622829</t>
  </si>
  <si>
    <t>A Unified Specification Mining Framework for Smart Contracts</t>
  </si>
  <si>
    <t>https://dl.acm.org/doi/10.1145/3551349.3559512</t>
  </si>
  <si>
    <t>Can Smart Contracts Become Smart?: An Overview of Transaction Impact on Ethereum DApp Engineering</t>
  </si>
  <si>
    <t>https://dl.acm.org/doi/10.1145/3631310.3633492</t>
  </si>
  <si>
    <t>DCSS: A Smart Contract-based Data Continuous Storage Scheme</t>
  </si>
  <si>
    <t>https://dl.acm.org/doi/10.1145/3594556.3594610</t>
  </si>
  <si>
    <t>Goal Driven Code Generation for Smart Contract Assemblies</t>
  </si>
  <si>
    <t>https://dl.acm.org/doi/10.1145/3587828.3587846</t>
  </si>
  <si>
    <t>A smart contracts repository for top trending contracts</t>
  </si>
  <si>
    <t>https://dl.acm.org/doi/10.1145/3528226.3528374</t>
  </si>
  <si>
    <t>A Local-First Approach for Green Smart Contracts</t>
  </si>
  <si>
    <t>https://dl.acm.org/doi/10.1145/3607196</t>
  </si>
  <si>
    <t>Engineering Smart Contracts with Symboleo: A Progress Report</t>
  </si>
  <si>
    <t>https://dl.acm.org/doi/10.5555/3615924.3623631</t>
  </si>
  <si>
    <t>Smart Contracts for Mobile Network Operator Bandwidth Sharing</t>
  </si>
  <si>
    <t>https://dl.acm.org/doi/10.1145/3630168</t>
  </si>
  <si>
    <t>iSyn: Semi-automated Smart Contract Synthesis from Legal Financial Agreements</t>
  </si>
  <si>
    <t>https://dl.acm.org/doi/10.1145/3597926.3598091</t>
  </si>
  <si>
    <t>SoK: Research status and challenges of blockchain smart contracts</t>
  </si>
  <si>
    <t>https://dl.acm.org/doi/10.1145/3594556.3594620</t>
  </si>
  <si>
    <t>Smart Contracts for Ethical Mobile Data Collection and Usage</t>
  </si>
  <si>
    <t>https://dl.acm.org/doi/10.1145/3594739.3610674</t>
  </si>
  <si>
    <t>Smart contracts for creating transparent transactions to reduce corruption</t>
  </si>
  <si>
    <t>https://dl.acm.org/doi/10.1145/3598469.3598509</t>
  </si>
  <si>
    <t>Distributed Key Generation with Smart Contracts using zk-SNARKs</t>
  </si>
  <si>
    <t>https://dl.acm.org/doi/10.1145/3555776.3577677</t>
  </si>
  <si>
    <t>A Multi-feature Fusion Method for Smart Contract Classification</t>
  </si>
  <si>
    <t>https://dl.acm.org/doi/10.1145/3584376.3584558</t>
  </si>
  <si>
    <t>Smart Contract-Based Social Recovery Wallet Management Scheme for Digital Assets</t>
  </si>
  <si>
    <t>https://dl.acm.org/doi/10.1145/3564746.3587016</t>
  </si>
  <si>
    <t>A Privacy Preserving Energy Trading Platform Based on Smart Contract</t>
  </si>
  <si>
    <t>https://dl.acm.org/doi/10.1145/3579731.3579804</t>
  </si>
  <si>
    <t>Semantic-Enriched Code Knowledge Graph to Reveal Unknowns in Smart Contract Code Reuse</t>
  </si>
  <si>
    <t>https://dl.acm.org/doi/10.1145/3597206</t>
  </si>
  <si>
    <t>Demystifying the Composition and Code Reuse in Solidity Smart Contracts</t>
  </si>
  <si>
    <t>https://dl.acm.org/doi/10.1145/3611643.3616270</t>
  </si>
  <si>
    <t>A Comparative Analysis Between SciTokens, Verifiable Credentials, and Smart Contracts: Novel Approaches for Authentication and Secure Access to Scientific Data</t>
  </si>
  <si>
    <t>https://dl.acm.org/doi/10.1145/3569951.3597566</t>
  </si>
  <si>
    <t>Towards a Standardization of Fractionalization Smart Contracts for Non-Fungible Tokens</t>
  </si>
  <si>
    <t>https://dl.acm.org/doi/10.5555/3615924.3615938</t>
  </si>
  <si>
    <t>Competitive and Asynchronous Decentralized Federated Learning with Blockchain Smart Contracts</t>
  </si>
  <si>
    <t>https://dl.acm.org/doi/10.1145/3582515.3609522</t>
  </si>
  <si>
    <t>Smart Contract Code Repair Recommendation based on Reinforcement Learning an</t>
  </si>
  <si>
    <t>https://dl.acm.org/doi/10.1145/3637229</t>
  </si>
  <si>
    <t>Smart Proofs via Recursive Information Gathering: Decentralized Refereeing by Smart Contracts</t>
  </si>
  <si>
    <t>https://dl.acm.org/doi/10.1145/3595298</t>
  </si>
  <si>
    <t>Cross-Chain Smart Contract Invocations: A Systematic Multi-Vocal Literature Review</t>
  </si>
  <si>
    <t>https://dl.acm.org/doi/10.1145/3638045</t>
  </si>
  <si>
    <t>A Smart Contract Top-N Recommendation Method Based on Implicit Feedback</t>
  </si>
  <si>
    <t>https://dl.acm.org/doi/10.1145/3584376.3584557</t>
  </si>
  <si>
    <t>An Algorithm and Architecture Co-design for Accelerating Smart Contracts in Blockchain</t>
  </si>
  <si>
    <t>https://dl.acm.org/doi/10.1145/3579371.3589067</t>
  </si>
  <si>
    <t>Ensuring FHIR Authentication and Data Integrity by Smart Contract and Blockchain Enabled NFT</t>
  </si>
  <si>
    <t>https://dl.acm.org/doi/10.1145/3608298.3608322</t>
  </si>
  <si>
    <t>InDaMul: Incentivized Data Mules for Opportunistic Networking Through Smart Contracts and Decentralized Systems</t>
  </si>
  <si>
    <t>https://dl.acm.org/doi/10.1145/3587696</t>
  </si>
  <si>
    <t>Blockchain Oracles: Implications for Smart Contracts in Legal Reasoning and Addressing the Oracle Problem</t>
  </si>
  <si>
    <t>https://dl.acm.org/doi/10.1145/3628797.3628870</t>
  </si>
  <si>
    <t>Alleviating High Gas Costs by Secure and Trustless Off-chain Execution of Smart Contracts</t>
  </si>
  <si>
    <t>https://dl.acm.org/doi/10.1145/3555776.3577833</t>
  </si>
  <si>
    <t>DEDACS: Decentralized and dynamic access control for smart contracts in a policy-based manner</t>
  </si>
  <si>
    <t>https://dl.acm.org/doi/10.1145/3555776.3577676</t>
  </si>
  <si>
    <t>ATTRM6: A Distributed IPv6 Address Traceback and Threatener Restriction Mechanism Based on Smart Contract</t>
  </si>
  <si>
    <t>https://dl.acm.org/doi/10.1145/3608251.3608265</t>
  </si>
  <si>
    <t>Design of a Secured Medical Data Access Management Using Ethereum Smart Contracts, Truffle Suite and Web3</t>
  </si>
  <si>
    <t>https://dl.acm.org/doi/10.1145/3560905.3568180</t>
  </si>
  <si>
    <t>VM Matters: A Comparison of WASM VMs and EVMs in the Performance of Blockchain Smart Contracts</t>
  </si>
  <si>
    <t>https://dl.acm.org/doi/10.1145/3641103</t>
  </si>
  <si>
    <t>Service-Level Agreement Management with Blockchain-based Smart Contract to Improve the Quality of IT Service Management.</t>
  </si>
  <si>
    <t>https://dl.acm.org/doi/10.1145/3587828.3587867</t>
  </si>
  <si>
    <t>Simulating Prosumer Data Trading: Testing a Blockchain Smart Contract Based Control</t>
  </si>
  <si>
    <t>https://dl.acm.org/doi/10.5555/3586210.3586307</t>
  </si>
  <si>
    <t>Smart Contract Languages: A Multivocal Mapping Study</t>
  </si>
  <si>
    <t>https://dl.acm.org/doi/10.1145/3423166</t>
  </si>
  <si>
    <t>Demystifying loops in smart contracts</t>
  </si>
  <si>
    <t>https://dl.acm.org/doi/10.1145/3324884.3416626</t>
  </si>
  <si>
    <t>Extracting smart contracts tested and verified in Coq</t>
  </si>
  <si>
    <t>https://dl.acm.org/doi/10.1145/3437992.3439934</t>
  </si>
  <si>
    <t>Making smart contract development more secure and easier</t>
  </si>
  <si>
    <t>https://dl.acm.org/doi/10.1145/3468264.3473929</t>
  </si>
  <si>
    <t>SolSaviour: A Defending Framework for Deployed Defective Smart Contracts</t>
  </si>
  <si>
    <t>https://dl.acm.org/doi/10.1145/3485832.3488015</t>
  </si>
  <si>
    <t>Declarative smart contracts</t>
  </si>
  <si>
    <t>https://dl.acm.org/doi/10.1145/3540250.3549121</t>
  </si>
  <si>
    <t>Abstract interpretation of Michelson smart-contracts</t>
  </si>
  <si>
    <t>https://dl.acm.org/doi/10.1145/3520313.3534660</t>
  </si>
  <si>
    <t>Super-optimization of Smart Contracts</t>
  </si>
  <si>
    <t>https://dl.acm.org/doi/10.1145/3506800</t>
  </si>
  <si>
    <t>Elipmoc: advanced decompilation of Ethereum smart contracts</t>
  </si>
  <si>
    <t>https://dl.acm.org/doi/10.1145/3527321</t>
  </si>
  <si>
    <t>Smart Contract Scams Detection with Topological Data Analysis on Account Interaction</t>
  </si>
  <si>
    <t>https://dl.acm.org/doi/10.1145/3511808.3557454</t>
  </si>
  <si>
    <t>Characterizing transaction-reverting statements in ethereum smart contracts</t>
  </si>
  <si>
    <t>https://dl.acm.org/doi/10.1109/ASE51524.2021.9678597</t>
  </si>
  <si>
    <t>Self-supervised learning of smart contract representations</t>
  </si>
  <si>
    <t>https://dl.acm.org/doi/10.1145/3524610.3527894</t>
  </si>
  <si>
    <t>An empirical study on implicit constraints in smart contract static analysis</t>
  </si>
  <si>
    <t>https://dl.acm.org/doi/10.1145/3510457.3513076</t>
  </si>
  <si>
    <t>Smart Contract-Based Refrigerated Container Traceability System</t>
  </si>
  <si>
    <t>https://dl.acm.org/doi/10.1145/3532640.3532653</t>
  </si>
  <si>
    <t>Provably Correct Smart Contracts: An Approach using DeepSEA</t>
  </si>
  <si>
    <t>https://dl.acm.org/doi/10.1145/3563768.3564116</t>
  </si>
  <si>
    <t>A study of inline assembly in solidity smart contracts</t>
  </si>
  <si>
    <t>https://dl.acm.org/doi/10.1145/3563328</t>
  </si>
  <si>
    <t>Deploying Transactional Smart Contracts using Multisignature Boolean Formulas</t>
  </si>
  <si>
    <t>https://dl.acm.org/doi/10.1145/3491003.3491014</t>
  </si>
  <si>
    <t>Distributed Random Number Generation Method on Smart Contracts</t>
  </si>
  <si>
    <t>https://dl.acm.org/doi/10.1145/3559795.3559796</t>
  </si>
  <si>
    <t>Automating user notice generation for smart contract functions</t>
  </si>
  <si>
    <t>https://dl.acm.org/doi/10.1109/ASE51524.2021.9678552</t>
  </si>
  <si>
    <t>Towards Automated Safety Vetting of Smart Contracts in Decentralized Applications</t>
  </si>
  <si>
    <t>https://dl.acm.org/doi/10.1145/3548606.3559384</t>
  </si>
  <si>
    <t>Blockchain-based Supply Chain Financial Services Using Smart Contract</t>
  </si>
  <si>
    <t>https://dl.acm.org/doi/10.1145/3510487.3510497</t>
  </si>
  <si>
    <t>Gas estimation and optimization for smart contracts on ethereum</t>
  </si>
  <si>
    <t>https://dl.acm.org/doi/10.1109/ASE51524.2021.9678932</t>
  </si>
  <si>
    <t>How are solidity smart contracts tested in open source projects?: an exploratory study</t>
  </si>
  <si>
    <t>https://dl.acm.org/doi/10.1145/3524481.3527228</t>
  </si>
  <si>
    <t>SigVM: enabling event-driven execution for truly decentralized smart contracts</t>
  </si>
  <si>
    <t>https://dl.acm.org/doi/10.1145/3563312</t>
  </si>
  <si>
    <t>Synthesis-powered optimization of smart contracts via data type refactoring</t>
  </si>
  <si>
    <t>https://dl.acm.org/doi/10.1145/3563308</t>
  </si>
  <si>
    <t>The Perception of Smart Contracts for Governance of the Metaverse</t>
  </si>
  <si>
    <t>https://dl.acm.org/doi/10.1145/3569219.3569300</t>
  </si>
  <si>
    <t>Bringing Coordination Languages Back to the Future Using Blockchain Smart Contracts</t>
  </si>
  <si>
    <t>https://dl.acm.org/doi/10.1145/3508072.3508117</t>
  </si>
  <si>
    <t>Privacy Breaches in Smart Contract due to Solidity Language and its Protection</t>
  </si>
  <si>
    <t>https://dl.acm.org/doi/10.1145/3508072.3508225</t>
  </si>
  <si>
    <t>An approach to Open-Source Software License Management using Blockchain-based Smart-Contracts</t>
  </si>
  <si>
    <t>https://dl.acm.org/doi/10.1145/3511430.3511448</t>
  </si>
  <si>
    <t>Utilizing parallelism in smart contracts on decentralized blockchains by taming application-inherent conflicts</t>
  </si>
  <si>
    <t>https://dl.acm.org/doi/10.1145/3510003.3510086</t>
  </si>
  <si>
    <t>Home IoT device management blockchain platform using smart contracts and a countermeasure against 51% attacks</t>
  </si>
  <si>
    <t>https://dl.acm.org/doi/10.1145/3512353.3512381</t>
  </si>
  <si>
    <t>An empirical investigation on the trade-off between smart contract readability and gas consumption</t>
  </si>
  <si>
    <t>https://dl.acm.org/doi/10.1145/3524610.3529157</t>
  </si>
  <si>
    <t>A Blockchain-Based approach in Healthcare Supply Chain using Smart Contracts and Decentralized Storage Systems</t>
  </si>
  <si>
    <t>https://dl.acm.org/doi/10.1145/3524458.3547251</t>
  </si>
  <si>
    <t>GasSaver: A Tool for Solidity Smart Contract Optimization</t>
  </si>
  <si>
    <t>https://dl.acm.org/doi/10.1145/3494106.3528683</t>
  </si>
  <si>
    <t>Poster: EOSDFA: Data Flow Analysis of EOSIO Smart Contracts</t>
  </si>
  <si>
    <t>https://dl.acm.org/doi/10.1145/3548606.3563545</t>
  </si>
  <si>
    <t>ESBMC-solidity: an SMT-based model checker for solidity smart contracts</t>
  </si>
  <si>
    <t>https://dl.acm.org/doi/10.1145/3510454.3516855</t>
  </si>
  <si>
    <t>Zapper: Smart Contracts with Data and Identity Privacy</t>
  </si>
  <si>
    <t>https://dl.acm.org/doi/10.1145/3548606.3560622</t>
  </si>
  <si>
    <t>Symboleo2SC: from legal contract specifications to smart contracts</t>
  </si>
  <si>
    <t>https://dl.acm.org/doi/10.1145/3550355.3552407</t>
  </si>
  <si>
    <t>Rich specifications for Ethereum smart contract verification</t>
  </si>
  <si>
    <t>https://dl.acm.org/doi/10.1145/3485523</t>
  </si>
  <si>
    <t>Your Smart Contracts Are Not Secure: Investigating Arbitrageurs and Oracle Manipulators in Ethereum</t>
  </si>
  <si>
    <t>https://dl.acm.org/doi/10.1145/3474374.3486916</t>
  </si>
  <si>
    <t>When deep learning meets smart contracts</t>
  </si>
  <si>
    <t>https://dl.acm.org/doi/10.1145/3324884.3418918</t>
  </si>
  <si>
    <t>Finding ethereum smart contracts security issues by comparing history versions</t>
  </si>
  <si>
    <t>https://dl.acm.org/doi/10.1145/3324884.3418923</t>
  </si>
  <si>
    <t>Symbolic value-flow static analysis: deep, precise, complete modeling of Ethereum smart contracts</t>
  </si>
  <si>
    <t>https://dl.acm.org/doi/pdf/10.1145/3485540</t>
  </si>
  <si>
    <t>SADPonzi: Detecting and Characterizing Ponzi Schemes in Ethereum Smart Contracts</t>
  </si>
  <si>
    <t>https://dl.acm.org/doi/10.1145/3460093</t>
  </si>
  <si>
    <t>DeepInfer: Deep Type Inference from Smart Contract Bytecode</t>
  </si>
  <si>
    <t>HFContractFuzzer: Fuzzing Hyperledger Fabric Smart Contracts for Vulnerability Detection</t>
  </si>
  <si>
    <t>https://dl.acm.org/doi/10.1145/3463274.3463351</t>
  </si>
  <si>
    <t>Smart Contract Security: a Practitioners' Perspective</t>
  </si>
  <si>
    <t>https://dl.acm.org/doi/10.1109/ICSE43902.2021.00127</t>
  </si>
  <si>
    <t>Design and Implementation of Static Analyses for Tezos Smart Contracts</t>
  </si>
  <si>
    <t>https://dl.acm.org/doi/10.1145/3643567</t>
  </si>
  <si>
    <t>Fuzz on the Beach: Fuzzing Solana Smart Contracts</t>
  </si>
  <si>
    <t>https://dl.acm.org/doi/10.1145/3576915.3623178</t>
  </si>
  <si>
    <t>Legally Enforceable Smart-Contract Languages: A Systematic Literature Review</t>
  </si>
  <si>
    <t>https://dl.acm.org/doi/10.1145/3453475</t>
  </si>
  <si>
    <t>Summary-based symbolic evaluation for smart contracts</t>
  </si>
  <si>
    <t>https://dl.acm.org/doi/10.1145/3324884.3416646</t>
  </si>
  <si>
    <t>Privacy-Preserving Online Parking Based on Smart Contracts</t>
  </si>
  <si>
    <t>https://dl.acm.org/doi/10.1145/3465481.3470058</t>
  </si>
  <si>
    <t>Towards Correct Smart Contracts: A Case Study on Formal Verification of Access Control</t>
  </si>
  <si>
    <t>https://dl.acm.org/doi/10.1145/3450569.3463574</t>
  </si>
  <si>
    <t>Tuxedo: Maximizing Smart Contract Computation in PoW Blockchains</t>
  </si>
  <si>
    <t>https://dl.acm.org/doi/10.1145/3491053</t>
  </si>
  <si>
    <t>Smart Contract and Blockchain Based Contract Management System</t>
  </si>
  <si>
    <t>https://dl.acm.org/doi/10.1145/3459960.3459975</t>
  </si>
  <si>
    <t>VRust: Automated Vulnerability Detection for Solana Smart Contracts</t>
  </si>
  <si>
    <t>https://dl.acm.org/doi/10.1145/3548606.3560552</t>
  </si>
  <si>
    <t>An event driven framework for smart contract execution</t>
  </si>
  <si>
    <t>https://dl.acm.org/doi/10.1145/3465480.3466924</t>
  </si>
  <si>
    <t>Single-Use Delegatable Signatures Based on Smart Contracts</t>
  </si>
  <si>
    <t>https://dl.acm.org/doi/10.1145/3465481.3469192</t>
  </si>
  <si>
    <t>Design of Blockchain Smart Contract Based on Ring Signature</t>
  </si>
  <si>
    <t>https://dl.acm.org/doi/10.1145/3456415.3457223</t>
  </si>
  <si>
    <t>Improving business operation efficiency by using Smart Contract</t>
  </si>
  <si>
    <t>https://dl.acm.org/doi/10.1145/3456126.3456131</t>
  </si>
  <si>
    <t>Targeting the Weakest Link: Social Engineering Attacks in Ethereum Smart Contracts</t>
  </si>
  <si>
    <t>https://dl.acm.org/doi/10.1145/3433210.3453085</t>
  </si>
  <si>
    <t>Intelligent Mediator-based Enhanced Smart Contract for Privacy Protection</t>
  </si>
  <si>
    <t>https://dl.acm.org/doi/10.1145/3404892</t>
  </si>
  <si>
    <t>A Framework to Generate Smart Contracts On the Fly</t>
  </si>
  <si>
    <t>https://dl.acm.org/doi/10.1145/3474624.3477068</t>
  </si>
  <si>
    <t>TokenAware: Accurate and Efficient Bookkeeping Recognition for Token Smart Contracts</t>
  </si>
  <si>
    <t>https://dl.acm.org/doi/10.1145/3560263</t>
  </si>
  <si>
    <t>I Told You Tomorrow: Practical Time-Locked Secrets using Smart Contracts</t>
  </si>
  <si>
    <t>https://dl.acm.org/doi/10.1145/3465481.3465765</t>
  </si>
  <si>
    <t>Smart Contract Development Model and the Future of Blockchain Technology</t>
  </si>
  <si>
    <t>https://dl.acm.org/doi/10.1145/3446983.3446994</t>
  </si>
  <si>
    <t>Blockchain-based Proof of Existence (PoE) Framework using Ethereum Smart Contracts</t>
  </si>
  <si>
    <t>https://dl.acm.org/doi/10.1145/3422337.3450319</t>
  </si>
  <si>
    <t>Enacting the Last Mile: Experiences of Smart Contracts in Courier Deliveries</t>
  </si>
  <si>
    <t>https://dl.acm.org/doi/10.1145/3411764.3445525</t>
  </si>
  <si>
    <t>Why Do Smart Contracts Self-Destruct? Investigating the Selfdestruct Function on Ethereum</t>
  </si>
  <si>
    <t>https://dl.acm.org/doi/10.1145/3488245</t>
  </si>
  <si>
    <t>A Blockchain-Based System for Student E-Portfolio Assessment Using Smart Contract</t>
  </si>
  <si>
    <t>https://dl.acm.org/doi/10.1145/3445815.3445821</t>
  </si>
  <si>
    <t>iBatch: saving Ethereum fees via secure and cost-effective batching of smart-contract invocations</t>
  </si>
  <si>
    <t>https://dl.acm.org/doi/10.1145/3468264.3468568</t>
  </si>
  <si>
    <t>Smart Donations: Event-Driven Conditional Donations Using Smart Contracts On The Blockchain</t>
  </si>
  <si>
    <t>https://dl.acm.org/doi/10.1145/3441000.3441014</t>
  </si>
  <si>
    <t>State-witnessed virtual transactions for atomic execution of complexity-unconstrained smart contracts</t>
  </si>
  <si>
    <t>https://dl.acm.org/doi/10.1145/3412841.3442076</t>
  </si>
  <si>
    <t>Variability of Smart Contract Technology Implementation in Transport and Logistics Chains: Scenarios and Conditions</t>
  </si>
  <si>
    <t>https://dl.acm.org/doi/10.1145/3446434.3446450</t>
  </si>
  <si>
    <t>Is All-Win Possible? A Novel Smart Contracts-based Music Recommendation System</t>
  </si>
  <si>
    <t>https://dl.acm.org/doi/10.1145/3484399.3484402</t>
  </si>
  <si>
    <t>Blockchain-based renewable energy trading system with smart contract in a small local community</t>
  </si>
  <si>
    <t>https://dl.acm.org/doi/10.1145/3426020.3426078</t>
  </si>
  <si>
    <t>Applying Ethereum Smart Contracts to Blockchain-Based Crowdfunding System to Increase Trust and Information Symmetry</t>
  </si>
  <si>
    <t>https://dl.acm.org/doi/10.1145/3477911.3477920</t>
  </si>
  <si>
    <t>Smart Contract Design for a Bidding-based Supply Chain System built on an Alliance Blockchain</t>
  </si>
  <si>
    <t>https://dl.acm.org/doi/10.1145/3460537.3460551</t>
  </si>
  <si>
    <t>SmartBugs: a framework to analyze solidity smart contracts</t>
  </si>
  <si>
    <t>https://dl.acm.org/doi/10.1145/3324884.3415298</t>
  </si>
  <si>
    <t>Gifflar: a framework to generate smart contracts on the fly</t>
  </si>
  <si>
    <t>https://dl.acm.org/doi/10.5555/3507788.3507820</t>
  </si>
  <si>
    <t>SCEW: Programmable BFT-Consensus with Smart Contracts for Client-Centric P2P Web Applications</t>
  </si>
  <si>
    <t>https://dl.acm.org/doi/10.1145/3447865.3457965</t>
  </si>
  <si>
    <t>Developing Cost-Effective Blockchain-Powered Applications: A Case Study of the Gas Usage of Smart Contract Transactions in the Ethereum Blockchain Platform</t>
  </si>
  <si>
    <t>https://dl.acm.org/doi/10.1145/3431726</t>
  </si>
  <si>
    <t>Password-Authenticated Decentralized Identities</t>
  </si>
  <si>
    <t>https://ieeexplore.ieee.org/document/9551934</t>
  </si>
  <si>
    <t>Using NFTs for Product Management, Digital Certification, Trading, and Delivery in the Healthcare Supply Chain</t>
  </si>
  <si>
    <t>https://ieeexplore.ieee.org/document/9935776</t>
  </si>
  <si>
    <t>SVScanner: Detecting smart contract vulnerabilities via deep semantic extraction</t>
  </si>
  <si>
    <t>https://www.sciencedirect.com/science/article/abs/pii/S2214212623000686</t>
  </si>
  <si>
    <t>CrossFuzz: Cross-contract fuzzing for smart contract vulnerability detection</t>
  </si>
  <si>
    <t>https://www.sciencedirect.com/science/article/pii/S0167642323001582</t>
  </si>
  <si>
    <t>Science of Computer Programming</t>
  </si>
  <si>
    <t>Effuzz: Efficient fuzzing by directed search for smart contracts</t>
  </si>
  <si>
    <t>https://www.sciencedirect.com/science/article/pii/S0950584923000678</t>
  </si>
  <si>
    <t>Smart contracts vulnerability detection model based on adversarial multi-task learning</t>
  </si>
  <si>
    <t>https://www.sciencedirect.com/science/article/pii/S2214212623001394</t>
  </si>
  <si>
    <t>Block-gram: Mining Knowledgeable Features for Smart Contract Vulnerability Detection</t>
  </si>
  <si>
    <t>https://www.sciencedirect.com/science/article/pii/S2352864823001347</t>
  </si>
  <si>
    <t>Digital Communications and Networks</t>
  </si>
  <si>
    <t>Smart contract vulnerability detection combined with multi-objective detection</t>
  </si>
  <si>
    <t>https://www.sciencedirect.com/science/article/abs/pii/S1389128622003437</t>
  </si>
  <si>
    <t>Computer Networks</t>
  </si>
  <si>
    <t>Enhancing Ethereum smart-contracts static analysis by computing a precise Control-Flow Graph of Ethereum bytecode</t>
  </si>
  <si>
    <t>https://www.sciencedirect.com/science/article/pii/S0164121223000481</t>
  </si>
  <si>
    <t>Vulnerable smart contract function locating based on Multi-Relational Nested Graph Convolutional Network</t>
  </si>
  <si>
    <t>https://www.sciencedirect.com/science/article/abs/pii/S016412122300170X</t>
  </si>
  <si>
    <t>A formal verification approach for composite smart contracts security using FSM</t>
  </si>
  <si>
    <t>https://www.sciencedirect.com/science/article/pii/S1319157822003111</t>
  </si>
  <si>
    <t>Journal of King Saud University - Computer and Information Sciences</t>
  </si>
  <si>
    <t>A survey of DeFi security: Challenges and opportunities</t>
  </si>
  <si>
    <t>https://www.sciencedirect.com/science/article/pii/S1319157822003792</t>
  </si>
  <si>
    <t>A survey on blockchain technology and its security</t>
  </si>
  <si>
    <t>https://www.sciencedirect.com/science/article/pii/S2096720922000070</t>
  </si>
  <si>
    <t>Unveiling Vulnerable Smart Contracts: Toward Profiling Vulnerable Smart Contracts using Genetic Algorithm and Generating Benchmark Dataset</t>
  </si>
  <si>
    <t>https://www.sciencedirect.com/science/article/pii/S2096720923000465</t>
  </si>
  <si>
    <t>An empirical study on real bug fixes from solidity smart contract projects</t>
  </si>
  <si>
    <t>https://www.sciencedirect.com/science/article/pii/S0164121223001826</t>
  </si>
  <si>
    <t>Security challenges and defense approaches for blockchain-based services from a full-stack architecture perspective</t>
  </si>
  <si>
    <t>https://www.sciencedirect.com/science/article/pii/S2096720923000106</t>
  </si>
  <si>
    <t>ContractArmor: Attack Surface Generator for Smart Contracts</t>
  </si>
  <si>
    <t>https://www.sciencedirect.com/science/article/pii/S1877050923021634</t>
  </si>
  <si>
    <t>SRP: An Efficient Runtime Protection Framework for Blockchain-based Smart Contracts</t>
  </si>
  <si>
    <t>https://www.sciencedirect.com/science/article/pii/S1084804523000772</t>
  </si>
  <si>
    <t>AI and Blockchain-based source code vulnerability detection and prevention system for multiparty software development</t>
  </si>
  <si>
    <t>https://www.sciencedirect.com/science/article/pii/S0045790623000320</t>
  </si>
  <si>
    <t>Blockchain-based trusted accountability in the maintenance of medical imaging equipment</t>
  </si>
  <si>
    <t>https://www.sciencedirect.com/science/article/pii/S0957417423032207</t>
  </si>
  <si>
    <t>GAIN: Decentralized Privacy-Preserving Federated Learning</t>
  </si>
  <si>
    <t>https://www.sciencedirect.com/science/article/pii/S2214212623001990</t>
  </si>
  <si>
    <t>A smart contract and IPFS-based framework for secure electric vehicles synchronization at charging station</t>
  </si>
  <si>
    <t>https://www.sciencedirect.com/science/article/pii/S2352467724000018</t>
  </si>
  <si>
    <t>Applying Ethereum blockchain and IPFS to construct a multi-party used-car trading and management system</t>
  </si>
  <si>
    <t>https://www.sciencedirect.com/science/article/pii/S2405959523001650</t>
  </si>
  <si>
    <t>Mobile-Chain: Secure blockchain based decentralized authentication system for global roaming in mobility networks</t>
  </si>
  <si>
    <t>https://www.sciencedirect.com/science/article/pii/S0140366422004820</t>
  </si>
  <si>
    <t>Cryptographic evidence-based cybersecurity for smart healthcare systems</t>
  </si>
  <si>
    <t>https://www.sciencedirect.com/science/article/pii/S0020025523012185</t>
  </si>
  <si>
    <t>d-EMR: Secure and distributed Electronic Medical Record management</t>
  </si>
  <si>
    <t>https://www.sciencedirect.com/science/article/pii/S2667295222000538</t>
  </si>
  <si>
    <t>A smart contract-based robotic surgery authentication system for healthcare using 6G-Tactile Internet</t>
  </si>
  <si>
    <t>https://www.sciencedirect.com/science/article/pii/S1389128623005789</t>
  </si>
  <si>
    <t>GDPR compliance verification through a user-centric blockchain approach in multi-cloud environment</t>
  </si>
  <si>
    <t>https://www.sciencedirect.com/science/article/pii/S0045790623001714</t>
  </si>
  <si>
    <t>ChainSure: Agent free insurance system using blockchain for healthcare 4.0</t>
  </si>
  <si>
    <t>https://www.sciencedirect.com/science/article/pii/S2667305323000029</t>
  </si>
  <si>
    <t>The Decentralized Smart Contract Certificate System Utilizing Ethereum Blockchain Technology</t>
  </si>
  <si>
    <t>https://www.sciencedirect.com/science/article/pii/S1877050923020252</t>
  </si>
  <si>
    <t>The real estate time-stamping and registration system based on Ethereum blockchain</t>
  </si>
  <si>
    <t>https://www.sciencedirect.com/science/article/pii/S2096720923000507</t>
  </si>
  <si>
    <t>Enhancing BIM security in emergency construction projects using lightweight blockchain-as-a-service</t>
  </si>
  <si>
    <t>https://www.sciencedirect.com/science/article/pii/S0926580523001061</t>
  </si>
  <si>
    <t>Temporal transaction information-aware Ponzi scheme detection for ethereum smart contracts</t>
  </si>
  <si>
    <t>https://www.sciencedirect.com/science/article/pii/S095219762301206X</t>
  </si>
  <si>
    <t>Robust clustering of Ethereum transactions using time leakage from fixed nodes</t>
  </si>
  <si>
    <t>https://www.sciencedirect.com/science/article/pii/S2096720922000537</t>
  </si>
  <si>
    <t>BTIA-IME: A blockchain-based trusted interactive architecture for intelligent manufacturing equipment</t>
  </si>
  <si>
    <t>https://www.sciencedirect.com/science/article/pii/S2542660523003499</t>
  </si>
  <si>
    <t>Health data security sharing method based on hybrid blockchain</t>
  </si>
  <si>
    <t>https://www.sciencedirect.com/science/article/pii/S0167739X23004478</t>
  </si>
  <si>
    <t>Proxy smart contracts for zero trust architecture implementation in Decentralised Oracle Networks based applications</t>
  </si>
  <si>
    <t>https://www.sciencedirect.com/science/article/pii/S0140366423001470</t>
  </si>
  <si>
    <t>A blockchain-based cloud forensics architecture for privacy leakage prediction with cloud</t>
  </si>
  <si>
    <t>https://www.sciencedirect.com/science/article/pii/S2772442523000874</t>
  </si>
  <si>
    <t>Automatic smart contract comment generation via large language models and in-context learning</t>
  </si>
  <si>
    <t>https://www.sciencedirect.com/science/article/pii/S0950584924000107</t>
  </si>
  <si>
    <t>Blockchain-based secret key extraction for efficient and secure authentication in VANETs</t>
  </si>
  <si>
    <t>https://www.sciencedirect.com/science/article/pii/S2214212623000601</t>
  </si>
  <si>
    <t>Flexible and secure access control for EHR sharing based on blockchain</t>
  </si>
  <si>
    <t>https://www.sciencedirect.com/science/article/pii/S1383762123002126</t>
  </si>
  <si>
    <t>BV-ICVs: A privacy-preserving and verifiable federated learning framework for V2X environments using blockchain and zkSNARKs</t>
  </si>
  <si>
    <t>https://www.sciencedirect.com/science/article/pii/S1319157823000885</t>
  </si>
  <si>
    <t>BSAPM: BlockChain based secured authentication protocol for large scale WSN with FPGA implementation</t>
  </si>
  <si>
    <t>https://www.sciencedirect.com/science/article/pii/S0140366423002098</t>
  </si>
  <si>
    <t>Block verifiable dynamic searchable encryption using redactable blockchain</t>
  </si>
  <si>
    <t>https://www.sciencedirect.com/science/article/pii/S2214212623000881</t>
  </si>
  <si>
    <t>Using a smart contract for the floral supply chain</t>
  </si>
  <si>
    <t>https://www.sciencedirect.com/science/article/pii/S1029313223001045</t>
  </si>
  <si>
    <t>Gas-expensive patterns detection to optimize smart contracts</t>
  </si>
  <si>
    <t>https://www.sciencedirect.com/science/article/pii/S1568494623005604</t>
  </si>
  <si>
    <t>A transformative solution for construction safety: Blockchain-based system for accident information management</t>
  </si>
  <si>
    <t>https://www.sciencedirect.com/science/article/pii/S2452414X2300064X</t>
  </si>
  <si>
    <t>A trusted IoT data sharing and secure oracle based access for agricultural production risk management</t>
  </si>
  <si>
    <t>https://www.sciencedirect.com/science/article/pii/S0168169922008523</t>
  </si>
  <si>
    <t>Designing secure business processes for blockchains with SecBPMN2BC</t>
  </si>
  <si>
    <t>https://www.sciencedirect.com/science/article/pii/S0167739X22003764</t>
  </si>
  <si>
    <t>WQCrowd: Secure blockchain-based crowdsourcing framework with multi-tier worker quality evaluation</t>
  </si>
  <si>
    <t>https://www.sciencedirect.com/science/article/pii/S131915782300397X</t>
  </si>
  <si>
    <t>The case of rWallet: A blockchain-based tool to navigate some challenges related to irregular migration</t>
  </si>
  <si>
    <t>https://www.sciencedirect.com/science/article/pii/S0747563222003685</t>
  </si>
  <si>
    <t>Industrial data monetization: A blockchain-based industrial IoT data trading system</t>
  </si>
  <si>
    <t>https://www.sciencedirect.com/science/article/pii/S2542660523002822</t>
  </si>
  <si>
    <t>Trusted fingerprint localization for multimedia devices based on blockchain</t>
  </si>
  <si>
    <t>https://www.sciencedirect.com/science/article/pii/S0020025523008162</t>
  </si>
  <si>
    <t>A secure dynamic cross-chain decentralized data consistency verification model</t>
  </si>
  <si>
    <t>https://www.sciencedirect.com/science/article/pii/S1319157823004512</t>
  </si>
  <si>
    <t>Edge-aided searchable data sharing scheme for IoV in the 5G environment</t>
  </si>
  <si>
    <t>https://www.sciencedirect.com/science/article/pii/S1383762123000139</t>
  </si>
  <si>
    <t>Will the blockchain solve the supply chain resilience challenges? Insights from a systematic literature review</t>
  </si>
  <si>
    <t>https://www.sciencedirect.com/science/article/pii/S0360835223006472</t>
  </si>
  <si>
    <t>Blockchain-Based Governance Models Supporting Corruption-Transparency: A Systematic Literature Review</t>
  </si>
  <si>
    <t>https://www.sciencedirect.com/science/article/pii/S2096720923000611</t>
  </si>
  <si>
    <t>Blockchain technology in the AEC industry: Scientometric analysis of research activities</t>
  </si>
  <si>
    <t>https://www.sciencedirect.com/science/article/pii/S235271022300788X</t>
  </si>
  <si>
    <t>A novel extended multimodal AI framework towards vulnerability detection in smart contracts</t>
  </si>
  <si>
    <t>https://www.sciencedirect.com/science/article/pii/S0020025523004565</t>
  </si>
  <si>
    <t>https://www.sciencedirect.com/science/article/pii/S2214785321030273</t>
  </si>
  <si>
    <t>https://www.sciencedirect.com/science/article/pii/S221421262300008X</t>
  </si>
  <si>
    <t>TaintGuard: Preventing implicit privilege leakage in smart contract based on taint tracking at abstract syntax tree level</t>
  </si>
  <si>
    <t>https://www.sciencedirect.com/science/article/pii/S1383762123001042</t>
  </si>
  <si>
    <t>Chapter 8 - Formal verification and code generation for solidity smart contracts</t>
  </si>
  <si>
    <t>https://www.sciencedirect.com/science/article/pii/B9780323961462000280</t>
  </si>
  <si>
    <t>MedUAV: Drone-based Emergency Medical Supply System using Decentralized Autonomous Organization (DAO)</t>
  </si>
  <si>
    <t>https://www.sciencedirect.com/science/article/pii/S1877050923021336</t>
  </si>
  <si>
    <t>Smart contract-based integrity audit method for IoT</t>
  </si>
  <si>
    <t>https://www.sciencedirect.com/science/article/pii/S0020025523009982</t>
  </si>
  <si>
    <t>A blockchain-based approach to the challenges of EU’s environmental policy compliance in aquaculture: From traceability to fraud prevention</t>
  </si>
  <si>
    <t>https://www.sciencedirect.com/science/article/pii/S0308597X23004256</t>
  </si>
  <si>
    <t>An efficient chain code for access control in hyper ledger fabric healthcare system</t>
  </si>
  <si>
    <t>https://www.sciencedirect.com/science/article/pii/S2772671123000992</t>
  </si>
  <si>
    <t>Chapter 17 - An in-depth look at blockchain technology: Architecture and security concerns</t>
  </si>
  <si>
    <t>https://www.sciencedirect.com/science/article/pii/B9780323961462000231</t>
  </si>
  <si>
    <t>Optimal and secure peer-to-peer carbon emission trading: A game theory informed framework on blockchain</t>
  </si>
  <si>
    <t>https://www.sciencedirect.com/science/article/pii/S0098135423003484</t>
  </si>
  <si>
    <t>Chapter Six - Bayesian network-based quality assessment of blockchain smart contracts</t>
  </si>
  <si>
    <t>https://www.sciencedirect.com/science/article/pii/S0065245823000517</t>
  </si>
  <si>
    <t>Increasing the security and traceability of biological samples in biobanks by blockchain technology</t>
  </si>
  <si>
    <t>https://www.sciencedirect.com/science/article/pii/S0169260723000469</t>
  </si>
  <si>
    <t>Health chain-block chain based electronic healthcare record system with access and permission management</t>
  </si>
  <si>
    <t>https://www.sciencedirect.com/science/article/pii/S2665917423002398</t>
  </si>
  <si>
    <t>METAseen: Analyzing network traffic and privacy policies in Web 3.0 based Metaverse</t>
  </si>
  <si>
    <t>https://www.sciencedirect.com/science/article/pii/S2352864823001694</t>
  </si>
  <si>
    <t>PharmaChain: Blockchain-based drug supply chain provenance verification system</t>
  </si>
  <si>
    <t>https://www.sciencedirect.com/science/article/pii/S2405844023051654</t>
  </si>
  <si>
    <t>Using NFTs for ownership management of digital twins and for proof of delivery of their physical assets</t>
  </si>
  <si>
    <t>https://www.sciencedirect.com/science/article/pii/S0167739X23001280</t>
  </si>
  <si>
    <t>Enhance the trust between IoT devices, mobile apps, and the cloud based on blockchain</t>
  </si>
  <si>
    <t>https://www.sciencedirect.com/science/article/pii/S1084804523001376</t>
  </si>
  <si>
    <t>Smart contract diffusion in the pharmaceutical blockchain: the battle of counterfeit drugs</t>
  </si>
  <si>
    <t>https://www.sciencedirect.com/science/article/pii/S0148296323000048</t>
  </si>
  <si>
    <t>Identity resilience in the digital health ecosystem: A key recovery-enabled framework</t>
  </si>
  <si>
    <t>https://www.sciencedirect.com/science/article/pii/S0010482523011678</t>
  </si>
  <si>
    <t>DBT-PDP: Provable data possession with outsourced data batch transfer based on blockchain</t>
  </si>
  <si>
    <t>https://www.sciencedirect.com/science/article/pii/S2667295223000508</t>
  </si>
  <si>
    <t>Blockchain-based mobile crowdsourcing model with task security and task assignment</t>
  </si>
  <si>
    <t>https://www.sciencedirect.com/science/article/pii/S0957417422016037</t>
  </si>
  <si>
    <t>Decentralized tendering of construction projects using blockchain-based smart contracts and storage systems</t>
  </si>
  <si>
    <t>https://www.sciencedirect.com/science/article/pii/S0926580523001607</t>
  </si>
  <si>
    <t>SolAR: Automated test-suite generation for solidity smart contractsImage 1</t>
  </si>
  <si>
    <t>https://www.sciencedirect.com/science/article/pii/S0167642323001181</t>
  </si>
  <si>
    <t>A privacy-preserving blockchain-based tracing model for virus-infected people in cloud</t>
  </si>
  <si>
    <t>https://www.sciencedirect.com/science/article/pii/S0957417422016165</t>
  </si>
  <si>
    <t>MedRSS: A blockchain-based scheme for secure storage and sharing of medical records</t>
  </si>
  <si>
    <t>https://www.sciencedirect.com/science/article/pii/S0360835223005454</t>
  </si>
  <si>
    <t>Secure banking and international trade digitization using blockchain</t>
  </si>
  <si>
    <t>https://www.sciencedirect.com/science/article/pii/S0030402622015273</t>
  </si>
  <si>
    <t>Translation certification for smart contracts</t>
  </si>
  <si>
    <t>https://www.sciencedirect.com/science/article/pii/S0167642323001338</t>
  </si>
  <si>
    <t>Towards a lightweight security framework using blockchain and machine learning</t>
  </si>
  <si>
    <t>https://www.sciencedirect.com/science/article/pii/S2096720923000490</t>
  </si>
  <si>
    <t>A review on blockchain smart contracts in the agri-food industry: Current state, application challenges and future trends</t>
  </si>
  <si>
    <t>https://www.sciencedirect.com/science/article/pii/S0168169923001643</t>
  </si>
  <si>
    <t>Smart contract token-based privacy-preserving access control system for industrial Internet of Things</t>
  </si>
  <si>
    <t>https://www.sciencedirect.com/science/article/pii/S2352864822002140</t>
  </si>
  <si>
    <t>A DLT-based framework for secure IoT infrastructure in smart communities</t>
  </si>
  <si>
    <t>https://www.sciencedirect.com/science/article/pii/S0160791X23001343</t>
  </si>
  <si>
    <t>Smart contract-based security architecture for collaborative services in municipal smart cities</t>
  </si>
  <si>
    <t>https://www.sciencedirect.com/science/article/pii/S1383762122002879</t>
  </si>
  <si>
    <t>ProChain: A privacy-preserving blockchain-based supply chain traceability system model</t>
  </si>
  <si>
    <t>https://www.sciencedirect.com/science/article/pii/S0360835223008550</t>
  </si>
  <si>
    <t>A novel secure and distributed architecture for privacy-preserving healthcare system</t>
  </si>
  <si>
    <t>https://www.sciencedirect.com/science/article/pii/S1084804523001157</t>
  </si>
  <si>
    <t>From trust to truth: Advancements in mitigating the Blockchain Oracle problem</t>
  </si>
  <si>
    <t>https://www.sciencedirect.com/science/article/pii/S1084804523000917</t>
  </si>
  <si>
    <t>*-chain: A framework for automating the modeling of blockchain based supply chain tracing systems</t>
  </si>
  <si>
    <t>https://www.sciencedirect.com/science/article/pii/S0167739X23002625</t>
  </si>
  <si>
    <t>Block chain based IAS protocol to enhance security and privacy in cloud computing</t>
  </si>
  <si>
    <t>https://www.sciencedirect.com/science/article/pii/S2665917423001496</t>
  </si>
  <si>
    <t>A blockchain-based solution for the traceability of rare earth metals used in thin-film photovoltaics</t>
  </si>
  <si>
    <t>https://www.sciencedirect.com/science/article/pii/S0959652623035576</t>
  </si>
  <si>
    <t>Blockchain applications in drug data records</t>
  </si>
  <si>
    <t>https://www.sciencedirect.com/science/article/pii/S1877050922022694</t>
  </si>
  <si>
    <t>A secure multi-party payment channel on-chain and off-chain supervisable scheme</t>
  </si>
  <si>
    <t>https://www.sciencedirect.com/science/article/pii/S0167739X2400013X</t>
  </si>
  <si>
    <t>TABS: Transforming automatically BPMN models into blockchain smart contracts</t>
  </si>
  <si>
    <t>https://www.sciencedirect.com/science/article/pii/S2096720922000562</t>
  </si>
  <si>
    <t>eSIM and blockchain integrated secure zero-touch provisioning for autonomous cellular-IoTs in 5G networks</t>
  </si>
  <si>
    <t>https://www.sciencedirect.com/science/article/pii/S0140366423004589</t>
  </si>
  <si>
    <t>Supply chain traceability and counterfeit detection of COVID-19 vaccines using novel blockchain-based Vacledger system</t>
  </si>
  <si>
    <t>https://www.sciencedirect.com/science/article/pii/S0957417423007959</t>
  </si>
  <si>
    <t>Multidomain blockchain-based intelligent routing in UAV-IoT networks</t>
  </si>
  <si>
    <t>https://www.sciencedirect.com/science/article/pii/S0140366423001354</t>
  </si>
  <si>
    <t>Unraveling the MEV enigma: ABI-free detection model using Graph Neural Networks</t>
  </si>
  <si>
    <t>https://www.sciencedirect.com/science/article/pii/S0167739X23004223</t>
  </si>
  <si>
    <t>An in-situ authentication with privacy preservation scheme for accident response in Internet of Vehicles</t>
  </si>
  <si>
    <t>https://www.sciencedirect.com/science/article/pii/S2542660523000513</t>
  </si>
  <si>
    <t>Product market competition with crypto tokens and smart contracts</t>
  </si>
  <si>
    <t>https://www.sciencedirect.com/science/article/pii/S0304405X23000715</t>
  </si>
  <si>
    <t>A survey on Blockchain solutions in DDoS attacks mitigation: Techniques, open challenges and future directions</t>
  </si>
  <si>
    <t>https://www.sciencedirect.com/science/article/pii/S0140366422004145</t>
  </si>
  <si>
    <t>HT2REP: A fair cross-chain atomic exchange protocol under UC framework based on HTLCs and TRE</t>
  </si>
  <si>
    <t>https://www.sciencedirect.com/science/article/pii/S0920548924000035</t>
  </si>
  <si>
    <t>Lattice based distributed threshold additive homomorphic encryption with application in federated learning</t>
  </si>
  <si>
    <t>https://www.sciencedirect.com/science/article/pii/S0920548923000466</t>
  </si>
  <si>
    <t>Secure smart contract-based digital twins for the Internet of Things</t>
  </si>
  <si>
    <t>https://www.sciencedirect.com/science/article/pii/S209672092300043X</t>
  </si>
  <si>
    <t>Smart contract design and process optimization of carbon trading based on blockchain: The case of China's electric power sector</t>
  </si>
  <si>
    <t>https://www.sciencedirect.com/science/article/pii/S0959652623006674</t>
  </si>
  <si>
    <t>ContractBox: Realizing accountable data sharing on the edge using a small scale blockchain</t>
  </si>
  <si>
    <t>https://www.sciencedirect.com/science/article/pii/S138912862300213X</t>
  </si>
  <si>
    <t>SoK: Privacy-preserving smart contract</t>
  </si>
  <si>
    <t>https://www.sciencedirect.com/science/article/pii/S2667295223000818</t>
  </si>
  <si>
    <t>Less payment and higher efficiency: A verifiable, fair and forward-secure range query scheme using blockchain</t>
  </si>
  <si>
    <t>https://www.sciencedirect.com/science/article/pii/S1389128623005534</t>
  </si>
  <si>
    <t>Blockchain-based decentralized supply chain system with secure information sharing</t>
  </si>
  <si>
    <t>https://www.sciencedirect.com/science/article/pii/S0360835223004163</t>
  </si>
  <si>
    <t>An optimized GRT model with blockchain digital smart contracts for power generation enterprises</t>
  </si>
  <si>
    <t>https://www.sciencedirect.com/science/article/pii/S0140988323006515</t>
  </si>
  <si>
    <t>Blockchain-based DDoS attack mitigation protocol for device-to-device interaction in smart home</t>
  </si>
  <si>
    <t>https://www.sciencedirect.com/science/article/pii/S2352864823000263</t>
  </si>
  <si>
    <t>Blockchain-based integrity auditing for shared data in cloud storage with file prediction</t>
  </si>
  <si>
    <t>https://www.sciencedirect.com/science/article/pii/S1389128623004851</t>
  </si>
  <si>
    <t>Auditing decentralized finance</t>
  </si>
  <si>
    <t>https://www.sciencedirect.com/science/article/pii/S0890838923001270</t>
  </si>
  <si>
    <t>Secured Health Data Sharing System using IPFS and Blockchain with Beacon Proxy</t>
  </si>
  <si>
    <t>https://www.sciencedirect.com/science/article/pii/S1877050923020446</t>
  </si>
  <si>
    <t>Privacy protected product differentiation through smart contracts based on bilateral negotiations in peer-to-peer transactive energy markets</t>
  </si>
  <si>
    <t>https://www.sciencedirect.com/science/article/pii/S235246772300005X</t>
  </si>
  <si>
    <t>Survivability of industrial internet of things using machine learning and smart contracts</t>
  </si>
  <si>
    <t>https://www.sciencedirect.com/science/article/pii/S0045790623000423</t>
  </si>
  <si>
    <t>A unified proof technique for verifying program correctness with big-step semantics</t>
  </si>
  <si>
    <t>https://www.sciencedirect.com/science/article/pii/S1383762122003058</t>
  </si>
  <si>
    <t>Smart Contract Authentication assisted GraphMap-Based HL7 FHIR architecture for interoperable e-healthcare system</t>
  </si>
  <si>
    <t>https://www.sciencedirect.com/science/article/pii/S2405844023023873</t>
  </si>
  <si>
    <t>A new Instrument for Production Control: The Smart Order Concept</t>
  </si>
  <si>
    <t>https://www.sciencedirect.com/science/article/pii/S2212827123007692</t>
  </si>
  <si>
    <t>A Blockchain-Based Framework for COVID-19 Detection Using Stacking Ensemble of Pre-Trained Models</t>
  </si>
  <si>
    <t>https://www.sciencedirect.com/science/article/pii/S2666990023000241</t>
  </si>
  <si>
    <t>Making tradable white certificates trustworthy, anonymous, and efficient using blockchains</t>
  </si>
  <si>
    <t>https://www.sciencedirect.com/science/article/pii/S235248472301541X</t>
  </si>
  <si>
    <t>Electrical substation grid testbed for DLT applications of electrical fault detection, power quality monitoring, DERs use cases and cyber-events</t>
  </si>
  <si>
    <t>https://www.sciencedirect.com/science/article/pii/S2352484723011356</t>
  </si>
  <si>
    <t>Optimal incentive strategy in blockchain-based mobile crowdsensing using game theory</t>
  </si>
  <si>
    <t>https://www.sciencedirect.com/science/article/pii/S138912862300498X</t>
  </si>
  <si>
    <t>EHDHE: Enhancing security of healthcare documents in IoT-enabled digital healthcare ecosystems using blockchain</t>
  </si>
  <si>
    <t>https://www.sciencedirect.com/science/article/pii/S0020025523001639</t>
  </si>
  <si>
    <t>SDBGPChain: A decentralized low complexity framework to detect and prevent the BGPattacks using SDN with smart contract based Dendrimer tree blockchain</t>
  </si>
  <si>
    <t>https://www.sciencedirect.com/science/article/pii/S1389128623002451</t>
  </si>
  <si>
    <t>Aloha: A decentralised messaging topic-based channel application</t>
  </si>
  <si>
    <t>https://www.sciencedirect.com/science/article/pii/S2665963823001239</t>
  </si>
  <si>
    <t>Chapter 7 - Effects of smart-contract blockchain on smart healthcare center management</t>
  </si>
  <si>
    <t>https://www.sciencedirect.com/science/article/pii/B9780323994811000080</t>
  </si>
  <si>
    <t>Transparent voting system using blockchain</t>
  </si>
  <si>
    <t>https://www.sciencedirect.com/science/article/pii/S2665917422002549</t>
  </si>
  <si>
    <t>Fine-grained access control policy in blockchain-enabled edge computing</t>
  </si>
  <si>
    <t>https://www.sciencedirect.com/science/article/pii/S108480452300125X</t>
  </si>
  <si>
    <t>Blockchain-based auditing with data self-repair: From centralized system to distributed storage</t>
  </si>
  <si>
    <t>https://www.sciencedirect.com/science/article/pii/S1383762123000334</t>
  </si>
  <si>
    <t>Privacy-preserving Authentication Scheme for VANETs using Blockchain Technology</t>
  </si>
  <si>
    <t>https://www.sciencedirect.com/science/article/pii/S1877050923005434</t>
  </si>
  <si>
    <t>Secure blockchainized Decentralized Messaging Application (DMApp) for Educational Institute</t>
  </si>
  <si>
    <t>https://www.sciencedirect.com/science/article/pii/S2665963823000313</t>
  </si>
  <si>
    <t>Of degens and defrauders: Using open-source investigative tools to investigate decentralized finance frauds and money laundering</t>
  </si>
  <si>
    <t>https://www.sciencedirect.com/science/article/pii/S2666281723000847</t>
  </si>
  <si>
    <t>A qualitative analysis of rural fishermen: Potential for blockchain-enabled framework for livelihood sustainability</t>
  </si>
  <si>
    <t>https://www.sciencedirect.com/science/article/pii/S240584402400389X</t>
  </si>
  <si>
    <t>Secure authentication and privacy-preserving blockchain for industrial internet of things</t>
  </si>
  <si>
    <t>https://www.sciencedirect.com/science/article/pii/S0045790623001271</t>
  </si>
  <si>
    <t>Who is Mr. H2? Or expanding the view on hydrogen economy</t>
  </si>
  <si>
    <t>https://www.sciencedirect.com/science/article/pii/S0360319923045305</t>
  </si>
  <si>
    <t>Artificial intelligence and blockchain technology for secure smart grid and power distribution Automation: A State-of-the-Art Review</t>
  </si>
  <si>
    <t>https://www.sciencedirect.com/science/article/pii/S2213138823002758</t>
  </si>
  <si>
    <t>DTAIS: Distributed Trusted Active Identity Resolution Systems for the Industrial Internet</t>
  </si>
  <si>
    <t>https://www.sciencedirect.com/science/article/pii/S2352864823001128</t>
  </si>
  <si>
    <t>Potential use of RFID and QR code in the supply chain based on Blockchain and Smart contract</t>
  </si>
  <si>
    <t>https://www.sciencedirect.com/science/article/pii/S2352146523004519</t>
  </si>
  <si>
    <t>A blockchain-enabled security framework for smart agriculture</t>
  </si>
  <si>
    <t>https://www.sciencedirect.com/science/article/pii/S0045790623000198</t>
  </si>
  <si>
    <t>NFT-IoT Pharma Chain : IoT Drug traceability system based on Blockchain and Non Fungible Tokens (NFTs)</t>
  </si>
  <si>
    <t>https://www.sciencedirect.com/science/article/pii/S1319157822004347</t>
  </si>
  <si>
    <t>Blockchain-empowered security and privacy protection technologies for smart grid</t>
  </si>
  <si>
    <t>https://www.sciencedirect.com/science/article/pii/S0920548922000757</t>
  </si>
  <si>
    <t>A Survey on Role of Blockchain for IoT: Applications and Technical Aspects</t>
  </si>
  <si>
    <t>https://www.sciencedirect.com/science/article/pii/S1389128623001718</t>
  </si>
  <si>
    <t>An access control scheme for distributed Internet of Things based on adaptive trust evaluation and blockchain</t>
  </si>
  <si>
    <t>https://www.sciencedirect.com/science/article/pii/S2667295223000028</t>
  </si>
  <si>
    <t>Cross-domain identity authentication scheme based on blockchain and PKI system</t>
  </si>
  <si>
    <t>https://www.sciencedirect.com/science/article/pii/S2667295222000484</t>
  </si>
  <si>
    <t>AI-Powered Blockchain Technology in Industry 4.0, A Review</t>
  </si>
  <si>
    <t>https://www.sciencedirect.com/science/article/pii/S2949948824000015</t>
  </si>
  <si>
    <t>Benefits for the bunker industry in adopting blockchain technology for dispute resolution</t>
  </si>
  <si>
    <t>https://www.sciencedirect.com/science/article/pii/S2096720923000039</t>
  </si>
  <si>
    <t>A blockchain-based framework for carbon management towards construction material and product certification</t>
  </si>
  <si>
    <t>https://www.sciencedirect.com/science/article/pii/S1474034623003701</t>
  </si>
  <si>
    <t>Hyperledger fabric platform for healthcare trust relations—Proof-of-Concept</t>
  </si>
  <si>
    <t>https://www.sciencedirect.com/science/article/pii/S2096720923000313</t>
  </si>
  <si>
    <t>Chapter 9 - Blockchain technologies for automatic, secure, and tamper-proof energy trading</t>
  </si>
  <si>
    <t>https://www.sciencedirect.com/science/article/pii/B9780443131776000072</t>
  </si>
  <si>
    <t>Pub-SubMCS: A privacy-preserving publish–subscribe and blockchain-based mobile crowdsensing framework</t>
  </si>
  <si>
    <t>https://www.sciencedirect.com/science/article/pii/S0167739X23001516</t>
  </si>
  <si>
    <t>On-demand energy flexibility market via smart contracts to help reduce balancing costs in Great Britain</t>
  </si>
  <si>
    <t>https://www.sciencedirect.com/science/article/pii/S0140988323004292</t>
  </si>
  <si>
    <t>A novel and failsafe blockchain framework for secure OTA updates in connected autonomous vehicles</t>
  </si>
  <si>
    <t>https://www.sciencedirect.com/science/article/pii/S2214209623000888</t>
  </si>
  <si>
    <t>Towards SDN-based smart contract solution for IoT access control</t>
  </si>
  <si>
    <t>https://www.sciencedirect.com/science/article/pii/S0140366422004303</t>
  </si>
  <si>
    <t>PPFchain: A novel framework privacy-preserving blockchain-based federated learning method for sensor networks</t>
  </si>
  <si>
    <t>https://www.sciencedirect.com/science/article/pii/S254266052300104X</t>
  </si>
  <si>
    <t>Novel MITM attack scheme based on built-in negotiation for blockchain-based digital twins</t>
  </si>
  <si>
    <t>https://www.sciencedirect.com/science/article/pii/S2352864823001748</t>
  </si>
  <si>
    <t>Academic Payment Tokenization: An Online Payment System for Academia Utilizing Non-Fungible Tokens and Permissionless Blockchain</t>
  </si>
  <si>
    <t>https://www.sciencedirect.com/science/article/pii/S1877050923020951</t>
  </si>
  <si>
    <t>EDALoCo: Enhancing the accessibility of blockchains through a low-code approach to the development of event-driven applications for smart contract management</t>
  </si>
  <si>
    <t>https://www.sciencedirect.com/science/article/pii/S0920548922000459</t>
  </si>
  <si>
    <t>Investigating the Failure of the Blockchain Technology and Suggested Recommendations</t>
  </si>
  <si>
    <t>https://www.sciencedirect.com/science/article/pii/S1877050923011109</t>
  </si>
  <si>
    <t>MQTT and blockchain sharding: An approach to user-controlled data access with improved security and efficiency</t>
  </si>
  <si>
    <t>https://www.sciencedirect.com/science/article/pii/S2096720923000337</t>
  </si>
  <si>
    <t>BSAF: A blockchain-based secure access framework with privacy protection for cloud-device service collaborations</t>
  </si>
  <si>
    <t>https://www.sciencedirect.com/science/article/pii/S1383762123000760</t>
  </si>
  <si>
    <t>A big data platform exploiting auditable tokenization to promote good practices inside local energy communities</t>
  </si>
  <si>
    <t>https://www.sciencedirect.com/science/article/pii/S0167739X22004113</t>
  </si>
  <si>
    <t>Blockchain concept for the educational purposes: bibliometric analysis and conceptual structure</t>
  </si>
  <si>
    <t>https://www.sciencedirect.com/science/article/pii/S1877050923021543</t>
  </si>
  <si>
    <t>Quantifying systemic risk in the cryptocurrency market: A sectoral analysis</t>
  </si>
  <si>
    <t>https://www.sciencedirect.com/science/article/pii/S1544612323009583</t>
  </si>
  <si>
    <t>Smart contract swarm and multi-branch structure for secure and efficient BIM versioning in blockchain-aided common data environment</t>
  </si>
  <si>
    <t>https://www.sciencedirect.com/science/article/pii/S0166361523000726</t>
  </si>
  <si>
    <t>RETINA: Distributed and secure trust management for smart grid applications and energy trading</t>
  </si>
  <si>
    <t>https://www.sciencedirect.com/science/article/pii/S2352467724000031</t>
  </si>
  <si>
    <t>Efficient computation offloading for ethereum DApps</t>
  </si>
  <si>
    <t>https://www.sciencedirect.com/science/article/pii/S2452414X22000784</t>
  </si>
  <si>
    <t>Prospects for using blockchain technology in transportation and supply chain management</t>
  </si>
  <si>
    <t>https://www.sciencedirect.com/science/article/pii/S2352146523004672</t>
  </si>
  <si>
    <t>SmartAuction: A blockchain-based secure implementation of private data queries</t>
  </si>
  <si>
    <t>https://www.sciencedirect.com/science/article/pii/S0167739X22002618</t>
  </si>
  <si>
    <t>A decentralized trust management mechanism for crowdfunding</t>
  </si>
  <si>
    <t>https://www.sciencedirect.com/science/article/pii/S0020025523005388</t>
  </si>
  <si>
    <t>LSBlocFL: A secure federated learning model combining blockchain and lightweight cryptographic solutions</t>
  </si>
  <si>
    <t>https://www.sciencedirect.com/science/article/pii/S004579062300410X</t>
  </si>
  <si>
    <t>BDACD: Blockchain-based decentralized auditing supporting ciphertext deduplication</t>
  </si>
  <si>
    <t>https://www.sciencedirect.com/science/article/pii/S1383762123002321</t>
  </si>
  <si>
    <t>A professional-driven blockchain framework for sharing E-Portfolio in the context of Industry 4.0</t>
  </si>
  <si>
    <t>https://www.sciencedirect.com/science/article/pii/S2405959522000510</t>
  </si>
  <si>
    <t>Blockchain-based quality management for a digital additive manufacturing part record</t>
  </si>
  <si>
    <t>https://www.sciencedirect.com/science/article/pii/S2452414X23000900</t>
  </si>
  <si>
    <t>Research on the construction scheme of smart library based on blockchain technology</t>
  </si>
  <si>
    <t>https://www.sciencedirect.com/science/article/pii/S2665917423002799</t>
  </si>
  <si>
    <t>VaccineChain: A checkpoint assisted scalable blockchain based secure vaccine supply chain with selective revocation</t>
  </si>
  <si>
    <t>https://www.sciencedirect.com/science/article/pii/S2452414X23000584</t>
  </si>
  <si>
    <t>An arbitrable outsourcing data audit scheme supporting credit reward and punishment and multi-user sharing</t>
  </si>
  <si>
    <t>https://www.sciencedirect.com/science/article/pii/S0743731523000564</t>
  </si>
  <si>
    <t>A comprehensive review on blockchains for Internet of Vehicles: Challenges and directions</t>
  </si>
  <si>
    <t>https://www.sciencedirect.com/science/article/pii/S157401372300014X</t>
  </si>
  <si>
    <t>A dual auditing protocol for fine-grained access control in the edge-cloud-based smart home</t>
  </si>
  <si>
    <t>https://www.sciencedirect.com/science/article/pii/S1389128623001809</t>
  </si>
  <si>
    <t>Secure cloud file sharing scheme using blockchain and attribute-based encryption</t>
  </si>
  <si>
    <t>https://www.sciencedirect.com/science/article/pii/S0920548923000260</t>
  </si>
  <si>
    <t>MalCon: A blockchain-based malware containment framework for Internet of Things</t>
  </si>
  <si>
    <t>https://www.sciencedirect.com/science/article/pii/S1389128623002980</t>
  </si>
  <si>
    <t>A novel system for medical equipment supply chain traceability based on alliance chain and attribute and role access control</t>
  </si>
  <si>
    <t>https://www.sciencedirect.com/science/article/pii/S0167739X22004411</t>
  </si>
  <si>
    <t>Blockchain-based Shared Additive Manufacturing</t>
  </si>
  <si>
    <t>https://www.sciencedirect.com/science/article/pii/S0360835223005211</t>
  </si>
  <si>
    <t>Group key management in the Internet of Things: Handling asynchronicity</t>
  </si>
  <si>
    <t>https://www.sciencedirect.com/science/article/pii/S0167739X23003965</t>
  </si>
  <si>
    <t>AgriOnBlock: Secured data harvesting for agriculture sector using blockchain technology</t>
  </si>
  <si>
    <t>https://www.sciencedirect.com/science/article/pii/S2405959521000862</t>
  </si>
  <si>
    <t>CD/CV: Blockchain-based schemes for continuous verifiability and traceability of IoT data for edge–fog–cloud</t>
  </si>
  <si>
    <t>https://www.sciencedirect.com/science/article/pii/S0306457322002564</t>
  </si>
  <si>
    <t>Importance of anti-money laundering regulations among prosumers for a cybersecure decentralized finance</t>
  </si>
  <si>
    <t>https://www.sciencedirect.com/science/article/pii/S0148296322010232</t>
  </si>
  <si>
    <t>OverShard: Scaling blockchain by full sharding with overlapping network and virtual accounts</t>
  </si>
  <si>
    <t>https://www.sciencedirect.com/science/article/pii/S1084804523001674</t>
  </si>
  <si>
    <t>Fog-enabled private blockchain-based identity authentication scheme for smart home</t>
  </si>
  <si>
    <t>https://www.sciencedirect.com/science/article/pii/S0140366423001184</t>
  </si>
  <si>
    <t>A cyber-layer based on weighted average consensus in blockchain environment for accurate sharing of power systems’ dynamic states</t>
  </si>
  <si>
    <t>https://www.sciencedirect.com/science/article/pii/S0142061523006154</t>
  </si>
  <si>
    <t>Distributed ledger technologies for authentication and access control in networking applications: A comprehensive survey</t>
  </si>
  <si>
    <t>https://www.sciencedirect.com/science/article/pii/S1574013723000576</t>
  </si>
  <si>
    <t>Trustworthy sealed-bid auction with low communication cost atop blockchain</t>
  </si>
  <si>
    <t>https://www.sciencedirect.com/science/article/pii/S0020025523002633</t>
  </si>
  <si>
    <t>From supply chains towards manufacturing ecosystems: A system dynamics model</t>
  </si>
  <si>
    <t>https://www.sciencedirect.com/science/article/pii/S0040162523006029</t>
  </si>
  <si>
    <t>Prediction-based peer-to-peer energy transaction market design for smart grids</t>
  </si>
  <si>
    <t>https://www.sciencedirect.com/science/article/pii/S095219762301374X</t>
  </si>
  <si>
    <t>Blockchain-based secure privacy-preserving vehicle accident and insurance registration</t>
  </si>
  <si>
    <t>https://www.sciencedirect.com/science/article/pii/S0957417423011533</t>
  </si>
  <si>
    <t>Developing an anti-counterfeit system using blockchain technology</t>
  </si>
  <si>
    <t>https://www.sciencedirect.com/science/article/pii/S1877050922021925</t>
  </si>
  <si>
    <t>Risk prediction and credibility detection of network public opinion using blockchain technology</t>
  </si>
  <si>
    <t>https://www.sciencedirect.com/science/article/pii/S0040162522006989</t>
  </si>
  <si>
    <t>A multi-layer trust framework for Self Sovereign Identity on blockchain</t>
  </si>
  <si>
    <t>https://www.sciencedirect.com/science/article/pii/S2468696423000241</t>
  </si>
  <si>
    <t>TrustedMaaS: Transforming trust and transparency Mobility-as-a-Service with blockchain</t>
  </si>
  <si>
    <t>https://www.sciencedirect.com/science/article/pii/S0167739X23003138</t>
  </si>
  <si>
    <t>Chapter 10 - A systematic study on the development of decentralized application (dApp)</t>
  </si>
  <si>
    <t>https://www.sciencedirect.com/science/article/pii/B9780323961462000097</t>
  </si>
  <si>
    <t>Enhancing enterprises trust mechanism through integrating blockchain technology into e-commerce platform for SMEs</t>
  </si>
  <si>
    <t>https://www.sciencedirect.com/science/article/pii/S1110866524000070</t>
  </si>
  <si>
    <t>A blockchain-based system for a network design problem considering pricing decisions and sustainability</t>
  </si>
  <si>
    <t>https://www.sciencedirect.com/science/article/pii/S0959652623028548</t>
  </si>
  <si>
    <t>A reinforcement learning model for the reliability of blockchain oracles</t>
  </si>
  <si>
    <t>https://www.sciencedirect.com/science/article/pii/S0957417422021789</t>
  </si>
  <si>
    <t>Enabling blockchain-assisted certificateless public integrity checking for industrial cloud storage systems</t>
  </si>
  <si>
    <t>https://www.sciencedirect.com/science/article/pii/S1383762123000772</t>
  </si>
  <si>
    <t>A Blockchain-Based Data-Driven Fault-Tolerant Control System for Smart Factories in Industry 4.0</t>
  </si>
  <si>
    <t>https://www.sciencedirect.com/science/article/pii/S0140366423000968</t>
  </si>
  <si>
    <t>Neural-FEBI: Accurate function identification in Ethereum Virtual Machine bytecode</t>
  </si>
  <si>
    <t>https://www.sciencedirect.com/science/article/pii/S0164121223000225</t>
  </si>
  <si>
    <t>A novel blockchain-based digital forensics framework for preserving evidence and enabling investigation in industrial Internet of Things</t>
  </si>
  <si>
    <t>https://www.sciencedirect.com/science/article/pii/S1110016823011134</t>
  </si>
  <si>
    <t>Research on optimal intelligent routing algorithm for IoV with machine learning and smart contract</t>
  </si>
  <si>
    <t>https://www.sciencedirect.com/science/article/pii/S2352864822001341</t>
  </si>
  <si>
    <t>Decentralized and collaborative approach to mobile crowdsensing by implementing continuous feedback between the nodes</t>
  </si>
  <si>
    <t>https://www.sciencedirect.com/science/article/pii/S1110866522000743</t>
  </si>
  <si>
    <t>Quorum-based model learning on a blockchain hierarchical clinical research network using smart contracts</t>
  </si>
  <si>
    <t>https://www.sciencedirect.com/science/article/pii/S1386505622002386</t>
  </si>
  <si>
    <t>Distributed Ledger Technologies for Food Sustainability indexing</t>
  </si>
  <si>
    <t>https://www.sciencedirect.com/science/article/pii/S2772375523001417</t>
  </si>
  <si>
    <t>Covert channels in blockchain and blockchain based covert communication: Overview, state-of-the-art, and future directions</t>
  </si>
  <si>
    <t>https://www.sciencedirect.com/science/article/pii/S0140366423001147</t>
  </si>
  <si>
    <t>Institutional innovation essence and knowledge innovation goal of intellectual property law in the big data era</t>
  </si>
  <si>
    <t>https://www.sciencedirect.com/science/article/pii/S2444569X23001130</t>
  </si>
  <si>
    <t>2 - An introduction to blockchain technology, smart energy grids, and their integration</t>
  </si>
  <si>
    <t>https://www.sciencedirect.com/science/article/pii/B9780323918503000093</t>
  </si>
  <si>
    <t>Multi-chain blockchain based secure data-sharing framework for industrial IoTs smart devices in petroleum industry</t>
  </si>
  <si>
    <t>https://www.sciencedirect.com/science/article/pii/S2542660523002925</t>
  </si>
  <si>
    <t>Blockchain-based access control system for efficient and GDPR-compliant personal data management</t>
  </si>
  <si>
    <t>https://www.sciencedirect.com/science/article/pii/S0140366423004140</t>
  </si>
  <si>
    <t>Blockchain-assisted multi-keyword fuzzy search encryption for secure data sharing</t>
  </si>
  <si>
    <t>https://www.sciencedirect.com/science/article/pii/S1383762123001637</t>
  </si>
  <si>
    <t>SecurePrivChain: A decentralized framework for securing the global model using cryptography</t>
  </si>
  <si>
    <t>https://www.sciencedirect.com/science/article/pii/S0167739X22004368</t>
  </si>
  <si>
    <t>RecGuard: An efficient privacy preservation blockchain-based system for online social network users</t>
  </si>
  <si>
    <t>https://www.sciencedirect.com/science/article/pii/S2096720922000525</t>
  </si>
  <si>
    <t>Modular zk-rollup on-demand</t>
  </si>
  <si>
    <t>https://www.sciencedirect.com/science/article/pii/S1084804523000978</t>
  </si>
  <si>
    <t>Blockchain-based security &amp; privacy for biomedical and healthcare information exchange systems</t>
  </si>
  <si>
    <t>https://www.sciencedirect.com/science/article/pii/S2214785321030017</t>
  </si>
  <si>
    <t>Chapter 5 - Enabling blockchain architecture for health information exchanges</t>
  </si>
  <si>
    <t>https://www.sciencedirect.com/science/article/pii/B9780323994811000110</t>
  </si>
  <si>
    <t>A blockchain-based reputation system for trusted VANET nodes</t>
  </si>
  <si>
    <t>https://www.sciencedirect.com/science/article/pii/S1570870522002438</t>
  </si>
  <si>
    <t>On the exploitation of the blockchain technology in the healthcare sector: A systematic review</t>
  </si>
  <si>
    <t>https://www.sciencedirect.com/science/article/pii/S0957417422019157</t>
  </si>
  <si>
    <t>Cheap and secure metatransactions on the blockchain using hash-based authorisation and preferred batchers</t>
  </si>
  <si>
    <t>https://www.sciencedirect.com/science/article/pii/S2096720922000665</t>
  </si>
  <si>
    <t>Blockchain-enabled supply chain coordination for off-site construction using Bayesian theory for plan reliability</t>
  </si>
  <si>
    <t>https://www.sciencedirect.com/science/article/pii/S0926580523003217</t>
  </si>
  <si>
    <t>Blockchain-based dynamic trust access control game mechanism</t>
  </si>
  <si>
    <t>https://www.sciencedirect.com/science/article/pii/S1319157823000101</t>
  </si>
  <si>
    <t>Integrated techno-economic and life cycle assessment of shared circular business model based blockchain-enabled dynamic grapevoltaic farm for major grape growing states in India</t>
  </si>
  <si>
    <t>https://www.sciencedirect.com/science/article/pii/S0960148123003592</t>
  </si>
  <si>
    <t>A blockchain-based federated learning mechanism for privacy preservation of healthcare IoT data</t>
  </si>
  <si>
    <t>https://www.sciencedirect.com/science/article/pii/S0010482523010958</t>
  </si>
  <si>
    <t>A formal model for blockchain-based consent management in data sharing</t>
  </si>
  <si>
    <t>https://www.sciencedirect.com/science/article/pii/S2352220823000408</t>
  </si>
  <si>
    <t>Blockchain adoption and security management of large scale industrial renewable-based systems: Knowledge-based approach</t>
  </si>
  <si>
    <t>https://www.sciencedirect.com/science/article/pii/S2444569X23000240</t>
  </si>
  <si>
    <t>A blockchain-orchestrated deep learning approach for secure data transmission in IoT-enabled healthcare system</t>
  </si>
  <si>
    <t>https://www.sciencedirect.com/science/article/pii/S0743731522002106</t>
  </si>
  <si>
    <t>Chapter 9 - The application of blockchain in talent supply chain management</t>
  </si>
  <si>
    <t>https://www.sciencedirect.com/science/article/pii/B9780323899635000150</t>
  </si>
  <si>
    <t>Investor attention and GameFi returns: A transfer entropy analysis</t>
  </si>
  <si>
    <t>https://www.sciencedirect.com/science/article/pii/S1544612324000771</t>
  </si>
  <si>
    <t>What Does Matter in the Success of a Decentralized Application? From Idea to Development</t>
  </si>
  <si>
    <t>https://www.sciencedirect.com/science/article/pii/S0950584924000193</t>
  </si>
  <si>
    <t>POMF: A Privacy-preserved On-chain Matching Framework</t>
  </si>
  <si>
    <t>https://www.sciencedirect.com/science/article/pii/S0167739X23003308</t>
  </si>
  <si>
    <t>Towards applicability of blockchain in agriculture sector</t>
  </si>
  <si>
    <t>https://www.sciencedirect.com/science/article/pii/S2214785321052251</t>
  </si>
  <si>
    <t>Construction cost management using blockchain and encryption</t>
  </si>
  <si>
    <t>https://www.sciencedirect.com/science/article/pii/S0926580523001012</t>
  </si>
  <si>
    <t>Carbon allowance auction design of China's ETS: A comprehensive hierarchical system based on blockchain</t>
  </si>
  <si>
    <t>https://www.sciencedirect.com/science/article/pii/S1059056023002630</t>
  </si>
  <si>
    <t>Performance analysis of LogisticChain: A blockchain platform for maritime logistics</t>
  </si>
  <si>
    <t>https://www.sciencedirect.com/science/article/pii/S0166361523001884</t>
  </si>
  <si>
    <t>Next-power: Next-generation framework for secure and sustainable energy trading in the metaverse</t>
  </si>
  <si>
    <t>https://www.sciencedirect.com/science/article/pii/S1570870523001634</t>
  </si>
  <si>
    <t>Blockchain + IoT sensor network to measure, evaluate and incentivize personal environmental accounting and efficient energy use in indoor spaces</t>
  </si>
  <si>
    <t>https://www.sciencedirect.com/science/article/pii/S0306261922017007</t>
  </si>
  <si>
    <t>Access control mechanism for the Internet of Things based on blockchain and inner product encryption</t>
  </si>
  <si>
    <t>https://www.sciencedirect.com/science/article/pii/S2214212623000315</t>
  </si>
  <si>
    <t>Blockchain empowerment in construction supply chains: Enhancing efficiency and sustainability for an infrastructure development</t>
  </si>
  <si>
    <t>https://www.sciencedirect.com/science/article/pii/S2772991523000403</t>
  </si>
  <si>
    <t>Bidirectional utilization of blockchain and privacy computing: Issues, progress, and challenges</t>
  </si>
  <si>
    <t>https://www.sciencedirect.com/science/article/pii/S108480452300214X</t>
  </si>
  <si>
    <t>Strategic factors in implementing blockchain technology in Indonesia's value-added tax system</t>
  </si>
  <si>
    <t>https://www.sciencedirect.com/science/article/pii/S0160791X22003104</t>
  </si>
  <si>
    <t>Optimized CPU–GPU collaborative acceleration of zero-knowledge proof for confidential transactions</t>
  </si>
  <si>
    <t>https://www.sciencedirect.com/science/article/pii/S1383762122002922</t>
  </si>
  <si>
    <t>Integrating blockchain, RFID and IoT within a cheese supply chain: A cost analysis</t>
  </si>
  <si>
    <t>https://www.sciencedirect.com/science/article/pii/S2452414X23000596</t>
  </si>
  <si>
    <t>Blockchain applicability in the management of urban water supply and sanitation systems in Spain</t>
  </si>
  <si>
    <t>https://www.sciencedirect.com/science/article/pii/S0301479723012689</t>
  </si>
  <si>
    <t>Decentralized payment clearing using blockchain and optimal bidding</t>
  </si>
  <si>
    <t>https://www.sciencedirect.com/science/article/pii/S0377221722009729</t>
  </si>
  <si>
    <t>A blockchain-based secure Internet of medical things framework for stress detection</t>
  </si>
  <si>
    <t>https://www.sciencedirect.com/science/article/pii/S0020025523001354</t>
  </si>
  <si>
    <t>Between decentralization and reintermediation: Blockchain platforms and the governance of ‘commons-led’ and ‘business-led’ energy transitions</t>
  </si>
  <si>
    <t>https://www.sciencedirect.com/science/article/pii/S2214629623000944</t>
  </si>
  <si>
    <t>Accelerating block lifecycle on blockchain via hardware transactional memory</t>
  </si>
  <si>
    <t>https://www.sciencedirect.com/science/article/pii/S0743731523001491</t>
  </si>
  <si>
    <t>Study on Personalized Service Contract: application of digital court</t>
  </si>
  <si>
    <t>https://www.sciencedirect.com/science/article/pii/S2212827123002263</t>
  </si>
  <si>
    <t>Chapter 13 - Blockchain and forensics</t>
  </si>
  <si>
    <t>https://www.sciencedirect.com/science/article/pii/B9780323961462000164</t>
  </si>
  <si>
    <t>Transactive energy in microgrid communities: A systematic review</t>
  </si>
  <si>
    <t>https://www.sciencedirect.com/science/article/pii/S1364032122008802</t>
  </si>
  <si>
    <t>Improved block chain system for high secured IoT integrated supply chain</t>
  </si>
  <si>
    <t>https://www.sciencedirect.com/science/article/pii/S2665917422002677</t>
  </si>
  <si>
    <t>Transforming Health Insurance Claims Adjudication with Blockchain-based Solutions</t>
  </si>
  <si>
    <t>https://www.sciencedirect.com/science/article/pii/S1877050923010694</t>
  </si>
  <si>
    <t>Blockchain technology and international countertrade</t>
  </si>
  <si>
    <t>https://www.sciencedirect.com/science/article/pii/S1042443123002019</t>
  </si>
  <si>
    <t>Peer-to-peer energy sharing and trading of renewable energy in smart communities ─ trading pricing models, decision-making and agent-based collaboration</t>
  </si>
  <si>
    <t>https://www.sciencedirect.com/science/article/pii/S096014812300277X</t>
  </si>
  <si>
    <t>Differentially private enhanced permissioned blockchain for private data sharing in industrial IoT</t>
  </si>
  <si>
    <t>https://www.sciencedirect.com/science/article/pii/S0020025523015827</t>
  </si>
  <si>
    <t>Consensus mechanism for software-defined blockchain in internet of things</t>
  </si>
  <si>
    <t>https://www.sciencedirect.com/science/article/pii/S266734522200030X</t>
  </si>
  <si>
    <t>Etherless Ethereum tokens: Simulating native tokens in Ethereum</t>
  </si>
  <si>
    <t>https://www.sciencedirect.com/science/article/pii/S0022000023000132</t>
  </si>
  <si>
    <t>Leveraging blockchain technology for resilient and robust frequency control in a renewable-based hybrid power system with hydrogen and battery storage integration</t>
  </si>
  <si>
    <t>https://www.sciencedirect.com/science/article/pii/S0196890423002340</t>
  </si>
  <si>
    <t>Critical success factors for implementing blockchain technology in construction</t>
  </si>
  <si>
    <t>https://www.sciencedirect.com/science/article/pii/S0926580523003953</t>
  </si>
  <si>
    <t>Developing a decentralized community of practice-based model for on-demand electric car-pooling towards sustainable shared mobility</t>
  </si>
  <si>
    <t>https://www.sciencedirect.com/science/article/pii/S2213624X23001906</t>
  </si>
  <si>
    <t>Blockchain-assisted spent electric vehicle battery participation for load frequency control problems in interconnected power systems is resilient, low-carbon, and offers revenues to the operators</t>
  </si>
  <si>
    <t>https://www.sciencedirect.com/science/article/pii/S2213138823002023</t>
  </si>
  <si>
    <t>LearnChain: Transparent and cooperative reinforcement learning on Blockchain</t>
  </si>
  <si>
    <t>https://www.sciencedirect.com/science/article/pii/S0167739X23003370</t>
  </si>
  <si>
    <t>Posterior probability and collaborative filtering based Heterogeneous Recommendations model for user/item Application in use case of IoVT</t>
  </si>
  <si>
    <t>https://www.sciencedirect.com/science/article/pii/S0045790622007479</t>
  </si>
  <si>
    <t>A value-based approach to the adoption of cryptocurrencies</t>
  </si>
  <si>
    <t>https://www.sciencedirect.com/science/article/pii/S2444569X23000380</t>
  </si>
  <si>
    <t>A comprehensive survey on blockchain-based C-ITS applications: Classification, challenges, and open issues</t>
  </si>
  <si>
    <t>https://www.sciencedirect.com/science/article/pii/S2214209623000372</t>
  </si>
  <si>
    <t>TruCert: Blockchain-based trustworthy product certification within autonomous automotive supply chains</t>
  </si>
  <si>
    <t>https://www.sciencedirect.com/science/article/pii/S0045790623001623</t>
  </si>
  <si>
    <t>Assessing the role of blockchain technology for marine bunkering operations – A case study of task technology fit</t>
  </si>
  <si>
    <t>https://www.sciencedirect.com/science/article/pii/S0308597X23004426</t>
  </si>
  <si>
    <t>Towards efficient privacy and trust in decentralized blockchain-based peer-to-peer renewable energy marketplace</t>
  </si>
  <si>
    <t>https://www.sciencedirect.com/science/article/pii/S2352467723001546</t>
  </si>
  <si>
    <t>Trust-minimized optimistic cross-rollup arbitrary message bridge</t>
  </si>
  <si>
    <t>https://www.sciencedirect.com/science/article/pii/S108480452300190X</t>
  </si>
  <si>
    <t>Decentralized and secure deduplication with dynamic ownership in MLaaS</t>
  </si>
  <si>
    <t>https://www.sciencedirect.com/science/article/pii/S2214212623001084</t>
  </si>
  <si>
    <t>Self-sovereign identity empowered non-fungible patient tokenization for health information exchange using blockchain technology</t>
  </si>
  <si>
    <t>https://www.sciencedirect.com/science/article/pii/S0010482523002433</t>
  </si>
  <si>
    <t>Blockchain based smart contract for cooperative spectrum sensing in cognitive radio networks for sustainable beyond 5G wireless communication</t>
  </si>
  <si>
    <t>https://www.sciencedirect.com/science/article/pii/S294973612300012X</t>
  </si>
  <si>
    <t>FedRec: Trusted rank-based recommender scheme for service provisioning in federated cloud environment</t>
  </si>
  <si>
    <t>https://www.sciencedirect.com/science/article/pii/S2352864822001250</t>
  </si>
  <si>
    <t>On the use of Blockchain to enable a highly scalable Internet of Things Data Marketplace</t>
  </si>
  <si>
    <t>https://www.sciencedirect.com/science/article/pii/S2542660523000458</t>
  </si>
  <si>
    <t>Towards resilience in Industry 5.0: A decentralized autonomous manufacturing paradigm</t>
  </si>
  <si>
    <t>https://www.sciencedirect.com/science/article/pii/S0278612523001723</t>
  </si>
  <si>
    <t>A Flexible Approach to Multi-party Business Process Execution on Blockchain</t>
  </si>
  <si>
    <t>https://www.sciencedirect.com/science/article/pii/S0167739X23001814</t>
  </si>
  <si>
    <t>Blockchain supported BIM data provenance for construction projects</t>
  </si>
  <si>
    <t>https://www.sciencedirect.com/science/article/pii/S0166361522001646</t>
  </si>
  <si>
    <t>Implementing a multichain framework using hyperledger for supply chain transparency in a dynamic partnership: A feasibility study</t>
  </si>
  <si>
    <t>https://www.sciencedirect.com/science/article/pii/S0360835222008944</t>
  </si>
  <si>
    <t>A compliance-based architecture for supporting GDPR accountability in cloud computing</t>
  </si>
  <si>
    <t>https://www.sciencedirect.com/science/article/pii/S0167739X23000985</t>
  </si>
  <si>
    <t>Specificity of Decentralized Autonomous Organizations as the Implementation of Blockchain Technology</t>
  </si>
  <si>
    <t>https://www.sciencedirect.com/science/article/pii/S1877050923015922</t>
  </si>
  <si>
    <t>Towards a blockchain and machine learning-based framework for decentralised energy management</t>
  </si>
  <si>
    <t>https://www.sciencedirect.com/science/article/pii/S0378778823009878</t>
  </si>
  <si>
    <t>Accounting and auditing with blockchain technology and artificial Intelligence: A literature review</t>
  </si>
  <si>
    <t>https://www.sciencedirect.com/science/article/pii/S1467089522000501</t>
  </si>
  <si>
    <t>A blockchain 3.0 paradigm for digital twins in construction project management</t>
  </si>
  <si>
    <t>https://www.sciencedirect.com/science/article/pii/S0926580522005155</t>
  </si>
  <si>
    <t>Blockchain enabled smart community for bilateral energy transaction</t>
  </si>
  <si>
    <t>https://www.sciencedirect.com/science/article/pii/S0142061523000546</t>
  </si>
  <si>
    <t>Waste management: A comprehensive state of the art about the rise of blockchain technology</t>
  </si>
  <si>
    <t>https://www.sciencedirect.com/science/article/pii/S0166361522002081</t>
  </si>
  <si>
    <t>Study on the new implementation mode of cross-docking based on blockchain technology</t>
  </si>
  <si>
    <t>https://www.sciencedirect.com/science/article/pii/S0360835223002735</t>
  </si>
  <si>
    <t>Deep learning-based malicious smart contract detection scheme for internet of things environment</t>
  </si>
  <si>
    <t>https://www.sciencedirect.com/science/article/pii/S004579062100519X</t>
  </si>
  <si>
    <t>A secure double spectrum auction scheme</t>
  </si>
  <si>
    <t>https://www.sciencedirect.com/science/article/pii/S2352864822002759</t>
  </si>
  <si>
    <t>Blockchain-based Supply Chain Traceability for COVID-19 personal protective equipment</t>
  </si>
  <si>
    <t>https://www.sciencedirect.com/science/article/pii/S0360835222000651</t>
  </si>
  <si>
    <t>A user-centric privacy-preserving authentication protocol for IoT-AmI environments</t>
  </si>
  <si>
    <t>https://www.sciencedirect.com/science/article/pii/S014036642200370X</t>
  </si>
  <si>
    <t>CCGIR: Information retrieval-based code comment generation method for smart contracts</t>
  </si>
  <si>
    <t>https://www.sciencedirect.com/science/article/pii/S0950705121010406</t>
  </si>
  <si>
    <t>Blockchain-based secure delivery of medical supplies using drones</t>
  </si>
  <si>
    <t>https://www.sciencedirect.com/science/article/pii/S1389128621005661</t>
  </si>
  <si>
    <t>Design and implementation of a New Blockchain-based digital health passport: A Moroccan case study</t>
  </si>
  <si>
    <t>https://www.sciencedirect.com/science/article/pii/S2352914822002623</t>
  </si>
  <si>
    <t>Blockchain-enabled fraud discovery through abnormal smart contract detection on Ethereum</t>
  </si>
  <si>
    <t>https://www.sciencedirect.com/science/article/pii/S0167739X21003319</t>
  </si>
  <si>
    <t>K-nearest neighbour-based smart contract for internet of medical things security using blockchain</t>
  </si>
  <si>
    <t>https://www.sciencedirect.com/science/article/pii/S0045790622003792</t>
  </si>
  <si>
    <t>DVTChain: A blockchain-based decentralized mechanism to ensure the security of digital voting system voting system</t>
  </si>
  <si>
    <t>https://www.sciencedirect.com/science/article/pii/S1319157822002221</t>
  </si>
  <si>
    <t>Smart contracts in energy systems: A systematic review of fundamental approaches and implementations</t>
  </si>
  <si>
    <t>https://www.sciencedirect.com/science/article/pii/S1364032121012764</t>
  </si>
  <si>
    <t>Blockchain in oil and gas industry: Applications, challenges, and future trends</t>
  </si>
  <si>
    <t>https://www.sciencedirect.com/science/article/pii/S0160791X22000823</t>
  </si>
  <si>
    <t>HBFL: A hierarchical blockchain-based federated learning framework for collaborative IoT intrusion detection</t>
  </si>
  <si>
    <t>https://www.sciencedirect.com/science/article/pii/S0045790622005961</t>
  </si>
  <si>
    <t>Blockchain-based AMI framework for data security and privacy protection</t>
  </si>
  <si>
    <t>https://www.sciencedirect.com/science/article/pii/S2352467722001060</t>
  </si>
  <si>
    <t>A patent registration and trading system based on blockchain</t>
  </si>
  <si>
    <t>https://www.sciencedirect.com/science/article/pii/S0957417422005000</t>
  </si>
  <si>
    <t>Applying blockchain-based method to smart contract classification for CPS applications</t>
  </si>
  <si>
    <t>https://www.sciencedirect.com/science/article/pii/S2352864822001742</t>
  </si>
  <si>
    <t>The Role of Smart Contract Blockchain in 6G Wireless Communication System</t>
  </si>
  <si>
    <t>https://www.sciencedirect.com/science/article/pii/S1877050922020762</t>
  </si>
  <si>
    <t>Providing scalability and privacy for smart contract in the healthcare system</t>
  </si>
  <si>
    <t>https://www.sciencedirect.com/science/article/pii/S0030402622013353</t>
  </si>
  <si>
    <t>Chapter 29 - A comparative study on IoT-aided smart grids using blockchain platform</t>
  </si>
  <si>
    <t>https://www.sciencedirect.com/science/article/pii/B978012824054000006X</t>
  </si>
  <si>
    <t>Blockchain verification and validation: Techniques, challenges, and research directions</t>
  </si>
  <si>
    <t>https://www.sciencedirect.com/science/article/pii/S1574013722000314</t>
  </si>
  <si>
    <t>Elliptic curve threshold signature scheme for blockchain</t>
  </si>
  <si>
    <t>https://www.sciencedirect.com/science/article/pii/S2214212622001909</t>
  </si>
  <si>
    <t>Chatbot for construction firms using scalable blockchain network</t>
  </si>
  <si>
    <t>https://www.sciencedirect.com/science/article/pii/S0926580522002631</t>
  </si>
  <si>
    <t>BA-RMKABSE: Blockchain-aided Ranked Multi-keyword Attribute-based Searchable Encryption with Hiding Policy for Smart Health System</t>
  </si>
  <si>
    <t>https://www.sciencedirect.com/science/article/pii/S0167739X22000292</t>
  </si>
  <si>
    <t>A blockchain security module for brain-computer interface (BCI) with Multimedia Life Cycle Framework (MLCF)</t>
  </si>
  <si>
    <t>https://www.sciencedirect.com/science/article/pii/S2772528621000303</t>
  </si>
  <si>
    <t>A novel blockchain-based and proxy-oriented public audit scheme for low performance terminal devices</t>
  </si>
  <si>
    <t>https://www.sciencedirect.com/science/article/pii/S0743731522001319</t>
  </si>
  <si>
    <t>A novel fraud detection and prevention method for healthcare claim processing using machine learning and blockchain technology</t>
  </si>
  <si>
    <t>https://www.sciencedirect.com/science/article/pii/S2772662222000534</t>
  </si>
  <si>
    <t>A decentralized blockchain-based key management protocol for heterogeneous and dynamic IoT devices</t>
  </si>
  <si>
    <t>https://www.sciencedirect.com/science/article/pii/S0140366422001220</t>
  </si>
  <si>
    <t>A blockchain-based keyword search scheme with dual authorization for electronic health record sharing</t>
  </si>
  <si>
    <t>https://www.sciencedirect.com/science/article/pii/S2214212622000448</t>
  </si>
  <si>
    <t>A blockchain-based edge collaborative detection scheme for construction internet of things</t>
  </si>
  <si>
    <t>https://www.sciencedirect.com/science/article/pii/S0926580521005173</t>
  </si>
  <si>
    <t>Achieving reliable and anti-collusive outsourcing computation and verification based on blockchain in 5G-enabled IoT</t>
  </si>
  <si>
    <t>https://www.sciencedirect.com/science/article/pii/S2352864822001031</t>
  </si>
  <si>
    <t>Advances in Air Cargo Financing Using a Consortium Blockchain</t>
  </si>
  <si>
    <t>https://www.sciencedirect.com/science/article/pii/S2405896322017955</t>
  </si>
  <si>
    <t>Blockchain-based multi-hop permission delegation scheme with controllable delegation depth for electronic health record sharing</t>
  </si>
  <si>
    <t>https://www.sciencedirect.com/science/article/pii/S2667295222000368</t>
  </si>
  <si>
    <t>Smart-contract enabled decentralized knowledge fusion for blockchain-based conversation system</t>
  </si>
  <si>
    <t>https://www.sciencedirect.com/science/article/pii/S095741742200495X</t>
  </si>
  <si>
    <t>Blockchain for smart grid</t>
  </si>
  <si>
    <t>https://www.sciencedirect.com/science/article/pii/S1319157819309000</t>
  </si>
  <si>
    <t>Keyword search over encrypted cloud data based on blockchain in smart medical applications</t>
  </si>
  <si>
    <t>https://www.sciencedirect.com/science/article/pii/S0140366422001700</t>
  </si>
  <si>
    <t>Blockchain-based solution for COVID-19 vaccine waste reduction</t>
  </si>
  <si>
    <t>https://www.sciencedirect.com/science/article/pii/S0959652622031973</t>
  </si>
  <si>
    <t>The blockchain based access control scheme for the Internet of Things</t>
  </si>
  <si>
    <t>https://www.sciencedirect.com/science/article/pii/S1877050922005804</t>
  </si>
  <si>
    <t>TPPSUPPLY : A traceable and privacy-preserving blockchain system architecture for the supply chain</t>
  </si>
  <si>
    <t>https://www.sciencedirect.com/science/article/pii/S2214212622000096</t>
  </si>
  <si>
    <t>Using blockchain and semantic web technologies for the implementation of smart contracts between individuals and health insurance organizations</t>
  </si>
  <si>
    <t>https://www.sciencedirect.com/science/article/pii/S2096720921000440</t>
  </si>
  <si>
    <t>Design of integrated energy market cloud service platform based on blockchain smart contract</t>
  </si>
  <si>
    <t>https://www.sciencedirect.com/science/article/pii/S0142061521007547</t>
  </si>
  <si>
    <t>Novel blockchain transaction provenance model with graph attention mechanism</t>
  </si>
  <si>
    <t>https://www.sciencedirect.com/science/article/pii/S0957417422015172</t>
  </si>
  <si>
    <t>CoVAC: A P2P smart contract-based intelligent smart city architecture for vaccine manufacturing</t>
  </si>
  <si>
    <t>https://www.sciencedirect.com/science/article/pii/S0360835222000377</t>
  </si>
  <si>
    <t>Does utilizing smart contracts induce a financial connectedness between Ethereum and non-fungible tokens?</t>
  </si>
  <si>
    <t>https://www.sciencedirect.com/science/article/pii/S0275531922001593</t>
  </si>
  <si>
    <t>Evolutionary game-based incentive models for sustainable trust enhancement in a blockchained shared manufacturing network</t>
  </si>
  <si>
    <t>https://www.sciencedirect.com/science/article/pii/S147403462200249X</t>
  </si>
  <si>
    <t>Estimation of the success probability of a malicious attacker on blockchain-based edge network</t>
  </si>
  <si>
    <t>https://www.sciencedirect.com/science/article/pii/S1389128622004364</t>
  </si>
  <si>
    <t>A blockchain-based conditional privacy-preserving authentication scheme for edge computing services</t>
  </si>
  <si>
    <t>https://www.sciencedirect.com/science/article/pii/S221421262200179X</t>
  </si>
  <si>
    <t>Controlled flexibility in blockchain-based collaborative business processes</t>
  </si>
  <si>
    <t>https://www.sciencedirect.com/science/article/pii/S0306437920300946</t>
  </si>
  <si>
    <t>A blockchain-based approach to smart cargo transportation using UHF RFID</t>
  </si>
  <si>
    <t>https://www.sciencedirect.com/science/article/pii/S0957417421013762</t>
  </si>
  <si>
    <t>Accountable outsourcing data storage atop blockchain</t>
  </si>
  <si>
    <t>https://www.sciencedirect.com/science/article/pii/S0920548922000095</t>
  </si>
  <si>
    <t>DCIV: Decentralized cross-chain data integrity verification with blockchain</t>
  </si>
  <si>
    <t>https://www.sciencedirect.com/science/article/pii/S1319157822002427</t>
  </si>
  <si>
    <t>Attribute-based access control scheme for data sharing on hyperledger fabric</t>
  </si>
  <si>
    <t>https://www.sciencedirect.com/science/article/pii/S2214212622000643</t>
  </si>
  <si>
    <t>Multiple access control scheme for EHRs combining edge computing with smart contracts</t>
  </si>
  <si>
    <t>https://www.sciencedirect.com/science/article/pii/S0167739X21004313</t>
  </si>
  <si>
    <t>A formal model for ledger management systems based on contracts and temporal logic</t>
  </si>
  <si>
    <t>https://www.sciencedirect.com/science/article/pii/S2096720922000021</t>
  </si>
  <si>
    <t>Centralized bidding mechanism of demand response based on blockchain</t>
  </si>
  <si>
    <t>https://www.sciencedirect.com/science/article/pii/S2352484722003924</t>
  </si>
  <si>
    <t>Tracking prefabricated assets and compliance using quick response (QR) codes, blockchain and smart contract technology</t>
  </si>
  <si>
    <t>https://www.sciencedirect.com/science/article/pii/S092658052200293X</t>
  </si>
  <si>
    <t>UpHaaR: Blockchain-based charity donation scheme to handle financial irregularities</t>
  </si>
  <si>
    <t>https://www.sciencedirect.com/science/article/pii/S2214212622001144</t>
  </si>
  <si>
    <t>Blockchain-enabled efficient distributed attribute-based access control framework with privacy-preserving in IoV</t>
  </si>
  <si>
    <t>https://www.sciencedirect.com/science/article/pii/S1319157822003251</t>
  </si>
  <si>
    <t>A survey on blockchain systems: Attacks, defenses, and privacy preservation</t>
  </si>
  <si>
    <t>https://www.sciencedirect.com/science/article/pii/S2667295221000386</t>
  </si>
  <si>
    <t>Medical blockchain: Data sharing and privacy preserving of EHR based on smart contract</t>
  </si>
  <si>
    <t>https://www.sciencedirect.com/science/article/pii/S2214212622000102</t>
  </si>
  <si>
    <t>Architecture, operation, and implementation for Blockchain-driven turnkey project under I4.0 workshop based on RAMI 4.0</t>
  </si>
  <si>
    <t>https://www.sciencedirect.com/science/article/pii/S0360835222007252</t>
  </si>
  <si>
    <t>iContractML 2.0: A domain-specific language for modeling and deploying smart contracts onto multiple blockchain platforms</t>
  </si>
  <si>
    <t>https://www.sciencedirect.com/science/article/pii/S0950584921002081</t>
  </si>
  <si>
    <t>Can blockchain link the future?</t>
  </si>
  <si>
    <t>https://www.sciencedirect.com/science/article/pii/S2352864821000456</t>
  </si>
  <si>
    <t>A blockchain-based integrated document management framework for construction applications</t>
  </si>
  <si>
    <t>https://www.sciencedirect.com/science/article/pii/S0926580521004520</t>
  </si>
  <si>
    <t>Blockchain-based Decentralized KYC Verification Framework for Banks</t>
  </si>
  <si>
    <t>https://www.sciencedirect.com/science/article/pii/S1877050922021263</t>
  </si>
  <si>
    <t>Blockchain based context-aware CP-ABE schema for Internet of Medical Things security</t>
  </si>
  <si>
    <t>https://www.sciencedirect.com/science/article/pii/S2590005622000194</t>
  </si>
  <si>
    <t>Practical AgentChain: A compatible cross-chain exchange system</t>
  </si>
  <si>
    <t>https://www.sciencedirect.com/science/article/pii/S0167739X2100474X</t>
  </si>
  <si>
    <t>SSBAS-FA: A secure sealed-bid e-auction scheme with fair arbitration based on time-released blockchain</t>
  </si>
  <si>
    <t>https://www.sciencedirect.com/science/article/pii/S1383762122001503</t>
  </si>
  <si>
    <t>Blockchain-based privacy preserving e-health system for healthcare data in cloud</t>
  </si>
  <si>
    <t>https://www.sciencedirect.com/science/article/pii/S1389128621004916</t>
  </si>
  <si>
    <t>An intelligent model of green urban distribution in the blockchain environment</t>
  </si>
  <si>
    <t>https://www.sciencedirect.com/science/article/pii/S0921344921005346</t>
  </si>
  <si>
    <t>Blockchain state-of-the-art: architecture, use cases, consensus, challenges and opportunities</t>
  </si>
  <si>
    <t>https://www.sciencedirect.com/science/article/pii/S131915782100207X</t>
  </si>
  <si>
    <t>A permissioned blockchain enabled trustworthy and incentivized emission trading system</t>
  </si>
  <si>
    <t>https://www.sciencedirect.com/science/article/pii/S0959652622009040</t>
  </si>
  <si>
    <t>Blockchain: An emerging novel technology to upgrade the current fresh fruit supply chain</t>
  </si>
  <si>
    <t>https://www.sciencedirect.com/science/article/pii/S0924224422001212</t>
  </si>
  <si>
    <t>A drone-based data management and optimization using metaheuristic algorithms and blockchain smart contracts in a secure fog environment</t>
  </si>
  <si>
    <t>https://www.sciencedirect.com/science/article/pii/S0045790622004700</t>
  </si>
  <si>
    <t>Enhancing Blockchain-based Ride-Sharing Services using IPFS</t>
  </si>
  <si>
    <t>https://www.sciencedirect.com/science/article/pii/S2667305322000722</t>
  </si>
  <si>
    <t>Combinatorial resources auction in decentralized edge-thing systems using blockchain and differential privacy</t>
  </si>
  <si>
    <t>https://www.sciencedirect.com/science/article/pii/S0020025522005680</t>
  </si>
  <si>
    <t>CrowdLBM: A lightweight blockchain-based model for mobile crowdsensing in the Internet of Things</t>
  </si>
  <si>
    <t>https://www.sciencedirect.com/science/article/pii/S1574119222000578</t>
  </si>
  <si>
    <t>A review of Blockchain Technology applications for financial services</t>
  </si>
  <si>
    <t>https://www.sciencedirect.com/science/article/pii/S2772485922000606</t>
  </si>
  <si>
    <t>Designing a blockchain-enabled privacy-preserving energy theft detection system for smart grid neighborhood area network</t>
  </si>
  <si>
    <t>https://www.sciencedirect.com/science/article/pii/S0378779622001146</t>
  </si>
  <si>
    <t>Blockchain smart contracts for supply chain finance: Mapping the innovation potential in Australia-China beef supply chains</t>
  </si>
  <si>
    <t>https://www.sciencedirect.com/science/article/pii/S2452414X22000565</t>
  </si>
  <si>
    <t>Procurement, traceability and advance cash credit payment transactions in supply chain using blockchain smart contracts</t>
  </si>
  <si>
    <t>https://www.sciencedirect.com/science/article/pii/S0360835222001085</t>
  </si>
  <si>
    <t>Cooperative Blood Inventory Ledger (CoBIL): A decentralized decision-making framework for improving blood product management</t>
  </si>
  <si>
    <t>https://www.sciencedirect.com/science/article/pii/S0360835222005721</t>
  </si>
  <si>
    <t>Digital building twins and blockchain for performance-based (smart) contracts</t>
  </si>
  <si>
    <t>https://www.sciencedirect.com/science/article/pii/S0926580521004325</t>
  </si>
  <si>
    <t>Blockchain-based P2P power trading mechanism for PV prosumer</t>
  </si>
  <si>
    <t>https://www.sciencedirect.com/science/article/pii/S2352484722003778</t>
  </si>
  <si>
    <t>AudiWFlow: Confidential, collusion-resistant auditing of distributed workflows</t>
  </si>
  <si>
    <t>https://www.sciencedirect.com/science/article/pii/S2096720922000148</t>
  </si>
  <si>
    <t>Smart contract-based caching and data transaction optimization in mobile edge computing</t>
  </si>
  <si>
    <t>https://www.sciencedirect.com/science/article/pii/S0950705122006748</t>
  </si>
  <si>
    <t>A novel insurance claim blockchain scheme based on zero-knowledge proof technology</t>
  </si>
  <si>
    <t>https://www.sciencedirect.com/science/article/pii/S0140366422003152</t>
  </si>
  <si>
    <t>Optimal smart contract for autonomous greenhouse environment based on IoT blockchain network in agriculture</t>
  </si>
  <si>
    <t>https://www.sciencedirect.com/science/article/pii/S0168169921005901</t>
  </si>
  <si>
    <t>Blockchain-based distributed power transaction mechanism considering credit management</t>
  </si>
  <si>
    <t>https://www.sciencedirect.com/science/article/pii/S2352484722004887</t>
  </si>
  <si>
    <t>MOOCsChain: A blockchain-based secure storage and sharing scheme for MOOCs learning</t>
  </si>
  <si>
    <t>https://www.sciencedirect.com/science/article/pii/S0920548921000921</t>
  </si>
  <si>
    <t>6Blocks: 6G-enabled trust management scheme for decentralized autonomous vehicles</t>
  </si>
  <si>
    <t>https://www.sciencedirect.com/science/article/pii/S0140366422001360</t>
  </si>
  <si>
    <t>UCBIS: An improved consortium blockchain information system based on UBCCSP</t>
  </si>
  <si>
    <t>https://www.sciencedirect.com/science/article/pii/S2096720922000045</t>
  </si>
  <si>
    <t>Blockchain-based cyber physical systems: Comprehensive model for challenge assessment</t>
  </si>
  <si>
    <t>https://www.sciencedirect.com/science/article/pii/S0045790622005663</t>
  </si>
  <si>
    <t>A Blockchain-Based Anonymous Authentication Scheme for Internet of Vehicles</t>
  </si>
  <si>
    <t>https://www.sciencedirect.com/science/article/pii/S1877050922005221</t>
  </si>
  <si>
    <t>Research on information sharing incentive mechanism of China's port cold chain logistics enterprises based on blockchain</t>
  </si>
  <si>
    <t>https://www.sciencedirect.com/science/article/pii/S0964569122002058</t>
  </si>
  <si>
    <t>Modeling and analysis of port supply chain system based on Fabric blockchain</t>
  </si>
  <si>
    <t>https://www.sciencedirect.com/science/article/pii/S0360835222005368</t>
  </si>
  <si>
    <t>12 - BEST: Blockchain-Enabled Secure Technology in a healthcare management system</t>
  </si>
  <si>
    <t>https://www.sciencedirect.com/science/article/pii/B978032390615900013X</t>
  </si>
  <si>
    <t>A smart contract logic to reduce hoax propagation across social media</t>
  </si>
  <si>
    <t>https://www.sciencedirect.com/science/article/pii/S1319157820304560</t>
  </si>
  <si>
    <t>Cloud-edge orchestration-based bi-level autonomous process control for mass individualization of rapid printed circuit boards prototyping services</t>
  </si>
  <si>
    <t>https://www.sciencedirect.com/science/article/pii/S0278612522000437</t>
  </si>
  <si>
    <t>Secure decentralized electronic health records sharing system based on blockchains</t>
  </si>
  <si>
    <t>https://www.sciencedirect.com/science/article/pii/S1319157821001051</t>
  </si>
  <si>
    <t>Security enhancement of time synchronization and fault identification in WAMS using a two-layer blockchain framework</t>
  </si>
  <si>
    <t>https://www.sciencedirect.com/science/article/pii/S0306261922003701</t>
  </si>
  <si>
    <t>Digital Certifications in Moroccan Universities: Concepts, Challenges, and Solutions</t>
  </si>
  <si>
    <t>https://www.sciencedirect.com/science/article/pii/S1877050922004276</t>
  </si>
  <si>
    <t>Improving blockchain performance in clinical trials using intelligent optimal transaction traffic control mechanism in smart healthcare applications</t>
  </si>
  <si>
    <t>https://www.sciencedirect.com/science/article/pii/S0360835222003801</t>
  </si>
  <si>
    <t>Enhancing the competitive advantage via Blockchain: an olive oil case study</t>
  </si>
  <si>
    <t>https://www.sciencedirect.com/science/article/pii/S2405896322002397</t>
  </si>
  <si>
    <t>Tracking and tracing in manufacturing supply chains using blockchain technology</t>
  </si>
  <si>
    <t>https://www.sciencedirect.com/science/article/pii/S2212827122015049</t>
  </si>
  <si>
    <t>Blockchain-based smart microgrid power transaction model</t>
  </si>
  <si>
    <t>https://www.sciencedirect.com/science/article/pii/S2405896322011491</t>
  </si>
  <si>
    <t>Integrating an academic management system with blockchain: A case study</t>
  </si>
  <si>
    <t>https://www.sciencedirect.com/science/article/pii/S2096720922000409</t>
  </si>
  <si>
    <t>Blockchain-Enabled decentralized Attribute-Based access control with policy hiding for smart healthcare</t>
  </si>
  <si>
    <t>https://www.sciencedirect.com/science/article/pii/S1319157822002890</t>
  </si>
  <si>
    <t>EdgeShare: A blockchain-based edge data-sharing framework for Industrial Internet of Things</t>
  </si>
  <si>
    <t>https://www.sciencedirect.com/science/article/pii/S0925231221016350</t>
  </si>
  <si>
    <t>Analysis of Blockchain's enablers for improving sustainable supply chain transparency in Africa cocoa industry</t>
  </si>
  <si>
    <t>https://www.sciencedirect.com/science/article/pii/S0959652622015062</t>
  </si>
  <si>
    <t>Chapter 10 - Influence of blockchain technology in pharmaceutical industries</t>
  </si>
  <si>
    <t>https://www.sciencedirect.com/science/article/pii/B9780323901932000090</t>
  </si>
  <si>
    <t>Design of blockchain based smart agriculture framework to ensure safety and security</t>
  </si>
  <si>
    <t>https://www.sciencedirect.com/science/article/pii/S2214785321074393</t>
  </si>
  <si>
    <t>Logistics, supply chain management and technology research: An analysis on the axis of technology mining</t>
  </si>
  <si>
    <t>https://www.sciencedirect.com/science/article/pii/S1366554522003209</t>
  </si>
  <si>
    <t>BlockMedCare: A healthcare system based on IoT, Blockchain and IPFS for data management security</t>
  </si>
  <si>
    <t>https://www.sciencedirect.com/science/article/pii/S1110866522000160</t>
  </si>
  <si>
    <t>Scalable Blockchain Architecture using off-chain IPFS for Marks Card Validation</t>
  </si>
  <si>
    <t>https://www.sciencedirect.com/science/article/pii/S187705092202110X</t>
  </si>
  <si>
    <t>CBFF: A cloud–blockchain fusion framework ensuring data accountability for multi-cloud environments</t>
  </si>
  <si>
    <t>https://www.sciencedirect.com/science/article/pii/S1383762122000339</t>
  </si>
  <si>
    <t>Modeling enablers for blockchain adoption in the circular economy</t>
  </si>
  <si>
    <t>https://www.sciencedirect.com/science/article/pii/S2666188822000296</t>
  </si>
  <si>
    <t>A blockchain-adaptive contractual approach for multi-contracting organizational entities</t>
  </si>
  <si>
    <t>https://www.sciencedirect.com/science/article/pii/S0167739X22000462</t>
  </si>
  <si>
    <t>A blockchain-based application for genomic access and variant discovery using smart contracts and homomorphic encryption</t>
  </si>
  <si>
    <t>https://www.sciencedirect.com/science/article/pii/S0167739X22002400</t>
  </si>
  <si>
    <t>Improving the Financial Security of National Health Insurance using Cloud-Based Blockchain Technology Application</t>
  </si>
  <si>
    <t>https://www.sciencedirect.com/science/article/pii/S2667096822000246</t>
  </si>
  <si>
    <t>Chapter 9 - Advanced site management tools and methods</t>
  </si>
  <si>
    <t>https://www.sciencedirect.com/science/article/pii/B9780128217979000076</t>
  </si>
  <si>
    <t>Blockchain-based identity management and access control framework for open banking ecosystem</t>
  </si>
  <si>
    <t>https://www.sciencedirect.com/science/article/pii/S0167739X22001868</t>
  </si>
  <si>
    <t>A survey on blockchain-based Recommender Systems: Integration architecture and taxonomy</t>
  </si>
  <si>
    <t>https://www.sciencedirect.com/science/article/pii/S0140366422000342</t>
  </si>
  <si>
    <t>Intelligent contracts: Making smart contracts smart for blockchain intelligence</t>
  </si>
  <si>
    <t>https://www.sciencedirect.com/science/article/pii/S0045790622006383</t>
  </si>
  <si>
    <t>Blockchain-based authentication for IIoT devices with PUF</t>
  </si>
  <si>
    <t>https://www.sciencedirect.com/science/article/pii/S1383762122001618</t>
  </si>
  <si>
    <t>Towards user-centered and legally relevant smart-contract development: A systematic literature review</t>
  </si>
  <si>
    <t>https://www.sciencedirect.com/science/article/pii/S2452414X21001072</t>
  </si>
  <si>
    <t>A blockchain-based framework for on-site construction environmental monitoring: Proof of concept</t>
  </si>
  <si>
    <t>https://www.sciencedirect.com/science/article/pii/S0360132322003031</t>
  </si>
  <si>
    <t>B-IoMV: Blockchain-based onion routing protocol for D2D communication in an IoMV environment beyond 5G</t>
  </si>
  <si>
    <t>https://www.sciencedirect.com/science/article/pii/S221420962100070X</t>
  </si>
  <si>
    <t>A Survey of Blockchain Applications in the FinTech Sector</t>
  </si>
  <si>
    <t>https://www.sciencedirect.com/science/article/pii/S2199853123000719</t>
  </si>
  <si>
    <t>Supply chain equilibrium on a game theory-incentivized blockchain network</t>
  </si>
  <si>
    <t>https://www.sciencedirect.com/science/article/pii/S2452414X21000856</t>
  </si>
  <si>
    <t>Fair payments for privacy-preserving aggregation of mobile crowdsensing data</t>
  </si>
  <si>
    <t>https://www.sciencedirect.com/science/article/pii/S1319157821000112</t>
  </si>
  <si>
    <t>Chaotic and Paillier secure image data sharing based on blockchain and cloud security</t>
  </si>
  <si>
    <t>https://www.sciencedirect.com/science/article/pii/S0957417422003219</t>
  </si>
  <si>
    <t>Blockchain-based continuous data integrity checking protocol with zero-knowledge privacy protection</t>
  </si>
  <si>
    <t>https://www.sciencedirect.com/science/article/pii/S2352864822000669</t>
  </si>
  <si>
    <t>Tokenization of sukuk: Ethereum case study</t>
  </si>
  <si>
    <t>https://www.sciencedirect.com/science/article/pii/S1044028319303552</t>
  </si>
  <si>
    <t>A machine learning and blockchain based secure and cost-effective framework for minor medical consultations</t>
  </si>
  <si>
    <t>https://www.sciencedirect.com/science/article/pii/S2210537921001347</t>
  </si>
  <si>
    <t>Implementation of Blockchain Technology to Enhance Last Mile Delivery Models with Sustainability Perspectives</t>
  </si>
  <si>
    <t>https://www.sciencedirect.com/science/article/pii/S2405896322021334</t>
  </si>
  <si>
    <t>Bubbles in Ethereum</t>
  </si>
  <si>
    <t>https://www.sciencedirect.com/science/article/pii/S1544612321003871</t>
  </si>
  <si>
    <t>Digital trust substitution technologies to support smallholder livelihoods in Sub-Saharan Africa</t>
  </si>
  <si>
    <t>https://www.sciencedirect.com/science/article/pii/S2211912421001127</t>
  </si>
  <si>
    <t>6 - Blockchain for future renewable energy</t>
  </si>
  <si>
    <t>https://www.sciencedirect.com/science/article/pii/B978032391698100011X</t>
  </si>
  <si>
    <t>URJA: A sustainable energy distribution and trade model for smart grids</t>
  </si>
  <si>
    <t>https://www.sciencedirect.com/science/article/pii/S2096720922000318</t>
  </si>
  <si>
    <t>Towards cross-chain access control model for medical data sharing</t>
  </si>
  <si>
    <t>https://www.sciencedirect.com/science/article/pii/S1877050922005798</t>
  </si>
  <si>
    <t>Chapter 8 - Blockchain technologies in the digital supply chain</t>
  </si>
  <si>
    <t>https://www.sciencedirect.com/science/article/pii/B9780323916141000083</t>
  </si>
  <si>
    <t>A Blockchain-based Land Title Management System for Bangladesh</t>
  </si>
  <si>
    <t>https://www.sciencedirect.com/science/article/pii/S1319157820304912</t>
  </si>
  <si>
    <t>A robust and distributed architecture for 5G-enabled networks in the smart blockchain era</t>
  </si>
  <si>
    <t>https://www.sciencedirect.com/science/article/pii/S0140366421003935</t>
  </si>
  <si>
    <t>Block by block: A blockchain-based peer-to-peer business transaction for international trade</t>
  </si>
  <si>
    <t>https://www.sciencedirect.com/science/article/pii/S0040162522002402</t>
  </si>
  <si>
    <t>Investigation of New Prosumer Peer-to-Peer Decisions into Energy Community Integration</t>
  </si>
  <si>
    <t>https://www.sciencedirect.com/science/article/pii/S2405896322004487</t>
  </si>
  <si>
    <t>A blockchain-based trustworthy collaborative power trading scheme for 5G-enabled social internet of vehicles</t>
  </si>
  <si>
    <t>https://www.sciencedirect.com/science/article/pii/S2352864822002231</t>
  </si>
  <si>
    <t>A privacy protection scheme for electricity transactions in the microgrid day-ahead market based on consortium blockchain</t>
  </si>
  <si>
    <t>https://www.sciencedirect.com/science/article/pii/S0142061522001831</t>
  </si>
  <si>
    <t>Blockchain-based decentralized energy intra-trading with battery storage flexibility in a community microgrid system</t>
  </si>
  <si>
    <t>https://www.sciencedirect.com/science/article/pii/S0306261922008583</t>
  </si>
  <si>
    <t>The impact of the pandemic on the legal regulation of entrepreneurial activity of transport companies</t>
  </si>
  <si>
    <t>https://www.sciencedirect.com/science/article/pii/S2352146522004513</t>
  </si>
  <si>
    <t>Chapter 11 - A forefront insight into the integration of AI and blockchain technologies</t>
  </si>
  <si>
    <t>https://www.sciencedirect.com/science/article/pii/B9780323901932000053</t>
  </si>
  <si>
    <t>How can the dynamic game be integrated into blockchain-based distributed energy resources multi-agent transactions for decision-making?</t>
  </si>
  <si>
    <t>https://www.sciencedirect.com/science/article/pii/S036054422201221X</t>
  </si>
  <si>
    <t>Blockchain based secure and reliable Cyber Physical ecosystem for vaccine supply chain</t>
  </si>
  <si>
    <t>https://www.sciencedirect.com/science/article/pii/S0140366422001438</t>
  </si>
  <si>
    <t>Emerging research on blockchain technology in finance; a conveyed evidence of bibliometric-based evaluations</t>
  </si>
  <si>
    <t>https://www.sciencedirect.com/science/article/pii/S1047831022000128</t>
  </si>
  <si>
    <t>Trading mode design for a virtual power plant based on main-side consortium blockchains</t>
  </si>
  <si>
    <t>https://www.sciencedirect.com/science/article/pii/S0306261922011898</t>
  </si>
  <si>
    <t>Building trust in online trade-in programs with a blockchain-enabled system</t>
  </si>
  <si>
    <t>https://www.sciencedirect.com/science/article/pii/S1366554522002149</t>
  </si>
  <si>
    <t>Unfolding the blockchain era: Timeline, evolution, types and real-world applications</t>
  </si>
  <si>
    <t>https://www.sciencedirect.com/science/article/pii/S1084804522001527</t>
  </si>
  <si>
    <t>Blockchain in the AECO industry: Current status, key topics, and future research agenda</t>
  </si>
  <si>
    <t>https://www.sciencedirect.com/science/article/pii/S0926580521005525</t>
  </si>
  <si>
    <t>Blockchain: A potential technology to improve the performance of collaborative emergency management with multi-agent participation</t>
  </si>
  <si>
    <t>https://www.sciencedirect.com/science/article/pii/S2212420922000863</t>
  </si>
  <si>
    <t>Recovery strategies for a disrupted supply chain network: Leveraging blockchain technology in pre- and post-disruption scenarios</t>
  </si>
  <si>
    <t>https://www.sciencedirect.com/science/article/pii/S0925527321003650</t>
  </si>
  <si>
    <t>Factors affecting the adoption of smart building projects in the Kingdom of Bahrain</t>
  </si>
  <si>
    <t>https://www.sciencedirect.com/science/article/pii/S2352710222013316</t>
  </si>
  <si>
    <t>Food cold chain management improvement: A conjoint analysis on COVID-19 and food cold chain systems</t>
  </si>
  <si>
    <t>https://www.sciencedirect.com/science/article/pii/S0956713522001335</t>
  </si>
  <si>
    <t>A bibliometric review of research on digital identity: Research streams, influential works and future research paths</t>
  </si>
  <si>
    <t>https://www.sciencedirect.com/science/article/pii/S027861252200005X</t>
  </si>
  <si>
    <t>A Systematic evaluation of blockchain-enabled contract administration in construction projects</t>
  </si>
  <si>
    <t>https://www.sciencedirect.com/science/article/pii/S092658052200423X</t>
  </si>
  <si>
    <t>A Bayesian game-enhanced auction model for federated cloud services using blockchain</t>
  </si>
  <si>
    <t>https://www.sciencedirect.com/science/article/pii/S0167739X22001881</t>
  </si>
  <si>
    <t>Is non-fungible token pricing driven by cryptocurrencies?</t>
  </si>
  <si>
    <t>https://www.sciencedirect.com/science/article/pii/S1544612321001781</t>
  </si>
  <si>
    <t>An analytical approach for evaluating the impact of blockchain technology on sustainable supply chain performance</t>
  </si>
  <si>
    <t>https://www.sciencedirect.com/science/article/pii/S0925527322000226</t>
  </si>
  <si>
    <t>Chapter 5 - Implementation: search through closing: phases 3 to 10 of the acquisition process</t>
  </si>
  <si>
    <t>https://www.sciencedirect.com/science/article/pii/B9780128197820000058</t>
  </si>
  <si>
    <t>Automating governance: Blockchain delivered governance for business networks</t>
  </si>
  <si>
    <t>https://www.sciencedirect.com/science/article/pii/S0019850122000177</t>
  </si>
  <si>
    <t>Obstacle analysis of application of blockchain technology in power data trading based on improved DEMATEL–ISM method under fuzzy environment</t>
  </si>
  <si>
    <t>https://www.sciencedirect.com/science/article/pii/S2352484722005984</t>
  </si>
  <si>
    <t>Blockchain-enabled feedback-based combinatorial double auction for cloud markets</t>
  </si>
  <si>
    <t>https://www.sciencedirect.com/science/article/pii/S0167739X21003551</t>
  </si>
  <si>
    <t>Chapter 3 - Blockchain: A novel paradigm for secured data transmission in telemedicine</t>
  </si>
  <si>
    <t>https://www.sciencedirect.com/science/article/pii/B9780323858540000034</t>
  </si>
  <si>
    <t>Accelerated optimal maintenance scheduling for generation units on a truthful platform</t>
  </si>
  <si>
    <t>https://www.sciencedirect.com/science/article/pii/S2352484722014469</t>
  </si>
  <si>
    <t>Renewable energy communities or ecosystems: An analysis of selected cases</t>
  </si>
  <si>
    <t>https://www.sciencedirect.com/science/article/pii/S2405844022039056</t>
  </si>
  <si>
    <t>Blockchain application in circular marine plastic debris management</t>
  </si>
  <si>
    <t>https://www.sciencedirect.com/science/article/pii/S0019850122000104</t>
  </si>
  <si>
    <t>22 - Blockchain for 5G-enabled networks in healthcare service based on several aspects</t>
  </si>
  <si>
    <t>https://www.sciencedirect.com/science/article/pii/B9780323906159000189</t>
  </si>
  <si>
    <t>dMOBAs: A data marketplace on blockchain with arbitration using side-contracts mechanism</t>
  </si>
  <si>
    <t>https://www.sciencedirect.com/science/article/pii/S0140366422002316</t>
  </si>
  <si>
    <t>Machines that make and keep promises - Lessons for contract automation from algorithmic trading on financial markets</t>
  </si>
  <si>
    <t>https://www.sciencedirect.com/science/article/pii/S0267364922000553</t>
  </si>
  <si>
    <t>A peer-to-peer market for utility exchanges in Eco-Industrial Parks using automated negotiations</t>
  </si>
  <si>
    <t>https://www.sciencedirect.com/science/article/pii/S0957417421015256</t>
  </si>
  <si>
    <t>A security type verifier for smart contracts</t>
  </si>
  <si>
    <t>https://www.sciencedirect.com/science/article/pii/S016740482100167X</t>
  </si>
  <si>
    <t>EtherClue: Digital investigation of attacks on Ethereum smart contracts</t>
  </si>
  <si>
    <t>https://www.sciencedirect.com/science/article/pii/S2096720921000233</t>
  </si>
  <si>
    <t>SolGuard: Preventing external call issues in smart contract-based multi-agent robotic systems</t>
  </si>
  <si>
    <t>https://www.sciencedirect.com/science/article/pii/S0020025521007994</t>
  </si>
  <si>
    <t>Information Sciences</t>
  </si>
  <si>
    <t>A blockchain-based access control and intrusion detection framework for satellite communication systems</t>
  </si>
  <si>
    <t>https://www.sciencedirect.com/science/article/pii/S0140366421001250</t>
  </si>
  <si>
    <t>ConGradetect: Blockchain-based detection of code and identity privacy vulnerabilities in crowdsourcing</t>
  </si>
  <si>
    <t>https://www.sciencedirect.com/science/article/pii/S1383762120301752</t>
  </si>
  <si>
    <t>Privacy-preserving in smart contracts using blockchain and artificial intelligence for cyber risk measurements</t>
  </si>
  <si>
    <t>https://www.sciencedirect.com/science/article/pii/S2214212621000028</t>
  </si>
  <si>
    <t>Blockchain based solutions to secure IoT: Background, integration trends and a way forward</t>
  </si>
  <si>
    <t>https://www.sciencedirect.com/science/article/pii/S1084804521000758</t>
  </si>
  <si>
    <t>The Challenges of IoT Addressing Security, Ethics, Privacy, and Laws</t>
  </si>
  <si>
    <t>https://www.sciencedirect.com/science/article/pii/S2542660521000640</t>
  </si>
  <si>
    <t>A secure spectrum auction scheme without the trusted party based on the smart contract</t>
  </si>
  <si>
    <t>https://www.sciencedirect.com/science/article/pii/S235286481930330X</t>
  </si>
  <si>
    <t>Applications of distributed ledger technology (DLT) and Blockchain-enabled smart contracts in construction</t>
  </si>
  <si>
    <t>https://www.sciencedirect.com/science/article/pii/S0926580521004064</t>
  </si>
  <si>
    <t>https://www.sciencedirect.com/science/article/abs/pii/S0950584923000757</t>
  </si>
  <si>
    <t>Eth2Vec: Learning contract-wide code representations for vulnerability detection on Ethereum smart contracts</t>
  </si>
  <si>
    <t>https://www.sciencedirect.com/science/article/pii/S240589632202303X</t>
  </si>
  <si>
    <t>https://www.sciencedirect.com/science/article/pii/S0306457321000674</t>
  </si>
  <si>
    <t>https://www.sciencedirect.com/science/article/pii/S0306457320309547</t>
  </si>
  <si>
    <t>Chapter 7 - Analyzing information flow in solidity smart contracts</t>
  </si>
  <si>
    <t>https://www.sciencedirect.com/science/article/pii/B9780323961462000243</t>
  </si>
  <si>
    <t>https://www.sciencedirect.com/science/article/pii/S2666389920302439</t>
  </si>
  <si>
    <t>Making contract users safer: Towards building a Safe Browsing platform on Ethereum</t>
  </si>
  <si>
    <t>https://www.sciencedirect.com/science/article/pii/S001905782300188X</t>
  </si>
  <si>
    <t>Smart contract watermarking based on code obfuscation</t>
  </si>
  <si>
    <t>https://www.sciencedirect.com/science/article/pii/S002002552300138X</t>
  </si>
  <si>
    <t>Developmental trajectories of blockchain research and its major subfields</t>
  </si>
  <si>
    <t>https://www.sciencedirect.com/science/article/pii/S0160791X21000816</t>
  </si>
  <si>
    <t>A blockchain-based trading system for big data</t>
  </si>
  <si>
    <t>https://www.sciencedirect.com/science/article/pii/S138912862100116X</t>
  </si>
  <si>
    <t>Improving security of medical big data by using Blockchain technology</t>
  </si>
  <si>
    <t>https://www.sciencedirect.com/science/article/pii/S0045790621004742</t>
  </si>
  <si>
    <t>Blockchain for Securing AI Applications and Open Innovations</t>
  </si>
  <si>
    <t>https://www.sciencedirect.com/science/article/pii/S2199853122009581</t>
  </si>
  <si>
    <t>HealthBlock: A secure blockchain-based healthcare data management system</t>
  </si>
  <si>
    <t>https://www.sciencedirect.com/science/article/pii/S1389128621004382</t>
  </si>
  <si>
    <t>A user collaboration privacy protection scheme with threshold scheme and smart contract</t>
  </si>
  <si>
    <t>https://www.sciencedirect.com/science/article/pii/S0020025521001092</t>
  </si>
  <si>
    <t>A secure authorized deduplication scheme for cloud data based on blockchain</t>
  </si>
  <si>
    <t>https://www.sciencedirect.com/science/article/pii/S0306457321000200</t>
  </si>
  <si>
    <t>Ponzi scheme detection via oversampling-based Long Short-Term Memory for smart contracts</t>
  </si>
  <si>
    <t>https://www.sciencedirect.com/science/article/pii/S0950705121005748</t>
  </si>
  <si>
    <t>A decentralized framework for device authentication and data security in the next generation internet of medical things</t>
  </si>
  <si>
    <t>https://www.sciencedirect.com/science/article/pii/S0140366421003492</t>
  </si>
  <si>
    <t>DF-RBAC: Dynamic and Fine-grained Role-Based Access Control Scheme with Smart Contract</t>
  </si>
  <si>
    <t>https://www.sciencedirect.com/science/article/pii/S1877050921008681</t>
  </si>
  <si>
    <t>SCAB - IoTA: Secure communication and authentication for IoT applications using blockchain</t>
  </si>
  <si>
    <t>https://www.sciencedirect.com/science/article/pii/S0743731521000800</t>
  </si>
  <si>
    <t>The Application of Blockchain of Custody in Criminal Investigation Process</t>
  </si>
  <si>
    <t>https://www.sciencedirect.com/science/article/pii/S1877050921017853</t>
  </si>
  <si>
    <t>Applicability of Blockchain smart contracts in securing Internet and IoT: A systematic literature review</t>
  </si>
  <si>
    <t>https://www.sciencedirect.com/science/article/pii/S1574013720304603</t>
  </si>
  <si>
    <t>A blockchain based incentive provisioning scheme for traffic event validation and information storage in VANETs</t>
  </si>
  <si>
    <t>https://www.sciencedirect.com/science/article/pii/S0306457320309559</t>
  </si>
  <si>
    <t>Blockchain-based searchable encryption with efficient result verification and fair payment</t>
  </si>
  <si>
    <t>https://www.sciencedirect.com/science/article/pii/S221421262100034X</t>
  </si>
  <si>
    <t>Blockchain-based smart payment scheme of power infrastructure funds</t>
  </si>
  <si>
    <t>https://www.sciencedirect.com/science/article/pii/S2352484721009859</t>
  </si>
  <si>
    <t>Implementing decentralized auctions using blockchain smart contracts</t>
  </si>
  <si>
    <t>https://www.sciencedirect.com/science/article/pii/S0040162521002183</t>
  </si>
  <si>
    <t>A decentralized blockchain oriented framework for automated bug assignment</t>
  </si>
  <si>
    <t>https://www.sciencedirect.com/science/article/pii/S0950584921000276</t>
  </si>
  <si>
    <t>A consortium blockchain based energy trading scheme for Electric Vehicles in smart cities</t>
  </si>
  <si>
    <t>https://www.sciencedirect.com/science/article/pii/S2214212621002064</t>
  </si>
  <si>
    <t>CEPchain: A graphical model-driven solution for integrating complex event processing and blockchain</t>
  </si>
  <si>
    <t>https://www.sciencedirect.com/science/article/pii/S0957417421009805</t>
  </si>
  <si>
    <t>My data, my control: A secure data sharing and access scheme over blockchain</t>
  </si>
  <si>
    <t>https://www.sciencedirect.com/science/article/pii/S2214212621001885</t>
  </si>
  <si>
    <t>Blockchain and smart contract for access control in healthcare: A survey, issues and challenges, and open issues</t>
  </si>
  <si>
    <t>https://www.sciencedirect.com/science/article/pii/S1084804520304045</t>
  </si>
  <si>
    <t>Blockchain technology in the future smart grids: A comprehensive review and frameworks</t>
  </si>
  <si>
    <t>https://www.sciencedirect.com/science/article/pii/S014206152100051X</t>
  </si>
  <si>
    <t>Don’t run on fumes—Parametric gas bounds for smart contracts</t>
  </si>
  <si>
    <t>https://www.sciencedirect.com/science/article/pii/S0164121221000200</t>
  </si>
  <si>
    <t>Blockchain-based scheme for the mobile number portability</t>
  </si>
  <si>
    <t>https://www.sciencedirect.com/science/article/pii/S2214212621000144</t>
  </si>
  <si>
    <t>A multi-type and decentralized data transaction scheme based on smart contracts and digital watermarks</t>
  </si>
  <si>
    <t>https://www.sciencedirect.com/science/article/pii/S1084804520304057</t>
  </si>
  <si>
    <t>Analysis of smart contracts balances</t>
  </si>
  <si>
    <t>https://www.sciencedirect.com/science/article/pii/S2096720921000154</t>
  </si>
  <si>
    <t>An anonymity communication protocol for security and privacy of clients in IoT-based mobile health transactions</t>
  </si>
  <si>
    <t>https://www.sciencedirect.com/science/article/pii/S1389128621001079</t>
  </si>
  <si>
    <t>Ethereum’s Smart Contracts Construction and Development using Model Driven Engineering Technologies: a Review</t>
  </si>
  <si>
    <t>https://www.sciencedirect.com/science/article/pii/S1877050921007389</t>
  </si>
  <si>
    <t>Modelling schemes for multi-party blockchain-based systems to support integrity analysis</t>
  </si>
  <si>
    <t>https://www.sciencedirect.com/science/article/pii/S2096720921000191</t>
  </si>
  <si>
    <t>Attacks and countermeasures on blockchains: A survey from layering perspective</t>
  </si>
  <si>
    <t>https://www.sciencedirect.com/science/article/pii/S1389128621001080</t>
  </si>
  <si>
    <t>A secure and trustworthy medical record sharing scheme based on searchable encryption and blockchain</t>
  </si>
  <si>
    <t>https://www.sciencedirect.com/science/article/pii/S138912862100462X</t>
  </si>
  <si>
    <t>Secure-reliable smart contract applications based blockchain technology in smart cities environment</t>
  </si>
  <si>
    <t>https://www.sciencedirect.com/science/article/pii/S1877050921010279</t>
  </si>
  <si>
    <t>Al-SPSD: Anti-leakage smart Ponzi schemes detection in blockchain</t>
  </si>
  <si>
    <t>https://www.sciencedirect.com/science/article/pii/S0306457321000856</t>
  </si>
  <si>
    <t>Designing a tourism business model on block chain platform</t>
  </si>
  <si>
    <t>https://www.sciencedirect.com/science/article/pii/S2211973621000581</t>
  </si>
  <si>
    <t>SP2F: A secured privacy-preserving framework for smart agricultural Unmanned Aerial Vehicles</t>
  </si>
  <si>
    <t>https://www.sciencedirect.com/science/article/pii/S1389128621000086</t>
  </si>
  <si>
    <t>Resilient design of distribution grid automation system against cyber-physical attacks using blockchain and smart contract</t>
  </si>
  <si>
    <t>https://www.sciencedirect.com/science/article/pii/S2096720921000051</t>
  </si>
  <si>
    <t>Chapter 19 - A blockchain solution for the privacy of patients’ medical data</t>
  </si>
  <si>
    <t>https://www.sciencedirect.com/science/article/pii/B9780128217771000252</t>
  </si>
  <si>
    <t>A blockchain-based trust management method for Internet of Things</t>
  </si>
  <si>
    <t>https://www.sciencedirect.com/science/article/pii/S1574119221000079</t>
  </si>
  <si>
    <t>On the suitability of blockchain platforms for IoT applications: Architectures, security, privacy, and performance</t>
  </si>
  <si>
    <t>https://www.sciencedirect.com/science/article/pii/S1389128621001225</t>
  </si>
  <si>
    <t>Proxy re-encryption enabled secure and anonymous IoT data sharing platform based on blockchain</t>
  </si>
  <si>
    <t>https://www.sciencedirect.com/science/article/pii/S1084804520303763</t>
  </si>
  <si>
    <t>Automatic Smart Contract generation for Internet of Media Things</t>
  </si>
  <si>
    <t>https://www.sciencedirect.com/science/article/pii/S2405959521000989</t>
  </si>
  <si>
    <t>Framework for Block-Chain Deployment in Assembly of an Air-Craft or a SpaceCraft</t>
  </si>
  <si>
    <t>https://www.sciencedirect.com/science/article/pii/S2405896321009691</t>
  </si>
  <si>
    <t>A trustworthy and incentivized smart grid energy trading framework using distributed ledger and smart contracts</t>
  </si>
  <si>
    <t>https://www.sciencedirect.com/science/article/pii/S1084804521000977</t>
  </si>
  <si>
    <t>Blockchain-based smart contracts as new governance tools for the sharing economy</t>
  </si>
  <si>
    <t>https://www.sciencedirect.com/science/article/pii/S0264275121002250</t>
  </si>
  <si>
    <t>Digital Trading Applications and Bank Performance: Evidence from Russia</t>
  </si>
  <si>
    <t>https://www.sciencedirect.com/science/article/pii/S2199853122009635</t>
  </si>
  <si>
    <t>Bringing transparency and trustworthiness to loot boxes with blockchain and smart contracts</t>
  </si>
  <si>
    <t>https://www.sciencedirect.com/science/article/pii/S016792362100018X</t>
  </si>
  <si>
    <t>Manufacturing system under I4.0 workshop based on blockchain: Research on architecture, operation mechanism and key technologies</t>
  </si>
  <si>
    <t>https://www.sciencedirect.com/science/article/pii/S0360835221005763</t>
  </si>
  <si>
    <t>Fortis-ámyna-smart contract model for cross border financial transactions</t>
  </si>
  <si>
    <t>https://www.sciencedirect.com/science/article/pii/S2405959521000965</t>
  </si>
  <si>
    <t>Construction payment automation using blockchain-enabled smart contracts and robotic reality capture technologies</t>
  </si>
  <si>
    <t>https://www.sciencedirect.com/science/article/pii/S0926580521003770</t>
  </si>
  <si>
    <t>Blockchain architecture for automotive traceability</t>
  </si>
  <si>
    <t>https://www.sciencedirect.com/science/article/pii/S2212827120314785</t>
  </si>
  <si>
    <t>Anti-collusion data auction mechanism based on smart contract</t>
  </si>
  <si>
    <t>https://www.sciencedirect.com/science/article/pii/S0020025520310458</t>
  </si>
  <si>
    <t>Chapter Fifteen - Blockchain 2.0: Smart contracts☆☆Working model.</t>
  </si>
  <si>
    <t>https://www.sciencedirect.com/science/article/pii/S006524582030070X</t>
  </si>
  <si>
    <t>The application of blockchain-based crypto assets for integrating the physical and financial supply chains in the construction &amp; engineering industry</t>
  </si>
  <si>
    <t>https://www.sciencedirect.com/science/article/pii/S092658052100162X</t>
  </si>
  <si>
    <t>A blockchain based patient centric electronic health record storage and integrity management for e-Health systems</t>
  </si>
  <si>
    <t>https://www.sciencedirect.com/science/article/pii/S2211883721000368</t>
  </si>
  <si>
    <t>Cross-domain secure data sharing using blockchain for industrial IoT</t>
  </si>
  <si>
    <t>https://www.sciencedirect.com/science/article/pii/S074373152100112X</t>
  </si>
  <si>
    <t>Blockchain for aerospace and defense: Opportunities and open research challenges</t>
  </si>
  <si>
    <t>https://www.sciencedirect.com/science/article/pii/S0360835220306525</t>
  </si>
  <si>
    <t>Block chain based agricultural supply chain-A review</t>
  </si>
  <si>
    <t>https://www.sciencedirect.com/science/article/pii/S2666285X21000698</t>
  </si>
  <si>
    <t>Blockchain-based smart tracking and tracing platform for drug supply chain</t>
  </si>
  <si>
    <t>https://www.sciencedirect.com/science/article/pii/S0360835221005738</t>
  </si>
  <si>
    <t>A blockchain-based secure transaction model for distributed energy in Industrial Internet of Things</t>
  </si>
  <si>
    <t>https://www.sciencedirect.com/science/article/pii/S1110016820304749</t>
  </si>
  <si>
    <t>A novel decentralized platform for peer-to-peer energy trading market with blockchain technology</t>
  </si>
  <si>
    <t>https://www.sciencedirect.com/science/article/pii/S0306261920315373</t>
  </si>
  <si>
    <t>A bibliometric analysis and visualization of blockchain</t>
  </si>
  <si>
    <t>https://www.sciencedirect.com/science/article/pii/S0167739X20330004</t>
  </si>
  <si>
    <t>The license to mine: Making resource wealth work for those who need it most</t>
  </si>
  <si>
    <t>https://www.sciencedirect.com/science/article/pii/S0301420717305445</t>
  </si>
  <si>
    <t>Smart Pharmaceutical Manufacturing: Ensuring End-to-End Traceability and Data Integrity in Medicine Production</t>
  </si>
  <si>
    <t>https://www.sciencedirect.com/science/article/pii/S221457962030040X</t>
  </si>
  <si>
    <t>Threshold reusable fuzzy extractor and an application to joint access control via biometric information</t>
  </si>
  <si>
    <t>https://www.sciencedirect.com/science/article/pii/S0020025521008215</t>
  </si>
  <si>
    <t>Privacy Protected Blockchain Based Architecture and Implementation for Sharing of Students’ Credentials</t>
  </si>
  <si>
    <t>https://www.sciencedirect.com/science/article/pii/S0306457321000212</t>
  </si>
  <si>
    <t>Survey on blockchain for future smart grids: Technical aspects, applications, integration challenges and future research</t>
  </si>
  <si>
    <t>https://www.sciencedirect.com/science/article/pii/S2352484721009185</t>
  </si>
  <si>
    <t>Distributed electric energy trading model and strategy analysis based on prospect theory</t>
  </si>
  <si>
    <t>https://www.sciencedirect.com/science/article/pii/S0142061521001058</t>
  </si>
  <si>
    <t>A novel framework of collaborative early warning for COVID-19 based on blockchain and smart contracts</t>
  </si>
  <si>
    <t>https://www.sciencedirect.com/science/article/pii/S002002552100342X</t>
  </si>
  <si>
    <t>Blockchain-based data transmission control for Tactical Data Link</t>
  </si>
  <si>
    <t>https://www.sciencedirect.com/science/article/pii/S2352864819302913</t>
  </si>
  <si>
    <t>Blockchain technology awareness on social media: Insights from twitter analytics</t>
  </si>
  <si>
    <t>https://www.sciencedirect.com/science/article/pii/S104783102100016X</t>
  </si>
  <si>
    <t>A blockchain-empowered crowdsourcing system for 5G-enabled smart cities</t>
  </si>
  <si>
    <t>https://www.sciencedirect.com/science/article/pii/S092054892100012X</t>
  </si>
  <si>
    <t>When good blocks go bad: Managing unwanted blockchain data</t>
  </si>
  <si>
    <t>https://www.sciencedirect.com/science/article/pii/S0268401220314626</t>
  </si>
  <si>
    <t>12 - uTakeCare: unlock full decentralization of personal data for a respectful decontainment in the context of COVID-19: toward a digitally empowered anonymous citizenship</t>
  </si>
  <si>
    <t>https://www.sciencedirect.com/science/article/pii/B9780128245361000289</t>
  </si>
  <si>
    <t>Accurate and decentralized timestamping using smart contracts on the Ethereum blockchain</t>
  </si>
  <si>
    <t>https://www.sciencedirect.com/science/article/pii/S0306457320309602</t>
  </si>
  <si>
    <t>Blockchain smart contract reference framework and program logic architecture for transactive energy systems</t>
  </si>
  <si>
    <t>https://www.sciencedirect.com/science/article/pii/S0306261921011831</t>
  </si>
  <si>
    <t>A blockchain-based trust system for decentralised applications: When trustless needs trust</t>
  </si>
  <si>
    <t>https://www.sciencedirect.com/science/article/pii/S0167739X21001758</t>
  </si>
  <si>
    <t>5 - Blockchain as a tool for transparency and governance in the delivery of development aid</t>
  </si>
  <si>
    <t>https://www.sciencedirect.com/science/article/pii/B9780128214428000069</t>
  </si>
  <si>
    <t>Emission trading innovation mechanism based on blockchain</t>
  </si>
  <si>
    <t>https://www.sciencedirect.com/science/article/pii/S2325426222000109</t>
  </si>
  <si>
    <t>Privacy-enhancing distributed protocol for data aggregation based on blockchain and homomorphic encryption</t>
  </si>
  <si>
    <t>https://www.sciencedirect.com/science/article/pii/S0306457321002272</t>
  </si>
  <si>
    <t>Peer-to-peer energy trading in a microgrid leveraged by smart contracts</t>
  </si>
  <si>
    <t>https://www.sciencedirect.com/science/article/pii/S1364032121001945</t>
  </si>
  <si>
    <t>A comprehensive hierarchical blockchain system for carbon emission trading utilizing blockchain of things and smart contract</t>
  </si>
  <si>
    <t>https://www.sciencedirect.com/science/article/pii/S0040162521005576</t>
  </si>
  <si>
    <t>Digitalization of construction supply chain and procurement in the built environment: Emerging technologies and opportunities for sustainable processes</t>
  </si>
  <si>
    <t>https://www.sciencedirect.com/science/article/pii/S0959652621032820</t>
  </si>
  <si>
    <t>Blockchain-based royalty contract transactions scheme for Industry 4.0 supply-chain management</t>
  </si>
  <si>
    <t>https://www.sciencedirect.com/science/article/pii/S0306457321000868</t>
  </si>
  <si>
    <t>Enterprise Platform of Logistics Services Based on a Multi-Agents Mechanism and Blockchains</t>
  </si>
  <si>
    <t>https://www.sciencedirect.com/science/article/pii/S2405896321008442</t>
  </si>
  <si>
    <t>A blockchain-enabled relay selection for QoS-OLSR in urban VANET: A Stackelberg game model</t>
  </si>
  <si>
    <t>https://www.sciencedirect.com/science/article/pii/S1570870521000615</t>
  </si>
  <si>
    <t>RT-MOBS: A compositional observer semantics of time Petri net for real-time property specification language based on μ-calculus</t>
  </si>
  <si>
    <t>https://www.sciencedirect.com/science/article/pii/S0167642321000174</t>
  </si>
  <si>
    <t>A Survey on Blockchain in Robotics: Issues, Opportunities, Challenges and Future Directions</t>
  </si>
  <si>
    <t>https://www.sciencedirect.com/science/article/pii/S1084804521002435</t>
  </si>
  <si>
    <t>Tikiri—Towards a lightweight blockchain for IoT</t>
  </si>
  <si>
    <t>https://www.sciencedirect.com/science/article/pii/S0167739X21000583</t>
  </si>
  <si>
    <t>Chapter Ten - Core components of blockchain☆☆Introduction to blockchain.</t>
  </si>
  <si>
    <t>https://www.sciencedirect.com/science/article/pii/S0065245820300656</t>
  </si>
  <si>
    <t>Amanuensis: Information provenance for health-data systems</t>
  </si>
  <si>
    <t>https://www.sciencedirect.com/science/article/pii/S0306457320309523</t>
  </si>
  <si>
    <t>Unified smart home resource access along with authentication using Blockchain technology</t>
  </si>
  <si>
    <t>https://www.sciencedirect.com/science/article/pii/S2666285X21000054</t>
  </si>
  <si>
    <t>IoT and Blockchain combined: for decentralized security</t>
  </si>
  <si>
    <t>https://www.sciencedirect.com/science/article/pii/S1877050921014423</t>
  </si>
  <si>
    <t>Certifying Findel derivatives for blockchain</t>
  </si>
  <si>
    <t>https://www.sciencedirect.com/science/article/pii/S2352220821000286</t>
  </si>
  <si>
    <t>Chapter 17 - Standards and Protocols of Blockchain</t>
  </si>
  <si>
    <t>https://www.sciencedirect.com/science/article/pii/B9780128244463000016</t>
  </si>
  <si>
    <t>Building applications for smart and safe construction with the DECENTER Fog Computing and Brokerage Platform</t>
  </si>
  <si>
    <t>https://www.sciencedirect.com/science/article/pii/S0926580521000133</t>
  </si>
  <si>
    <t>Blockchain-aided information exchange records for design liability control and improved security</t>
  </si>
  <si>
    <t>https://www.sciencedirect.com/science/article/pii/S0926580521001187</t>
  </si>
  <si>
    <t>Blockchain-based decentralized reputation system in E-commerce environment</t>
  </si>
  <si>
    <t>https://www.sciencedirect.com/science/article/pii/S0167739X21001850</t>
  </si>
  <si>
    <t>The role of blockchain technology in telehealth and telemedicine</t>
  </si>
  <si>
    <t>https://www.sciencedirect.com/science/article/pii/S1386505621000253</t>
  </si>
  <si>
    <t>A blockchain and deep neural networks-based secure framework for enhanced crop protection</t>
  </si>
  <si>
    <t>https://www.sciencedirect.com/science/article/pii/S1570870521000883</t>
  </si>
  <si>
    <t>An Integration of blockchain and AI for secure data sharing and detection of CT images for the hospitals</t>
  </si>
  <si>
    <t>https://www.sciencedirect.com/science/article/pii/S0895611120301075</t>
  </si>
  <si>
    <t>NyaYa: Blockchain-based electronic law record management scheme for judicial investigations</t>
  </si>
  <si>
    <t>https://www.sciencedirect.com/science/article/pii/S2214212621001873</t>
  </si>
  <si>
    <t>A novel framework for policy based on-chain governance of blockchain networks</t>
  </si>
  <si>
    <t>https://www.sciencedirect.com/science/article/pii/S0306457321000601</t>
  </si>
  <si>
    <t>DEVS-based experimental framework for blockchain services</t>
  </si>
  <si>
    <t>https://www.sciencedirect.com/science/article/pii/S1569190X21000095</t>
  </si>
  <si>
    <t>Chapter 8 - Cloud/edge computing for smart cities</t>
  </si>
  <si>
    <t>https://www.sciencedirect.com/science/article/pii/B9780128244463000119</t>
  </si>
  <si>
    <t>LBAC: A lightweight blockchain-based access control scheme for the internet of things</t>
  </si>
  <si>
    <t>https://www.sciencedirect.com/science/article/pii/S0020025520312019</t>
  </si>
  <si>
    <t>TorMass: Tor for the Masses Domestic and Monetized Anonymous Communication</t>
  </si>
  <si>
    <t>https://www.sciencedirect.com/science/article/pii/S1877050921003707</t>
  </si>
  <si>
    <t>Blockchain for business management: Applications, challenges and potentials</t>
  </si>
  <si>
    <t>https://www.sciencedirect.com/science/article/pii/S1047831021000146</t>
  </si>
  <si>
    <t>Log-flock: A blockchain-enabled platform for digital asset valuation and risk assessment in E-commerce logistics financing</t>
  </si>
  <si>
    <t>https://www.sciencedirect.com/science/article/pii/S0360835220306719</t>
  </si>
  <si>
    <t>Chapter Six - Protecting personal sensitive data security in the cloud with blockchain</t>
  </si>
  <si>
    <t>https://www.sciencedirect.com/science/article/pii/S006524582030084X</t>
  </si>
  <si>
    <t>Tax Regulation on Blockchain and Cryptocurrency: The Implications for Open Innovation</t>
  </si>
  <si>
    <t>https://www.sciencedirect.com/science/article/pii/S2199853122008678</t>
  </si>
  <si>
    <t>Chapter Eighteen - Industrial use cases at the cusp of the IoT and blockchain paradigms</t>
  </si>
  <si>
    <t>https://www.sciencedirect.com/science/article/pii/S0065245820300735</t>
  </si>
  <si>
    <t>Previewable Contract-Based On-Chain X-Ray Image Sharing Framework for Clinical Research</t>
  </si>
  <si>
    <t>https://www.sciencedirect.com/science/article/pii/S1386505621002252</t>
  </si>
  <si>
    <t>When services computing meets blockchain: Challenges and opportunities</t>
  </si>
  <si>
    <t>https://www.sciencedirect.com/science/article/pii/S0743731520304196</t>
  </si>
  <si>
    <t>An intelligent transaction model for energy blockchain based on diversity of subjects</t>
  </si>
  <si>
    <t>https://www.sciencedirect.com/science/article/pii/S1110016820305226</t>
  </si>
  <si>
    <t>Blockchain for IoT-based smart cities: Recent advances, requirements, and future challenges</t>
  </si>
  <si>
    <t>https://www.sciencedirect.com/science/article/pii/S1084804521000345</t>
  </si>
  <si>
    <t>Making MA-ABE fully accountable: A blockchain-based approach for secure digital right management</t>
  </si>
  <si>
    <t>https://www.sciencedirect.com/science/article/pii/S1389128621001389</t>
  </si>
  <si>
    <t>A maintenance decision-making oriented collaborative cross-organization knowledge sharing blockchain network for complex multi-component systems</t>
  </si>
  <si>
    <t>https://www.sciencedirect.com/science/article/pii/S0959652620345856</t>
  </si>
  <si>
    <t>A Blockchain-based access control scheme with multiple attribute authorities for secure cloud data sharing</t>
  </si>
  <si>
    <t>https://www.sciencedirect.com/science/article/pii/S1383762120301405</t>
  </si>
  <si>
    <t>Chapter 1 - Blockchain in supply chain management: recent developments and key issues</t>
  </si>
  <si>
    <t>https://www.sciencedirect.com/science/article/pii/B978032389934500009X</t>
  </si>
  <si>
    <t>Building A blockchain-based decentralized digital asset management system for commercial aircraft leasing</t>
  </si>
  <si>
    <t>https://www.sciencedirect.com/science/article/pii/S0166361520306278</t>
  </si>
  <si>
    <t>Modelling and analysis of a two-level incentive mechanism based peer-to-peer energy sharing community</t>
  </si>
  <si>
    <t>https://www.sciencedirect.com/science/article/pii/S0142061521004415</t>
  </si>
  <si>
    <t>Revitalizing blockchain technology potentials for smooth academic records management and verification in low-income countries</t>
  </si>
  <si>
    <t>https://www.sciencedirect.com/science/article/pii/S0738059321001139</t>
  </si>
  <si>
    <t>Blockchain based Lebesgue interpolated Gaussian secured information sharing for pharma supply chain</t>
  </si>
  <si>
    <t>https://www.sciencedirect.com/science/article/pii/S2666603021000269</t>
  </si>
  <si>
    <t>Field surveillance of fuel dispensers using IoT-based metering and blockchains</t>
  </si>
  <si>
    <t>https://www.sciencedirect.com/science/article/pii/S1084804520303738</t>
  </si>
  <si>
    <t>Intelligent contract adoption in the construction industry: Concept development</t>
  </si>
  <si>
    <t>https://www.sciencedirect.com/science/article/pii/S0926580520310323</t>
  </si>
  <si>
    <t>Blockchain and sustainable supply chain management in developing countries</t>
  </si>
  <si>
    <t>https://www.sciencedirect.com/science/article/pii/S0268401221000694</t>
  </si>
  <si>
    <t>Connecting supplier and DoD blockchains for transparent part tracking</t>
  </si>
  <si>
    <t>https://www.sciencedirect.com/science/article/pii/S2096720921000129</t>
  </si>
  <si>
    <t>Exploratory literature review of blockchain in the construction industry</t>
  </si>
  <si>
    <t>https://www.sciencedirect.com/science/article/pii/S0926580521003654</t>
  </si>
  <si>
    <t>Chapter Thirteen - Empowering digital twins with blockchain</t>
  </si>
  <si>
    <t>https://www.sciencedirect.com/science/article/pii/S0065245820300681</t>
  </si>
  <si>
    <t>Benchmarking blockchain-based gene-drug interaction data sharing methods: A case study from the iDASH 2019 secure genome analysis competition blockchain track</t>
  </si>
  <si>
    <t>https://www.sciencedirect.com/science/article/pii/S1386505621001854</t>
  </si>
  <si>
    <t>Customer satisfaction service match and service quality-based blockchain cloud manufacturing</t>
  </si>
  <si>
    <t>https://www.sciencedirect.com/science/article/pii/S0925527321001961</t>
  </si>
  <si>
    <t>Integrating blockchain and Internet of Things systems: A systematic review on objectives and designs</t>
  </si>
  <si>
    <t>https://www.sciencedirect.com/science/article/pii/S1084804520303118</t>
  </si>
  <si>
    <t>Blockchain Medledger: Hyperledger fabric enabled drug traceability system for counterfeit drugs in pharmaceutical industry</t>
  </si>
  <si>
    <t>https://www.sciencedirect.com/science/article/pii/S0378517321000399</t>
  </si>
  <si>
    <t>TRAQR: Trust aware End-to-End QoS routing in multi-domain SDN using Blockchain</t>
  </si>
  <si>
    <t>https://www.sciencedirect.com/science/article/pii/S1084804521000795</t>
  </si>
  <si>
    <t>A privacy-preserving consensus mechanism for an electric vehicle charging scheme</t>
  </si>
  <si>
    <t>https://www.sciencedirect.com/science/article/pii/S1084804520303684</t>
  </si>
  <si>
    <t>The digital tokenization of property rights. A comparative perspective</t>
  </si>
  <si>
    <t>https://www.sciencedirect.com/science/article/pii/S0267364921000169</t>
  </si>
  <si>
    <t>Blockchain technology in the energy sector: From basic research to real world applications</t>
  </si>
  <si>
    <t>https://www.sciencedirect.com/science/article/pii/S1574013721000022</t>
  </si>
  <si>
    <t>Blockchain-based prosumer incentivization for peak mitigation through temporal aggregation and contextual clustering</t>
  </si>
  <si>
    <t>https://www.sciencedirect.com/science/article/pii/S2096720921000117</t>
  </si>
  <si>
    <t>Blockchain-based Initiatives: Current state and challenges</t>
  </si>
  <si>
    <t>https://www.sciencedirect.com/science/article/pii/S138912862100373X</t>
  </si>
  <si>
    <t>Tips: towards automating patch suggestion for vulnerable smart contracts</t>
  </si>
  <si>
    <t>https://catalogplus.tuwien.at/permalink/f/1m011kq/TN_cdi_proquest_journals_2864595129</t>
  </si>
  <si>
    <t>Automated Software Engineering</t>
  </si>
  <si>
    <t>ContractWard: Automated Vulnerability Detection Models for Ethereum Smart Contracts</t>
  </si>
  <si>
    <t>https://catalogplus.tuwien.at/permalink/f/1m011kq/TN_cdi_unpaywall_primary_10_1109_tnse_2020_2968505</t>
  </si>
  <si>
    <t>IEEE transactions on network science and engineering</t>
  </si>
  <si>
    <t>A Distributed framework for detecting DDoS attacks in smart contract‐based Blockchain‐IoT Systems by leveraging Fog computing</t>
  </si>
  <si>
    <t>https://catalogplus.tuwien.at/permalink/f/1m011kq/TN_cdi_crossref_primary_10_1002_ett_4112</t>
  </si>
  <si>
    <t>Transactions on emerging telecommunications technologies</t>
  </si>
  <si>
    <t>Hunting Vulnerable Smart Contracts via Graph Embedding Based Bytecode Matching</t>
  </si>
  <si>
    <t>https://catalogplus.tuwien.at/permalink/f/1m011kq/TN_cdi_webofscience_primary_000616307600013</t>
  </si>
  <si>
    <t>IEEE transactions on information forensics and security</t>
  </si>
  <si>
    <t>NeuCheck: A more practical Ethereum smart contract security analysis tool</t>
  </si>
  <si>
    <t>https://catalogplus.tuwien.at/permalink/f/1m011kq/TN_cdi_webofscience_primary_000484100100001CitationCount</t>
  </si>
  <si>
    <t>Software, practice &amp; experience</t>
  </si>
  <si>
    <t>sFuzz2.0: Storage‐access pattern guided smart contract fuzzing</t>
  </si>
  <si>
    <t>https://catalogplus.tuwien.at/permalink/f/1m011kq/TN_cdi_openaire_primary_doi_16ead8da3425bccb9531a128177db014</t>
  </si>
  <si>
    <t>Journal of software : evolution and process</t>
  </si>
  <si>
    <t>SoliTester: Detecting exploitable external‐risky vulnerability in smart contracts using contract account triggering method</t>
  </si>
  <si>
    <t>https://catalogplus.tuwien.at/permalink/f/1m011kq/TN_cdi_crossref_primary_10_1002_smr_2633</t>
  </si>
  <si>
    <t>EtherFuzz: Mutation Fuzzing Smart Contracts for TOD Vulnerability Detection</t>
  </si>
  <si>
    <t>https://catalogplus.tuwien.at/permalink/f/1m011kq/TN_cdi_unpaywall_primary_10_1155_2022_1565007</t>
  </si>
  <si>
    <t>Wireless communications and mobile computing</t>
  </si>
  <si>
    <t>TP-Detect: trigram-pixel based vulnerability detection for Ethereum smart contracts</t>
  </si>
  <si>
    <t>https://catalogplus.tuwien.at/permalink/f/1m011kq/TN_cdi_openaire_primary_doi_906ad9d7b2920dce9e57a18d055112a4</t>
  </si>
  <si>
    <t>Multimedia tools and applications</t>
  </si>
  <si>
    <t>An integrated deep learning model for Ethereum smart contract vulnerability detection</t>
  </si>
  <si>
    <t>https://catalogplus.tuwien.at/permalink/f/1m011kq/TN_cdi_proquest_journals_2917414619</t>
  </si>
  <si>
    <t>International journal of information security</t>
  </si>
  <si>
    <t>A Novel Smart Contract Reentrancy Vulnerability Detection Model based on BiGAS</t>
  </si>
  <si>
    <t>https://catalogplus.tuwien.at/permalink/f/1m011kq/TN_cdi_openaire_primary_doi_d3de720fdfede7f356c7e8d4704a54d8</t>
  </si>
  <si>
    <t>Journal of signal processing systems</t>
  </si>
  <si>
    <t>An Efficient Smart Contract Vulnerability Detector Based on Semantic Contract Graphs Using Approximate Graph Matching</t>
  </si>
  <si>
    <t>https://catalogplus.tuwien.at/permalink/f/1m011kq/TN_cdi_crossref_primary_10_1109_JIOT_2023_3294496</t>
  </si>
  <si>
    <t>IEEE internet of things journal</t>
  </si>
  <si>
    <t>HGAT: smart contract vulnerability detection method based on hierarchical graph attention network</t>
  </si>
  <si>
    <t>https://catalogplus.tuwien.at/permalink/f/1m011kq/TN_cdi_doaj_primary_oai_doaj_org_article_8d0de5bbfe0640e6b2b896cb364dca35</t>
  </si>
  <si>
    <t>Journal of Cloud Computing</t>
  </si>
  <si>
    <t>A Smart Contract Vulnerability Detection Mechanism Based on Deep Learning and Expert Rules</t>
  </si>
  <si>
    <t>https://catalogplus.tuwien.at/permalink/f/1m011kq/TN_cdi_ieee_primary_10190630</t>
  </si>
  <si>
    <t>IEEE access</t>
  </si>
  <si>
    <t>Vulnerability Detection of Ethereum Smart Contract Based on SolBERT-BiGRU-Attention Hybrid Neural Model</t>
  </si>
  <si>
    <t>https://catalogplus.tuwien.at/permalink/f/1m011kq/TN_cdi_openaire_primary_doi_1f3d8682850d9b7d169a250618cc79e0</t>
  </si>
  <si>
    <t>CMES - Computer Modeling in Engineering and Sciences</t>
  </si>
  <si>
    <t>Ethereum Smart Contract Vulnerability Detection Model Based on Triplet Loss and BiLSTM</t>
  </si>
  <si>
    <t>https://catalogplus.tuwien.at/permalink/f/1m011kq/TN_cdi_doaj_primary_oai_doaj_org_article_0b32826abb82405f805a12db304ff336</t>
  </si>
  <si>
    <t>An Efficient Code-Embedding-Based Vulnerability Detection Model for Ethereum Smart Contracts</t>
  </si>
  <si>
    <t>https://catalogplus.tuwien.at/permalink/f/1m011kq/TN_cdi_igi_journals_fficient_Code_Embedding_B10_4018_IJDWM_32047319</t>
  </si>
  <si>
    <t>International journal of data warehousing and mining</t>
  </si>
  <si>
    <t>PSCVFinder: A Prompt-Tuning Based Framework for Smart Contract Vulnerability Detection</t>
  </si>
  <si>
    <t>https://catalogplus.tuwien.at/permalink/f/1m011kq/TN_cdi_ieee_primary_10301244</t>
  </si>
  <si>
    <t>2023 IEEE 34th International Symposium on Software Reliability Engineering (ISSRE)</t>
  </si>
  <si>
    <t>GraBit: A Sequential Model-Based Framework for Smart Contract Vulnerability Detection</t>
  </si>
  <si>
    <t>https://catalogplus.tuwien.at/permalink/f/1m011kq/TN_cdi_ieee_primary_10301241</t>
  </si>
  <si>
    <t>SmartBugs 2.0: An Execution Framework for Weakness Detection in Ethereum Smart Contracts</t>
  </si>
  <si>
    <t>https://catalogplus.tuwien.at/permalink/f/1m011kq/TN_cdi_ieee_primary_10298326</t>
  </si>
  <si>
    <t>2023 38th IEEE/ACM International Conference on Automated Software Engineering (ASE)</t>
  </si>
  <si>
    <t>Smart-Contract Vulnerability Detection Method Based on Deep Learning</t>
  </si>
  <si>
    <t>https://catalogplus.tuwien.at/permalink/f/1m011kq/TN_cdi_openaire_primary_doi_f5f862ffdd092dfde7e7df200a6dc668</t>
  </si>
  <si>
    <t>Lecture Notes in Computer Science</t>
  </si>
  <si>
    <t>Block-gram: Mining knowledgeable features for efficiently smart contract vulnerability detection</t>
  </si>
  <si>
    <t>https://catalogplus.tuwien.at/permalink/f/1m011kq/TN_cdi_openaire_primary_doi_164943d64dc64a9d4e5e92cf992ad5d5</t>
  </si>
  <si>
    <t>An Efficient Detection Model for Smart Contract Reentrancy Vulnerabilities</t>
  </si>
  <si>
    <t>https://catalogplus.tuwien.at/permalink/f/1m011kq/TN_cdi_openaire_primary_doi_7e163be86d481eeaf6e380b9fd633290</t>
  </si>
  <si>
    <t>Efficient Avoidance of Vulnerabilities in Auto-completed Smart Contract Code Using Vulnerability-constrained Decoding</t>
  </si>
  <si>
    <t>https://catalogplus.tuwien.at/permalink/f/1m011kq/TN_cdi_ieee_primary_10301240</t>
  </si>
  <si>
    <t>A Graph Neural Network-Based Smart Contract Vulnerability Detection Method with Artificial Rule</t>
  </si>
  <si>
    <t>https://catalogplus.tuwien.at/permalink/f/1m011kq/TN_cdi_springer_books_10_1007_978_3_031_44216_2_20</t>
  </si>
  <si>
    <t>Artificial Neural Networks and Machine Learning - ICANN 2023</t>
  </si>
  <si>
    <t>Typical Contract Graph Feature Enhanced Smart Contract Vulnerability Detection</t>
  </si>
  <si>
    <t>https://catalogplus.tuwien.at/permalink/f/1m011kq/TN_cdi_springer_books_10_1007_978_3_031_47637_2_5</t>
  </si>
  <si>
    <t>Pattern Recognition, 2023</t>
  </si>
  <si>
    <t>VDDL: A Deep Learning-Based Vulnerability Detection Model for Smart Contracts</t>
  </si>
  <si>
    <t>https://catalogplus.tuwien.at/permalink/f/1m011kq/TN_cdi_openaire_primary_doi_68e9182439a05c660c3e769535d0d1e0</t>
  </si>
  <si>
    <t>A Critical-Path-Based Vulnerability Detection Method for tx.origin Dependency of Smart Contract</t>
  </si>
  <si>
    <t>https://catalogplus.tuwien.at/permalink/f/1m011kq/TN_cdi_openaire_primary_doi_032e04a66d271eb6397a2f9b7855da1a</t>
  </si>
  <si>
    <t>Smart Contract Vulnerability Detection Based on Symbolic Execution Technology</t>
  </si>
  <si>
    <t>https://catalogplus.tuwien.at/permalink/f/1m011kq/TN_cdi_openaire_primary_doi_726d9c9144fd6e5571dc969651f803b8</t>
  </si>
  <si>
    <t>Communications in Computer and Information Science</t>
  </si>
  <si>
    <t>Detecting Unknown Vulnerabilities in Smart Contracts with Multi-Label Classification Model Using CNN-BiLSTM</t>
  </si>
  <si>
    <t>https://catalogplus.tuwien.at/permalink/f/1m011kq/TN_cdi_openaire_primary_doi_11c134ac1bb9fabc8a63729afb76d9a0</t>
  </si>
  <si>
    <t>Vulnerability Detection for Smart Contract via Backward Bayesian Active Learning</t>
  </si>
  <si>
    <t>https://catalogplus.tuwien.at/permalink/f/1m011kq/TN_cdi_openaire_primary_doi_3b02a4375497bd87061bb63b298c6d7f</t>
  </si>
  <si>
    <t>Applied Cryptography and Network Security Workshops</t>
  </si>
  <si>
    <t>Detecting Unknown Vulnerabilities in Smart Contracts with Binary Classification Model Using Machine Learning</t>
  </si>
  <si>
    <t>https://catalogplus.tuwien.at/permalink/f/1m011kq/TN_cdi_openaire_primary_doi_14deda6ad4a82cc079e65c306cd01c25</t>
  </si>
  <si>
    <t>Smart Contract Vulnerability Detection Based on Dual Attention Graph Convolutional Network</t>
  </si>
  <si>
    <t>https://catalogplus.tuwien.at/permalink/f/1m011kq/TN_cdi_openaire_primary_doi_e7ab939c7cf9aba1a7947c8e8bc59d13</t>
  </si>
  <si>
    <t>Collaborative Computing: Networking, Applications and Worksharing</t>
  </si>
  <si>
    <t>CBGRU: A Detection Method of Smart Contract Vulnerability Based on a Hybrid Model</t>
  </si>
  <si>
    <t>https://catalogplus.tuwien.at/permalink/f/1m011kq/TN_cdi_doaj_primary_oai_doaj_org_article_040ca2e2762c4fed9f705272910ece1d</t>
  </si>
  <si>
    <t>M-A-R: a Dynamic Symbol Execution Detection Method for Smart Contract Reentry Vulnerability</t>
  </si>
  <si>
    <t>https://catalogplus.tuwien.at/permalink/f/1m011kq/TN_cdi_openaire_primary_doi_16749d61a881ccfd7e0041b3de04ea79</t>
  </si>
  <si>
    <t>Blockchain and Trustworthy Systems</t>
  </si>
  <si>
    <t>SPCBIG-EC: A Robust Serial Hybrid Model for Smart Contract Vulnerability Detection</t>
  </si>
  <si>
    <t>https://catalogplus.tuwien.at/permalink/f/1m011kq/TN_cdi_doaj_primary_oai_doaj_org_article_674a4b27177045848022dc9387fb8a5f</t>
  </si>
  <si>
    <t>TxMirror: When the Dynamic EVM Stack Meets Transactions for Smart Contract Vulnerability Detection</t>
  </si>
  <si>
    <t>https://catalogplus.tuwien.at/permalink/f/1m011kq/TN_cdi_doaj_primary_oai_doaj_org_article_83944d1895ad427784acedab4ef8136e</t>
  </si>
  <si>
    <t>Symmetry</t>
  </si>
  <si>
    <t>An Opcode-Based Vulnerability Detection of Smart Contracts</t>
  </si>
  <si>
    <t>https://catalogplus.tuwien.at/permalink/f/1m011kq/TN_cdi_doaj_primary_oai_doaj_org_article_2442ec0779674df285bef30338fb9494</t>
  </si>
  <si>
    <t>Applied sciences</t>
  </si>
  <si>
    <t>Smart Contract Vulnerability Detection Based on Hybrid Attention Mechanism Model</t>
  </si>
  <si>
    <t>https://catalogplus.tuwien.at/permalink/f/1m011kq/TN_cdi_doaj_primary_oai_doaj_org_article_071c5a69d1f742d1a67fb08162fa2bba</t>
  </si>
  <si>
    <t>Smart Contract Vulnerability Detection Model Based on Siamese Network (SCVSN): A Case Study of Reentrancy Vulnerability</t>
  </si>
  <si>
    <t>https://catalogplus.tuwien.at/permalink/f/1m011kq/TN_cdi_doaj_primary_oai_doaj_org_article_c7ded3a6c51b4ab1a48d46e2412dc3d6</t>
  </si>
  <si>
    <t>Energies</t>
  </si>
  <si>
    <t>MANDO-HGT: Heterogeneous Graph Transformers for Smart Contract Vulnerability Detection</t>
  </si>
  <si>
    <t>https://catalogplus.tuwien.at/permalink/f/1m011kq/TN_cdi_ieee_primary_10174104</t>
  </si>
  <si>
    <t>IEEE/ACM 20th International Conference on Mining Software Repositories (MSR)</t>
  </si>
  <si>
    <t>SuperDetector: A Framework for Performance Detection on Vulnerabilities of Smart Contracts</t>
  </si>
  <si>
    <t>https://catalogplus.tuwien.at/permalink/f/1m011kq/TN_cdi_iop_journals_10_1088_1742_6596_2289_1_012010</t>
  </si>
  <si>
    <t>Journal of physics. Conference series, 2022</t>
  </si>
  <si>
    <t>Detect Defects of Solidity Smart Contract Based on the Knowledge Graph</t>
  </si>
  <si>
    <t>https://catalogplus.tuwien.at/permalink/f/1m011kq/TN_cdi_ieee_primary_10025570</t>
  </si>
  <si>
    <t>IEEE transactions on reliability</t>
  </si>
  <si>
    <t>SCcheck: A Novel Graph-driven and Attention-enabled Smart Contract Vulnerability Detection Framework for Web 3.0 Ecosystem</t>
  </si>
  <si>
    <t>https://catalogplus.tuwien.at/permalink/f/1m011kq/TN_cdi_crossref_primary_10_1109_TNSE_2023_3324942</t>
  </si>
  <si>
    <t>HuntFlow: Search the Arithmetic Vulnerability in Ethereum Smart Contract</t>
  </si>
  <si>
    <t>https://catalogplus.tuwien.at/permalink/f/1m011kq/TN_cdi_openaire_primary_doi_034114cc62e0345cbd3085edaaf50393</t>
  </si>
  <si>
    <t>Advances in Artificial Intelligence and Security</t>
  </si>
  <si>
    <t>A smart contract vulnerability detection model based on graph neural networks</t>
  </si>
  <si>
    <t>https://catalogplus.tuwien.at/permalink/f/1m011kq/TN_cdi_ieee_primary_10075325</t>
  </si>
  <si>
    <t>International Conference on Frontiers Technology of Information and Computer (ICFTIC)</t>
  </si>
  <si>
    <t>SESCon: Secure Ethereum Smart Contracts by Vulnerable Patterns’ Detection</t>
  </si>
  <si>
    <t>https://catalogplus.tuwien.at/permalink/f/1m011kq/TN_cdi_openaire_primary_doi_dedup_98e75c49e07c5a0eab2b3183f1647f16</t>
  </si>
  <si>
    <t>Security and communication networks</t>
  </si>
  <si>
    <t>Penetration testing framework for smart contract Blockchain</t>
  </si>
  <si>
    <t>https://catalogplus.tuwien.at/permalink/f/1m011kq/TN_cdi_proquest_journals_2562651614</t>
  </si>
  <si>
    <t>Rethinking Smart Contract Fuzzing: Fuzzing With Invocation Ordering and Important Branch Revisiting</t>
  </si>
  <si>
    <t>https://catalogplus.tuwien.at/permalink/f/1m011kq/TN_cdi_unpaywall_primary_10_1109_tifs_2023_3237370</t>
  </si>
  <si>
    <t>SAILFISH: Vetting Smart Contract State-Inconsistency Bugs in Seconds</t>
  </si>
  <si>
    <t>https://catalogplus.tuwien.at/permalink/f/1m011kq/TN_cdi_ieee_primary_9833721</t>
  </si>
  <si>
    <t>Digital forensic framework for smart contract vulnerabilities using ensemble models</t>
  </si>
  <si>
    <t>https://catalogplus.tuwien.at/permalink/f/1m011kq/TN_cdi_crossref_primary_10_1007_s11042_023_17308_3</t>
  </si>
  <si>
    <t>Multimedia Tools and Applications</t>
  </si>
  <si>
    <t>Mutation testing for integer overflow in ethereum smart contracts</t>
  </si>
  <si>
    <t>https://catalogplus.tuwien.at/permalink/f/1m011kq/TN_cdi_openaire_primary_doi_68a8d6db1eef5feb5fa2632cb54f82ee</t>
  </si>
  <si>
    <t>Tsinghua science and technology</t>
  </si>
  <si>
    <t>Vulnerability Analysis of Smart Contract for Blockchain-Based IoT Applications: A Machine Learning Approach</t>
  </si>
  <si>
    <t>https://catalogplus.tuwien.at/permalink/f/1m011kq/TN_cdi_proquest_journals_2747608811</t>
  </si>
  <si>
    <t>Systematic Mapping of Testing Smart Contracts for Blockchain Applications</t>
  </si>
  <si>
    <t>https://catalogplus.tuwien.at/permalink/f/1m011kq/TN_cdi_proquest_journals_2731242481</t>
  </si>
  <si>
    <t>Detection of Vulnerabilities of Blockchain Smart Contracts</t>
  </si>
  <si>
    <t>https://catalogplus.tuwien.at/permalink/f/1m011kq/TN_cdi_crossref_primary_10_1109_JIOT_2023_3241544</t>
  </si>
  <si>
    <t>Evaluation of Smart Contract Vulnerability Analysis Tools: A Domain-Specific Perspective</t>
  </si>
  <si>
    <t>https://catalogplus.tuwien.at/permalink/f/1m011kq/TN_cdi_doaj_primary_oai_doaj_org_article_a436c161efd54a3e948a344f0b4d7015</t>
  </si>
  <si>
    <t>Information (Basel)</t>
  </si>
  <si>
    <t>Solidity Smart Contract Vulnerabilities, Attack Scenarios, and Mitigation—A Survey</t>
  </si>
  <si>
    <t>https://catalogplus.tuwien.at/permalink/f/1m011kq/TN_cdi_proquest_ebookcentralchapters_30726179_851_878</t>
  </si>
  <si>
    <t>Unknown Threats Detection Methods of Smart Contracts</t>
  </si>
  <si>
    <t>https://catalogplus.tuwien.at/permalink/f/1m011kq/TN_cdi_proquest_journals_2918030176</t>
  </si>
  <si>
    <t>IEEE Internet of Things Journal</t>
  </si>
  <si>
    <t>Defining Smart Contract Defects on Ethereum</t>
  </si>
  <si>
    <t>https://catalogplus.tuwien.at/permalink/f/1m011kq/TN_cdi_ieee_primary_9072659</t>
  </si>
  <si>
    <t>IEEE Transactions on software engineering</t>
  </si>
  <si>
    <t>Survey on blockchain based smart contracts: Applications, opportunities and challenges</t>
  </si>
  <si>
    <t>https://catalogplus.tuwien.at/permalink/f/1m011kq/TN_cdi_webofscience_primary_000618081600003</t>
  </si>
  <si>
    <t>Journal of network and computer application</t>
  </si>
  <si>
    <t>Blockchain smart contracts: Applications, challenges, and future trends</t>
  </si>
  <si>
    <t>https://catalogplus.tuwien.at/permalink/f/1m011kq/TN_cdi_pubmed_primary_33897937</t>
  </si>
  <si>
    <t>Security Threat Mitigation for Smart Contracts: A Comprehensive Survey</t>
  </si>
  <si>
    <t>https://catalogplus.tuwien.at/permalink/f/1m011kq/TN_cdi_unpaywall_primary_10_1145_3593293</t>
  </si>
  <si>
    <t>ACM computing surveys</t>
  </si>
  <si>
    <t>The Vulnerabilities in Smart Contracts: A Survey</t>
  </si>
  <si>
    <t>https://catalogplus.tuwien.at/permalink/f/1m011kq/TN_cdi_openaire_primary_doi_93bad6e88e4ad009f79d28a102800d97</t>
  </si>
  <si>
    <t>Formal Analysis of Reentrancy Vulnerabilities in Smart Contract Based on CPN</t>
  </si>
  <si>
    <t>https://catalogplus.tuwien.at/permalink/f/1m011kq/TN_cdi_doaj_primary_oai_doaj_org_article_afa52d7ee2564be89522734e8c601f5d</t>
  </si>
  <si>
    <t>Detecting functional and security‐related issues in smart contracts: A systematic literature review</t>
  </si>
  <si>
    <t>https://catalogplus.tuwien.at/permalink/f/1m011kq/TN_cdi_proquest_journals_2760977800</t>
  </si>
  <si>
    <t>Research on Security Vulnerability Detection of Smart Contract</t>
  </si>
  <si>
    <t>https://catalogplus.tuwien.at/permalink/f/1m011kq/TN_cdi_openaire_primary_doi_b961a07a9f4fa43cd0fea9628b5d08f7</t>
  </si>
  <si>
    <t>CFG Analysis for Detecting Vulnerabilities in Smart Contracts</t>
  </si>
  <si>
    <t>https://catalogplus.tuwien.at/permalink/f/1m011kq/TN_cdi_springer_books_10_1007_978_981_99_0838_7_65</t>
  </si>
  <si>
    <t>Mutation Fuzzy Detection of TOD Vulnerability in Smart Contract</t>
  </si>
  <si>
    <t>https://catalogplus.tuwien.at/permalink/f/1m011kq/TN_cdi_openaire_primary_doi_d36d50b5f596f5b9124fcea60b4de972</t>
  </si>
  <si>
    <t>An Overview of Security Issues in Smart Contracts on the Blockchain</t>
  </si>
  <si>
    <t>https://catalogplus.tuwien.at/permalink/f/1m011kq/TN_cdi_openaire_primary_doi_d8deefdf3c99e0e7eae62fac115c95ce</t>
  </si>
  <si>
    <t>Investigation on Vulnerabilities Location in Solidity Smart Contracts</t>
  </si>
  <si>
    <t>https://catalogplus.tuwien.at/permalink/f/1m011kq/TN_cdi_openaire_primary_doi_1025c33146aa1deed1abcbb68cde615d</t>
  </si>
  <si>
    <t>Review of Automated Vulnerability Analysis of Smart Contracts on Ethereum</t>
  </si>
  <si>
    <t>https://catalogplus.tuwien.at/permalink/f/1m011kq/TN_cdi_doaj_primary_oai_doaj_org_article_26f7d0c2205244a1ab1cad1d909d4dd7</t>
  </si>
  <si>
    <t>https://catalogplus.tuwien.at/permalink/f/1m011kq/TN_cdi_crossref_primary_10_1109_TSE_2020_2971482</t>
  </si>
  <si>
    <t>https://catalogplus.tuwien.at/permalink/f/1m011kq/TN_cdi_crossref_primary_10_1016_j_ipm_2020_102462</t>
  </si>
  <si>
    <t>https://catalogplus.tuwien.at/permalink/f/1m011kq/TN_cdi_crossref_primary_10_1109_TSE_=Info!$A$43_3054928</t>
  </si>
  <si>
    <t>https://catalogplus.tuwien.at/permalink/f/1m011kq/TN_cdi_unpaywall_primary_10_1145_3464421</t>
  </si>
  <si>
    <t>https://catalogplus.tuwien.at/permalink/f/1m011kq/TN_cdi_openaire_primary_doi_dedup_bc169163780df3ad5ed32cb890de6924</t>
  </si>
  <si>
    <t>https://catalogplus.tuwien.at/permalink/f/1m011kq/TN_cdi_crossref_primary_10_1109_TKDE_=Info!$A$43_3095196</t>
  </si>
  <si>
    <t>https://catalogplus.tuwien.at/permalink/f/1m011kq/TN_cdi_proquest_journals_2918720961</t>
  </si>
  <si>
    <t>Smart Contract Security: A Practitioners' Perspective</t>
  </si>
  <si>
    <t>https://catalogplus.tuwien.at/permalink/f/1m011kq/TN_cdi_ieee_primary_9402082</t>
  </si>
  <si>
    <t>https://catalogplus.tuwien.at/permalink/f/1m011kq/TN_cdi_crossref_primary_10_1109_TSE_=Info!$A$43_3123170</t>
  </si>
  <si>
    <t>https://catalogplus.tuwien.at/permalink/f/1m011kq/TN_cdi_openaire_primary_doi_c9c0ec5d027d34e45a2c63115dbeceef</t>
  </si>
  <si>
    <t>https://catalogplus.tuwien.at/permalink/f/1m011kq/TN_cdi_webofscience_primary_000672462600013</t>
  </si>
  <si>
    <t>https://catalogplus.tuwien.at/permalink/f/1m011kq/TN_cdi_openaire_primary_doi_68466c10b072ac5fc7e34784f8aa05e4</t>
  </si>
  <si>
    <t>Distributed service‐level agreement management with smart contracts and blockchain</t>
  </si>
  <si>
    <t>https://catalogplus.tuwien.at/permalink/f/1m011kq/TN_cdi_proquest_journals_2544304023</t>
  </si>
  <si>
    <t>https://catalogplus.tuwien.at/permalink/f/1m011kq/TN_cdi_openaire_primary_doi_dd96bbb9c11248a218afd10a7b6ee8f0</t>
  </si>
  <si>
    <t>BiAn: Smart Contract Source Code Obfuscation</t>
  </si>
  <si>
    <t>https://catalogplus.tuwien.at/permalink/f/1m011kq/TN_cdi_proquest_journals_2866480708</t>
  </si>
  <si>
    <t>SigRec: Automatic Recovery of Function Signatures in Smart Contracts</t>
  </si>
  <si>
    <t>https://catalogplus.tuwien.at/permalink/f/1m011kq/TN_cdi_proquest_journals_2703098840</t>
  </si>
  <si>
    <t>Blockchain and Ethereum Smart Contract Solution Development: Dapp Programming with Solidity</t>
  </si>
  <si>
    <t>https://catalogplus.tuwien.at/permalink/f/1m011kq/TN_cdi_openaire_primary_doi_e67b36f02e9b858fee4cdedf0342bc7c</t>
  </si>
  <si>
    <t>https://catalogplus.tuwien.at/permalink/f/1m011kq/TN_cdi_openaire_primary_doi_85d6937277960ab13c3bc62c3ecbcd67</t>
  </si>
  <si>
    <t>https://catalogplus.tuwien.at/permalink/f/1m011kq/TN_cdi_crossref_primary_10_1016_j_jss_2022_111550</t>
  </si>
  <si>
    <t>Smart contract generation for inter‐organizational process collaboration</t>
  </si>
  <si>
    <t>https://catalogplus.tuwien.at/permalink/f/1m011kq/TN_cdi_crossref_primary_10_1002_cpe_7961</t>
  </si>
  <si>
    <t>Challenges and Common Solutions in Smart Contract Development</t>
  </si>
  <si>
    <t>https://catalogplus.tuwien.at/permalink/f/1m011kq/TN_cdi_unpaywall_primary_10_1109_tse_=Info!$A$43_3116808</t>
  </si>
  <si>
    <t>Smart-Contract Aware Ethereum and Client-Fog-Cloud Healthcare System</t>
  </si>
  <si>
    <t>https://catalogplus.tuwien.at/permalink/f/1m011kq/TN_cdi_crossref_primary_10_3390_s21124093</t>
  </si>
  <si>
    <t>Smart Contract-Based Blockchain-Envisioned Authentication Scheme for Smart Farming</t>
  </si>
  <si>
    <t>https://catalogplus.tuwien.at/permalink/f/1m011kq/TN_cdi_crossref_primary_10_1109_JIOT_=Info!$A$43_3050676</t>
  </si>
  <si>
    <t>https://catalogplus.tuwien.at/permalink/f/1m011kq/TN_cdi_crossref_primary_10_1109_JIOT_=Info!$A$43_3074544</t>
  </si>
  <si>
    <t>https://catalogplus.tuwien.at/permalink/f/1m011kq/TN_cdi_elsevier_sciencedirect_doi_10_1016_j_autcon_=Info!$A$43_103926</t>
  </si>
  <si>
    <t>https://catalogplus.tuwien.at/permalink/f/1m011kq/TN_cdi_crossref_primary_10_1109_ACCESS_2022_3169902</t>
  </si>
  <si>
    <t>Fair hierarchical secret sharing scheme based on smart contract</t>
  </si>
  <si>
    <t>https://catalogplus.tuwien.at/permalink/f/1m011kq/TN_cdi_elsevier_sciencedirect_doi_10_1016_j_ins_2020_07_032</t>
  </si>
  <si>
    <t>A Smart Contract-Based Dynamic Consent Management System for Personal Data Usage under GDPR</t>
  </si>
  <si>
    <t>https://catalogplus.tuwien.at/permalink/f/1m011kq/TN_cdi_pubmedcentral_primary_oai_pubmedcentral_nih_gov_8659597</t>
  </si>
  <si>
    <t>https://catalogplus.tuwien.at/permalink/f/1m011kq/TN_cdi_crossref_primary_10_1016_j_scico_2023_103076</t>
  </si>
  <si>
    <t>Construction site information decentralized management using blockchain and smart contracts</t>
  </si>
  <si>
    <t>https://catalogplus.tuwien.at/permalink/f/1m011kq/TN_cdi_openaire_primary_doi_6e863d030005af7abb3f803c8e8b24e4</t>
  </si>
  <si>
    <t>Oracle-Supported Dynamic Exploit Generation for Smart Contracts</t>
  </si>
  <si>
    <t>https://catalogplus.tuwien.at/permalink/f/1m011kq/TN_cdi_ieee_primary_9256983</t>
  </si>
  <si>
    <t>Securing Deployed Smart Contracts and DeFi With Distributed TEE Cluster</t>
  </si>
  <si>
    <t>https://catalogplus.tuwien.at/permalink/f/1m011kq/TN_cdi_crossref_primary_10_1109_TPDS_2022_3232548</t>
  </si>
  <si>
    <t>A conceptual framework for blockchain smart contract adoption to manage real estate deals in smart cities</t>
  </si>
  <si>
    <t>https://catalogplus.tuwien.at/permalink/f/1m011kq/TN_cdi_openaire_primary_doi_f829c14cd232c76e16ec3b8700fc1047</t>
  </si>
  <si>
    <t>Blockchain-Based Adaptive Trust Management in Internet of Vehicles Using Smart Contract</t>
  </si>
  <si>
    <t>https://catalogplus.tuwien.at/permalink/f/1m011kq/TN_cdi_openaire_primary_doi_b02601087181d05142e2df72c5ef6f12</t>
  </si>
  <si>
    <t>https://catalogplus.tuwien.at/permalink/f/1m011kq/TN_cdi_ieee_primary_10172700</t>
  </si>
  <si>
    <t>Scholar Snowballing</t>
  </si>
  <si>
    <t>https://catalogplus.tuwien.at/permalink/f/1m011kq/TN_cdi_ieee_primary_9678888</t>
  </si>
  <si>
    <t>https://catalogplus.tuwien.at/permalink/f/1m011kq/TN_cdi_openaire_primary_doi_a4e2d7b5f7827dc3fae0714d8a3b41c7</t>
  </si>
  <si>
    <t>https://catalogplus.tuwien.at/permalink/f/1m011kq/TN_cdi_webofscience_primary_000620922100020CitationCount</t>
  </si>
  <si>
    <t>SCAR: Smart Contract Alarm Ranking</t>
  </si>
  <si>
    <t>https://catalogplus.tuwien.at/permalink/f/1m011kq/TN_cdi_ieee_primary_10043329</t>
  </si>
  <si>
    <t>https://catalogplus.tuwien.at/permalink/f/1m011kq/TN_cdi_openaire_primary_doi_6d6c1539379b98611c2925616598b13e</t>
  </si>
  <si>
    <t>Smart Contract-Based Agricultural Food Supply Chain Traceability</t>
  </si>
  <si>
    <t>https://catalogplus.tuwien.at/permalink/f/1m011kq/TN_cdi_webofscience_primary_000608608800001</t>
  </si>
  <si>
    <t>GasChecker: Scalable Analysis for Discovering Gas-Inefficient Smart Contracts</t>
  </si>
  <si>
    <t>https://catalogplus.tuwien.at/permalink/f/1m011kq/TN_cdi_webofscience_primary_000697823100032</t>
  </si>
  <si>
    <t>https://catalogplus.tuwien.at/permalink/f/1m011kq/TN_cdi_elsevier_sciencedirect_doi_10_1016_j_cose_=Info!$A$43_102343</t>
  </si>
  <si>
    <t>https://catalogplus.tuwien.at/permalink/f/1m011kq/TN_cdi_unpaywall_primary_10_1109_tse_2023_3271417</t>
  </si>
  <si>
    <t>https://catalogplus.tuwien.at/permalink/f/1m011kq/TN_cdi_webofscience_primary_000659992900008CitationCount</t>
  </si>
  <si>
    <t>https://catalogplus.tuwien.at/permalink/f/1m011kq/TN_cdi_crossref_primary_10_1016_j_jss_2022_111410</t>
  </si>
  <si>
    <t>https://catalogplus.tuwien.at/permalink/f/1m011kq/TN_cdi_ieee_primary_9519444</t>
  </si>
  <si>
    <t>https://catalogplus.tuwien.at/permalink/f/1m011kq/TN_cdi_openaire_primary_doi_dedup_64bdd334dd9d860aa62779e36c9fa2f7</t>
  </si>
  <si>
    <t>Smart Contracts: Some Practical Considerations</t>
  </si>
  <si>
    <t>https://catalogplus.tuwien.at/permalink/f/1m011kq/TN_cdi_openaire_primary_doi_7b72be4942cd6e2b3d2bc5a052dd803a</t>
  </si>
  <si>
    <t>https://catalogplus.tuwien.at/permalink/f/1m011kq/TN_cdi_openaire_primary_doi_d8f26f49048a353bbca1be999c4f84d9</t>
  </si>
  <si>
    <t>Smart contract formation enabling energy‐as‐a‐service in a virtual power plant</t>
  </si>
  <si>
    <t>https://catalogplus.tuwien.at/permalink/f/1m011kq/TN_cdi_cristin_nora_10037_22987</t>
  </si>
  <si>
    <t>SmartPulse: Automated Checking of Temporal Properties in Smart Contracts</t>
  </si>
  <si>
    <t>https://catalogplus.tuwien.at/permalink/f/1m011kq/TN_cdi_ieee_primary_9519387</t>
  </si>
  <si>
    <t>Research on a Covert Communication Model Realized by Using Smart Contracts in Blockchain Environment</t>
  </si>
  <si>
    <t>https://catalogplus.tuwien.at/permalink/f/1m011kq/TN_cdi_proquest_journals_2676781241</t>
  </si>
  <si>
    <t>https://catalogplus.tuwien.at/permalink/f/1m011kq/TN_cdi_webofscience_primary_000701166800009CitationCount</t>
  </si>
  <si>
    <t>https://catalogplus.tuwien.at/permalink/f/1m011kq/TN_cdi_webofscience_primary_000685996800001CitationCount</t>
  </si>
  <si>
    <t>TxT: Real-Time Transaction Encapsulation for Ethereum Smart Contracts</t>
  </si>
  <si>
    <t>https://catalogplus.tuwien.at/permalink/f/1m011kq/TN_cdi_ieee_primary_10017137</t>
  </si>
  <si>
    <t>https://catalogplus.tuwien.at/permalink/f/1m011kq/TN_cdi_unpaywall_primary_10_1088_1742_6596_1820_1_012004</t>
  </si>
  <si>
    <t>An Adversarial Smart Contract Honeypot in Ethereum</t>
  </si>
  <si>
    <t>https://catalogplus.tuwien.at/permalink/f/1m011kq/TN_cdi_proquest_journals_2547167566</t>
  </si>
  <si>
    <t>Bytecode Obfuscation for Smart Contracts</t>
  </si>
  <si>
    <t>https://catalogplus.tuwien.at/permalink/f/1m011kq/TN_cdi_ieee_primary_10043270</t>
  </si>
  <si>
    <t>https://catalogplus.tuwien.at/permalink/f/1m011kq/TN_cdi_openaire_primary_doi_8a9b9e2cd561ab3cacb34d8489c51d61</t>
  </si>
  <si>
    <t>https://catalogplus.tuwien.at/permalink/f/1m011kq/TN_cdi_openaire_primary_doi_0c1255da3f35433e47306f876fa9bdb9</t>
  </si>
  <si>
    <t>An arbitrable multi‐replica data auditing scheme based on smart contracts</t>
  </si>
  <si>
    <t>https://catalogplus.tuwien.at/permalink/f/1m011kq/TN_cdi_openaire_primary_doi_a8f4b3afab96155104eae7ef21e06bfd</t>
  </si>
  <si>
    <t>https://catalogplus.tuwien.at/permalink/f/1m011kq/TN_cdi_crossref_primary_10_1016_j_jss_2023_111919</t>
  </si>
  <si>
    <t>https://catalogplus.tuwien.at/permalink/f/1m011kq/TN_cdi_unpaywall_primary_10_1145_3548683</t>
  </si>
  <si>
    <t>https://catalogplus.tuwien.at/permalink/f/1m011kq/TN_cdi_ieee_primary_10319764</t>
  </si>
  <si>
    <t>https://catalogplus.tuwien.at/permalink/f/1m011kq/TN_cdi_ieee_primary_9700296</t>
  </si>
  <si>
    <t>https://catalogplus.tuwien.at/permalink/f/1m011kq/TN_cdi_crossref_primary_10_1109_TSE_2023_3270117</t>
  </si>
  <si>
    <t>https://catalogplus.tuwien.at/permalink/f/1m011kq/TN_cdi_crossref_primary_10_1007_s11276_023_03587_z</t>
  </si>
  <si>
    <t>https://catalogplus.tuwien.at/permalink/f/1m011kq/TN_cdi_crossref_primary_10_1016_j_jss_2023_111705</t>
  </si>
  <si>
    <t>Ultra-Lightweight Mutual Authentication in the Vehicle Based on Smart Contract Blockchain: Case of MITM Attack</t>
  </si>
  <si>
    <t>https://catalogplus.tuwien.at/permalink/f/1m011kq/TN_cdi_crossref_primary_10_1109_JSEN_2020_3022536</t>
  </si>
  <si>
    <t>Peer-to-peer electricity trading system: smart contracts based proof-of-benefit consensus protocol</t>
  </si>
  <si>
    <t>https://catalogplus.tuwien.at/permalink/f/1m011kq/TN_cdi_crossref_primary_10_1007_s11276_019_01949_0</t>
  </si>
  <si>
    <t>Survey on Blockchain-Based Smart Contracts: Technical Aspects and Future Research</t>
  </si>
  <si>
    <t>https://catalogplus.tuwien.at/permalink/f/1m011kq/TN_cdi_doaj_primary_oai_doaj_org_article_2842206fe9ee4a31986145aa4bee441f</t>
  </si>
  <si>
    <t>Automating Procurement Contracts in the Healthcare Supply Chain Using Blockchain Smart Contracts</t>
  </si>
  <si>
    <t>https://catalogplus.tuwien.at/permalink/f/1m011kq/TN_cdi_webofscience_primary_000628904900001CitationCount</t>
  </si>
  <si>
    <t>Smart contract based policies for the Internet of Things</t>
  </si>
  <si>
    <t>https://catalogplus.tuwien.at/permalink/f/1m011kq/TN_cdi_crossref_primary_10_1007_s10586_020_03216_w</t>
  </si>
  <si>
    <t>https://catalogplus.tuwien.at/permalink/f/1m011kq/TN_cdi_webofscience_primary_000670877900011</t>
  </si>
  <si>
    <t>Enforcing trustworthy cloud SLA with witnesses: A game theory–based model using smart contracts</t>
  </si>
  <si>
    <t>https://catalogplus.tuwien.at/permalink/f/1m011kq/TN_cdi_proquest_miscellaneous_2693775644</t>
  </si>
  <si>
    <t>Attribute-Based Access Control for Smart Cities: A Smart-Contract-Driven Framework</t>
  </si>
  <si>
    <t>https://catalogplus.tuwien.at/permalink/f/1m011kq/TN_cdi_webofscience_primary_000638402100022</t>
  </si>
  <si>
    <t>https://catalogplus.tuwien.at/permalink/f/1m011kq/TN_cdi_openaire_primary_doi_b599698e48dbc888925ae61a1e38dd8b</t>
  </si>
  <si>
    <t>Secure Replication-Based Outsourced Computation Using Smart Contracts</t>
  </si>
  <si>
    <t>https://catalogplus.tuwien.at/permalink/f/1m011kq/TN_cdi_crossref_primary_10_1109_TSC_2023_3262805</t>
  </si>
  <si>
    <t>https://catalogplus.tuwien.at/permalink/f/1m011kq/TN_cdi_elsevier_sciencedirect_doi_10_1016_j_dss_=Info!$A$43_113508</t>
  </si>
  <si>
    <t>ISmart: Protecting Smart Contract Against Integer Bugs</t>
  </si>
  <si>
    <t>https://catalogplus.tuwien.at/permalink/f/1m011kq/TN_cdi_openaire_primary_doi_a4199cbded8b13332eb0fe0a39afb031</t>
  </si>
  <si>
    <t>https://catalogplus.tuwien.at/permalink/f/1m011kq/TN_cdi_proquest_journals_2556486858</t>
  </si>
  <si>
    <t>https://catalogplus.tuwien.at/permalink/f/1m011kq/TN_cdi_openaire_primary_doi_c1c65f7e2da66851da1c61d9f3b217a2</t>
  </si>
  <si>
    <t>A Smart-Contract-Based Access Control Framework for Cloud Smart Healthcare System</t>
  </si>
  <si>
    <t>https://catalogplus.tuwien.at/permalink/f/1m011kq/TN_cdi_webofscience_primary_000633436600066</t>
  </si>
  <si>
    <t>Role‐based Access Control Video Surveillance Mechanism Modeling in Smart Contract Environment</t>
  </si>
  <si>
    <t>https://catalogplus.tuwien.at/permalink/f/1m011kq/TN_cdi_openaire_primary_doi_262afb0d4c8b8ea74fb96980d2d7eb7c</t>
  </si>
  <si>
    <t>https://catalogplus.tuwien.at/permalink/f/1m011kq/TN_cdi_crossref_primary_10_1007_s10618_023_00981_1</t>
  </si>
  <si>
    <t>Code Cloning in Smart Contracts on the Ethereum Platform: An Extended Replication Study</t>
  </si>
  <si>
    <t>https://catalogplus.tuwien.at/permalink/f/1m011kq/TN_cdi_proquest_journals_2803048277</t>
  </si>
  <si>
    <t>https://catalogplus.tuwien.at/permalink/f/1m011kq/TN_cdi_ieee_primary_10261219</t>
  </si>
  <si>
    <t>Blockchain technology and smart contract for civil structural health monitoring system</t>
  </si>
  <si>
    <t>https://catalogplus.tuwien.at/permalink/f/1m011kq/TN_cdi_webofscience_primary_000648088100001</t>
  </si>
  <si>
    <t>De‐anonymizing Ethereum blockchain smart contracts through code attribution</t>
  </si>
  <si>
    <t>https://catalogplus.tuwien.at/permalink/f/1m011kq/TN_cdi_openaire_primary_doi_0195beda9af6b12c3d5d489fd5b20728</t>
  </si>
  <si>
    <t>Formal Verification of Blockchain Smart Contracts via ATL Model Checking</t>
  </si>
  <si>
    <t>https://catalogplus.tuwien.at/permalink/f/1m011kq/TN_cdi_openaire_primary_doi_dedup_19b1585533a8d5aeb3568f01fb62685d</t>
  </si>
  <si>
    <t>Smart contract life-cycle management: an engineering framework for the generation of robust and verifiable smart contracts</t>
  </si>
  <si>
    <t>https://catalogplus.tuwien.at/permalink/f/1m011kq/TN_cdi_doaj_primary_oai_doaj_org_article_ab751f4b516e42d9bade464fcdfdd159</t>
  </si>
  <si>
    <t>https://catalogplus.tuwien.at/permalink/f/1m011kq/TN_cdi_unpaywall_primary_10_1145_3485523</t>
  </si>
  <si>
    <t>https://catalogplus.tuwien.at/permalink/f/1m011kq/TN_cdi_crossref_primary_10_1016_j_comnet_2023_110133</t>
  </si>
  <si>
    <t>https://catalogplus.tuwien.at/permalink/f/1m011kq/TN_cdi_openaire_primary_doi_59b4062ae2d95306d6935ed2bfad9731</t>
  </si>
  <si>
    <t>Industry 5.0: Ethereum blockchain technology based DApp smart contract</t>
  </si>
  <si>
    <t>https://catalogplus.tuwien.at/permalink/f/1m011kq/TN_cdi_doaj_primary_oai_doaj_org_article_34469ec6fbd24ba09be77e26481d8f60</t>
  </si>
  <si>
    <t>Implementation and evaluation of smart contracts using a hybrid on‐ and off‐blockchain architecture</t>
  </si>
  <si>
    <t>https://catalogplus.tuwien.at/permalink/f/1m011kq/TN_cdi_openaire_primary_doi_9fbcefdb7607447851c59cb53964f2e2</t>
  </si>
  <si>
    <t>https://catalogplus.tuwien.at/permalink/f/1m011kq/TN_cdi_elsevier_sciencedirect_doi_10_1016_j_jnca_2020_102950</t>
  </si>
  <si>
    <t>A survey on automation approaches of smart contract generation</t>
  </si>
  <si>
    <t>https://catalogplus.tuwien.at/permalink/f/1m011kq/TN_cdi_openaire_primary_doi_18efa64c84d9c21cf09becb157899e10</t>
  </si>
  <si>
    <t>https://catalogplus.tuwien.at/permalink/f/1m011kq/TN_cdi_crossref_primary_10_1016_j_jss_2023_111787</t>
  </si>
  <si>
    <t>Exploring Smart Contract Recommendation: Towards Efficient Blockchain Development</t>
  </si>
  <si>
    <t>https://catalogplus.tuwien.at/permalink/f/1m011kq/TN_cdi_crossref_primary_10_1109_TSC_2022_3202081</t>
  </si>
  <si>
    <t>https://catalogplus.tuwien.at/permalink/f/1m011kq/TN_cdi_unpaywall_primary_10_1145_3527321</t>
  </si>
  <si>
    <t>Smart contract-based agricultural service platform for drone plant protection operation optimization</t>
  </si>
  <si>
    <t>https://catalogplus.tuwien.at/permalink/f/1m011kq/TN_cdi_proquest_journals_2901509445</t>
  </si>
  <si>
    <t>Smart Supply Chain Management Using the Blockchain and Smart Contract</t>
  </si>
  <si>
    <t>https://catalogplus.tuwien.at/permalink/f/1m011kq/TN_cdi_unpaywall_primary_10_1155_=Info!$A$43_6092792</t>
  </si>
  <si>
    <t>Supply Chain Inventory Sharing Using Ethereum Blockchain and Smart Contracts</t>
  </si>
  <si>
    <t>https://catalogplus.tuwien.at/permalink/f/1m011kq/TN_cdi_proquest_journals_2617499591</t>
  </si>
  <si>
    <t>Research and Application of Smart Contract Based on Ethereum Blockchain</t>
  </si>
  <si>
    <t>https://catalogplus.tuwien.at/permalink/f/1m011kq/TN_cdi_unpaywall_primary_10_1088_1742_6596_1748_4_042016</t>
  </si>
  <si>
    <t>https://catalogplus.tuwien.at/permalink/f/1m011kq/TN_cdi_webofscience_primary_000621106000001</t>
  </si>
  <si>
    <t>A blockchain and smart contract-based data provenance collection and storing in cloud environment</t>
  </si>
  <si>
    <t>https://catalogplus.tuwien.at/permalink/f/1m011kq/TN_cdi_unpaywall_primary_10_1007_s11276_022_02924_y</t>
  </si>
  <si>
    <t>https://catalogplus.tuwien.at/permalink/f/1m011kq/TN_cdi_openaire_primary_doi_f34bf8fffdc26ad8e0242f88a0c54afb</t>
  </si>
  <si>
    <t>DHACS: Smart Contract-Based Decentralized Hybrid Access Control for Industrial Internet-of-Things</t>
  </si>
  <si>
    <t>https://catalogplus.tuwien.at/permalink/f/1m011kq/TN_cdi_ieee_primary_9525244</t>
  </si>
  <si>
    <t>https://catalogplus.tuwien.at/permalink/f/1m011kq/TN_cdi_ieee_primary_10172637</t>
  </si>
  <si>
    <t>Verification Assisted Gas Reduction for Smart Contracts</t>
  </si>
  <si>
    <t>https://catalogplus.tuwien.at/permalink/f/1m011kq/TN_cdi_ieee_primary_9711954</t>
  </si>
  <si>
    <t>Cybersecurity Test Bed for Smart Contracts</t>
  </si>
  <si>
    <t>https://catalogplus.tuwien.at/permalink/f/1m011kq/TN_cdi_doaj_primary_oai_doaj_org_article_f7b8e31fd1ed4eb4b30fd4717b07c4cf</t>
  </si>
  <si>
    <t>https://catalogplus.tuwien.at/permalink/f/1m011kq/TN_cdi_pubmedcentral_primary_oai_pubmedcentral_nih_gov_8800559</t>
  </si>
  <si>
    <t>Smart Contract Satisfiability Checking for Blockchain Consistency</t>
  </si>
  <si>
    <t>https://catalogplus.tuwien.at/permalink/f/1m011kq/TN_cdi_openaire_primary_doi_26b21ff20eb6f02ac198300350e70408</t>
  </si>
  <si>
    <t>https://catalogplus.tuwien.at/permalink/f/1m011kq/TN_cdi_openaire_primary_doi_dedup_4737f60df468b9ad06c28d48a02fd012</t>
  </si>
  <si>
    <t>https://catalogplus.tuwien.at/permalink/f/1m011kq/TN_cdi_crossref_primary_10_1016_j_engappai_2023_107022</t>
  </si>
  <si>
    <t>An effective blockchain‐based smart contract system for securing electronic medical data in smart healthcare application</t>
  </si>
  <si>
    <t>https://catalogplus.tuwien.at/permalink/f/1m011kq/TN_cdi_openaire_primary_doi_783cc58e9dcb9ae5b256bf948d7738ea</t>
  </si>
  <si>
    <t>On the use of generic types for smart contracts</t>
  </si>
  <si>
    <t>https://catalogplus.tuwien.at/permalink/f/1m011kq/TN_cdi_unpaywall_primary_10_1007_s10586_022_03688_y</t>
  </si>
  <si>
    <t>Characterizing Transaction-Reverting Statements in Ethereum Smart Contracts</t>
  </si>
  <si>
    <t>https://catalogplus.tuwien.at/permalink/f/1m011kq/TN_cdi_ieee_primary_9678597</t>
  </si>
  <si>
    <t>https://catalogplus.tuwien.at/permalink/f/1m011kq/TN_cdi_doaj_primary_oai_doaj_org_article_dcc197a9d8a84503a3755c58b91f75db</t>
  </si>
  <si>
    <t>https://catalogplus.tuwien.at/permalink/f/1m011kq/TN_cdi_openaire_primary_doi_97c5fbc9045a2dc17093c266105e4661</t>
  </si>
  <si>
    <t>Toward Secure Data Sharing for the IoT Devices With Limited Resources: A Smart Contract-Based Quality-Driven Incentive Mechanism</t>
  </si>
  <si>
    <t>https://catalogplus.tuwien.at/permalink/f/1m011kq/TN_cdi_proquest_journals_2834308298</t>
  </si>
  <si>
    <t>Precise Dynamic Symbolic Execution for Nonuniform Data Access in Smart Contracts</t>
  </si>
  <si>
    <t>https://catalogplus.tuwien.at/permalink/f/1m011kq/TN_cdi_openaire_primary_doi_113a09f2969b07f3e4196b9cd52334be</t>
  </si>
  <si>
    <t>What Do We Mean by Smart Contracts? Open Challenges in Smart Contracts</t>
  </si>
  <si>
    <t>https://catalogplus.tuwien.at/permalink/f/1m011kq/TN_cdi_doaj_primary_oai_doaj_org_article_c8451ea573954c2894ac67eb8bfdfbcf</t>
  </si>
  <si>
    <t>Secured Insurance Framework Using Blockchain and Smart Contract</t>
  </si>
  <si>
    <t>https://catalogplus.tuwien.at/permalink/f/1m011kq/TN_cdi_proquest_journals_2606653421</t>
  </si>
  <si>
    <t>An Attribute-Based Access Control for IoT Using Blockchain and Smart Contracts</t>
  </si>
  <si>
    <t>https://catalogplus.tuwien.at/permalink/f/1m011kq/TN_cdi_webofscience_primary_000726723600001CitationCount</t>
  </si>
  <si>
    <t>Blockchain privacy‐preserving smart contract centric multiple multiparty key agreement over large WANETs</t>
  </si>
  <si>
    <t>https://catalogplus.tuwien.at/permalink/f/1m011kq/TN_cdi_crossref_primary_10_1002_ett_4165</t>
  </si>
  <si>
    <t>https://catalogplus.tuwien.at/permalink/f/1m011kq/TN_cdi_doaj_primary_oai_doaj_org_article_21ff89aa9d514d069f3670706956ac7b</t>
  </si>
  <si>
    <t>Smart Contract Code Repair Recommendation based on Reinforcement Learning and Multi-metric Optimization</t>
  </si>
  <si>
    <t>https://catalogplus.tuwien.at/permalink/f/1m011kq/TN_cdi_crossref_primary_10_1145_3637229</t>
  </si>
  <si>
    <t>https://catalogplus.tuwien.at/permalink/f/1m011kq/TN_cdi_openaire_primary_doi_10fefea2332735a84df4251cc0bef499</t>
  </si>
  <si>
    <t>https://catalogplus.tuwien.at/permalink/f/1m011kq/TN_cdi_openaire_primary_doi_3897cc5cf4cfd8f18439ec5554e2217a</t>
  </si>
  <si>
    <t>Exploring Blockchain and Smart Contract Technology for Reliable and Secure Land Registration and Record Management</t>
  </si>
  <si>
    <t>https://catalogplus.tuwien.at/permalink/f/1m011kq/TN_cdi_crossref_primary_10_1007_s11277_021_08833_1</t>
  </si>
  <si>
    <t>Cost Efficient Scheduling Using Smart Contract Cognizant Ethereum for IoMT</t>
  </si>
  <si>
    <t>https://catalogplus.tuwien.at/permalink/f/1m011kq/TN_cdi_openaire_primary_doi_64cee8b270f694137dbd43fc84f43d38</t>
  </si>
  <si>
    <t>Characterizing and Detecting Gas-Inefficient Patterns in Smart Contracts</t>
  </si>
  <si>
    <t>https://catalogplus.tuwien.at/permalink/f/1m011kq/TN_cdi_openaire_primary_doi_de17f11c5a4c558758363f4495f88c83</t>
  </si>
  <si>
    <t>Secure protocols for smart contract based insurance services</t>
  </si>
  <si>
    <t>https://catalogplus.tuwien.at/permalink/f/1m011kq/TN_cdi_openaire_primary_doi_0eb52fe348b042bc6df7fdfe25b099d8</t>
  </si>
  <si>
    <t>zk-AuthFeed: Protecting Data Feed to Smart Contracts With Authenticated Zero Knowledge Proof</t>
  </si>
  <si>
    <t>https://catalogplus.tuwien.at/permalink/f/1m011kq/TN_cdi_crossref_primary_10_1109_TDSC_2022_3153084</t>
  </si>
  <si>
    <t>https://catalogplus.tuwien.at/permalink/f/1m011kq/TN_cdi_ieee_primary_9740682</t>
  </si>
  <si>
    <t>https://catalogplus.tuwien.at/permalink/f/1m011kq/TN_cdi_openaire_primary_doi_b37bc467f471ae0fcbd15542b3e960ed</t>
  </si>
  <si>
    <t>Transforming Airport Security: Enhancing Efficiency through Blockchain Smart Contracts</t>
  </si>
  <si>
    <t>https://catalogplus.tuwien.at/permalink/f/1m011kq/TN_cdi_doaj_primary_oai_doaj_org_article_297823b79a1840ebb80c5b38fbf88f0c</t>
  </si>
  <si>
    <t>https://catalogplus.tuwien.at/permalink/f/1m011kq/TN_cdi_openaire_primary_doi_12bc0443c01532001721a1d86cc83cbd</t>
  </si>
  <si>
    <t>Nereus: Anonymous and Secure Ride-Hailing Service Based on Private Smart Contracts</t>
  </si>
  <si>
    <t>https://catalogplus.tuwien.at/permalink/f/1m011kq/TN_cdi_openaire_primary_doi_dedup_3a84e1cba141bff871d94e8fb0b6fbc1</t>
  </si>
  <si>
    <t>https://catalogplus.tuwien.at/permalink/f/1m011kq/TN_cdi_openaire_primary_doi_241e2b3922ad65fc3b3501805a1e4cbd</t>
  </si>
  <si>
    <t>Smart Contract-Based Access Control Through Off-Chain Signature and On-Chain Evaluation</t>
  </si>
  <si>
    <t>https://catalogplus.tuwien.at/permalink/f/1m011kq/TN_cdi_ieee_primary_9601193</t>
  </si>
  <si>
    <t>Azeroth: Auditable Zero-knowledge Transactions in Smart Contracts</t>
  </si>
  <si>
    <t>https://catalogplus.tuwien.at/permalink/f/1m011kq/TN_cdi_proquest_journals_2825602070</t>
  </si>
  <si>
    <t>DAON: A Decentralized Autonomous Oracle Network to Provide Secure Data for Smart Contracts</t>
  </si>
  <si>
    <t>https://catalogplus.tuwien.at/permalink/f/1m011kq/TN_cdi_crossref_primary_10_1109_TIFS_2023_3318961</t>
  </si>
  <si>
    <t>https://catalogplus.tuwien.at/permalink/f/1m011kq/TN_cdi_doaj_primary_oai_doaj_org_article_411f76fd0cb24e91a3281947fd75c523</t>
  </si>
  <si>
    <t>Data Trading Certification Based on Consortium Blockchain and Smart Contracts</t>
  </si>
  <si>
    <t>https://catalogplus.tuwien.at/permalink/f/1m011kq/TN_cdi_crossref_primary_10_1109_ACCESS_2020_3047398</t>
  </si>
  <si>
    <t>Survey of Smart Contract Framework and Its Application</t>
  </si>
  <si>
    <t>https://catalogplus.tuwien.at/permalink/f/1m011kq/TN_cdi_doaj_primary_oai_doaj_org_article_1cf6c71d392243bbb543d56d2d963c08</t>
  </si>
  <si>
    <t>https://catalogplus.tuwien.at/permalink/f/1m011kq/TN_cdi_openaire_primary_doi_387ba38e5d428602ed39fffced028a8c</t>
  </si>
  <si>
    <t>https://catalogplus.tuwien.at/permalink/f/1m011kq/TN_cdi_crossref_primary_10_1016_j_jisa_2023_103555</t>
  </si>
  <si>
    <t>Astraea: Anonymous and Secure Auditing Based on Private Smart Contracts for Donation Systems</t>
  </si>
  <si>
    <t>https://catalogplus.tuwien.at/permalink/f/1m011kq/TN_cdi_crossref_primary_10_1109_TDSC_2022_3204287</t>
  </si>
  <si>
    <t>https://catalogplus.tuwien.at/permalink/f/1m011kq/TN_cdi_openaire_primary_doi_a17ec566b327cd4ac3a834d3119d46ed</t>
  </si>
  <si>
    <t>An incentive-compatible rational secret sharing scheme using blockchain and smart contract</t>
  </si>
  <si>
    <t>https://catalogplus.tuwien.at/permalink/f/1m011kq/TN_cdi_openaire_primary_doi_774bd248239f90fac9f14b1945810c8e</t>
  </si>
  <si>
    <t>A Transparent and Privacy-Preserving Healthcare Platform With Novel Smart Contract for Smart Cities</t>
  </si>
  <si>
    <t>https://catalogplus.tuwien.at/permalink/f/1m011kq/TN_cdi_doaj_primary_oai_doaj_org_article_59044fc24aec47109daab8bbdef09f83</t>
  </si>
  <si>
    <t>Making drug supply chain secure traceable and efficient: a Blockchain and smart contract based implementation</t>
  </si>
  <si>
    <t>https://catalogplus.tuwien.at/permalink/f/1m011kq/TN_cdi_unpaywall_primary_10_1007_s11042_022_14238_4</t>
  </si>
  <si>
    <t>Two-Level Stackelberg Game for IoT Computational Resource Trading Mechanism: A Smart Contract Approach</t>
  </si>
  <si>
    <t>https://catalogplus.tuwien.at/permalink/f/1m011kq/TN_cdi_ieee_primary_9200703</t>
  </si>
  <si>
    <t>Smart Contract Assisted Privacy-Preserving Data Aggregation and Management Scheme for Smart Grid</t>
  </si>
  <si>
    <t>https://catalogplus.tuwien.at/permalink/f/1m011kq/TN_cdi_ieee_primary_10198760</t>
  </si>
  <si>
    <t>Distributed and Federated Authentication Schemes Based on Updatable Smart Contracts</t>
  </si>
  <si>
    <t>https://catalogplus.tuwien.at/permalink/f/1m011kq/TN_cdi_doaj_primary_oai_doaj_org_article_cfc6ee7a2e8e447baac02abb7174ddc1</t>
  </si>
  <si>
    <t>Distributed Anonymous e-Voting Method Based on Smart Contract Authentication</t>
  </si>
  <si>
    <t>https://catalogplus.tuwien.at/permalink/f/1m011kq/TN_cdi_doaj_primary_oai_doaj_org_article_bc39bfec82394506be422116baf6a244</t>
  </si>
  <si>
    <t>Blockchain-Enabled Telehealth Services Using Smart Contracts</t>
  </si>
  <si>
    <t>https://catalogplus.tuwien.at/permalink/f/1m011kq/TN_cdi_openaire_primary_doi_dedup_72b0823598a89adc911a41b3a4ea3235</t>
  </si>
  <si>
    <t>Leveraging Smart Contracts for Secure and Asynchronous Group Key Exchange Without Trusted Third Party</t>
  </si>
  <si>
    <t>https://catalogplus.tuwien.at/permalink/f/1m011kq/TN_cdi_openaire_primary_doi_a793f882aafee511c345107771845839</t>
  </si>
  <si>
    <t>Security enhancement technologies for smart contracts in the blockchain: A survey</t>
  </si>
  <si>
    <t>https://catalogplus.tuwien.at/permalink/f/1m011kq/TN_cdi_webofscience_primary_000685939000001CitationCount</t>
  </si>
  <si>
    <t>Blockchain-Enabled Social Security Services Using Smart Contracts</t>
  </si>
  <si>
    <t>https://catalogplus.tuwien.at/permalink/f/1m011kq/TN_cdi_crossref_primary_10_1109_ACCESS_2022_3190963</t>
  </si>
  <si>
    <t>Smart Payment Contract Mechanism Based on Blockchain Smart Contract Mechanism</t>
  </si>
  <si>
    <t>https://catalogplus.tuwien.at/permalink/f/1m011kq/TN_cdi_unpaywall_primary_10_1155_=Info!$A$43_3988070</t>
  </si>
  <si>
    <t>A novel method using LSTM-RNN to generate smart contracts code templates for improved usability</t>
  </si>
  <si>
    <t>https://catalogplus.tuwien.at/permalink/f/1m011kq/TN_cdi_openaire_primary_doi_285387ff57afa40a55d1d5dc5b609eea</t>
  </si>
  <si>
    <t>https://catalogplus.tuwien.at/permalink/f/1m011kq/TN_cdi_openaire_primary_doi_35ab5bf42fdd7be1ff0fdc78cc2b5fdc</t>
  </si>
  <si>
    <t>Evaluating Countermeasures for Verifying the Integrity of Ethereum Smart Contract Applications</t>
  </si>
  <si>
    <t>https://catalogplus.tuwien.at/permalink/f/1m011kq/TN_cdi_webofscience_primary_000673738000001</t>
  </si>
  <si>
    <t>BIoMT: A State-of-the-Art Consortium Serverless Network Architecture for Healthcare System Using Blockchain Smart Contracts</t>
  </si>
  <si>
    <t>https://catalogplus.tuwien.at/permalink/f/1m011kq/TN_cdi_crossref_primary_10_1109_ACCESS_2022_3194195</t>
  </si>
  <si>
    <t>Smart contract sharding with proof of execution</t>
  </si>
  <si>
    <t>https://catalogplus.tuwien.at/permalink/f/1m011kq/TN_cdi_openaire_primary_doi_abd12f16a52b24b6553f623fa0564c1e</t>
  </si>
  <si>
    <t>https://catalogplus.tuwien.at/permalink/f/1m011kq/TN_cdi_ieee_primary_10172877</t>
  </si>
  <si>
    <t>https://catalogplus.tuwien.at/permalink/f/1m011kq/TN_cdi_webofscience_primary_000684011900026</t>
  </si>
  <si>
    <t>https://catalogplus.tuwien.at/permalink/f/1m011kq/TN_cdi_doaj_primary_oai_doaj_org_article_818638c8a6924b33b1b9378145b581b3</t>
  </si>
  <si>
    <t>Revolutionizing E-Commerce Using Blockchain Technology and Implementing Smart Contract</t>
  </si>
  <si>
    <t>https://catalogplus.tuwien.at/permalink/f/1m011kq/TN_cdi_unpaywall_primary_10_1155_2022_2213336</t>
  </si>
  <si>
    <t>Smart Contract Security: A Practitioners' Perspective: The Artifact of a Paper Accepted in the 43rd IEEE/ACM International Conference on Software Engineering (ICSE =Info!$A$43)</t>
  </si>
  <si>
    <t>https://catalogplus.tuwien.at/permalink/f/1m011kq/TN_cdi_ieee_primary_9402512</t>
  </si>
  <si>
    <t>ADEFGuard: Anomaly detection framework based on Ethereum smart contracts behaviours</t>
  </si>
  <si>
    <t>https://catalogplus.tuwien.at/permalink/f/1m011kq/TN_cdi_crossref_primary_10_1016_j_bcra_2023_100148</t>
  </si>
  <si>
    <t>Correct-by-Design Interacting Smart Contracts and a Systematic Approach for Verifying ERC20 and ERC721 Contracts With VeriSolid</t>
  </si>
  <si>
    <t>https://catalogplus.tuwien.at/permalink/f/1m011kq/TN_cdi_ieee_primary_9864250</t>
  </si>
  <si>
    <t>FAPS: A fair, autonomous and privacy-preserving scheme for big data exchange based on oblivious transfer, Ether cheque and smart contracts</t>
  </si>
  <si>
    <t>https://catalogplus.tuwien.at/permalink/f/1m011kq/TN_cdi_webofscience_primary_000579455200026</t>
  </si>
  <si>
    <t>https://catalogplus.tuwien.at/permalink/f/1m011kq/TN_cdi_crossref_primary_10_32604_cmc_2023_038878</t>
  </si>
  <si>
    <t>https://catalogplus.tuwien.at/permalink/f/1m011kq/TN_cdi_doaj_primary_oai_doaj_org_article_3291fceff1bf48eaaee4bf226ae73e56</t>
  </si>
  <si>
    <t>https://catalogplus.tuwien.at/permalink/f/1m011kq/TN_cdi_proquest_journals_2917414645</t>
  </si>
  <si>
    <t>https://catalogplus.tuwien.at/permalink/f/1m011kq/TN_cdi_proquest_journals_2901250664</t>
  </si>
  <si>
    <t>On-Chain Smart Contract Verification over Tendermint</t>
  </si>
  <si>
    <t>https://catalogplus.tuwien.at/permalink/f/1m011kq/TN_cdi_openaire_primary_doi_dedup_a540e184697bf09405eacbb9ec95a252</t>
  </si>
  <si>
    <t>https://catalogplus.tuwien.at/permalink/f/1m011kq/TN_cdi_doaj_primary_oai_doaj_org_article_8378aaaffb9f41b5a3001dc1b03ee687</t>
  </si>
  <si>
    <t>Secure Voting Website Using Ethereum and Smart Contracts</t>
  </si>
  <si>
    <t>https://catalogplus.tuwien.at/permalink/f/1m011kq/TN_cdi_doaj_primary_oai_doaj_org_article_5fc8f4001b0e466a8aedbccc7d0b32cf</t>
  </si>
  <si>
    <t>User authentication using Blockchain based smart contract in role-based access control</t>
  </si>
  <si>
    <t>https://catalogplus.tuwien.at/permalink/f/1m011kq/TN_cdi_webofscience_primary_000645203700001</t>
  </si>
  <si>
    <t>A Novel Access Control Method Via Smart Contracts for Internet-Based Service Provisioning</t>
  </si>
  <si>
    <t>https://catalogplus.tuwien.at/permalink/f/1m011kq/TN_cdi_crossref_primary_10_1109_ACCESS_=Info!$A$43_3085831</t>
  </si>
  <si>
    <t>The Automatic Generation of Smart Contract Based on Configuration in the Field of Government Services</t>
  </si>
  <si>
    <t>https://catalogplus.tuwien.at/permalink/f/1m011kq/TN_cdi_unpaywall_primary_10_1587_transinf_2022edp7016</t>
  </si>
  <si>
    <t>https://catalogplus.tuwien.at/permalink/f/1m011kq/TN_cdi_doaj_primary_oai_doaj_org_article_65e017335d114cb1bc15509ceb669536</t>
  </si>
  <si>
    <t>https://catalogplus.tuwien.at/permalink/f/1m011kq/TN_cdi_nrf_kci_oai_kci_go_kr_ARTI_9870866</t>
  </si>
  <si>
    <t>https://catalogplus.tuwien.at/permalink/f/1m011kq/TN_cdi_doaj_primary_oai_doaj_org_article_67e32cd80d74468c81693e0a0e1102be</t>
  </si>
  <si>
    <t>Backdoor-Resistant Public Data Integrity Verification Scheme Based on Smart Contracts</t>
  </si>
  <si>
    <t>https://catalogplus.tuwien.at/permalink/f/1m011kq/TN_cdi_ieee_primary_10153425</t>
  </si>
  <si>
    <t>https://catalogplus.tuwien.at/permalink/f/1m011kq/TN_cdi_proquest_journals_2916502045</t>
  </si>
  <si>
    <t>ISC-MTI: An IPFS and smart contract-based framework for machine learning model training and invocation</t>
  </si>
  <si>
    <t>https://catalogplus.tuwien.at/permalink/f/1m011kq/TN_cdi_unpaywall_primary_10_1007_s11042_022_13163_w</t>
  </si>
  <si>
    <t>Flexible, decentralised access control for smart buildings with smart contracts</t>
  </si>
  <si>
    <t>https://catalogplus.tuwien.at/permalink/f/1m011kq/TN_cdi_openaire_primary_doi_dedup_35df247a0d48c5597efb7561d08ad786</t>
  </si>
  <si>
    <t>A Digital Evidences Preservation Framework for a Logic Based Smart Contract</t>
  </si>
  <si>
    <t>https://catalogplus.tuwien.at/permalink/f/1m011kq/TN_cdi_crossref_primary_10_31449_inf_v47i8_4132</t>
  </si>
  <si>
    <t>https://catalogplus.tuwien.at/permalink/f/1m011kq/TN_cdi_unpaywall_primary_10_21817_indjcse_=Info!$A$43_v12i1_211201017</t>
  </si>
  <si>
    <t>https://catalogplus.tuwien.at/permalink/f/1m011kq/TN_cdi_openaire_primary_doi_cce5af300617caaa425858b3af175757</t>
  </si>
  <si>
    <t>https://catalogplus.tuwien.at/permalink/f/1m011kq/TN_cdi_openaire_primary_doi_6275496ab817e66875817c56cdd35ee0</t>
  </si>
  <si>
    <t>https://catalogplus.tuwien.at/permalink/f/1m011kq/TN_cdi_ieee_primary_9712091</t>
  </si>
  <si>
    <t>https://catalogplus.tuwien.at/permalink/f/1m011kq/TN_cdi_openaire_primary_doi_dedup_75578519983f2cde85b1c87c68c05a3b</t>
  </si>
  <si>
    <t>Trusted Resource Allocation Based on Smart Contracts for Blockchain-Enabled Internet of Things</t>
  </si>
  <si>
    <t>https://catalogplus.tuwien.at/permalink/f/1m011kq/TN_cdi_proquest_journals_2669164563</t>
  </si>
  <si>
    <t>https://catalogplus.tuwien.at/permalink/f/1m011kq/TN_cdi_crossref_primary_10_1145_3622829</t>
  </si>
  <si>
    <t>Design and development of an intelligent transportation management system using blockchain and smart contracts</t>
  </si>
  <si>
    <t>https://catalogplus.tuwien.at/permalink/f/1m011kq/TN_cdi_openaire_primary_doi_3fc253f57647b4fb61166313e9c12531</t>
  </si>
  <si>
    <t>https://catalogplus.tuwien.at/permalink/f/1m011kq/TN_cdi_openaire_primary_doi_b856f54ca3f2db45f94e7cd8c7bcc141</t>
  </si>
  <si>
    <t>https://catalogplus.tuwien.at/permalink/f/1m011kq/TN_cdi_doaj_primary_oai_doaj_org_article_55d238d42ccb48bfb33eadc5a3a04f1c</t>
  </si>
  <si>
    <t>Validation of Architecture Effectiveness for the Continuous Monitoring of File Integrity Stored in the Cloud Using Blockchain and Smart Contracts</t>
  </si>
  <si>
    <t>https://catalogplus.tuwien.at/permalink/f/1m011kq/TN_cdi_unpaywall_primary_10_3390_s21134440</t>
  </si>
  <si>
    <t>Data Flow Reduction Based Test Case Generation for Smart Contracts</t>
  </si>
  <si>
    <t>https://catalogplus.tuwien.at/permalink/f/1m011kq/TN_cdi_ieee_primary_10043330</t>
  </si>
  <si>
    <t>A decentralized vehicle anti-theft system using Blockchain and smart contracts</t>
  </si>
  <si>
    <t>https://catalogplus.tuwien.at/permalink/f/1m011kq/TN_cdi_openaire_primary_doi_974b235bfdabcf4e3f48ddab94ee3eb0</t>
  </si>
  <si>
    <t>Towards a decentralized e-prescription system using smart contracts</t>
  </si>
  <si>
    <t>https://catalogplus.tuwien.at/permalink/f/1m011kq/TN_cdi_ieee_primary_9474701</t>
  </si>
  <si>
    <t>https://catalogplus.tuwien.at/permalink/f/1m011kq/TN_cdi_ieee_primary_10301256</t>
  </si>
  <si>
    <t>Toward Building Smart Contract-Based Higher Education Systems Using Zero-Knowledge Ethereum Virtual Machine</t>
  </si>
  <si>
    <t>https://catalogplus.tuwien.at/permalink/f/1m011kq/TN_cdi_doaj_primary_oai_doaj_org_article_af1e7d5d2ea648adad4ac4664d9c2c91</t>
  </si>
  <si>
    <t>Mining Bytecode Features of Smart Contracts to Detect Ponzi Scheme on Blockchain</t>
  </si>
  <si>
    <t>https://catalogplus.tuwien.at/permalink/f/1m011kq/TN_cdi_webofscience_primary_000654350400013CitationCount</t>
  </si>
  <si>
    <t>Self-sovereign Identity Management Framework using Smart Contracts</t>
  </si>
  <si>
    <t>https://catalogplus.tuwien.at/permalink/f/1m011kq/TN_cdi_ieee_primary_9789831</t>
  </si>
  <si>
    <t>https://catalogplus.tuwien.at/permalink/f/1m011kq/TN_cdi_openaire_primary_doi_dedup_d51b43b553cc283a3306ce7b6b0eaca8</t>
  </si>
  <si>
    <t>Smart contract‐based land registry system to reduce frauds and time delay</t>
  </si>
  <si>
    <t>https://catalogplus.tuwien.at/permalink/f/1m011kq/TN_cdi_openaire_primary_doi_ec7426b65e8896aa8aacc11a27167833</t>
  </si>
  <si>
    <t>https://catalogplus.tuwien.at/permalink/f/1m011kq/TN_cdi_doaj_primary_oai_doaj_org_article_c1bb7f327af6416387022b0e981855fb</t>
  </si>
  <si>
    <t>https://catalogplus.tuwien.at/permalink/f/1m011kq/TN_cdi_doaj_primary_oai_doaj_org_article_461810b4365d465fbbd21968965993ea</t>
  </si>
  <si>
    <t>https://catalogplus.tuwien.at/permalink/f/1m011kq/TN_cdi_doaj_primary_oai_doaj_org_article_c5a4109d1c0e488890d5e60dd3175d32</t>
  </si>
  <si>
    <t>https://catalogplus.tuwien.at/permalink/f/1m011kq/TN_cdi_unpaywall_primary_10_1080_09540091_2022_2066065</t>
  </si>
  <si>
    <t>Blockchain-Based Secure Voting Mechanism Underlying 5G Network: A Smart Contract Approach</t>
  </si>
  <si>
    <t>https://catalogplus.tuwien.at/permalink/f/1m011kq/TN_cdi_ieee_primary_10188663</t>
  </si>
  <si>
    <t>Decentralized Model to Protect Digital Evidence via Smart Contracts Using Layer 2 Polygon Blockchain</t>
  </si>
  <si>
    <t>https://catalogplus.tuwien.at/permalink/f/1m011kq/TN_cdi_ieee_primary_10210028</t>
  </si>
  <si>
    <t>A Blockchain, Smart Contract and Data Mining Based Approach toward the Betterment of E-Commerce</t>
  </si>
  <si>
    <t>https://catalogplus.tuwien.at/permalink/f/1m011kq/TN_cdi_crossref_primary_10_1080_01969722_=Info!$A$43_2018545</t>
  </si>
  <si>
    <t>DABAC: Smart Contract-Based Spatio-temporal Domain Access Control for the Internet of Things</t>
  </si>
  <si>
    <t>https://catalogplus.tuwien.at/permalink/f/1m011kq/TN_cdi_crossref_primary_10_1109_ACCESS_2023_3257027</t>
  </si>
  <si>
    <t>Blockchain Technologies: Smart Contracts for Consumer Electronics Data Sharing and Secure Payment</t>
  </si>
  <si>
    <t>https://catalogplus.tuwien.at/permalink/f/1m011kq/TN_cdi_doaj_primary_oai_doaj_org_article_ca0fb7426da14f729cef7b797aa983eb</t>
  </si>
  <si>
    <t>A Mapping Review on Cyber-Physical Smart Contracts: Architectures, Platforms, and Challenges</t>
  </si>
  <si>
    <t>https://catalogplus.tuwien.at/permalink/f/1m011kq/TN_cdi_doaj_primary_oai_doaj_org_article_17d264f19e954ebd80450bdc0320c062</t>
  </si>
  <si>
    <t>https://catalogplus.tuwien.at/permalink/f/1m011kq/TN_cdi_crossref_primary_10_32604_cmc_2023_040253</t>
  </si>
  <si>
    <t>Deep Learning-Based Program-Wide Binary Code Similarity for Smart Contracts</t>
  </si>
  <si>
    <t>https://catalogplus.tuwien.at/permalink/f/1m011kq/TN_cdi_openaire_primary_doi_72464699d07371cead53e449caec0614</t>
  </si>
  <si>
    <t>Assuring M2M Secure Transactions via Blockchain and Smart Contracts</t>
  </si>
  <si>
    <t>https://catalogplus.tuwien.at/permalink/f/1m011kq/TN_cdi_doaj_primary_oai_doaj_org_article_9537dc0410544643b4e8f73a6b033406</t>
  </si>
  <si>
    <t>A Blockchain-Centric IoT Architecture for Effective Smart Contract-Based Management of IoT Data Communications</t>
  </si>
  <si>
    <t>https://catalogplus.tuwien.at/permalink/f/1m011kq/TN_cdi_doaj_primary_oai_doaj_org_article_9ddd9fd46f13459faf772e2f1fb8ccb0</t>
  </si>
  <si>
    <t>SESCF: A Secure and Efficient Supply Chain Framework via Blockchain-Based Smart Contracts</t>
  </si>
  <si>
    <t>https://catalogplus.tuwien.at/permalink/f/1m011kq/TN_cdi_unpaywall_primary_10_1155_=Info!$A$43_8884478</t>
  </si>
  <si>
    <t>A self-sovereign identity management scheme using smart contracts</t>
  </si>
  <si>
    <t>https://catalogplus.tuwien.at/permalink/f/1m011kq/TN_cdi_doaj_primary_oai_doaj_org_article_0f7e5e4c8a924f36ab7da2b3ac068852</t>
  </si>
  <si>
    <t>https://catalogplus.tuwien.at/permalink/f/1m011kq/TN_cdi_openaire_primary_doi_c70e772bf916ccfeca4d012a3a054151</t>
  </si>
  <si>
    <t>AC/DC: Adaptive Cutoffs and Disputable Cutoffs for Robust Critical Transactions in Smart-Contracts</t>
  </si>
  <si>
    <t>https://catalogplus.tuwien.at/permalink/f/1m011kq/TN_cdi_ieee_primary_9845351</t>
  </si>
  <si>
    <t>Smart contracts: between freedom and strict legal regulation</t>
  </si>
  <si>
    <t>https://catalogplus.tuwien.at/permalink/f/1m011kq/TN_cdi_crossref_primary_10_1080_13600834_=Info!$A$43_1889759</t>
  </si>
  <si>
    <t>https://catalogplus.tuwien.at/permalink/f/1m011kq/TN_cdi_proquest_journals_2490800669</t>
  </si>
  <si>
    <t>Smart Contract Data Feed Framework for Privacy-Preserving Oracle System on Blockchain</t>
  </si>
  <si>
    <t>https://catalogplus.tuwien.at/permalink/f/1m011kq/TN_cdi_doaj_primary_oai_doaj_org_article_533396fba40c4ac09100e564fc39d234</t>
  </si>
  <si>
    <t>IPFS-Blockchain Smart Contracts Based Conceptual Framework to Reduce Certificate Frauds in the Academic Field</t>
  </si>
  <si>
    <t>https://catalogplus.tuwien.at/permalink/f/1m011kq/TN_cdi_doaj_primary_oai_doaj_org_article_bd6111e6060a436788cff20c959b023c</t>
  </si>
  <si>
    <t>On the sustainability of logistics structures based on smart contracts</t>
  </si>
  <si>
    <t>https://catalogplus.tuwien.at/permalink/f/1m011kq/TN_cdi_doaj_primary_oai_doaj_org_article_6f56529020d44ed58183bc262b72fcd0</t>
  </si>
  <si>
    <t>A Smart Contract-based Policy Domain Access Control Framework For Distributed Industrial IoT</t>
  </si>
  <si>
    <t>https://catalogplus.tuwien.at/permalink/f/1m011kq/TN_cdi_crossref_primary_10_1109_JIOT_2023_3329541</t>
  </si>
  <si>
    <t>A novel method to ensure the security of the shared medical data using smart contracts: Organ transplantation sample</t>
  </si>
  <si>
    <t>https://catalogplus.tuwien.at/permalink/f/1m011kq/TN_cdi_openaire_primary_doi_b28bb4432c087e820511ace393d72006</t>
  </si>
  <si>
    <t>Grey-box Fuzzing Based on Execution Feedback for EOSIO Smart Contracts</t>
  </si>
  <si>
    <t>https://catalogplus.tuwien.at/permalink/f/1m011kq/TN_cdi_ieee_primary_10043272</t>
  </si>
  <si>
    <t>https://catalogplus.tuwien.at/permalink/f/1m011kq/TN_cdi_doaj_primary_oai_doaj_org_article_37b39e419377488597b399ae2f788cfd</t>
  </si>
  <si>
    <t>A Blockchain-Based Sealed-Bid e-Auction Scheme with Smart Contract and Zero-Knowledge Proof</t>
  </si>
  <si>
    <t>https://catalogplus.tuwien.at/permalink/f/1m011kq/TN_cdi_hindawi_primary_10_1155_=Info!$A$43_5523394</t>
  </si>
  <si>
    <t>Application of Smart Contracts in Online Product Procurement</t>
  </si>
  <si>
    <t>https://catalogplus.tuwien.at/permalink/f/1m011kq/TN_cdi_openaire_primary_doi_dedup_46ba6bd27f9bcc97a3bb30f977980cac</t>
  </si>
  <si>
    <t>SmartAccess: Attribute-Based Access Control System for Medical Records based on Smart Contracts</t>
  </si>
  <si>
    <t>https://catalogplus.tuwien.at/permalink/f/1m011kq/TN_cdi_ieee_primary_9930340</t>
  </si>
  <si>
    <t>Towards a Secure Cross-Blockchain Smart Contract Architecture</t>
  </si>
  <si>
    <t>https://catalogplus.tuwien.at/permalink/f/1m011kq/TN_cdi_openaire_primary_doi_b8f3d35f4d93fa854b2fe82fd2e25396</t>
  </si>
  <si>
    <t>https://catalogplus.tuwien.at/permalink/f/1m011kq/TN_cdi_webofscience_primary_000687462200004CitationCount</t>
  </si>
  <si>
    <t>https://catalogplus.tuwien.at/permalink/f/1m011kq/TN_cdi_unpaywall_primary_10_1016_j_dcan_2020_06_004</t>
  </si>
  <si>
    <t>Model Checking of Solidity Smart Contracts Adopted for Business Processes</t>
  </si>
  <si>
    <t>https://catalogplus.tuwien.at/permalink/f/1m011kq/TN_cdi_openaire_primary_doi_dedup_504846fb3fb6c0af7071bd69dd90ee35</t>
  </si>
  <si>
    <t>A blockchain based secure and privacy aware medical data sharing using smart contract and encryption scheme</t>
  </si>
  <si>
    <t>https://catalogplus.tuwien.at/permalink/f/1m011kq/TN_cdi_openaire_primary_doi_7793ac58c3303d265051275362b8c2b5</t>
  </si>
  <si>
    <t>A Noninteractive Multireplica Provable Data Possession Scheme Based on Smart Contract</t>
  </si>
  <si>
    <t>https://catalogplus.tuwien.at/permalink/f/1m011kq/TN_cdi_unpaywall_primary_10_1155_2022_6268449</t>
  </si>
  <si>
    <t>https://catalogplus.tuwien.at/permalink/f/1m011kq/TN_cdi_openaire_primary_doi_5e4ee64a854c2f362d47d8d8a9872df5</t>
  </si>
  <si>
    <t>Strengthening the Security of Smart Contracts through the Power of Artificial Intelligence</t>
  </si>
  <si>
    <t>https://catalogplus.tuwien.at/permalink/f/1m011kq/TN_cdi_doaj_primary_oai_doaj_org_article_22b36884cb4f4db1b9692dd2897b8d09</t>
  </si>
  <si>
    <t>Counter-Collusion Smart Contracts for Watchtowers in Payment Channel Networks</t>
  </si>
  <si>
    <t>https://catalogplus.tuwien.at/permalink/f/1m011kq/TN_cdi_ieee_primary_9488831</t>
  </si>
  <si>
    <t>https://catalogplus.tuwien.at/permalink/f/1m011kq/TN_cdi_doaj_primary_oai_doaj_org_article_5ce2fe6b83104ac6a8d966d581be6aba</t>
  </si>
  <si>
    <t>Toward Reliable and Confidential Release for Smart Contract via ID-Based TRE</t>
  </si>
  <si>
    <t>https://catalogplus.tuwien.at/permalink/f/1m011kq/TN_cdi_ieee_primary_9608971</t>
  </si>
  <si>
    <t>Cloud-Based Smart Contract Analysis in FinTech Using IoT-Integrated Federated Learning in Intrusion Detection</t>
  </si>
  <si>
    <t>https://catalogplus.tuwien.at/permalink/f/1m011kq/TN_cdi_doaj_primary_oai_doaj_org_article_3845ed62b5d34b00b1ce938e314ec9dd</t>
  </si>
  <si>
    <t>Smart Contract-Based Access Control Framework for Internet of Things Devices</t>
  </si>
  <si>
    <t>https://catalogplus.tuwien.at/permalink/f/1m011kq/TN_cdi_doaj_primary_oai_doaj_org_article_a5461926d6cf48f9942b0e6cd31775eb</t>
  </si>
  <si>
    <t>Smart contract and IPFS-based trustworthy secure data storage and device authentication scheme in fog computing environment</t>
  </si>
  <si>
    <t>https://catalogplus.tuwien.at/permalink/f/1m011kq/TN_cdi_openaire_primary_doi_b83e112957baf6ccc16f9de1766014a2</t>
  </si>
  <si>
    <t>Design and Implementation of Data Sharing Traceability System Based on Blockchain Smart Contract</t>
  </si>
  <si>
    <t>https://catalogplus.tuwien.at/permalink/f/1m011kq/TN_cdi_crossref_primary_10_1155_=Info!$A$43_1455814</t>
  </si>
  <si>
    <t>A Right Transfer Access Control Model of Internet of Things Based on Smart Contract</t>
  </si>
  <si>
    <t>https://catalogplus.tuwien.at/permalink/f/1m011kq/TN_cdi_osti_scitechconnect_1865964</t>
  </si>
  <si>
    <t>A Traceable Online Will System Based on Blockchain and Smart Contract Technology</t>
  </si>
  <si>
    <t>https://catalogplus.tuwien.at/permalink/f/1m011kq/TN_cdi_crossref_primary_10_3390_sym13030466</t>
  </si>
  <si>
    <t>Smart Contracts Based on Blockchain for Decentralized Learning Management System</t>
  </si>
  <si>
    <t>https://catalogplus.tuwien.at/permalink/f/1m011kq/TN_cdi_openaire_primary_doi_08e94aee0e21871ee88c32c5b7ebd035</t>
  </si>
  <si>
    <t>Blockchain Smart Contract to Prevent Forgery of Degree Certificates: Artificial Intelligence Consensus Algorithm</t>
  </si>
  <si>
    <t>https://catalogplus.tuwien.at/permalink/f/1m011kq/TN_cdi_doaj_primary_oai_doaj_org_article_c736702df95249f1ab9cf583b6c00a7f</t>
  </si>
  <si>
    <t>Potential Risk Detection System of Hyperledger Fabric Smart Contract based on Static Analysis</t>
  </si>
  <si>
    <t>https://catalogplus.tuwien.at/permalink/f/1m011kq/TN_cdi_ieee_primary_9631249</t>
  </si>
  <si>
    <t>A Blockchain-based Crowdsourced Task Assessment Framework using Smart Contract</t>
  </si>
  <si>
    <t>https://catalogplus.tuwien.at/permalink/f/1m011kq/TN_cdi_openaire_primary_doi_786f089e887848f2fbab2f7cae1024dc</t>
  </si>
  <si>
    <t>The Eye of Horus: Spotting and Analyzing Attacks on Ethereum Smart Contracts</t>
  </si>
  <si>
    <t>https://catalogplus.tuwien.at/permalink/f/1m011kq/TN_cdi_openaire_primary_doi_dedup_5c388bbf86bf69b5f327bafc4a6ed72f</t>
  </si>
  <si>
    <t>Formal Modeling and Verification of ERC Smart Contracts: Application to NFT</t>
  </si>
  <si>
    <t>https://catalogplus.tuwien.at/permalink/f/1m011kq/TN_cdi_ieee_primary_10218105</t>
  </si>
  <si>
    <t>https://catalogplus.tuwien.at/permalink/f/1m011kq/TN_cdi_doaj_primary_oai_doaj_org_article_d7855428d30e48bf8bd7c088c2028f08</t>
  </si>
  <si>
    <t>Blockchain and smart contract for IoT enabled smart agriculture</t>
  </si>
  <si>
    <t>https://catalogplus.tuwien.at/permalink/f/1m011kq/TN_cdi_openaire_primary_doi_dedup_47e6107ab04434932e4f950f8da13bf2</t>
  </si>
  <si>
    <t>Measuring performances and footprint of blockchains with BCTMark: a case study on Ethereum smart contracts energy consumption</t>
  </si>
  <si>
    <t>https://catalogplus.tuwien.at/permalink/f/1m011kq/TN_cdi_hal_primary_oai_HAL_hal_03330325v1</t>
  </si>
  <si>
    <t>A Ring Signature Trust Model for Project Review Based on Blockchain Smart Contract</t>
  </si>
  <si>
    <t>https://catalogplus.tuwien.at/permalink/f/1m011kq/TN_cdi_proquest_journals_2525711384</t>
  </si>
  <si>
    <t>https://catalogplus.tuwien.at/permalink/f/1m011kq/TN_cdi_openaire_primary_doi_3cd4712eab0a09aa23a25bedfa194bed</t>
  </si>
  <si>
    <t>Cross-Chain Interoperability and Collaboration for Keyword-Based Embedded Smart Contracts in the Internet of Things</t>
  </si>
  <si>
    <t>https://catalogplus.tuwien.at/permalink/f/1m011kq/TN_cdi_crossref_primary_10_1109_JIOT_2023_3328190</t>
  </si>
  <si>
    <t>https://catalogplus.tuwien.at/permalink/f/1m011kq/TN_cdi_openaire_primary_doi_c7e7aaeeaea1b3032995151935abff87</t>
  </si>
  <si>
    <t>Fine Grained Access Control Based on Smart Contract for Edge Computing</t>
  </si>
  <si>
    <t>https://catalogplus.tuwien.at/permalink/f/1m011kq/TN_cdi_doaj_primary_oai_doaj_org_article_9db9f74152cc444f935f99235d000bbc</t>
  </si>
  <si>
    <t>Physical Visitor Access Control and Authentication Using Blockchain, Smart Contracts and Internet of Things</t>
  </si>
  <si>
    <t>https://catalogplus.tuwien.at/permalink/f/1m011kq/TN_cdi_doaj_primary_oai_doaj_org_article_ac157858888c46299f7c32f55ce0fb60</t>
  </si>
  <si>
    <t>Agriculture Supply Chain Management Based on Blockchain Architecture and Smart Contracts</t>
  </si>
  <si>
    <t>https://catalogplus.tuwien.at/permalink/f/1m011kq/TN_cdi_doaj_primary_oai_doaj_org_article_15e6871aa09e435ca407e35208dd71bb</t>
  </si>
  <si>
    <t>Prevention and Detection Mechanisms for Re-Entrancy Attack and King of Ether Throne Attack for Ethereum Smart Contracts</t>
  </si>
  <si>
    <t>https://catalogplus.tuwien.at/permalink/f/1m011kq/TN_cdi_unpaywall_primary_10_18280_isi_270505</t>
  </si>
  <si>
    <t>SFAC:A Smart Contract-Based Fine-Grained Access Control for Internet of Things</t>
  </si>
  <si>
    <t>https://catalogplus.tuwien.at/permalink/f/1m011kq/TN_cdi_openaire_primary_doi_da9f34b2eaceeff5815f0947be6cb9fa</t>
  </si>
  <si>
    <t>Agile Storyboard and Software Development Leveraging Smart Contract Technology in Order to Increase Stakeholder Confidence</t>
  </si>
  <si>
    <t>https://catalogplus.tuwien.at/permalink/f/1m011kq/TN_cdi_doaj_primary_oai_doaj_org_article_e67fabf4737e406895779a788c647db2</t>
  </si>
  <si>
    <t>A rational delegating computation protocol based on reputation and smart contract</t>
  </si>
  <si>
    <t>https://catalogplus.tuwien.at/permalink/f/1m011kq/TN_cdi_springer_journals_10_1186_s13677_021_00267_1</t>
  </si>
  <si>
    <t>https://catalogplus.tuwien.at/permalink/f/1m011kq/TN_cdi_openaire_primary_doi_3b29a078e6c37d8bdb76b73b355654cf</t>
  </si>
  <si>
    <t>A Dynamic Taint Analysis-Based Smart Contract Testing Approach</t>
  </si>
  <si>
    <t>https://catalogplus.tuwien.at/permalink/f/1m011kq/TN_cdi_openaire_primary_doi_405936e7c0cb016e4a470d00088ab047</t>
  </si>
  <si>
    <t>https://catalogplus.tuwien.at/permalink/f/1m011kq/TN_cdi_openaire_primary_doi_856d360cb3666d92ec65122633f9c8d3</t>
  </si>
  <si>
    <t>Secure, Mass Web of Things Actuation Using Smart Contracts-Based Digital Twins</t>
  </si>
  <si>
    <t>https://catalogplus.tuwien.at/permalink/f/1m011kq/TN_cdi_ieee_primary_9912991</t>
  </si>
  <si>
    <t>A Mechanism to Detect and Prevent Ethereum Blockchain Smart Contract Reentrancy Attacks</t>
  </si>
  <si>
    <t>https://catalogplus.tuwien.at/permalink/f/1m011kq/TN_cdi_openaire_primary_doi_dedup_25bcabc9b930a8898d6e73dfa7bf4591</t>
  </si>
  <si>
    <t>Demo: Cloak: A Framework For Development of Confidential Blockchain Smart Contracts</t>
  </si>
  <si>
    <t>https://catalogplus.tuwien.at/permalink/f/1m011kq/TN_cdi_ieee_primary_9546461</t>
  </si>
  <si>
    <t>Towards a Dynamic Testing Approach for Checking the Correctness of Ethereum Smart Contracts</t>
  </si>
  <si>
    <t>https://catalogplus.tuwien.at/permalink/f/1m011kq/TN_cdi_openaire_primary_doi_0ed8c5fe21eb51edd130ee8e0caf2265</t>
  </si>
  <si>
    <t>https://catalogplus.tuwien.at/permalink/f/1m011kq/TN_cdi_swepub_primary_oai_gup_ub_gu_se_319772</t>
  </si>
  <si>
    <t>Design of Decentralized Application for Telemedicine Image Record System with Smart Contract on Ethereum</t>
  </si>
  <si>
    <t>https://catalogplus.tuwien.at/permalink/f/1m011kq/TN_cdi_unpaywall_primary_10_14569_ijacsa_=Info!$A$43_0121030</t>
  </si>
  <si>
    <t>From Smart Contract Litigation to Blockchain Arbitration, a New Decentralized Approach Leading Towards the Blockchain Arbitral Order</t>
  </si>
  <si>
    <t>https://catalogplus.tuwien.at/permalink/f/1m011kq/TN_cdi_swepub_primary_oai_DiVA_org_su_202383</t>
  </si>
  <si>
    <t>https://catalogplus.tuwien.at/permalink/f/1m011kq/TN_cdi_openaire_primary_doi_bbfaf1cf37e1d3d84bc2eacde19b012b</t>
  </si>
  <si>
    <t>Decentralized Vision-Based Byzantine Agent Detection in Multi-robot Systems with IOTA Smart Contracts</t>
  </si>
  <si>
    <t>https://catalogplus.tuwien.at/permalink/f/1m011kq/TN_cdi_openaire_primary_doi_f62c776fddfc301df2c5dd25ba05d3ee</t>
  </si>
  <si>
    <t>Automated Decentralized IoT Based Blockchain Using Ethereum Smart Contract for Healthcare</t>
  </si>
  <si>
    <t>https://catalogplus.tuwien.at/permalink/f/1m011kq/TN_cdi_openaire_primary_doi_0c18c9974ae9e004d9433666c60c5867</t>
  </si>
  <si>
    <t>Combining Blockchains, Smart Contracts, and Complex Sensors Management Platform for Hyper-Connected SmartCities: An IoT Data Marketplace Use Case</t>
  </si>
  <si>
    <t>https://catalogplus.tuwien.at/permalink/f/1m011kq/TN_cdi_doaj_primary_oai_doaj_org_article_ee6d783d425b4529bec33c51350331d9</t>
  </si>
  <si>
    <t>An Overview of Smart Contract in Blockchian Technology: Security and Platforms</t>
  </si>
  <si>
    <t>https://catalogplus.tuwien.at/permalink/f/1m011kq/TN_cdi_openaire_primary_doi_afa5499b9656cd1d295363105b3d2771</t>
  </si>
  <si>
    <t>https://catalogplus.tuwien.at/permalink/f/1m011kq/TN_cdi_openaire_primary_doi_1b85071a798a125068d182c92b205152</t>
  </si>
  <si>
    <t>How to Make Smart Contract Smarter</t>
  </si>
  <si>
    <t>https://catalogplus.tuwien.at/permalink/f/1m011kq/TN_cdi_openaire_primary_doi_682544402b5cc1649044aaf66dcba9d4</t>
  </si>
  <si>
    <t>https://catalogplus.tuwien.at/permalink/f/1m011kq/TN_cdi_doaj_primary_oai_doaj_org_article_e5dad96431234c11b6122d9b26f36bff</t>
  </si>
  <si>
    <t>Robot Coalition Coordination in Precision Agriculture by Smart Contracts in Blockchain</t>
  </si>
  <si>
    <t>https://catalogplus.tuwien.at/permalink/f/1m011kq/TN_cdi_openaire_primary_doi_7387a1ff7084858fe99f5955d0f1b0bb</t>
  </si>
  <si>
    <t>Specification is Law: Safe Creation and Upgrade of Ethereum Smart Contracts</t>
  </si>
  <si>
    <t>https://catalogplus.tuwien.at/permalink/f/1m011kq/TN_cdi_openaire_primary_doi_57fa5ff8a088de03a0596f7e5f4aca3a</t>
  </si>
  <si>
    <t>Designing a Secure E Voting System Using Blockchain with Efficient Smart Contract and Consensus Mechanism</t>
  </si>
  <si>
    <t>https://catalogplus.tuwien.at/permalink/f/1m011kq/TN_cdi_openaire_primary_doi_c0801c019663318f5f80cf7acd76877d</t>
  </si>
  <si>
    <t>Security Analysis of Blockchain Smart Contract: Taking Reentrancy Vulnerability as an Example</t>
  </si>
  <si>
    <t>https://catalogplus.tuwien.at/permalink/f/1m011kq/TN_cdi_openaire_primary_doi_425c0742ac9b485fc2c9fab3b2200158</t>
  </si>
  <si>
    <t>Smart Contracts for User Registration on Ethereum Technology: Systematic Literature Review</t>
  </si>
  <si>
    <t>https://catalogplus.tuwien.at/permalink/f/1m011kq/TN_cdi_openaire_primary_doi_6282b5f1f53539e2dc4af6bfd1ac2d9a</t>
  </si>
  <si>
    <t>Privacy Preservation for On-Chain Data in the Permission less Blockchain using Symmetric Key Encryption and Smart Contract</t>
  </si>
  <si>
    <t>https://catalogplus.tuwien.at/permalink/f/1m011kq/TN_cdi_doaj_primary_oai_doaj_org_article_b117fe024190454cb7f79f4ada27f8a8</t>
  </si>
  <si>
    <t>Forward Traceability for Product Authenticity Using Ethereum Smart Contracts</t>
  </si>
  <si>
    <t>https://catalogplus.tuwien.at/permalink/f/1m011kq/TN_cdi_openaire_primary_doi_2f69616480abcf49692501a3e490935b</t>
  </si>
  <si>
    <t>An Automatized Identity and Access Management System for IoT Combining Self-Sovereign Identity and Smart Contracts</t>
  </si>
  <si>
    <t>https://catalogplus.tuwien.at/permalink/f/1m011kq/TN_cdi_openaire_primary_doi_5bdc53fa13553c84cdcdaebab941858b</t>
  </si>
  <si>
    <t>A Machine-Learning-Blockchain-Based Authentication Using Smart Contracts for an IoHT System</t>
  </si>
  <si>
    <t>https://catalogplus.tuwien.at/permalink/f/1m011kq/TN_cdi_doaj_primary_oai_doaj_org_article_33090f34b4bf4fb3a78c3a2b7519af1b</t>
  </si>
  <si>
    <t>https://catalogplus.tuwien.at/permalink/f/1m011kq/TN_cdi_openaire_primary_doi_7680a23f6ceb2e4da284b54eb2d5d27f</t>
  </si>
  <si>
    <t>Remote Device Management via Smart Contracts</t>
  </si>
  <si>
    <t>https://catalogplus.tuwien.at/permalink/f/1m011kq/TN_cdi_proquest_journals_2649789961</t>
  </si>
  <si>
    <t>A Formal Process Virtual Machine for EOS-Based Smart Contract Security Verification</t>
  </si>
  <si>
    <t>https://catalogplus.tuwien.at/permalink/f/1m011kq/TN_cdi_openaire_primary_doi_33f0e74980c1aaa1bfa3644b07e540dc</t>
  </si>
  <si>
    <t>EthVer: Formal Verification of Randomized Ethereum Smart Contracts</t>
  </si>
  <si>
    <t>https://catalogplus.tuwien.at/permalink/f/1m011kq/TN_cdi_openaire_primary_doi_9db40bfca1380b1075be1223128ea8e9</t>
  </si>
  <si>
    <t xml:space="preserve"> Financial Cryptography and Data Security</t>
  </si>
  <si>
    <t>https://catalogplus.tuwien.at/permalink/f/1m011kq/TN_cdi_doaj_primary_oai_doaj_org_article_cf918a95b0804412bc8572bc2bc90469</t>
  </si>
  <si>
    <t>A Secure Blockchain Enabled V2V Communication System Using Smart Contracts</t>
  </si>
  <si>
    <t>https://catalogplus.tuwien.at/permalink/f/1m011kq/TN_cdi_openaire_primary_doi_c9c42b38efdbc4c216efa94616fa4676</t>
  </si>
  <si>
    <t>Model-Based Static and Runtime Verification for Ethereum Smart Contracts</t>
  </si>
  <si>
    <t>https://catalogplus.tuwien.at/permalink/f/1m011kq/TN_cdi_openaire_primary_doi_350e120e3faa6b0cd5f9b40fd420ce4e</t>
  </si>
  <si>
    <t>Towards a Blockchain and Smart Contracts-Based Privacy Framework for Decentralized Data Processing</t>
  </si>
  <si>
    <t>https://catalogplus.tuwien.at/permalink/f/1m011kq/TN_cdi_openaire_primary_doi_e231bfbafa64a54402076d830ccc053f</t>
  </si>
  <si>
    <t>Simulation System of Autonomous Vehicles for Overtaking Service Using Smart Contract</t>
  </si>
  <si>
    <t>https://catalogplus.tuwien.at/permalink/f/1m011kq/TN_cdi_openaire_primary_doi_ef0bf72418a12707822a8afb039c3529</t>
  </si>
  <si>
    <t>Decentralized Data Access with IPFS and Smart Contract Permission Management for Electronic Health Records</t>
  </si>
  <si>
    <t>https://catalogplus.tuwien.at/permalink/f/1m011kq/TN_cdi_openaire_primary_doi_cd97e6b03be99745325157e9a680fd5e</t>
  </si>
  <si>
    <t>Empirical Analysis of On-chain Voting with Smart Contracts</t>
  </si>
  <si>
    <t>https://catalogplus.tuwien.at/permalink/f/1m011kq/TN_cdi_openaire_primary_doi_3b8928c44bed641ce3625a55ef78f453</t>
  </si>
  <si>
    <t>Runtime Verification of Ethereum Smart Contracts Based on MSVL</t>
  </si>
  <si>
    <t>https://catalogplus.tuwien.at/permalink/f/1m011kq/TN_cdi_openaire_primary_doi_653ca801ebfe7ce22f64030294d96cec</t>
  </si>
  <si>
    <t>sVerify: Verifying Smart Contracts Through Lazy Annotation and Learning</t>
  </si>
  <si>
    <t>https://catalogplus.tuwien.at/permalink/f/1m011kq/TN_cdi_openaire_primary_doi_4e00420a6757fff7dd8c812d0f617424</t>
  </si>
  <si>
    <t>A lightweight smart contracts framework for blockchain‐based secure communication in smart grid applications</t>
  </si>
  <si>
    <t>https://catalogplus.tuwien.at/permalink/f/1m011kq/TN_cdi_crossref_primary_10_1049_gtd2_13103</t>
  </si>
  <si>
    <t>An Extensive Security Analysis on Ethereum Smart Contracts</t>
  </si>
  <si>
    <t>https://catalogplus.tuwien.at/permalink/f/1m011kq/TN_cdi_openaire_primary_doi_f55cab588853706c3149a1dda277813e</t>
  </si>
  <si>
    <t>https://catalogplus.tuwien.at/permalink/f/1m011kq/TN_cdi_openaire_primary_doi_1da7e4d29162f94d5665f1631a54d41a</t>
  </si>
  <si>
    <t>Bet and Attack: Incentive Compatible Collaborative Attacks Using Smart Contracts</t>
  </si>
  <si>
    <t>https://catalogplus.tuwien.at/permalink/f/1m011kq/TN_cdi_openaire_primary_doi_cb81e6e8acdb3ee768e94e8c8d5d9b40</t>
  </si>
  <si>
    <t>Toward Smart Contract and Consensus Mechanisms of Blockchain</t>
  </si>
  <si>
    <t>https://catalogplus.tuwien.at/permalink/f/1m011kq/TN_cdi_openaire_primary_doi_553e5c42d8a8e737c76ae698b49882a9</t>
  </si>
  <si>
    <t>The k + 1 Symmetric Test Pattern for Smart Contracts</t>
  </si>
  <si>
    <t>https://catalogplus.tuwien.at/permalink/f/1m011kq/TN_cdi_doaj_primary_oai_doaj_org_article_b35c248537044a3a9b959e5e74b8dedb</t>
  </si>
  <si>
    <t>Continuous and Secure Integration Framework for Smart Contracts</t>
  </si>
  <si>
    <t>https://catalogplus.tuwien.at/permalink/f/1m011kq/TN_cdi_doaj_primary_oai_doaj_org_article_aadbddccb8f046f8802d67f48ed90f9d</t>
  </si>
  <si>
    <t>Representative Ring Signature Algorithm Based on Smart Contract</t>
  </si>
  <si>
    <t>https://catalogplus.tuwien.at/permalink/f/1m011kq/TN_cdi_doaj_primary_oai_doaj_org_article_b5a75f4695c14e51ab16a356a78ed3fe</t>
  </si>
  <si>
    <t>Leverage from Blockchain in Commodity Exchange: Asset-Backed Token with Ethereum Blockchain Network and Smart Contract</t>
  </si>
  <si>
    <t>https://catalogplus.tuwien.at/permalink/f/1m011kq/TN_cdi_openaire_primary_doi_2f83dd1119104d45e770c47341cbc1c3</t>
  </si>
  <si>
    <t>https://catalogplus.tuwien.at/permalink/f/1m011kq/TN_cdi_doaj_primary_oai_doaj_org_article_84a346f7474e40e6bbaf0f61c056bf23</t>
  </si>
  <si>
    <t>Third Party Certification of Agri-Food Supply Chain Using Smart Contracts and Blockchain Tokens</t>
  </si>
  <si>
    <t>https://catalogplus.tuwien.at/permalink/f/1m011kq/TN_cdi_doaj_primary_oai_doaj_org_article_c95fb94d2cb24d41953ad40779627684</t>
  </si>
  <si>
    <t>Smart Contract Design in Distributed Energy Systems: A Systematic Review</t>
  </si>
  <si>
    <t>https://catalogplus.tuwien.at/permalink/f/1m011kq/TN_cdi_doaj_primary_oai_doaj_org_article_5686388966be435fbfa3060d5d1696bf</t>
  </si>
  <si>
    <t>Model Checking of Hyperledger Fabric Smart Contracts</t>
  </si>
  <si>
    <t>https://catalogplus.tuwien.at/permalink/f/1m011kq/TN_cdi_ieee_primary_10275704</t>
  </si>
  <si>
    <t>Anti-Collusion Multiparty Smart Contracts for Distributed Watchtowers in Payment Channel Networks</t>
  </si>
  <si>
    <t>https://catalogplus.tuwien.at/permalink/f/1m011kq/TN_cdi_crossref_primary_10_1109_JSAC_2022_3213355</t>
  </si>
  <si>
    <t>Scammer identification using CatBoost in smart contract for enhancing security in blockchain network</t>
  </si>
  <si>
    <t>https://catalogplus.tuwien.at/permalink/f/1m011kq/TN_cdi_crossref_primary_10_1007_s11276_023_03552_w</t>
  </si>
  <si>
    <t>https://catalogplus.tuwien.at/permalink/f/1m011kq/TN_cdi_openaire_primary_doi_34995f723950875bea0a4d5173a8ca24</t>
  </si>
  <si>
    <t>Blockchain Smart Contract-Enabled Secure Energy Trading for Electric Vehicles</t>
  </si>
  <si>
    <t>https://catalogplus.tuwien.at/permalink/f/1m011kq/TN_cdi_doaj_primary_oai_doaj_org_article_5ed0e22d07784697b1cdc17f5bf58436</t>
  </si>
  <si>
    <t>https://catalogplus.tuwien.at/permalink/f/1m011kq/TN_cdi_unpaywall_primary_10_4018_ijitwe_304048</t>
  </si>
  <si>
    <t>Reconfigurable Smart Contracts for Renewable Energy Exchange with Re-Use of Verification Rules</t>
  </si>
  <si>
    <t>https://catalogplus.tuwien.at/permalink/f/1m011kq/TN_cdi_doaj_primary_oai_doaj_org_article_e3ebf71b307a485ab6ff030c1d2cd738</t>
  </si>
  <si>
    <t>Trust-Based Smart Contract for Automated Agent to Agent Communication</t>
  </si>
  <si>
    <t>https://catalogplus.tuwien.at/permalink/f/1m011kq/TN_cdi_unpaywall_primary_10_1155_2022_5136865</t>
  </si>
  <si>
    <t>https://catalogplus.tuwien.at/permalink/f/1m011kq/TN_cdi_swepub_primary_oai_research_chalmers_se_d78f644b_2a39_4ba2_a52e_507f86eece15</t>
  </si>
  <si>
    <t>Self-Supervised Learning of Smart Contract Representations</t>
  </si>
  <si>
    <t>https://catalogplus.tuwien.at/permalink/f/1m011kq/TN_cdi_ieee_primary_9796234</t>
  </si>
  <si>
    <t>Secure SLA Management Using Smart Contracts for SDN-Enabled WSN</t>
  </si>
  <si>
    <t>https://catalogplus.tuwien.at/permalink/f/1m011kq/TN_cdi_gale_infotracmisc_A776610051</t>
  </si>
  <si>
    <t>TDLearning: Trusted Distributed Collaborative Learning Based on Blockchain Smart Contracts</t>
  </si>
  <si>
    <t>https://catalogplus.tuwien.at/permalink/f/1m011kq/TN_cdi_doaj_primary_oai_doaj_org_article_00313402373a43a487539a5a365b5881</t>
  </si>
  <si>
    <t>SRE_BBC: A Self-Adaptive Security Enabled Requirements Engineering Approach for SLA Smart Contracts in Blockchain-Based Cloud Systems</t>
  </si>
  <si>
    <t>https://catalogplus.tuwien.at/permalink/f/1m011kq/TN_cdi_doaj_primary_oai_doaj_org_article_42bbb379ebcc439fad51841c5780828a</t>
  </si>
  <si>
    <t>A Four-Tier Smart Contract Model with On-Chain Upgrade</t>
  </si>
  <si>
    <t>https://catalogplus.tuwien.at/permalink/f/1m011kq/TN_cdi_unpaywall_primary_10_1155_2023_8455894</t>
  </si>
  <si>
    <t>Modified Genetic Algorithm with Deep Learning for Fraud Transactions of Ethereum Smart Contract</t>
  </si>
  <si>
    <t>https://catalogplus.tuwien.at/permalink/f/1m011kq/TN_cdi_doaj_primary_oai_doaj_org_article_726ebaf71fcc4847b3f9b6633dafe52a</t>
  </si>
  <si>
    <t>A Trustable and Secure Usage-Based Insurance Policy Auction Mechanism and Platform Using Blockchain and Smart Contract Technologies</t>
  </si>
  <si>
    <t>https://catalogplus.tuwien.at/permalink/f/1m011kq/TN_cdi_doaj_primary_oai_doaj_org_article_157c57aa29f04445a7f009f1bfa7391e</t>
  </si>
  <si>
    <t>Improving the resume verification process of financial professionals using blockchain smart contracts</t>
  </si>
  <si>
    <t>https://catalogplus.tuwien.at/permalink/f/1m011kq/TN_cdi_proquest_journals_2844365159</t>
  </si>
  <si>
    <t>SolSec Labs: Virtual labs for learning smart contract security</t>
  </si>
  <si>
    <t>https://catalogplus.tuwien.at/permalink/f/1m011kq/TN_cdi_openaire_primary_doi_7cc34184b57f4387781e417cc2745c6f</t>
  </si>
  <si>
    <t>Post-Quantum Privacy-Preserving Provable Data Possession Scheme Based on Smart Contracts</t>
  </si>
  <si>
    <t>https://catalogplus.tuwien.at/permalink/f/1m011kq/TN_cdi_unpaywall_primary_10_1155_2023_8772700</t>
  </si>
  <si>
    <t>A Traceable Online Insurance Claims System Based on Blockchain and Smart Contract Technology</t>
  </si>
  <si>
    <t>https://catalogplus.tuwien.at/permalink/f/1m011kq/TN_cdi_openaire_primary_doi_dedup_5d94d630d9e6758148bfd02c939eff8e</t>
  </si>
  <si>
    <t>Multi-level Security in Healthcare by integrating Lattice-Based Access Control and Blockchain-based Smart Contracts System</t>
  </si>
  <si>
    <t>https://catalogplus.tuwien.at/permalink/f/1m011kq/TN_cdi_crossref_primary_10_1109_ACCESS_2023_3324740</t>
  </si>
  <si>
    <t>Leveraging Smart Contract in Project Procurement through DLT to Gain Sustainable Competitive Advantages</t>
  </si>
  <si>
    <t>https://catalogplus.tuwien.at/permalink/f/1m011kq/TN_cdi_openaire_primary_doi_dedup_9df01c822f86853afd10adbb505bec62</t>
  </si>
  <si>
    <t>https://catalogplus.tuwien.at/permalink/f/1m011kq/TN_cdi_ieee_primary_9534324</t>
  </si>
  <si>
    <t>TokenDoc: Source Authentication With a Hybrid Approach of Smart Contract and RNN-Based Models With AES Encryption</t>
  </si>
  <si>
    <t>https://catalogplus.tuwien.at/permalink/f/1m011kq/TN_cdi_ieee_primary_10171121</t>
  </si>
  <si>
    <t>How are Solidity smart contracts tested in open source projects? An exploratory study</t>
  </si>
  <si>
    <t>https://catalogplus.tuwien.at/permalink/f/1m011kq/TN_cdi_ieee_primary_9796435</t>
  </si>
  <si>
    <t>https://catalogplus.tuwien.at/permalink/f/1m011kq/TN_cdi_unpaywall_primary_10_1155_2022_7299185</t>
  </si>
  <si>
    <t>https://catalogplus.tuwien.at/permalink/f/1m011kq/TN_cdi_doaj_primary_oai_doaj_org_article_09927910d8be48de9abefffc3c683886</t>
  </si>
  <si>
    <t>Retracted: Electronic Healthcare Data Record Security Using Blockchain and Smart Contract</t>
  </si>
  <si>
    <t>https://catalogplus.tuwien.at/permalink/f/1m011kq/TN_cdi_crossref_primary_10_1155_2023_9825434</t>
  </si>
  <si>
    <t>Smart contracts for decentralized vehicle services</t>
  </si>
  <si>
    <t>https://catalogplus.tuwien.at/permalink/f/1m011kq/TN_cdi_ieee_primary_9498954</t>
  </si>
  <si>
    <t>Key Update and Device Location of Internet of Things Based on Smart Contract</t>
  </si>
  <si>
    <t>https://catalogplus.tuwien.at/permalink/f/1m011kq/TN_cdi_unpaywall_primary_10_1155_2022_4987002</t>
  </si>
  <si>
    <t>https://catalogplus.tuwien.at/permalink/f/1m011kq/TN_cdi_doaj_primary_oai_doaj_org_article_a6a3b304c5c54cd09f0ab229b322f999</t>
  </si>
  <si>
    <t>https://catalogplus.tuwien.at/permalink/f/1m011kq/TN_cdi_crossref_primary_10_20998_2522_9052_2023_4_05</t>
  </si>
  <si>
    <t>https://catalogplus.tuwien.at/permalink/f/1m011kq/TN_cdi_openaire_primary_doi_dedup_86b8ab8dcee3ef4ed15ff311584d12a6</t>
  </si>
  <si>
    <t>Patient centric pre-transaction signature verification assisted smart contract based blockchain for electronic healthcare records</t>
  </si>
  <si>
    <t>https://catalogplus.tuwien.at/permalink/f/1m011kq/TN_cdi_openaire_primary_doi_76296f9632a75435cc29757af735d8c3</t>
  </si>
  <si>
    <t>https://catalogplus.tuwien.at/permalink/f/1m011kq/TN_cdi_doaj_primary_oai_doaj_org_article_b8e7a11cefe543fa880c3f02f1bd65a7</t>
  </si>
  <si>
    <t>https://catalogplus.tuwien.at/permalink/f/1m011kq/TN_cdi_ieee_primary_10207974</t>
  </si>
  <si>
    <t>A Formal Model of Algorand Smart Contracts</t>
  </si>
  <si>
    <t>https://catalogplus.tuwien.at/permalink/f/1m011kq/TN_cdi_openaire_primary_doi_dedup_ff848ae598ef24d3f520c3bef9ac5d7a</t>
  </si>
  <si>
    <t>Smart Contract Fuzzing for Enterprises: The Language Agnostic Way</t>
  </si>
  <si>
    <t>https://catalogplus.tuwien.at/permalink/f/1m011kq/TN_cdi_ieee_primary_9668512</t>
  </si>
  <si>
    <t>FACSC: Fine-Grained Access Control Based on Smart Contract for Terminals in Software-Defined Network</t>
  </si>
  <si>
    <t>https://catalogplus.tuwien.at/permalink/f/1m011kq/TN_cdi_openaire_primary_doi_dedup_d35c6301a8751e6dad657d0af385041f</t>
  </si>
  <si>
    <t>Smart Contract-Enabled Secure Sharing of Health Data for a Mobile Cloud-Based E-Health System</t>
  </si>
  <si>
    <t>https://catalogplus.tuwien.at/permalink/f/1m011kq/TN_cdi_doaj_primary_oai_doaj_org_article_c54107efbc2645548c57ad3a8ec13bb2</t>
  </si>
  <si>
    <t>https://catalogplus.tuwien.at/permalink/f/1m011kq/TN_cdi_ieee_primary_9628229</t>
  </si>
  <si>
    <t>Blockchain and Smart Contracts to Secure Property Transactions in Smart Cities</t>
  </si>
  <si>
    <t>https://catalogplus.tuwien.at/permalink/f/1m011kq/TN_cdi_doaj_primary_oai_doaj_org_article_96b1ef1e7cd94e5f94f9c83663573228</t>
  </si>
  <si>
    <t>Blockchain-Based Multi-party Smart Contract for Service Digitalization and Automation</t>
  </si>
  <si>
    <t>https://catalogplus.tuwien.at/permalink/f/1m011kq/TN_cdi_openaire_primary_doi_dedup_aae4488d0131a6d5a34f93c4ff686922</t>
  </si>
  <si>
    <t>A trusted multi-task distribution mechanism for Internet of vehicles based on smart contract</t>
  </si>
  <si>
    <t>https://catalogplus.tuwien.at/permalink/f/1m011kq/TN_cdi_crossref_primary_10_23919_JCC_fa_2022_0622_202304</t>
  </si>
  <si>
    <t>New Framework for Complex Assembly Digitalization and Traceability Using Bill of Assembly and Smart Contracts</t>
  </si>
  <si>
    <t>https://catalogplus.tuwien.at/permalink/f/1m011kq/TN_cdi_doaj_primary_oai_doaj_org_article_5e9e47382cfd4569818e962a25dde889</t>
  </si>
  <si>
    <t>Blockchain Smart Contracts</t>
  </si>
  <si>
    <t>https://catalogplus.tuwien.at/permalink/f/1m011kq/TN_cdi_informaworld_taylorfrancisbooks_10_1201_9781003097990_4_version2</t>
  </si>
  <si>
    <t>Provenance Verification of Smart Contracts: Analysing the Cost of Ensuring Authenticity over the Logic Hosted in Blockchain Networks</t>
  </si>
  <si>
    <t>https://catalogplus.tuwien.at/permalink/f/1m011kq/TN_cdi_doaj_primary_oai_doaj_org_article_679f5fd347c94c718375e80de903808a</t>
  </si>
  <si>
    <t>SmartMeasurer: A Secure and Automated Bandwidth Measurement for Tor with Smart Contract</t>
  </si>
  <si>
    <t>https://catalogplus.tuwien.at/permalink/f/1m011kq/TN_cdi_doaj_primary_oai_doaj_org_article_bc62221b5c614e6494794ef85f91c70a</t>
  </si>
  <si>
    <t>Financial Contract Administration in Construction via Cryptocurrency Blockchain and Smart Contract: A Proof of Concept</t>
  </si>
  <si>
    <t>https://catalogplus.tuwien.at/permalink/f/1m011kq/TN_cdi_doaj_primary_oai_doaj_org_article_5ea4ab7841054d9ba31a7ac1883ffe3e</t>
  </si>
  <si>
    <t>Code Will Speak: Early detection of Ponzi Smart Contracts on Ethereum</t>
  </si>
  <si>
    <t>https://catalogplus.tuwien.at/permalink/f/1m011kq/TN_cdi_ieee_primary_9592458</t>
  </si>
  <si>
    <t>Enhancing Smart Contract Quality by Introducing a Continuous Integration Pipeline for Solidity Based Smart Contracts</t>
  </si>
  <si>
    <t>https://catalogplus.tuwien.at/permalink/f/1m011kq/TN_cdi_openaire_primary_doi_b6e58344f1dcded260c1f96e0b331af9</t>
  </si>
  <si>
    <t>A study of the impact of implementation of smart contracts in the sharing economy</t>
  </si>
  <si>
    <t>https://catalogplus.tuwien.at/permalink/f/1m011kq/TN_cdi_ieee_primary_10187204</t>
  </si>
  <si>
    <t>Secure and Privacy-Preserving E-mobility Service Based on Blockchain and Hybrid Smart Contracts</t>
  </si>
  <si>
    <t>https://catalogplus.tuwien.at/permalink/f/1m011kq/TN_cdi_ieee_primary_10182842</t>
  </si>
  <si>
    <t>CertificateChain: decentralized healthcare training certificate management system using blockchain and smart contracts</t>
  </si>
  <si>
    <t>https://catalogplus.tuwien.at/permalink/f/1m011kq/TN_cdi_unpaywall_primary_10_1093_jamiaopen_ooac019</t>
  </si>
  <si>
    <t>A Distributed Resource Management for VANET using Smart Contract</t>
  </si>
  <si>
    <t>https://catalogplus.tuwien.at/permalink/f/1m011kq/TN_cdi_ieee_primary_9498921</t>
  </si>
  <si>
    <t>Research on the Cross-Chain Model of Rice Supply Chain Supervision Based on Parallel Blockchain and Smart Contracts</t>
  </si>
  <si>
    <t>https://catalogplus.tuwien.at/permalink/f/1m011kq/TN_cdi_doaj_primary_oai_doaj_org_article_5e64439caab042c9aa4bb00b8a2a9a04</t>
  </si>
  <si>
    <t>DAG-Based Smart Contract for Dynamic 6G Wireless EVs Charging System</t>
  </si>
  <si>
    <t>https://catalogplus.tuwien.at/permalink/f/1m011kq/TN_cdi_openaire_primary_doi_8df157c4e32ccb6ba16f9a93b4ee3b14</t>
  </si>
  <si>
    <t>CPDT: A copyright-preserving data trading scheme based on smart contracts and perceptual hashing</t>
  </si>
  <si>
    <t>https://catalogplus.tuwien.at/permalink/f/1m011kq/TN_cdi_ieee_primary_10063485</t>
  </si>
  <si>
    <t>A Survey on Smart Contract Platforms and Features</t>
  </si>
  <si>
    <t>https://catalogplus.tuwien.at/permalink/f/1m011kq/TN_cdi_ieee_primary_9441970</t>
  </si>
  <si>
    <t>Designing a Trustworthy and Secured House Rental System using Blockchain and Smart Contracts</t>
  </si>
  <si>
    <t>https://catalogplus.tuwien.at/permalink/f/1m011kq/TN_cdi_ieee_primary_10039764</t>
  </si>
  <si>
    <t>A Decentralized Energy Management System Inculcating SupplyDemand Ratio (SDR) and Miners' Stake through Blockchain Smart Contract for Community Microgrid Operation</t>
  </si>
  <si>
    <t>https://catalogplus.tuwien.at/permalink/f/1m011kq/TN_cdi_crossref_primary_10_1109_JESTIE_2023_3327049</t>
  </si>
  <si>
    <t>A Comparison of Security Analysis Methods for Smart Contracts Built on the Ethereum Blockchain</t>
  </si>
  <si>
    <t>https://catalogplus.tuwien.at/permalink/f/1m011kq/TN_cdi_proquest_ebookcentralchapters_30786201_660_693</t>
  </si>
  <si>
    <t>Excessive consumption transaction of renewable energy based on blockchain smart contract</t>
  </si>
  <si>
    <t>https://catalogplus.tuwien.at/permalink/f/1m011kq/TN_cdi_openaire_primary_doi_c3fcce012f2faf1c0ef8ad1308d5af08</t>
  </si>
  <si>
    <t>Getting Smart About Tribal Commercial Law: How Smart Contracts Can Transform Tribal Economies</t>
  </si>
  <si>
    <t>https://catalogplus.tuwien.at/permalink/f/1m011kq/TN_cdi_proquest_journals_2675715703</t>
  </si>
  <si>
    <t>https://catalogplus.tuwien.at/permalink/f/1m011kq/TN_cdi_ieee_primary_9544155</t>
  </si>
  <si>
    <t>HELMHOLTZ: A Verifier for Tezos Smart Contracts Based on Refinement Types</t>
  </si>
  <si>
    <t>https://catalogplus.tuwien.at/permalink/f/1m011kq/TN_cdi_openaire_primary_doi_dedup_00c43e6fe9be0a80b6969219fc7f7021</t>
  </si>
  <si>
    <t>Granular Access Control of Smart Contract Using Hyperledger Framework</t>
  </si>
  <si>
    <t>https://catalogplus.tuwien.at/permalink/f/1m011kq/TN_cdi_openaire_primary_doi_3171b7cf6a7bcebec646f2fbc51c1f29</t>
  </si>
  <si>
    <t>Smart Contracts in the Automotive Industry</t>
  </si>
  <si>
    <t>https://catalogplus.tuwien.at/permalink/f/1m011kq/TN_cdi_openaire_primary_doi_d16a243138e932e2e1f5fcbf17dba680</t>
  </si>
  <si>
    <t>DCrowd: A Decentralized Service Model for Credible Crowdsourcing Based on Game Theory and Smart Contracts</t>
  </si>
  <si>
    <t>https://catalogplus.tuwien.at/permalink/f/1m011kq/TN_cdi_ieee_primary_9592377</t>
  </si>
  <si>
    <t>Development of a fake news checking crowdsourcing platform consisting of smart contracts combined with gamification</t>
  </si>
  <si>
    <t>https://catalogplus.tuwien.at/permalink/f/1m011kq/TN_cdi_ieee_primary_9603222</t>
  </si>
  <si>
    <t>Privacy preservation for on-chain data in the permissionless blockchain using symmetric key encryption and smart contract</t>
  </si>
  <si>
    <t>https://catalogplus.tuwien.at/permalink/f/1m011kq/TN_cdi_gale_infotracacademiconefile_A668279563</t>
  </si>
  <si>
    <t>A Fuzzy Testing Method for Gas-Related Vulnerability Detection in Smart Contracts</t>
  </si>
  <si>
    <t>https://catalogplus.tuwien.at/permalink/f/1m011kq/TN_cdi_openaire_primary_doi_0db2064593cef7ec7a85832585cf4ea8</t>
  </si>
  <si>
    <t>A Smart Contracts and Tokenization Enabled Permissioned Blockchain Framework for the Food Supply Chain</t>
  </si>
  <si>
    <t>https://catalogplus.tuwien.at/permalink/f/1m011kq/TN_cdi_openaire_primary_doi_9efb1aa2e81b6b040d7838a9383789be</t>
  </si>
  <si>
    <t>A Study of Blockchain for Secure Smart Contract</t>
  </si>
  <si>
    <t>https://catalogplus.tuwien.at/permalink/f/1m011kq/TN_cdi_openaire_primary_doi_fbed11c640f9fcd5819902a740c972be</t>
  </si>
  <si>
    <t>Smart Contract Deployment in Ethereum Learning Made Easy</t>
  </si>
  <si>
    <t>https://catalogplus.tuwien.at/permalink/f/1m011kq/TN_cdi_openaire_primary_doi_ff1fed3577a3ed7cdfff019e9e677424</t>
  </si>
  <si>
    <t>An Overview of Blockchain-Based Smart Contract</t>
  </si>
  <si>
    <t>https://catalogplus.tuwien.at/permalink/f/1m011kq/TN_cdi_openaire_primary_doi_39d22a7e0ef40e1aedfd3183f7b93d29</t>
  </si>
  <si>
    <t>Block Chain Platforms and Smart Contracts</t>
  </si>
  <si>
    <t>https://catalogplus.tuwien.at/permalink/f/1m011kq/TN_cdi_openaire_primary_doi_c41d8ba3085428b2d0e33c7e6acb95c7</t>
  </si>
  <si>
    <t>Smart Contract Security and Privacy Taxonomy, Tools, and Challenges</t>
  </si>
  <si>
    <t>https://catalogplus.tuwien.at/permalink/f/1m011kq/TN_cdi_openaire_primary_doi_d55d819d14ed45e5c7ac0f58f26d4f42</t>
  </si>
  <si>
    <t>Smart Contract for Academic Certificate Verification Using Ethereum</t>
  </si>
  <si>
    <t>https://catalogplus.tuwien.at/permalink/f/1m011kq/TN_cdi_openaire_primary_doi_68ee74b06c2869a940389cc2ab4058b3</t>
  </si>
  <si>
    <t>Distributed Ledgers, Cryptography, and Smart Contracts</t>
  </si>
  <si>
    <t>https://catalogplus.tuwien.at/permalink/f/1m011kq/TN_cdi_openaire_primary_doi_fbd9c8d8f6964371e89451e7577b7229</t>
  </si>
  <si>
    <t>Decentralized Application for Two-Factor Authentication with Smart Contracts</t>
  </si>
  <si>
    <t>https://catalogplus.tuwien.at/permalink/f/1m011kq/TN_cdi_openaire_primary_doi_c4aae67c0b896100eb273ff831a12fa6</t>
  </si>
  <si>
    <t>Applicability of the Software Security Code Metrics for Ethereum Smart Contract</t>
  </si>
  <si>
    <t>https://catalogplus.tuwien.at/permalink/f/1m011kq/TN_cdi_openaire_primary_doi_bcc735fdc4712b839981dbcc1182d089</t>
  </si>
  <si>
    <t>A Fully Anonymous e-Voting Protocol Employing Universal Zk-SNARKs and Smart Contracts</t>
  </si>
  <si>
    <t>https://catalogplus.tuwien.at/permalink/f/1m011kq/TN_cdi_openaire_primary_doi_ef5594e866e45366a650f21d82bc43d1</t>
  </si>
  <si>
    <t>Smart Contract Testing: Challenges and Opportunities</t>
  </si>
  <si>
    <t>https://catalogplus.tuwien.at/permalink/f/1m011kq/TN_cdi_ieee_primary_9823374</t>
  </si>
  <si>
    <t>Formal Analysis of Smart Contracts: Model Impact Factor on Criminality</t>
  </si>
  <si>
    <t>https://catalogplus.tuwien.at/permalink/f/1m011kq/TN_cdi_openaire_primary_doi_51a41005a50d86f8318c3151b67bd2c1</t>
  </si>
  <si>
    <t>Developing Business-Business Private Block-Chain Smart Contracts Using Hyper-Ledger Fabric for Security, Privacy and Transparency in Supply Chain</t>
  </si>
  <si>
    <t>https://catalogplus.tuwien.at/permalink/f/1m011kq/TN_cdi_openaire_primary_doi_5c9d201d749ef459ae73a73f2514636b</t>
  </si>
  <si>
    <t>Application of the Method of Expert Assessments in Determining the Level of Criticality of the Information Security Vulnerability of Smart Contracts</t>
  </si>
  <si>
    <t>https://catalogplus.tuwien.at/permalink/f/1m011kq/TN_cdi_openaire_primary_doi_cae0287067812b4d04e0f39b79976242</t>
  </si>
  <si>
    <t>Towards Robust Similarity Detection of Smart Contracts with Masked Language Modelling</t>
  </si>
  <si>
    <t>https://catalogplus.tuwien.at/permalink/f/1m011kq/TN_cdi_openaire_primary_doi_305a39d280fe760e8922d5037be62ae6</t>
  </si>
  <si>
    <t>Threat Intelligence Sharing Model and Profit Distribution Based on Blockchain and Smart Contracts</t>
  </si>
  <si>
    <t>https://catalogplus.tuwien.at/permalink/f/1m011kq/TN_cdi_openaire_primary_doi_66614add7bc66533fed0fcf46c717ca2</t>
  </si>
  <si>
    <t>An Investigation into Smart Contract Deployment on Ethereum Platform Using Web3.js and Solidity Using Blockchain</t>
  </si>
  <si>
    <t>https://catalogplus.tuwien.at/permalink/f/1m011kq/TN_cdi_openaire_primary_doi_759fc74e28a3071b9d7fcf51213c55c9</t>
  </si>
  <si>
    <t>Celestial: A Smart Contracts Verification Framework</t>
  </si>
  <si>
    <t>https://catalogplus.tuwien.at/permalink/f/1m011kq/TN_cdi_ieee_primary_9617700</t>
  </si>
  <si>
    <t>https://catalogplus.tuwien.at/permalink/f/1m011kq/TN_cdi_openaire_primary_doi_fe8e9a7377c049201f5c2fef0bfc25e7</t>
  </si>
  <si>
    <t>Smart Contracts and NFTs: Non-Fungible Tokens as a Core Component of Blockchain to Be Used as Collectibles</t>
  </si>
  <si>
    <t>https://catalogplus.tuwien.at/permalink/f/1m011kq/TN_cdi_openaire_primary_doi_08011a5dbb397f707a24b1527f4da6d4</t>
  </si>
  <si>
    <t>Smart Contract-Based Checkpoint for Initial PoW Network Security</t>
  </si>
  <si>
    <t>https://catalogplus.tuwien.at/permalink/f/1m011kq/TN_cdi_ieee_primary_10201050</t>
  </si>
  <si>
    <t>Standardization of Smart Contracts for Energy Markets and Operation</t>
  </si>
  <si>
    <t>https://catalogplus.tuwien.at/permalink/f/1m011kq/TN_cdi_ieee_primary_9817542</t>
  </si>
  <si>
    <t>A Smart Contracts Repository For Top Trending Contracts</t>
  </si>
  <si>
    <t>https://catalogplus.tuwien.at/permalink/f/1m011kq/TN_cdi_ieee_primary_9823368</t>
  </si>
  <si>
    <t>A Generative Adversarial Networks-Based Integer Overflow Detection Model for Smart Contracts</t>
  </si>
  <si>
    <t>https://catalogplus.tuwien.at/permalink/f/1m011kq/TN_cdi_ieee_primary_10376127</t>
  </si>
  <si>
    <t>Formal Modeling of Smart Contract-based Trading System</t>
  </si>
  <si>
    <t>https://catalogplus.tuwien.at/permalink/f/1m011kq/TN_cdi_ieee_primary_9370462</t>
  </si>
  <si>
    <t>Formal Methods for the Security Analysis of Smart Contracts</t>
  </si>
  <si>
    <t>https://catalogplus.tuwien.at/permalink/f/1m011kq/TN_cdi_ieee_primary_9617687</t>
  </si>
  <si>
    <t>A Model-Checking Framework for the Verification of Move Smart Contracts</t>
  </si>
  <si>
    <t>https://catalogplus.tuwien.at/permalink/f/1m011kq/TN_cdi_ieee_primary_9930214</t>
  </si>
  <si>
    <t>A Graph Neural Network Approach for Detecting Smart Contract Anomalies in Collaborative Economy Platforms Based on Blockchain Technology</t>
  </si>
  <si>
    <t>https://catalogplus.tuwien.at/permalink/f/1m011kq/TN_cdi_ieee_primary_10284080</t>
  </si>
  <si>
    <t>A CIDS Mode DDoS Blacklist Mechanism Based on Smart Contract in SAVI-Enable IPv6 Network</t>
  </si>
  <si>
    <t>https://catalogplus.tuwien.at/permalink/f/1m011kq/TN_cdi_ieee_primary_10072937</t>
  </si>
  <si>
    <t>Integrating Smart Contracts in Manufacturing for Automated Assessment of Production Quality</t>
  </si>
  <si>
    <t>https://catalogplus.tuwien.at/permalink/f/1m011kq/TN_cdi_ieee_primary_9968887</t>
  </si>
  <si>
    <t>A Smart Contract Approach to Cyber Threat Intelligence Sharing in Kenya</t>
  </si>
  <si>
    <t>https://catalogplus.tuwien.at/permalink/f/1m011kq/TN_cdi_ieee_primary_9845603</t>
  </si>
  <si>
    <t>Applying Action Design Science Research to Develop a Conceptual Design for Smart Contracts in Real Estate Transaction Processes: The Potential of Blockchain Technology for Transaction Symmetry, Speed and Transparency</t>
  </si>
  <si>
    <t>https://catalogplus.tuwien.at/permalink/f/1m011kq/TN_cdi_ieee_primary_10305905</t>
  </si>
  <si>
    <t>A Smart Contract Privacy Protection Scheme Based on Smart Grid</t>
  </si>
  <si>
    <t>https://catalogplus.tuwien.at/permalink/f/1m011kq/TN_cdi_springer_books_10_1007_978_981_99_3951_0_58</t>
  </si>
  <si>
    <t>Rigorous Methods for Smart Contracts (Dagstuhl Seminar 21431)</t>
  </si>
  <si>
    <t>https://catalogplus.tuwien.at/permalink/f/1m011kq/TN_cdi_datacite_primary_10_4230_dagrep_11_9_80</t>
  </si>
  <si>
    <t>An Investigation of Blockchain Technology and Smart Contracts Deployment in Smart Medicine 4.0</t>
  </si>
  <si>
    <t>https://catalogplus.tuwien.at/permalink/f/1m011kq/TN_cdi_openaire_primary_doi_9bb110a0d617067bcd8a592748b50644</t>
  </si>
  <si>
    <t>Exploring DLT, blockchain and smart contracts in South Korea</t>
  </si>
  <si>
    <t>https://catalogplus.tuwien.at/permalink/f/1m011kq/TN_cdi_proquest_reports_2707479952</t>
  </si>
  <si>
    <t>A Decentralized Authenticated Key Agreement Scheme Based on Smart Contract for Securing Vehicular Ad-hoc Networks</t>
  </si>
  <si>
    <t>https://catalogplus.tuwien.at/permalink/f/1m011kq/TN_cdi_ieee_primary_10160143</t>
  </si>
  <si>
    <t>https://catalogplus.tuwien.at/permalink/f/1m011kq/TN_cdi_proquest_journals_2501319191</t>
  </si>
  <si>
    <t>STC Bahrain implements Chainlink node for smart contracts</t>
  </si>
  <si>
    <t>https://catalogplus.tuwien.at/permalink/f/1m011kq/TN_cdi_proquest_reports_2648819611</t>
  </si>
  <si>
    <t>https://catalogplus.tuwien.at/permalink/f/1m011kq/TN_cdi_crossref_primary_10_1145_3547353_3522638</t>
  </si>
  <si>
    <t>Creating Your Own Private Ethereum Test Network</t>
  </si>
  <si>
    <t>https://catalogplus.tuwien.at/permalink/f/1m011kq/TN_cdi_openaire_primary_doi_dedup_57afb7eb4cdea6dfb1069ce8fdf7adad</t>
  </si>
  <si>
    <t>Mastering Blockchain: Unlocking the Power of Cryptocurrencies, Smart Contracts, and Decentralized Applications</t>
  </si>
  <si>
    <t>https://catalogplus.tuwien.at/permalink/f/1m011kq/TN_cdi_skillsoft_books24x7_bkd000162994</t>
  </si>
  <si>
    <t>SmartDagger : A Bytecode-based Static Analysis Approach for Detecting Cross-contract Vulnerability</t>
  </si>
  <si>
    <t>https://dl.acm.org/doi/10.1145/3533767.3534222</t>
  </si>
  <si>
    <t xml:space="preserve"> International Conference on Automated Software Engineering (ASE)</t>
  </si>
  <si>
    <t>ISSTA</t>
  </si>
  <si>
    <t>MagicMirror: Towards High-Coverage Fuzzing of Smart Contracts</t>
  </si>
  <si>
    <t>https://ieeexplore.ieee.org/document/10132226</t>
  </si>
  <si>
    <t>ICST</t>
  </si>
  <si>
    <t>MANDO-GURU: vulnerability detection for smart contract source code by heterogeneous graph embeddings</t>
  </si>
  <si>
    <t>https://dl.acm.org/doi/10.1145/3540250.3558927</t>
  </si>
  <si>
    <t>ESEC/FSE 2022: Proceedings of the 30th ACM Joint European Software Engineering Conference and Symposium on the Foundations of Software Engineering</t>
  </si>
  <si>
    <t>FSE</t>
  </si>
  <si>
    <t>SMARTIAN : Enhancing Smart Contract Fuzzing with Static and Dynamic Data-Flow Analyses</t>
  </si>
  <si>
    <t>https://ieeexplore.ieee.org/document/9678888</t>
  </si>
  <si>
    <t>ASE</t>
  </si>
  <si>
    <t>Reentrancy Vulnerability Detection and Localization: A Deep Learning Based Two-phase Approach</t>
  </si>
  <si>
    <t>https://dl.acm.org/doi/abs/10.1145/3551349.3560428</t>
  </si>
  <si>
    <t>An Empirical Study of Blockchain System Vulnerabilities: Modules, Types, and Patterns</t>
  </si>
  <si>
    <t>TODLER: A Transaction Ordering Dependency anaLyzER – for Ethereum Smart Contracts</t>
  </si>
  <si>
    <t>ICSE</t>
  </si>
  <si>
    <t>echidna-parade: A Tool for Diverse Multicore Smart Contract Fuzzing</t>
  </si>
  <si>
    <t>SCStudio: A Secure and Efficient Integrated Development Environment for Smart Contracts</t>
  </si>
  <si>
    <t>https://dl.acm.org/doi/abs/10.1145/3460319.3469078</t>
  </si>
  <si>
    <t>ISSTA 2021: Proceedings of the 30th ACM SIGSOFT International Symposium on Software Testing and Analysis</t>
  </si>
  <si>
    <t>WASAI: Uncovering Vulnerabilities in Wasm Smart Contracts</t>
  </si>
  <si>
    <t>eTainter: Detecting Gas-Related Vulnerabilities in Smart Contracts</t>
  </si>
  <si>
    <t>Finding Permission Bugs in Smart Contracts with Role Mining</t>
  </si>
  <si>
    <t>Park: Accelerating Smart Contract Vulnerability Detection via Parallel-fork Symbolic Execution</t>
  </si>
  <si>
    <t>https://dl.acm.org/doi/abs/10.1145/3597926.3598059</t>
  </si>
  <si>
    <t>Detecting State Inconsistency Bugs in DApps via On-Chain Transaction Replay and Fuzzing</t>
  </si>
  <si>
    <t>Security Checking of Trigger-Action-Programming Smart Home Integrations</t>
  </si>
  <si>
    <t>DeFiTainter: Detecting Price Manipulation Vulnerabilities in DeFi Protocols</t>
  </si>
  <si>
    <t>A Federated Society of Bots for Smart Contract Testing</t>
  </si>
  <si>
    <t>Towards Mutation-guided Test Suites for Smart Contracts</t>
  </si>
  <si>
    <t>An exploratory study of smart contracts in the Ethereum blockchain platform</t>
  </si>
  <si>
    <t>Evaluating Machine-Learning Techniques for Detecting Smart Ponzi Schemes</t>
  </si>
  <si>
    <t>An Empirical Investigation on the Trade-off between Smart Contract Readability and Gas Consumption</t>
  </si>
  <si>
    <t>SynTest-Solidity: Automated Test Case Generation and Fuzzing for Smart Contracts</t>
  </si>
  <si>
    <t>ESBMC-Solidity: An SMT-Based Model Checker for Solidity Smart Contracts</t>
  </si>
  <si>
    <t>An Empirical Study on Implicit Constraints in Smart Contract Static Analysis</t>
  </si>
  <si>
    <t>Utilizing Parallelism in Smart Contracts on Decentralized Blockchains by Taming Application-Inherent Conflicts</t>
  </si>
  <si>
    <t>Smart Contract Upgradeability on the Ethereum Blockchain Platform: An Exploratory Study</t>
  </si>
  <si>
    <t>Artifact for Article "SmartMark: Software Watermarking Scheme for Smart Contracts"</t>
  </si>
  <si>
    <t>Machine Translation-based Fine-grained Comments Generation for Solidity Smart Contracts</t>
  </si>
  <si>
    <t>A methodology for log-based Smart Contract testing</t>
  </si>
  <si>
    <t>Code cloning in smart contracts: a case study on verified contracts from the Ethereum blockchain platform</t>
  </si>
  <si>
    <t>Towards Automated Verification of Smart Contract Fairness</t>
  </si>
  <si>
    <t>Gas Estimation and Optimization for Smart Contracts on Ethereum</t>
  </si>
  <si>
    <t>SmartCoCo: Checking Comment-code Inconsistency in Smart Contracts via Constraint Propagation and Binding</t>
  </si>
  <si>
    <t>Exclusion Criteria</t>
  </si>
  <si>
    <t>unrelated to Ethereum</t>
  </si>
  <si>
    <t>not written in English</t>
  </si>
  <si>
    <t>a patent, blog entry or other grey literature</t>
  </si>
  <si>
    <t>published before 2021</t>
  </si>
  <si>
    <t>Inclusion Criteria</t>
  </si>
  <si>
    <t>smart contract security bugs or vulnerabilities</t>
  </si>
  <si>
    <t>smart contract vulnerability detection, analysis or security verification tools</t>
  </si>
  <si>
    <t>automated detection or verification methods</t>
  </si>
  <si>
    <t>CDQ score for SLRs and Surveys</t>
  </si>
  <si>
    <t>IDQ score</t>
  </si>
  <si>
    <r>
      <rPr>
        <b/>
        <sz val="11"/>
        <color theme="1"/>
        <rFont val="Aptos Narrow"/>
        <family val="2"/>
        <scheme val="minor"/>
      </rPr>
      <t>Q1</t>
    </r>
    <r>
      <rPr>
        <sz val="11"/>
        <color theme="1"/>
        <rFont val="Aptos Narrow"/>
        <family val="2"/>
        <scheme val="minor"/>
      </rPr>
      <t xml:space="preserve">: Is the methodology and literature search of the review systematic and documented? Are all relevant studies at the time likely to be covered? </t>
    </r>
  </si>
  <si>
    <t>SCImago</t>
  </si>
  <si>
    <t>CORE</t>
  </si>
  <si>
    <t>Scopus CiteScore</t>
  </si>
  <si>
    <t>score</t>
  </si>
  <si>
    <t xml:space="preserve">1.0 = Yes, in comprehensive detail, systematic and good quality. To be (re)classified as SLR. </t>
  </si>
  <si>
    <t>A*, A</t>
  </si>
  <si>
    <t>&gt;75</t>
  </si>
  <si>
    <t>1.0</t>
  </si>
  <si>
    <t xml:space="preserve">Not Graded = No, to be (re)classified as survey </t>
  </si>
  <si>
    <t>B</t>
  </si>
  <si>
    <t>&gt;50</t>
  </si>
  <si>
    <t>0.8</t>
  </si>
  <si>
    <r>
      <rPr>
        <b/>
        <sz val="11"/>
        <color theme="1"/>
        <rFont val="Aptos Narrow"/>
        <family val="2"/>
        <scheme val="minor"/>
      </rPr>
      <t>Q2</t>
    </r>
    <r>
      <rPr>
        <sz val="11"/>
        <color theme="1"/>
        <rFont val="Aptos Narrow"/>
        <family val="2"/>
        <scheme val="minor"/>
      </rPr>
      <t xml:space="preserve">: Does the study focus on work about smart contact vulnerabilities, detection tools, or approaches to automated detection or verification? </t>
    </r>
  </si>
  <si>
    <t>Q3, Q4</t>
  </si>
  <si>
    <t>C</t>
  </si>
  <si>
    <t>&gt;=25</t>
  </si>
  <si>
    <t>0.5</t>
  </si>
  <si>
    <t xml:space="preserve">1.0 = Yes, the research topic closely related and covers major parts of this work </t>
  </si>
  <si>
    <t>not indexed, but pub. by IEEE, ACM, Springer</t>
  </si>
  <si>
    <t>0.4</t>
  </si>
  <si>
    <t xml:space="preserve">0.6 = It covers related topics, but important areas differ or are missing </t>
  </si>
  <si>
    <t>&lt;25</t>
  </si>
  <si>
    <t>0.2</t>
  </si>
  <si>
    <t xml:space="preserve">0.3 = Some similar areas are covered </t>
  </si>
  <si>
    <t>otherwise, e.g. arXiv, preprints, theses, reports</t>
  </si>
  <si>
    <t>0.0 = The review focuses on different research topics, only a very small part is related</t>
  </si>
  <si>
    <r>
      <t xml:space="preserve"> </t>
    </r>
    <r>
      <rPr>
        <b/>
        <sz val="11"/>
        <color theme="1"/>
        <rFont val="Aptos Narrow"/>
        <family val="2"/>
        <scheme val="minor"/>
      </rPr>
      <t>Q3</t>
    </r>
    <r>
      <rPr>
        <sz val="11"/>
        <color theme="1"/>
        <rFont val="Aptos Narrow"/>
        <family val="2"/>
        <scheme val="minor"/>
      </rPr>
      <t xml:space="preserve">: Does the study cover the evaluation of smart contract vulnerabilities? </t>
    </r>
  </si>
  <si>
    <t xml:space="preserve">1.0 = Yes, the work includes a survey, evaluation and detailed description of vulnerabilities including classifications </t>
  </si>
  <si>
    <t xml:space="preserve">0.6 = Descriptions or classifications of certain vulnerabilities are given, but it is not a major focus of the work </t>
  </si>
  <si>
    <t xml:space="preserve">0.3 = Some vulnerabilities are superficially listed or mentioned </t>
  </si>
  <si>
    <t xml:space="preserve">0.0 = No, the focus is not on the survey of vulnerabilities </t>
  </si>
  <si>
    <r>
      <rPr>
        <b/>
        <sz val="11"/>
        <color theme="1"/>
        <rFont val="Aptos Narrow"/>
        <family val="2"/>
        <scheme val="minor"/>
      </rPr>
      <t>Q4</t>
    </r>
    <r>
      <rPr>
        <sz val="11"/>
        <color theme="1"/>
        <rFont val="Aptos Narrow"/>
        <family val="2"/>
        <scheme val="minor"/>
      </rPr>
      <t xml:space="preserve">: How many tools or analysis/verification methods does the review identify, classify, compare or evaluate? </t>
    </r>
  </si>
  <si>
    <t>FDQ = (CDQ + IDQ)/2</t>
  </si>
  <si>
    <t xml:space="preserve">1.0 = more than 12, </t>
  </si>
  <si>
    <t xml:space="preserve">0.6 = 8 to 12, </t>
  </si>
  <si>
    <t xml:space="preserve">0.3 = 4 to 7, </t>
  </si>
  <si>
    <t xml:space="preserve">0.0 = less than 4 </t>
  </si>
  <si>
    <r>
      <rPr>
        <b/>
        <sz val="11"/>
        <color theme="1"/>
        <rFont val="Aptos Narrow"/>
        <family val="2"/>
        <scheme val="minor"/>
      </rPr>
      <t>Q5</t>
    </r>
    <r>
      <rPr>
        <sz val="11"/>
        <color theme="1"/>
        <rFont val="Aptos Narrow"/>
        <family val="2"/>
        <scheme val="minor"/>
      </rPr>
      <t xml:space="preserve">: Did the author(s) assess and compare the quality/validity of tools or automated detection/verification approaches in detail? </t>
    </r>
  </si>
  <si>
    <t xml:space="preserve">1.0 = Yes, in detail and high quality, including practical experiments or comprehensive/in-depth coverage and classification </t>
  </si>
  <si>
    <t xml:space="preserve">0.6 = Yes, compared/evaluated in some detail, but only theoretically </t>
  </si>
  <si>
    <t xml:space="preserve">0.3 = Only superficial description </t>
  </si>
  <si>
    <t xml:space="preserve">0.0 = No </t>
  </si>
  <si>
    <r>
      <rPr>
        <b/>
        <sz val="11"/>
        <color theme="1"/>
        <rFont val="Aptos Narrow"/>
        <family val="2"/>
        <scheme val="minor"/>
      </rPr>
      <t>Q6</t>
    </r>
    <r>
      <rPr>
        <sz val="11"/>
        <color theme="1"/>
        <rFont val="Aptos Narrow"/>
        <family val="2"/>
        <scheme val="minor"/>
      </rPr>
      <t xml:space="preserve">: Is a set of smart contract benchmarks provided? </t>
    </r>
  </si>
  <si>
    <t xml:space="preserve">1.0 = Yes, </t>
  </si>
  <si>
    <t xml:space="preserve">Not Graded = No </t>
  </si>
  <si>
    <r>
      <rPr>
        <b/>
        <sz val="11"/>
        <color theme="1"/>
        <rFont val="Aptos Narrow"/>
        <family val="2"/>
        <scheme val="minor"/>
      </rPr>
      <t>Q7</t>
    </r>
    <r>
      <rPr>
        <sz val="11"/>
        <color theme="1"/>
        <rFont val="Aptos Narrow"/>
        <family val="2"/>
        <scheme val="minor"/>
      </rPr>
      <t xml:space="preserve">: How current is the review? </t>
    </r>
  </si>
  <si>
    <t xml:space="preserve">1.0 = 2023/24 </t>
  </si>
  <si>
    <t>0.5 = 2022</t>
  </si>
  <si>
    <t xml:space="preserve">0.0 = 2021 </t>
  </si>
  <si>
    <t>CDQ score for Primary Studies</t>
  </si>
  <si>
    <r>
      <rPr>
        <b/>
        <sz val="11"/>
        <color theme="1"/>
        <rFont val="Aptos Narrow"/>
        <family val="2"/>
        <scheme val="minor"/>
      </rPr>
      <t>Q1</t>
    </r>
    <r>
      <rPr>
        <sz val="11"/>
        <color theme="1"/>
        <rFont val="Aptos Narrow"/>
        <family val="2"/>
        <scheme val="minor"/>
      </rPr>
      <t>: Is the primary study referenced in a selected SLR or survey? How often is it cited according to Google Scholar?</t>
    </r>
  </si>
  <si>
    <t>Referenced in selected SLR or Survey, or cited more than 12 times according to Google Scholar</t>
  </si>
  <si>
    <t>8 to 12 citations</t>
  </si>
  <si>
    <t>4 to 7 citations</t>
  </si>
  <si>
    <t xml:space="preserve"> less than 4 citations</t>
  </si>
  <si>
    <r>
      <rPr>
        <b/>
        <sz val="11"/>
        <color theme="1"/>
        <rFont val="Aptos Narrow"/>
        <family val="2"/>
        <scheme val="minor"/>
      </rPr>
      <t>Q2</t>
    </r>
    <r>
      <rPr>
        <sz val="11"/>
        <color theme="1"/>
        <rFont val="Aptos Narrow"/>
        <family val="2"/>
        <scheme val="minor"/>
      </rPr>
      <t>: Is the primary study related to an executable tool or to a framework for verifying security properties or identifying vulnerabilities of Ethereum smart contracts?</t>
    </r>
  </si>
  <si>
    <t>Yes</t>
  </si>
  <si>
    <t>No</t>
  </si>
  <si>
    <t xml:space="preserve">Google Scholar </t>
  </si>
  <si>
    <t>allintitle: (“smart contract” OR “smart contracts” OR Ethereum) AND (vulnerability OR vulnerabilities OR bug OR bugs OR security OR analysis OR detection OR tool OR verification)</t>
  </si>
  <si>
    <t>Google Scholar Configuration</t>
  </si>
  <si>
    <t>ACM_DL</t>
  </si>
  <si>
    <t>Title: (“smart contract” OR “smart contracts”) AND AllField: (vulnerability OR vulnerabilities OR bug OR bugs OR tool OR security OR analysis OR detection OR verification)</t>
  </si>
  <si>
    <t>ACM_DL Configuration</t>
  </si>
  <si>
    <t>IEEE Xplore</t>
  </si>
  <si>
    <t>“All Metadata”: (“smart contract” OR “smart contracts”) AND (vulnerability OR vulnerabilities OR bug OR bugs OR tool) AND (security OR analysis OR detection OR verification)</t>
  </si>
  <si>
    <t>Science Direct</t>
  </si>
  <si>
    <t>Title, abstract, keywords: “smart contract” AND (vulnerability OR vulnerabilities OR bug OR tool OR security OR analysis OR detection OR verification)</t>
  </si>
  <si>
    <t>Science Direct Configuration</t>
  </si>
  <si>
    <t>TU Wien CatalogPlus</t>
  </si>
  <si>
    <t>title contains (“smart contract” OR “smart contracts”) AND Subject contains (security OR vulnerability OR vulnerabilities OR bug OR bugs Or analysis OR detection OR tool OR verification)</t>
  </si>
  <si>
    <t>TU Wien CatalogPlus Configuration</t>
  </si>
  <si>
    <t>Systematic Literature Review</t>
  </si>
  <si>
    <t>Surveys</t>
  </si>
  <si>
    <t>Primary Study</t>
  </si>
  <si>
    <t>Technical Report</t>
  </si>
  <si>
    <t>A Detection Method for Scarcity Defect of Blockchain Digital Asset based on Invariant Analysis</t>
  </si>
  <si>
    <t>https://ieeexplore.ieee.org/abstract/document/10062423?casa_token=IUQZ9sL6XdsAAAAA:nv5iR-GG1yMX9b5sPkmki5272YADOyNY_DecZjHn9n8XLKuXB1RXqriUstDfLR4vvHOj8zzzqw</t>
  </si>
  <si>
    <t>International Conference on Software Quality, Reliability and Security (QRS)</t>
  </si>
  <si>
    <t>Evolution of automated weakness detection in Ethereum bytecode: a comprehensive study</t>
  </si>
  <si>
    <t>https://link.springer.com/article/10.1007/s10664-023-10414-8</t>
  </si>
  <si>
    <t>Consolidation of Ground Truth Sets for Weakness Detection in Smart Contracts</t>
  </si>
  <si>
    <t>https://link.springer.com/chapter/10.1007/978-3-031-48806-1_28</t>
  </si>
  <si>
    <t>Financial Cryptography and Data Security. FC 2023 International Workshops</t>
  </si>
  <si>
    <t>Pre-deployment Analysis of Smart Contracts - A Survey</t>
  </si>
  <si>
    <t>Survey on Quality Assurance of Smart Contracts</t>
  </si>
  <si>
    <t>https://arxiv.org/abs/2311.00270</t>
  </si>
  <si>
    <t>Identifying Vulnerabilities in Smart Contracts using Interval Analysis</t>
  </si>
  <si>
    <t>https://arxiv.org/abs/2309.13805</t>
  </si>
  <si>
    <t>OpenSCV: An Open Hierarchical Taxonomy for Smart Contract Vulnerabilities</t>
  </si>
  <si>
    <t>https://arxiv.org/abs/2303.14523</t>
  </si>
  <si>
    <t>Vulnerability Scanners for Ethereum Smart Contracts: A Large-Scale Study</t>
  </si>
  <si>
    <t>https://arxiv.org/abs/2312.16533</t>
  </si>
  <si>
    <t>An Evaluation Framework for Smart Contract Vulnerability Detection Tools on the Ethereum Blockchain</t>
  </si>
  <si>
    <t>https://digikogu.taltech.ee/et/Download/1c564244-622c-4b84-9af1-743b67f5400e/Nutilepingutehaavatavustetuvastamisetriistade.pdf</t>
  </si>
  <si>
    <t>A blockchain-based privacy-preserving anti-collusion data auction mechanism with an off-chain approach</t>
  </si>
  <si>
    <t>https://www.mdpi.com/2078-2489/14/10/533</t>
  </si>
  <si>
    <t>Advancing Blockchain Security: from Vulnerability Detection to Transaction Revocation</t>
  </si>
  <si>
    <t>https://ieeexplore.ieee.org/abstract/document/10206682/authors#authors</t>
  </si>
  <si>
    <t>Security and dependability analysis of blockchain systems in partially synchronous networks with Byzantine faults</t>
  </si>
  <si>
    <t>https://www.tandfonline.com/doi/epdf/10.1080/17445760.2023.2272777?needAccess=true</t>
  </si>
  <si>
    <t>International Journal of Parallel, Emergent and Distributed Systems</t>
  </si>
  <si>
    <t>Extorsionware: Bringing Ransomware Attacks to Blockchain Smart Contracts</t>
  </si>
  <si>
    <t>https://thesis.unipd.it/retrieve/ab1f171d-c2d9-4b78-9189-e3fe877ede47/Cattai_Christian.pdf</t>
  </si>
  <si>
    <t>A Model of Trust in Ethereum Token ‘Ether’ Payments, TRUSTEP</t>
  </si>
  <si>
    <t>https://www.mdpi.com/2673-7116/3/4/33</t>
  </si>
  <si>
    <t>Fixing Smart Contract Vulnerabilities: A Comparative Analysis of Literature and Developer's Practices</t>
  </si>
  <si>
    <t>https://arxiv.org/abs/2403.07458</t>
  </si>
  <si>
    <t>A Review of Cyber Security and Blockchain</t>
  </si>
  <si>
    <t>https://ieeexplore.ieee.org/abstract/document/9919583?casa_token=e_vnpFRyJfsAAAAA:1Ey6Buck_X9tD6OH0b2dpa9QtimZTfG08u16ESGTVMAutqSVAb3VtIBujySWl0hJHo_Y20Oo</t>
  </si>
  <si>
    <t>Complexities for the Indian Economy of China's Growing Technological Competence</t>
  </si>
  <si>
    <t>https://files.osf.io/v1/resources/fk3r7/providers/osfstorage/626e12c1a0966f1d763b9915?action=download&amp;direct&amp;version=1</t>
  </si>
  <si>
    <t>Erkennung verwandter Smart Contracts anhand des Bytecodes</t>
  </si>
  <si>
    <t>Identifying Semantic Properties in the Bytecode of Smart Contracts Using Symbolic Execution</t>
  </si>
  <si>
    <t>https://ti.tuwien.ac.at/institute/teaching/ti-research-presentations/proposal_loz_2023-1.pdf</t>
  </si>
  <si>
    <t>Smart contract security: A practitioners' perspective</t>
  </si>
  <si>
    <t>Conference</t>
  </si>
  <si>
    <t>Ethchecker: a context-guided fuzzing for smart contracts</t>
  </si>
  <si>
    <t>Combining graph neural networks with expert knowledge for smart contract vulnerability detection</t>
  </si>
  <si>
    <t>Cbgru: A detection method of smart contract vulnerability based on a hybrid model</t>
  </si>
  <si>
    <t>Hybrid semantics-based vulnerability detection incorporating a Temporal Convolutional Network and Self-attention Mechanism</t>
  </si>
  <si>
    <t>Detecting Reentrancy Vulnerability in Smart Contracts using Graph Convolution Networks</t>
  </si>
  <si>
    <t>Ethainter: A smart contract security analyzer for composite vulnerabilities</t>
  </si>
  <si>
    <t>EVMPatch: timely and automated patching of ethereum smart contracts</t>
  </si>
  <si>
    <t>SmartDagger: a bytecode-based static analysis approach for detecting cross-contract vulnerability</t>
  </si>
  <si>
    <t>Effectively Generating Vulnerable Transaction Sequences in Smart Contracts with Reinforcement Learning-Guided Fuzzing</t>
  </si>
  <si>
    <t>SmartCoCo: Checking Comment-Code Inconsistency in Smart Contracts via Constraint Propagation and Binding</t>
  </si>
  <si>
    <t>DL4SC: a novel deep learning-based vulnerability detection framework for smart contracts</t>
  </si>
  <si>
    <t>Detecting code vulnerabilities by learning from large-scale open source repositories</t>
  </si>
  <si>
    <t>Fuzzing: A survey for roadmap</t>
  </si>
  <si>
    <t>Hunting vulnerable smart contracts via graph embedding based bytecode matching</t>
  </si>
  <si>
    <t>Opcode Sequences-Based Smart Contract Vulnerabilities Detection Using Deep Learning</t>
  </si>
  <si>
    <t>EtherGIS: A Vulnerability Detection Framework for Ethereum Smart Contracts Based on Graph Learning Features</t>
  </si>
  <si>
    <t>https://ieeexplore.ieee.org/document/9842713</t>
  </si>
  <si>
    <t>Peculiar: Smart contract vulnerability detection based on crucial data flow graph and pre-training techniques</t>
  </si>
  <si>
    <t>BGNN4VD: Constructing bidirectional graph neural-network for vulnerability detection</t>
  </si>
  <si>
    <t>Defectchecker: Automated smart contract defect detection by analyzing evm bytecode</t>
  </si>
  <si>
    <t>SMARTEST: Effectively Hunting Vulnerable Transaction Sequences in Smart Contracts through Language Model-Guided Symbolic Execution</t>
  </si>
  <si>
    <t>https://www.usenix.org/system/files/sec21-so.pdf</t>
  </si>
  <si>
    <t>xFuzz: Machine Learning Guided Cross-Contract Fuzzing</t>
  </si>
  <si>
    <t>https://arxiv.org/pdf/2111.12423.pdf</t>
  </si>
  <si>
    <t>Gas gauge: A security analysis tool for smart contract out-of-gas vulnerabilities</t>
  </si>
  <si>
    <t>https://arxiv.org/abs/2112.14771</t>
  </si>
  <si>
    <t>IJCAI</t>
  </si>
  <si>
    <t>COMPSAC</t>
  </si>
  <si>
    <t>ISSRE</t>
  </si>
  <si>
    <t>IEEE Transactions on Dependable and Secure Computing</t>
  </si>
  <si>
    <t>Security Symposium</t>
  </si>
  <si>
    <t>International Conference on Financial Cryptography and Data Security</t>
  </si>
  <si>
    <t>https://link.springer.com/chapter/10.1007/978-3-662-64322-8_2</t>
  </si>
  <si>
    <t>https://link.springer.com/article/10.1007/s11227-024-05954-9#:~:text=In%20this%20paper,%20we%20propose%20a%20novel</t>
  </si>
  <si>
    <t>Journal of Supercomputing</t>
  </si>
  <si>
    <t>Papers that are not evaluated are duplicates or do not match the inclusion criteria</t>
  </si>
  <si>
    <t>International Conference on Trust, Security and Privacy in Computing and Communications</t>
  </si>
  <si>
    <t>https://www.sciencedirect.com/science/article/pii/S221421262200148X</t>
  </si>
  <si>
    <t>https://dl.acm.org/doi/full/10.1145/3512345#:~:text=This%20paper%20presents%20a%20coverage-guided</t>
  </si>
  <si>
    <t>https://dl.acm.org/doi/10.1007/s10515-024-00418-z#:~:text=At%20present,%20deep%20learning-based</t>
  </si>
  <si>
    <t>https://ieeexplore.ieee.org/document/10454763</t>
  </si>
  <si>
    <t>IEEE CCNC: IEEE Consumer Communications and Networking Conference</t>
  </si>
  <si>
    <t>https://ieeexplore.ieee.org/document/9700296</t>
  </si>
  <si>
    <t>Information Science</t>
  </si>
  <si>
    <t xml:space="preserve">WARNING!
Cells of this color impact paper ratings. Any changes in them produce changes in the ratings. </t>
  </si>
  <si>
    <t>not accessible on-line via the library network of University of Salerno</t>
  </si>
  <si>
    <t>Sort by relevance</t>
  </si>
  <si>
    <t>Any language</t>
  </si>
  <si>
    <t>Any type</t>
  </si>
  <si>
    <t>include patents</t>
  </si>
  <si>
    <t>include quotes</t>
  </si>
  <si>
    <t>SolaSim: Clone Detection for Solana Smart Contracts via Program Representation</t>
  </si>
  <si>
    <t>The Sword of Damocles: Upgradeable Smart Contract in Ethereum</t>
  </si>
  <si>
    <t>ParSE: Efficient Detection of Smart Contract Vulnerabilities via Parallel and Simplified Symbolic Execution</t>
  </si>
  <si>
    <t>Revealing Hidden Threats: An Empirical Study of Library Misuse in Smart Contracts</t>
  </si>
  <si>
    <t>Improving Smart Contract Security with Contrastive Learning-based Vulnerability Detection</t>
  </si>
  <si>
    <t>Are We There Yet? Unraveling the State-of-the-Art Smart Contract Fuzzers</t>
  </si>
  <si>
    <t>Towards Finding Accounting Errors in Smart Contracts</t>
  </si>
  <si>
    <t>GPTScan: Detecting Logic Vulnerabilities in Smart Contracts by Combining GPT with Program Analysis</t>
  </si>
  <si>
    <t>SCVHunter: Smart Contract Vulnerability Detection Based on Heterogeneous Graph Attention Network</t>
  </si>
  <si>
    <t>Safeguarding DeFi Smart Contracts against Oracle Deviations</t>
  </si>
  <si>
    <t>Verifying Declarative Smart Contracts</t>
  </si>
  <si>
    <t>ICSE24</t>
  </si>
  <si>
    <t>Skyeye: Detecting Imminent Attacks via Analyzing Adversarial Smart Contracts</t>
  </si>
  <si>
    <t>OpenTracer: A Dynamic Transaction Trace Analyzer for Smart Contract Invariant Generation and Beyond</t>
  </si>
  <si>
    <t>COBRA: Interaction-Aware Bytecode-Level Vulnerability Detector for Smart Contracts</t>
  </si>
  <si>
    <t>AdvSCanner: Generating Adversarial Smart Contracts to Exploit Reentrancy Vulnerabilities Using LLM and Static Analysis</t>
  </si>
  <si>
    <t>ContractTinker: LLM-Empowered Vulnerability Repair for Real-World Smart Contracts</t>
  </si>
  <si>
    <t>HighGuard: Cross-Chain Business Logic Monitoring of Smart Contracts</t>
  </si>
  <si>
    <t>Oracle-Guided Vulnerability Diversity and Exploit Synthesis of Smart Contracts Using LLMs</t>
  </si>
  <si>
    <t>ASE24</t>
  </si>
  <si>
    <t>SolMover: Smart Contract Code Translation Based on Concepts</t>
  </si>
  <si>
    <t>Sociotechnical Dynamics in Open Source Smart Contract Repositories: An Exploratory Data Analysis of Curated High Market Value Projects</t>
  </si>
  <si>
    <t>A Curated Solidity Smart Contracts Repository of Metrics and Vulnerability</t>
  </si>
  <si>
    <t>Demystifying Invariant Effectiveness for Securing Smart Contracts</t>
  </si>
  <si>
    <t>Static Application Security Testing (SAST) Tools for Smart Contracts: How Far Are We?</t>
  </si>
  <si>
    <t>FSE24</t>
  </si>
  <si>
    <t>FunRedisp: A Function Redispatch Tool to Reduce Invocation Gas Fees in Solidity Smart Contracts</t>
  </si>
  <si>
    <t>LENT-SSE: Leveraging Executed and Near Transactions for Speculative Symbolic Execution of Smart Contracts</t>
  </si>
  <si>
    <t>Empirical Study of Move Smart Contract Security: Introducing MoveScan for Enhanced Analysis</t>
  </si>
  <si>
    <t>FunRedisp: Reordering Function Dispatch in Smart Contract to Reduce Invocation Gas Fees</t>
  </si>
  <si>
    <t>Identifying Smart Contract Security Issues in Code Snippets from Stack Overflow</t>
  </si>
  <si>
    <t>Midas: Mining Profitable Exploits in On-Chain Smart Contracts via Feedback-Driven Fuzzing and Differential Analysis</t>
  </si>
  <si>
    <t>ISSTA24</t>
  </si>
  <si>
    <t>Machine Learning for Cross-Vulnerability Prediction in Smart Contracts</t>
  </si>
  <si>
    <t>VeriSol-MCE: Verification-based condition coverage analysis of Smart Contracts using Model Checker Engines</t>
  </si>
  <si>
    <t>ICST24</t>
  </si>
  <si>
    <t>Towards Effective Detection of Ponzi schemes on Ethereum with Contract Runtime Behavior Graph</t>
  </si>
  <si>
    <t>TOSEM24</t>
  </si>
  <si>
    <t>When ChatGPT Meets Smart Contract Vulnerability Detection: How Far Are We?</t>
  </si>
  <si>
    <t>Automating Comment Generation for Smart Contract from Bytecode</t>
  </si>
  <si>
    <t>FunFuzz: A Function-Oriented Fuzzer for Smart Contract Vulnerability Detection with High Effectiveness and Efficiency</t>
  </si>
  <si>
    <t>FunFuzz: A Function-Oriented Fuzzer for Smart Contract Vulnerability Detection with High Effectiveness and Efficiency</t>
  </si>
  <si>
    <t>Semantic-Enriched Code Knowledge Graph to Reveal Unknowns in Smart Contract Code Reuse</t>
  </si>
  <si>
    <t>TOSEM23</t>
  </si>
  <si>
    <t>Research on Smart Contract Vulnerability Detection Method of Power Equipment Based on Deep Learning Algorithm</t>
  </si>
  <si>
    <t>Research on Smart Contract Vulnerability Detection Method of Power Equipment Based on Deep Learning Algorithm</t>
  </si>
  <si>
    <t>TSE24</t>
  </si>
  <si>
    <t>https://link.springer.com/article/10.1007/s10515-024-00471-8</t>
  </si>
  <si>
    <t>Contractsentry: a static analysis tool for smart contract vulnerability detection</t>
  </si>
  <si>
    <t>OpenSCV: an open hierarchical taxonomy for smart contract vulnerabilities</t>
  </si>
  <si>
    <t>https://link.springer.com/article/10.1007/s10664-024-10446-8</t>
  </si>
  <si>
    <t>Adversarial generation method for smart contract fuzz testing seeds guided by chain-based LLM</t>
  </si>
  <si>
    <t>https://link.springer.com/article/10.1007/s10515-024-00483-4</t>
  </si>
  <si>
    <t>Enhancing Oyente: four new vulnerability detections for improved smart contract security analysis</t>
  </si>
  <si>
    <t>https://link.springer.com/article/10.1007/s41870-024-01909-8</t>
  </si>
  <si>
    <t>-</t>
  </si>
  <si>
    <t>EF↯CF: High Performance Smart Contract Fuzzing for Exploit Generation</t>
  </si>
  <si>
    <t>https://ieeexplore.ieee.org/abstract/document/10190543</t>
  </si>
  <si>
    <t>https://dl.acm.org/doi/pdf/10.1145/3597503.3639173</t>
  </si>
  <si>
    <t>https://dl.acm.org/doi/pdf/10.1145/3597503.3639152</t>
  </si>
  <si>
    <t>http://dl.acm.org/doi/pdf/10.1145/3597503.3639128</t>
  </si>
  <si>
    <t>https://dl.acm.org/doi/pdf/10.1145/3597503.3639117</t>
  </si>
  <si>
    <t>https://dl.acm.org/doi/pdf/10.1145/3597503.3639213</t>
  </si>
  <si>
    <t>https://dl.acm.org/doi/pdf/10.1145/3597503.3639225</t>
  </si>
  <si>
    <t>https://dl.acm.org/doi/pdf/10.1145/3597503.3639203</t>
  </si>
  <si>
    <t>https://dl.acm.org/doi/pdf/10.1145/3691620.3695526</t>
  </si>
  <si>
    <t>Uncover the Premeditated Attacks: Detecting Exploitable Reentrancy Vulnerabilities by Identifying Attacker Contracts</t>
  </si>
  <si>
    <t>https://dl.acm.org/doi/pdf/10.1145/3597503.3639153</t>
  </si>
  <si>
    <t>Automated Invariant Generation for Solidity Smart Contracts</t>
  </si>
  <si>
    <t>https://dl.acm.org/doi/pdf/10.1145/3691620.3695361</t>
  </si>
  <si>
    <t>https://dl.acm.org/doi/pdf/10.1145/3691620.3695601</t>
  </si>
  <si>
    <t>https://dl.acm.org/doi/pdf/10.1145/3691620.3695482</t>
  </si>
  <si>
    <t>https://dl.acm.org/doi/pdf/10.1145/3691620.3695349</t>
  </si>
  <si>
    <t>https://dl.acm.org/doi/pdf/10.1145/3691620.3695356</t>
  </si>
  <si>
    <t>https://dl.acm.org/doi/pdf/10.1145/3691620.3695292</t>
  </si>
  <si>
    <t>https://dl.acm.org/doi/pdf/10.1145/3660786</t>
  </si>
  <si>
    <t>https://dl.acm.org/doi/pdf/10.1145/3660772</t>
  </si>
  <si>
    <t>https://dl.acm.org/doi/pdf/10.1145/3650212.3685312</t>
  </si>
  <si>
    <t>https://dl.acm.org/doi/pdf/10.1145/3650212.3680303</t>
  </si>
  <si>
    <t>https://dl.acm.org/doi/pdf/10.1145/3650212.3680391</t>
  </si>
  <si>
    <t>https://dl.acm.org/doi/pdf/10.1145/3650212.3652146</t>
  </si>
  <si>
    <t>https://dl.acm.org/doi/pdf/10.1145/3650212.3680353</t>
  </si>
  <si>
    <t>https://dl.acm.org/doi/pdf/10.1145/3650212.3680321</t>
  </si>
  <si>
    <t>https://ieeexplore.ieee.org/stamp/stamp.jsp?tp=&amp;arnumber=10675812</t>
  </si>
  <si>
    <t>https://ieeexplore.ieee.org/stamp/stamp.jsp?tp=&amp;arnumber=10638567</t>
  </si>
  <si>
    <t>https://dl.acm.org/doi/pdf/10.1145/3707458</t>
  </si>
  <si>
    <t>https://dl.acm.org/doi/pdf/10.1145/3702973</t>
  </si>
  <si>
    <t>https://dl.acm.org/doi/pdf/10.1145/3699597</t>
  </si>
  <si>
    <t>https://dl.acm.org/doi/pdf/10.1145/3637229</t>
  </si>
  <si>
    <t>ASE22</t>
  </si>
  <si>
    <t>ICSE22</t>
  </si>
  <si>
    <t>ISSTA21</t>
  </si>
  <si>
    <t>PrettySmart: Detecting Permission Re-delegation Vulnerability for Token Behaviors in Smart Contracts</t>
  </si>
  <si>
    <t>EMSE</t>
  </si>
  <si>
    <t>IJIT</t>
  </si>
  <si>
    <t>EuroS&amp;P</t>
  </si>
  <si>
    <t>https://dl.acm.org/doi/abs/10.1145/3597503.3639140</t>
  </si>
  <si>
    <t>SmartAxe: Detecting Cross-Chain Vulnerabilities in Bridge Smart Contracts via Fine-Grained Static Analysis</t>
  </si>
  <si>
    <t>Efficiently Detecting Reentrancy Vulnerabilities in Complex Smart Contracts</t>
  </si>
  <si>
    <t>https://dl.acm.org/doi/abs/10.1145/3643738</t>
  </si>
  <si>
    <t>https://dl.acm.org/doi/abs/10.1145/3460319.3469076</t>
  </si>
  <si>
    <t>ISSTA 2022</t>
  </si>
  <si>
    <t>https://ieeexplore.ieee.org/abstract/document/9426396</t>
  </si>
  <si>
    <t>TSE22</t>
  </si>
  <si>
    <t>ASE21</t>
  </si>
  <si>
    <t>TSE21</t>
  </si>
  <si>
    <t>ContractCheck: Checking Ethereum Smart Contracts in Fine-Grained Level</t>
  </si>
  <si>
    <t>https://ieeexplore.ieee.org/abstract/document/10531111</t>
  </si>
  <si>
    <t>SCAnoGenerator: Automatic Anomaly Injection for Ethereum Smart Contracts</t>
  </si>
  <si>
    <t>https://ieeexplore.ieee.org/abstract/document/10684841</t>
  </si>
  <si>
    <t>Towards Trusted Smart Contracts: A Comprehensive Test Suite For Vulnerability Detection</t>
  </si>
  <si>
    <t>CSAFuzzer: Fuzzing smart contracts combining with static analysis</t>
  </si>
  <si>
    <t>https://link.springer.com/article/10.1007/s10664-025-10623-3</t>
  </si>
  <si>
    <t>https://doi.org/10.1145/3702973</t>
  </si>
  <si>
    <t>ACM Trans. Softw. Eng. Methodol.</t>
  </si>
  <si>
    <t>https://doi.org/10.1145/3597503.3639173</t>
  </si>
  <si>
    <t>Proceedings of the IEEE/ACM 46th International Conference on Software Engineering</t>
  </si>
  <si>
    <t>https://doi.org/10.1145/3643734</t>
  </si>
  <si>
    <t>Proc. ACM Softw. Eng.</t>
  </si>
  <si>
    <t>https://doi.org/10.1145/3695864</t>
  </si>
  <si>
    <t>ACM Comput. Surv.</t>
  </si>
  <si>
    <t>https://doi.org/10.1145/3691620.3695601</t>
  </si>
  <si>
    <t>Proceedings of the 39th IEEE/ACM International Conference on Automated Software Engineering</t>
  </si>
  <si>
    <t>SoK: A Unified Data Model for Smart Contract Vulnerability Taxonomies</t>
  </si>
  <si>
    <t>https://doi.org/10.1145/3664476.3664507</t>
  </si>
  <si>
    <t>Proceedings of the 19th International Conference on Availability Reliability and Security</t>
  </si>
  <si>
    <t>https://doi.org/10.1145/3691620.3695349</t>
  </si>
  <si>
    <t>https://doi.org/10.1145/3691620.3695482</t>
  </si>
  <si>
    <t>Demo: Enhancing Smart Contract Security Comprehensively through Dynamic Symbolic Execution</t>
  </si>
  <si>
    <t>https://doi.org/10.1145/3658644.3691365</t>
  </si>
  <si>
    <t>Proceedings of the 2024 on ACM SIGSAC Conference on Computer and Communications Security</t>
  </si>
  <si>
    <t>https://doi.org/10.1145/3597503.3639203</t>
  </si>
  <si>
    <t>https://doi.org/10.1145/3597503.3639213</t>
  </si>
  <si>
    <t>POSTER: Multi-Block Fusion Mechanism for Multi-label Vulnerability Detection in Smart Contracts</t>
  </si>
  <si>
    <t>https://doi.org/10.1145/3634737.3659435</t>
  </si>
  <si>
    <t>Proceedings of the 19th ACM Asia Conference on Computer and Communications Security</t>
  </si>
  <si>
    <t>VulnHunt-GPT: a Smart Contract vulnerabilities detector based on OpenAI chatGPT</t>
  </si>
  <si>
    <t>https://doi.org/10.1145/3605098.3636003</t>
  </si>
  <si>
    <t>Proceedings of the 39th ACM/SIGAPP Symposium on Applied Computing</t>
  </si>
  <si>
    <t>https://doi.org/10.1145/3597503.3639117</t>
  </si>
  <si>
    <t>https://doi.org/10.1145/3643738</t>
  </si>
  <si>
    <t>https://doi.org/10.1145/3691620.3695292</t>
  </si>
  <si>
    <t>https://doi.org/10.1145/3674725</t>
  </si>
  <si>
    <t>https://doi.org/10.1145/3691620.3695526</t>
  </si>
  <si>
    <t>https://doi.org/10.1145/3639478.3643066</t>
  </si>
  <si>
    <t>Proceedings of the 2024 IEEE/ACM 46th International Conference on Software Engineering: Companion Proceedings</t>
  </si>
  <si>
    <t>https://doi.org/10.1145/3660786</t>
  </si>
  <si>
    <t>An Empirical Study of Integer Overflow Detection and False Positive Analysis in Smart Contracts</t>
  </si>
  <si>
    <t>https://doi.org/10.1145/3697355.3697396</t>
  </si>
  <si>
    <t>Proceedings of the 2024 8th International Conference on Big Data and Internet of Things</t>
  </si>
  <si>
    <t>0,5</t>
  </si>
  <si>
    <t>sGuard+: Machine Learning Guided Rule-Based Automated Vulnerability Repair on Smart Contracts</t>
  </si>
  <si>
    <t>https://doi.org/10.1145/3641846</t>
  </si>
  <si>
    <t>https://doi.org/10.1145/3597503.3639140</t>
  </si>
  <si>
    <t>https://doi.org/10.1145/3650212.3680353</t>
  </si>
  <si>
    <t>Proceedings of the 33rd ACM SIGSOFT International Symposium on Software Testing and Analysis</t>
  </si>
  <si>
    <t>Ratel: MPC-extensions for Smart Contracts</t>
  </si>
  <si>
    <t>https://doi.org/10.1145/3634737.3661142</t>
  </si>
  <si>
    <t>https://doi.org/10.1145/3691620.3695356</t>
  </si>
  <si>
    <t>https://doi.org/10.1145/3699597</t>
  </si>
  <si>
    <t>https://doi.org/10.1145/3660772</t>
  </si>
  <si>
    <t>Enhancing Security in Smart Contract Wallets‚ÄØ: An OTP Based 2-Factor Authentication Approach</t>
  </si>
  <si>
    <t>https://doi.org/10.1145/3700838.3700868</t>
  </si>
  <si>
    <t>Proceedings of the 26th International Conference on Distributed Computing and Networking</t>
  </si>
  <si>
    <t>https://doi.org/10.1145/3597503.3639225</t>
  </si>
  <si>
    <t>https://doi.org/10.1145/3597503.3639128</t>
  </si>
  <si>
    <t>Modeling and verification of smart contracts with Abstract State Machines</t>
  </si>
  <si>
    <t>https://doi.org/10.1145/3605098.3636040</t>
  </si>
  <si>
    <t>https://doi.org/10.1145/3643916.3644406</t>
  </si>
  <si>
    <t>Proceedings of the 32nd IEEE/ACM International Conference on Program Comprehension</t>
  </si>
  <si>
    <t>https://doi.org/10.1145/3650212.3680321</t>
  </si>
  <si>
    <t>https://doi.org/10.1145/3597503.3623302</t>
  </si>
  <si>
    <t>https://doi.org/10.1109/ASE56229.2023.00060</t>
  </si>
  <si>
    <t>Proceedings of the 38th IEEE/ACM International Conference on Automated Software Engineering</t>
  </si>
  <si>
    <t>Erinys: Efficient fuzzing by function invoke sequence generation for smart contracts</t>
  </si>
  <si>
    <t>https://doi.org/10.1145/3697355.3697394</t>
  </si>
  <si>
    <t>https://doi.org/10.1145/3691620.3695361</t>
  </si>
  <si>
    <t>https://doi.org/10.1145/3643916.3644426</t>
  </si>
  <si>
    <t>https://doi.org/10.1145/3650212.3685312</t>
  </si>
  <si>
    <t>Formalization and Verification of Delegate Contract Signing Mechanism Based on Smart Contract Using CSP</t>
  </si>
  <si>
    <t>https://doi.org/10.1145/3605098.3636187</t>
  </si>
  <si>
    <t>https://doi.org/10.1145/3650212.3652146</t>
  </si>
  <si>
    <t>https://doi.org/10.1145/3637229</t>
  </si>
  <si>
    <t>https://doi.org/10.1145/3650212.3680303</t>
  </si>
  <si>
    <t>Commodity Traceability in Cross-border E-commerce Based on Blockchain Smart Contracts</t>
  </si>
  <si>
    <t>https://doi.org/10.1145/3697355.3697399</t>
  </si>
  <si>
    <t>https://doi.org/10.1145/3597503.3639152</t>
  </si>
  <si>
    <t>https://doi.org/10.1145/3597503.3623335</t>
  </si>
  <si>
    <t>https://doi.org/10.1109/ASE56229.2023.00142</t>
  </si>
  <si>
    <t>On Identity Transaction and Smart Contract Privacy on Permissioned and Permissionless Blockchain: A Comprehensive Survey</t>
  </si>
  <si>
    <t>https://doi.org/10.1145/3676164</t>
  </si>
  <si>
    <t>Integrating Smart Contracts into Web Infrastructure for Enhanced Loan Management: A Case Study of Kaagapay Cooperative in the Philippines</t>
  </si>
  <si>
    <t>https://doi.org/10.1145/3700706.3700725</t>
  </si>
  <si>
    <t>Proceedings of the 2024 7th International Conference on Information Science and Systems</t>
  </si>
  <si>
    <t>Smart Contract Vulnerabilities Detection using Deep Learning</t>
  </si>
  <si>
    <t>https://doi.org/10.1145/3675888.3676070</t>
  </si>
  <si>
    <t>Proceedings of the 2024 Sixteenth International Conference on Contemporary Computing</t>
  </si>
  <si>
    <t>An Automated Vulnerability Detection Framework for Smart Contracts</t>
  </si>
  <si>
    <t>https://doi.org/10.1145/3705616</t>
  </si>
  <si>
    <t>Distrib. Ledger Technol.</t>
  </si>
  <si>
    <t>A Survey of Ethereum Smart Contract Security: Attacks and Detection</t>
  </si>
  <si>
    <t>https://doi.org/10.1145/3643895</t>
  </si>
  <si>
    <t>Smart Contract Vulnerability Detection: The Role of Large Language Model (LLM)</t>
  </si>
  <si>
    <t>https://doi.org/10.1145/3687251.3687253</t>
  </si>
  <si>
    <t>SIGAPP Appl. Comput. Rev.</t>
  </si>
  <si>
    <t>Smart contract vulnerability detection based on dynamic and static combination</t>
  </si>
  <si>
    <t>https://doi.org/10.1145/3700058.3700123</t>
  </si>
  <si>
    <t>Proceedings of the International Conference on Digital Economy Blockchain and Artificial Intelligence</t>
  </si>
  <si>
    <t>https://doi.org/10.1145/3663533.3664039</t>
  </si>
  <si>
    <t>Proceedings of the 20th International Conference on Predictive Models and Data Analytics in Software Engineering</t>
  </si>
  <si>
    <t>A Comparative Evaluation of Deep Learning Techniques for Smart Contract Vulnerability Classification</t>
  </si>
  <si>
    <t>https://doi.org/10.1145/3703462</t>
  </si>
  <si>
    <t>Practical Verification of Smart Contracts using Memory Splitting</t>
  </si>
  <si>
    <t>https://doi.org/10.1145/3689796</t>
  </si>
  <si>
    <t>VESC: Towards Temporal Verification of Smart Contracts</t>
  </si>
  <si>
    <t>https://doi.org/10.1145/3689491.3689974</t>
  </si>
  <si>
    <t>Companion Proceedings of the 2024 ACM SIGPLAN International Conference on Systems Programming Languages and Applications: Software for Humanity</t>
  </si>
  <si>
    <t>Automated Smart Contract Vulnerability Detection using Fine-tuned Large Language Models</t>
  </si>
  <si>
    <t>https://doi.org/10.1145/3651655.3651658</t>
  </si>
  <si>
    <t>Proceedings of the 2023 6th International Conference on Blockchain Technology and Applications</t>
  </si>
  <si>
    <t>Enhancing Smart Contract Security on VNT Blockchain with an Advanced Graph Neural Network Approach</t>
  </si>
  <si>
    <t>https://doi.org/10.1145/3702359.3702361</t>
  </si>
  <si>
    <t>Proceedings of the 2024 5th International Artificial Intelligence and Blockchain Conference</t>
  </si>
  <si>
    <t>Empirical Study of Impact of Solidity Compiler Updates on Vulnerabilities in Ethereum Smart Contracts</t>
  </si>
  <si>
    <t>https://doi.org/10.1145/3688812</t>
  </si>
  <si>
    <t>Characterizing Ethereum Upgradable Smart Contracts and Their Security Implications</t>
  </si>
  <si>
    <t>https://doi.org/10.1145/3589334.3645640</t>
  </si>
  <si>
    <t>Proceedings of the ACM Web Conference 2024</t>
  </si>
  <si>
    <t>Statically Checking Transaction Ordering Dependency in Ethereum Smart Contracts</t>
  </si>
  <si>
    <t>https://doi.org/10.1145/3659463.3660013</t>
  </si>
  <si>
    <t>Proceedings of the 6th ACM International Symposium on Blockchain and Secure Critical Infrastructure</t>
  </si>
  <si>
    <t>A Smart Contract Based Academic Certificate System</t>
  </si>
  <si>
    <t>https://doi.org/10.1145/3689236.3689325</t>
  </si>
  <si>
    <t>Proceedings of the 2024 9th International Conference on Cyber Security and Information Engineering</t>
  </si>
  <si>
    <t>Consolidating Smart Contracts with Behavioral Contracts</t>
  </si>
  <si>
    <t>https://doi.org/10.1145/3656416</t>
  </si>
  <si>
    <t>Proc. ACM Program. Lang.</t>
  </si>
  <si>
    <t>Gas Consumption Minimization for Dividend Payout Smart Contract</t>
  </si>
  <si>
    <t>https://doi.org/10.1145/3708622.3708627</t>
  </si>
  <si>
    <t>Proceedings of the 2024 7th International Conference on Blockchain Technology and Applications</t>
  </si>
  <si>
    <t>Enhancing Fault Detection in Smart Contract Loops Through Adaptive Probabilistic Sampling</t>
  </si>
  <si>
    <t>https://doi.org/10.1145/3638530.3654283</t>
  </si>
  <si>
    <t>Proceedings of the Genetic and Evolutionary Computation Conference Companion</t>
  </si>
  <si>
    <t>HermHD: Enhancing smart contract security based on code obfuscation</t>
  </si>
  <si>
    <t>https://doi.org/10.1145/3638985.3639001</t>
  </si>
  <si>
    <t>Proceedings of the 2023 11th International Conference on Information Technology: IoT and Smart City</t>
  </si>
  <si>
    <t>Portable Blockchain for System Testing of Solana Smart Contracts</t>
  </si>
  <si>
    <t>https://doi.org/10.1145/3708622.3708633</t>
  </si>
  <si>
    <t>https://doi.org/10.1145/3664646.3664771</t>
  </si>
  <si>
    <t>Proceedings of the 1st ACM International Conference on AI-Powered Software</t>
  </si>
  <si>
    <t>Smart Scan: An Approach to Detect Denial of Service Vulnerability in Ethereum Smart Contracts</t>
  </si>
  <si>
    <t>https://doi.org/10.1145/3650400.3650663</t>
  </si>
  <si>
    <t>Proceedings of the 2023 7th International Conference on Electronic Information Technology and Computer Engineering</t>
  </si>
  <si>
    <t>Sustainable Certification of Local Communities Data through Smart Contracts</t>
  </si>
  <si>
    <t>https://doi.org/10.1145/3677525.3678692</t>
  </si>
  <si>
    <t>Proceedings of the 2024 International Conference on Information Technology for Social Good</t>
  </si>
  <si>
    <t>https://doi.org/10.1145/3607196</t>
  </si>
  <si>
    <t>A Systematic Literature Review on Blockchain-based Smart Contracts: Platforms Applications and Challenges</t>
  </si>
  <si>
    <t>Decentralized Cloud Platform Resource Dynamic Allocation Algorithm for Smart Contracts</t>
  </si>
  <si>
    <t>https://doi.org/10.1145/3689236.3691488</t>
  </si>
  <si>
    <t>ChainSniper: A Machine Learning Approach for Auditing Cross-Chain Smart Contracts</t>
  </si>
  <si>
    <t>https://doi.org/10.1145/3654522.3654577</t>
  </si>
  <si>
    <t>Proceedings of the 2024 9th International Conference on Intelligent Information Technology</t>
  </si>
  <si>
    <t>An Anonymous Cross-Domain Authentication Scheme Based on Blockchain Smart Contracts</t>
  </si>
  <si>
    <t>https://doi.org/10.1145/3712335.3712391</t>
  </si>
  <si>
    <t>Proceedings of the 3rd International Conference on Signal Processing Computer Networks and Communications</t>
  </si>
  <si>
    <t>A Language-independent Quantitative Analysis Method on Conformance between Legal Contract and Smart Contract</t>
  </si>
  <si>
    <t>https://doi.org/10.1145/3653679</t>
  </si>
  <si>
    <t>StateGuard: Detecting State Derailment Defects in Decentralized Exchange Smart Contract</t>
  </si>
  <si>
    <t>https://doi.org/10.1145/3589335.3651562</t>
  </si>
  <si>
    <t>Companion Proceedings of the ACM Web Conference 2024</t>
  </si>
  <si>
    <t>VarLifter: Recovering Variables and Types from Bytecode of Solidity Smart Contracts</t>
  </si>
  <si>
    <t>https://doi.org/10.1145/3689711</t>
  </si>
  <si>
    <t>Advancing Web 3.0: Making Smart Contracts Smarter on Blockchain</t>
  </si>
  <si>
    <t>https://doi.org/10.1145/3589334.3645319</t>
  </si>
  <si>
    <t>Smart Contract Powered Framework for the Next Generation Industry 4.0 Business Model</t>
  </si>
  <si>
    <t>https://doi.org/10.1145/3686167</t>
  </si>
  <si>
    <t>FHE-Rollups: Scaling Confidential Smart Contracts on Ethereum and Beyond</t>
  </si>
  <si>
    <t>https://doi.org/10.1145/3659463.3660031</t>
  </si>
  <si>
    <t>Performance of Smart Contract-based Digital Twins for the Internet of Things</t>
  </si>
  <si>
    <t>https://doi.org/10.1145/3702636.3703442</t>
  </si>
  <si>
    <t>Proceedings of the 2nd International Workshop on Middleware for Digital Twins</t>
  </si>
  <si>
    <t>Commit-Chains Without Smart Contracts for Blockchain Applications in Local Communities</t>
  </si>
  <si>
    <t>https://doi.org/10.1145/3677525.3678664</t>
  </si>
  <si>
    <t>Events Industry in the Web 3.0 Era: Empirical Analysis of Smart Contract Applications from China</t>
  </si>
  <si>
    <t>https://doi.org/10.1145/3691422.3691484</t>
  </si>
  <si>
    <t>Proceedings of the 2024 15th International Conference on E-Business Management and Economics</t>
  </si>
  <si>
    <t>Smart Contract-based Secure Verifiable Random Function using ChaCha20 Sequence in Blockchain</t>
  </si>
  <si>
    <t>https://doi.org/10.1145/3638025.3638028</t>
  </si>
  <si>
    <t>Proceedings of the 2023 5th International Conference on Blockchain Technology</t>
  </si>
  <si>
    <t>Transforming Automatically BPMN Models to Smart Contracts with Nested Trade Transactions (TABS+)</t>
  </si>
  <si>
    <t>https://doi.org/10.1145/3654802</t>
  </si>
  <si>
    <t>EVMBT: A Binary Translation Scheme for Upgrading EVM Smart Contracts to WASM</t>
  </si>
  <si>
    <t>https://doi.org/10.1145/3652032.3657570</t>
  </si>
  <si>
    <t>Proceedings of the 25th ACM SIGPLAN/SIGBED International Conference on Languages Compilers and Tools for Embedded Systems</t>
  </si>
  <si>
    <t>Verifying and Displaying Move Smart Contract Source Code for the Sui Blockchain</t>
  </si>
  <si>
    <t>https://doi.org/10.1145/3639478.3640038</t>
  </si>
  <si>
    <t>An Approach of Monitoring the Vehicle's Condition Based on Blockchain and Smart Contracts</t>
  </si>
  <si>
    <t>https://doi.org/10.1145/3708622.3708623</t>
  </si>
  <si>
    <t>Spectrum: Speedy and Strictly-Deterministic Smart Contract Transactions for Blockchain Ledgers</t>
  </si>
  <si>
    <t>https://doi.org/10.14778/3675034.3675045</t>
  </si>
  <si>
    <t>Proc. VLDB Endow.</t>
  </si>
  <si>
    <t>https://doi.org/10.1145/3595298</t>
  </si>
  <si>
    <t>Blockchain and Smart Contracts for Enhanced Traceability in Cultural and Tourism Industries</t>
  </si>
  <si>
    <t>https://doi.org/10.1145/3686424.3686468</t>
  </si>
  <si>
    <t>Proceedings of the 2024 Guangdong-Hong Kong-Macao Greater Bay Area International Conference on Education Digitalization and Computer Science</t>
  </si>
  <si>
    <t>Research and application of smart contract technology based on blockchain</t>
  </si>
  <si>
    <t>https://doi.org/10.1145/3640912.3640975</t>
  </si>
  <si>
    <t>Proceedings of the 2023 International Conference on Communication Network and Machine Learning</t>
  </si>
  <si>
    <t>Improving integrated medical and elderly care services with blockchain and smart contract</t>
  </si>
  <si>
    <t>https://doi.org/10.1145/3671151.3671180</t>
  </si>
  <si>
    <t>Proceedings of the 5th International Conference on Computer Information and Big Data Applications</t>
  </si>
  <si>
    <t>https://doi.org/10.1145/3663533.3664038</t>
  </si>
  <si>
    <t>A simulator of Solidity-style smart contracts in the theorem prover Agda</t>
  </si>
  <si>
    <t>https://doi.org/10.1145/3651655.3651656</t>
  </si>
  <si>
    <t>Design of the Smart Contract for ‚ÄúBlockchain + Government Big Data‚Äù Sharing</t>
  </si>
  <si>
    <t>https://doi.org/10.1145/3659211.3659290</t>
  </si>
  <si>
    <t>Proceedings of the 2023 4th International Conference on Big Data Economy and Information Management</t>
  </si>
  <si>
    <t>Research on Blockchain Scaling Based on Smart Contracts: Using state channel technology to increase the transaction capacity of the blockchain and proposing a trusted state channel to counter the capacity reduction caused by malicious node attacks</t>
  </si>
  <si>
    <t>https://doi.org/10.1145/3700058.3700102</t>
  </si>
  <si>
    <t>Guarding the Digital Frontier: A Security Assessment of the Smart Contract-Integrated Web-Based Loan Management System for Lending Institutions</t>
  </si>
  <si>
    <t>https://doi.org/10.1145/3664968.3664984</t>
  </si>
  <si>
    <t>Proceedings of the 2024 6th International Conference on Management Science and Industrial Engineering</t>
  </si>
  <si>
    <t>A Blockchain-Infused Web Platform for Smart Contract-Enabled Loan Management in Financial Institutions</t>
  </si>
  <si>
    <t>https://doi.org/10.1145/3674558.3674578</t>
  </si>
  <si>
    <t>Proceedings of the 2024 10th International Conference on Computer Technology Applications</t>
  </si>
  <si>
    <t>https://doi.org/10.1145/3641103</t>
  </si>
  <si>
    <t>ACM Trans. Model. Perform. Eval. Comput. Syst.</t>
  </si>
  <si>
    <t>Digital Evolution in Finance: A Smart Contract-integrated Web-Based Loan Management System for Lending Institutions</t>
  </si>
  <si>
    <t>https://doi.org/10.1145/3641181.3641196</t>
  </si>
  <si>
    <t>Proceedings of the 2024 10th International Conference on Computing and Data Engineering</t>
  </si>
  <si>
    <t>Smart Contract Vulnerability Classification and Severity Approaches</t>
  </si>
  <si>
    <t>https://ieeexplore.ieee.org/stamp/stamp.jsp?arnumber=10583988</t>
  </si>
  <si>
    <t>Conference Proceeding or Workshops</t>
  </si>
  <si>
    <t>2024 IEEE Ural-Siberian Conference on Biomedical Engineering Radioelectronics and Information Technology (USBEREIT)</t>
  </si>
  <si>
    <t>A C/C++ Smart Contract Vulnerability Detection Method Based on Intermediate Value Transformation</t>
  </si>
  <si>
    <t>https://ieeexplore.ieee.org/stamp/stamp.jsp?arnumber=10805477</t>
  </si>
  <si>
    <t>2024 4th International Conference on Blockchain Technology and Information Security (ICBCTIS)</t>
  </si>
  <si>
    <t>A Survey of Vulnerability Detection Techniques by Smart Contract Tools</t>
  </si>
  <si>
    <t>https://ieeexplore.ieee.org/stamp/stamp.jsp?arnumber=10530990</t>
  </si>
  <si>
    <t>SELLM: An Integrated Tool Leveraging Symbolic Execution and LLMS for Smart Contract Vulnerability Detection</t>
  </si>
  <si>
    <t>https://ieeexplore.ieee.org/stamp/stamp.jsp?arnumber=10873603</t>
  </si>
  <si>
    <t>2024 21st International Computer Conference on Wavelet Active Media Technology and Information Processing (ICCWAMTIP)</t>
  </si>
  <si>
    <t>Optimizing Smart Contract Security: A Cost-Sensitive Graph Neural Network Approach for Vulnerability Detection</t>
  </si>
  <si>
    <t>https://ieeexplore.ieee.org/stamp/stamp.jsp?arnumber=10846442</t>
  </si>
  <si>
    <t>2024 International Conference on Electronic Systems and Intelligent Computing (ICESIC)</t>
  </si>
  <si>
    <t>A Survey on Security Analysis Methods of Smart Contracts</t>
  </si>
  <si>
    <t>https://ieeexplore.ieee.org/stamp/stamp.jsp?arnumber=10683998</t>
  </si>
  <si>
    <t>IEEE Transactions on Services Computing</t>
  </si>
  <si>
    <t>Usage of Static Taint Analysis and Auto Rule Generation for Smart Contract Vulnerability Detection</t>
  </si>
  <si>
    <t>https://ieeexplore.ieee.org/stamp/stamp.jsp?arnumber=10827343</t>
  </si>
  <si>
    <t>2024 15th International Conference on Information and Communication Technology Convergence (ICTC)</t>
  </si>
  <si>
    <t>An Integrated Smart Contract Vulnerability Detection Tool Using Multi-Layer Perceptron on Real-Time Solidity Smart Contracts</t>
  </si>
  <si>
    <t>https://ieeexplore.ieee.org/stamp/stamp.jsp?arnumber=10430147</t>
  </si>
  <si>
    <t>0,3</t>
  </si>
  <si>
    <t>An Evaluation of Lightweight CNNs for Smart Contract Vulnerability Detection</t>
  </si>
  <si>
    <t>https://ieeexplore.ieee.org/stamp/stamp.jsp?arnumber=10634424</t>
  </si>
  <si>
    <t>2024 IEEE International Conference on Blockchain and Cryptocurrency (ICBC)</t>
  </si>
  <si>
    <t>Graph Attention Network with LSTM for Smart Contract Vulnerability Detection</t>
  </si>
  <si>
    <t>https://ieeexplore.ieee.org/stamp/stamp.jsp?arnumber=10795412</t>
  </si>
  <si>
    <t>2024 Conference Proceeding or Workshop on Pervasive and Intelligent Computing (PICom)</t>
  </si>
  <si>
    <t>ContractGNN: Ethereum Smart Contract Vulnerability Detection Based on Vulnerability Sub-Graphs and Graph Neural Networks</t>
  </si>
  <si>
    <t>https://ieeexplore.ieee.org/stamp/stamp.jsp?arnumber=10700860</t>
  </si>
  <si>
    <t>IEEE Transactions on Network Science and Engineering</t>
  </si>
  <si>
    <t>Design and Optimization of Smart Contracts for Cross-Domain Sharing of Sensitive Data</t>
  </si>
  <si>
    <t>https://ieeexplore.ieee.org/stamp/stamp.jsp?arnumber=10763577</t>
  </si>
  <si>
    <t>2024 IEEE 30th International Conference on Parallel and Distributed Systems (ICPADS)</t>
  </si>
  <si>
    <t>The Security Paradox of Smart Contracts: Blind Spots and Prospects of Current Detection Strategies</t>
  </si>
  <si>
    <t>https://ieeexplore.ieee.org/stamp/stamp.jsp?arnumber=10580546</t>
  </si>
  <si>
    <t>2024 27th International Conference on Computer Supported Cooperative Work in Design (CSCWD)</t>
  </si>
  <si>
    <t>Vulnerabilities in Smart Contracts: A Detailed Survey of Detection and Mitigation Methodologies</t>
  </si>
  <si>
    <t>https://ieeexplore.ieee.org/stamp/stamp.jsp?arnumber=10544155</t>
  </si>
  <si>
    <t>2024 International Conference on Emerging Technologies in Computer Science for Interdisciplinary Applications (ICETCS)</t>
  </si>
  <si>
    <t>Unity is Strength: Enhancing Precision in Reentrancy Vulnerability Detection of Smart Contract Analysis Tools</t>
  </si>
  <si>
    <t>https://ieeexplore.ieee.org/stamp/stamp.jsp?arnumber=10596931</t>
  </si>
  <si>
    <t>SCcheck: A Novel Graph-Driven and Attention- Enabled Smart Contract Vulnerability Detection Framework for Web 3.0 Ecosystem</t>
  </si>
  <si>
    <t>https://ieeexplore.ieee.org/stamp/stamp.jsp?arnumber=10292506</t>
  </si>
  <si>
    <t>TLSCG: Transfer Learning-Based Efficient Anomalous Smart Contract Generation to Empower Unknown Vulnerability Detection</t>
  </si>
  <si>
    <t>https://ieeexplore.ieee.org/stamp/stamp.jsp?arnumber=10707589</t>
  </si>
  <si>
    <t>2024 IEEE International Conference on Web Services (ICWS)</t>
  </si>
  <si>
    <t>Smart Contract Vulnerabilities and Detection Methods: A Survey</t>
  </si>
  <si>
    <t>https://ieeexplore.ieee.org/stamp/stamp.jsp?arnumber=10724246</t>
  </si>
  <si>
    <t>2024 15th International Conference on Computing Communication and Networking Technologies (ICCCNT)</t>
  </si>
  <si>
    <t>Validating Smart Contracts Using GPT Assistant</t>
  </si>
  <si>
    <t>https://ieeexplore.ieee.org/stamp/stamp.jsp?arnumber=10633647</t>
  </si>
  <si>
    <t>2024 IEEE 48th Annual Computers Software and Applications Conference (COMPSAC)</t>
  </si>
  <si>
    <t>Comprehensive Evaluation of Static Analysis Tools for Their Performance in Finding Vulnerabilities in Java Code</t>
  </si>
  <si>
    <t>https://ieeexplore.ieee.org/stamp/stamp.jsp?arnumber=10500698</t>
  </si>
  <si>
    <t>Smart Contract Reentrancy Vulnerability Detection Based on CNN and LSTM-Attention</t>
  </si>
  <si>
    <t>https://ieeexplore.ieee.org/stamp/stamp.jsp?arnumber=10581851</t>
  </si>
  <si>
    <t>2024 5th International Seminar on Artificial Intelligence Networking and Information Technology (AINIT)</t>
  </si>
  <si>
    <t>Smart Contract Vulnerability Detection Based on Prompt-guided ChatGPT</t>
  </si>
  <si>
    <t>https://ieeexplore.ieee.org/stamp/stamp.jsp?arnumber=10679877</t>
  </si>
  <si>
    <t>2024 International Conference on Networking and Network Applications (NaNA)</t>
  </si>
  <si>
    <t>Smart Contract Vulnerability Detection Based on Machine Learning</t>
  </si>
  <si>
    <t>https://ieeexplore.ieee.org/stamp/stamp.jsp?arnumber=10696331</t>
  </si>
  <si>
    <t>2024 6th International Conference on Electronic Engineering and Informatics (EEI)</t>
  </si>
  <si>
    <t>Advanced Smart Contract Vulnerability Detection Using Large Language Models</t>
  </si>
  <si>
    <t>https://ieeexplore.ieee.org/stamp/stamp.jsp?arnumber=10851734</t>
  </si>
  <si>
    <t>2024 8th Cyber Security in Networking Conference (CSNet)</t>
  </si>
  <si>
    <t>Large-Scale Study of Vulnerability Scanners for Ethereum Smart Contracts</t>
  </si>
  <si>
    <t>https://ieeexplore.ieee.org/stamp/stamp.jsp?arnumber=10646883</t>
  </si>
  <si>
    <t>2024 IEEE Symposium on Security and Privacy (SP)</t>
  </si>
  <si>
    <t>VFIX: Facilitating Software Maintenance of Smart Contracts via Automatically Fixing Vulnerabilities</t>
  </si>
  <si>
    <t>https://ieeexplore.ieee.org/stamp/stamp.jsp?arnumber=10795093</t>
  </si>
  <si>
    <t>2024 IEEE International Conference on Software Maintenance and Evolution (ICSME)</t>
  </si>
  <si>
    <t>Hypeleger Fabric Smart Contract Vulnerability Detection Technology: An Overview</t>
  </si>
  <si>
    <t>https://ieeexplore.ieee.org/stamp/stamp.jsp?arnumber=10605149</t>
  </si>
  <si>
    <t>2024 IEEE 11th International Conference on Cyber Security and Cloud Computing (CSCloud)</t>
  </si>
  <si>
    <t>https://ieeexplore.ieee.org/stamp/stamp.jsp?arnumber=10675812</t>
  </si>
  <si>
    <t>2024 IEEE International Conference on Software Testing Verification and Validation Workshops (ICSTW)</t>
  </si>
  <si>
    <t>Ethereum Smart Contracts Vulnerabilities Detection Leveraging Fine-Tuning DistilBERT</t>
  </si>
  <si>
    <t>https://ieeexplore.ieee.org/stamp/stamp.jsp?arnumber=10830749</t>
  </si>
  <si>
    <t>2024 International Conference on Platform Technology and Service (PlatCon)</t>
  </si>
  <si>
    <t>Smart Contract Vulnerability Detection Based on AST-Augmented Heterogeneous Graphs</t>
  </si>
  <si>
    <t>https://ieeexplore.ieee.org/stamp/stamp.jsp?arnumber=10850061</t>
  </si>
  <si>
    <t>2024 IEEE International Performance Computing and Communications Conference (IPCCC)</t>
  </si>
  <si>
    <t>https://ieeexplore.ieee.org/stamp/stamp.jsp?arnumber=10470681</t>
  </si>
  <si>
    <t>2024 International Conference on Optimization Computing and Wireless Communication (ICOCWC)</t>
  </si>
  <si>
    <t>Elevating Smart Contract Defenses: A Coordinated NLP-Based Strategy for Vulnerability Detection</t>
  </si>
  <si>
    <t>https://ieeexplore.ieee.org/stamp/stamp.jsp?arnumber=10731796</t>
  </si>
  <si>
    <t>2024 IEEE International Conferences on Internet of Things (iThings) and IEEE Green Computing &amp; Communications (GreenCom) and IEEE Cyber Physical &amp; Social Computing (CPSCom) and IEEE Smart Data (SmartData) and IEEE Congress on Cybermatics</t>
  </si>
  <si>
    <t>SCVD-SA: A Smart Contract Vulnerability Detection Method Based on Hybrid Deep Learning Model and Self-attention Mechanism</t>
  </si>
  <si>
    <t>https://ieeexplore.ieee.org/stamp/stamp.jsp?arnumber=10621722</t>
  </si>
  <si>
    <t>2024 IEEE International Conference on Software Analysis Evolution and Reengineering - Companion (SANER-C)</t>
  </si>
  <si>
    <t>FEMD: Feature Enhancement-aided Multimodal Feature Fusion Approach for Smart Contract Vulnerability Detection</t>
  </si>
  <si>
    <t>https://ieeexplore.ieee.org/stamp/stamp.jsp?arnumber=10763613</t>
  </si>
  <si>
    <t>Improving Smart Contract Analysis with Large Language Models: The SLLM System</t>
  </si>
  <si>
    <t>https://ieeexplore.ieee.org/stamp/stamp.jsp?arnumber=10846030</t>
  </si>
  <si>
    <t>2024 IEEE 17th International Conference on Signal Processing (ICSP)</t>
  </si>
  <si>
    <t>A Universal and Efficient Multi-Modal Smart Contract Vulnerability Detection Framework for Big Data</t>
  </si>
  <si>
    <t>https://ieeexplore.ieee.org/stamp/stamp.jsp?arnumber=10535206</t>
  </si>
  <si>
    <t>IEEE Transactions on Big Data</t>
  </si>
  <si>
    <t>Smart Contract Vulnerability Detection via Feature Fusion of Local Data Flow and Global Features</t>
  </si>
  <si>
    <t>https://ieeexplore.ieee.org/stamp/stamp.jsp?arnumber=10885369</t>
  </si>
  <si>
    <t>2024 IEEE International Symposium on Parallel and Distributed Processing with Applications (ISPA)</t>
  </si>
  <si>
    <t>https://ieeexplore.ieee.org/stamp/stamp.jsp?arnumber=10548356</t>
  </si>
  <si>
    <t>2024 IEEE/ACM 46th International Conference on Software Engineering (ICSE)</t>
  </si>
  <si>
    <t>https://ieeexplore.ieee.org/stamp/stamp.jsp?arnumber=10764925</t>
  </si>
  <si>
    <t>2024 39th IEEE/ACM International Conference on Automated Software Engineering (ASE)</t>
  </si>
  <si>
    <t>Robust Vulnerability Detection in Solidity-Based Ethereum Smart Contracts Using Fine-Tuned Transformer Encoder Models</t>
  </si>
  <si>
    <t>https://ieeexplore.ieee.org/stamp/stamp.jsp?arnumber=10720785</t>
  </si>
  <si>
    <t>SERNet-T: A Smart Contract Multi-label Vulnerability Detection Model Based on SE Attention and One-Dimensional Residual Network</t>
  </si>
  <si>
    <t>https://ieeexplore.ieee.org/stamp/stamp.jsp?arnumber=10843662</t>
  </si>
  <si>
    <t>2024 IEEE International Conference on Cognitive Computing and Complex Data (ICCD)</t>
  </si>
  <si>
    <t>Smart Contract Security Vulnerability Through The NIST Cybersecurity Framework 2.0 Perspective</t>
  </si>
  <si>
    <t>https://ieeexplore.ieee.org/stamp/stamp.jsp?arnumber=10877189</t>
  </si>
  <si>
    <t>2024 25th International Arab Conference on Information Technology (ACIT)</t>
  </si>
  <si>
    <t>Demo: Blockchain Shield - Advanced Threat Detection &amp; Forensic Analysis Platform</t>
  </si>
  <si>
    <t>https://ieeexplore.ieee.org/stamp/stamp.jsp?arnumber=10631082</t>
  </si>
  <si>
    <t>2024 IEEE 44th International Conference on Distributed Computing Systems (ICDCS)</t>
  </si>
  <si>
    <t>FFGDetector: Vulnerability Detection in Cross-Contract Feature Flow Graph Using GCN</t>
  </si>
  <si>
    <t>https://ieeexplore.ieee.org/stamp/stamp.jsp?arnumber=10885121</t>
  </si>
  <si>
    <t>GNN-based Ethereum Smart Contract Multi-Label Vulnerability Detection</t>
  </si>
  <si>
    <t>https://ieeexplore.ieee.org/stamp/stamp.jsp?arnumber=10572078</t>
  </si>
  <si>
    <t>2024 International Conference on Information Networking (ICOIN)</t>
  </si>
  <si>
    <t>Improving Smart Contract Security with Contrastive Learning-Based Vulnerability Detection</t>
  </si>
  <si>
    <t>https://ieeexplore.ieee.org/stamp/stamp.jsp?arnumber=10549161</t>
  </si>
  <si>
    <t>Combining Deep Learning and Expert Rules for Smart Contract Vulnerability Detection</t>
  </si>
  <si>
    <t>https://ieeexplore.ieee.org/stamp/stamp.jsp?arnumber=10831120</t>
  </si>
  <si>
    <t>2024 IEEE International Conference on Systems Man and Cybernetics (SMC)</t>
  </si>
  <si>
    <t>Research on Dynamic Detection of Vulnerabilities in Smart Contracts Based on Machine Learning</t>
  </si>
  <si>
    <t>https://ieeexplore.ieee.org/stamp/stamp.jsp?arnumber=10485831</t>
  </si>
  <si>
    <t>2024 IEEE 3rd International Conference on Electrical Engineering Big Data and Algorithms (EEBDA)</t>
  </si>
  <si>
    <t>HyWE: A Hybrid Word Embedding Method for Smart Contract Vulnerability Detection</t>
  </si>
  <si>
    <t>https://ieeexplore.ieee.org/stamp/stamp.jsp?arnumber=10771174</t>
  </si>
  <si>
    <t>2024 IEEE 35th International Symposium on Software Reliability Engineering Workshops (ISSREW)</t>
  </si>
  <si>
    <t>Smart Contract Vulnerability Detection Using Deep Learning Algorithms on EVM bytecode</t>
  </si>
  <si>
    <t>https://ieeexplore.ieee.org/stamp/stamp.jsp?arnumber=10577852</t>
  </si>
  <si>
    <t>2024 13th Mediterranean Conference on Embedded Computing (MECO)</t>
  </si>
  <si>
    <t>On the Road to Proactive Vulnerability Analysis and Mitigation Leveraged by Software Defined Networks: A Systematic Review</t>
  </si>
  <si>
    <t>https://ieeexplore.ieee.org/stamp/stamp.jsp?arnumber=10599429</t>
  </si>
  <si>
    <t>A method for detecting re-entry vulnerabilities in large local area network smart contracts based on eBPF</t>
  </si>
  <si>
    <t>https://ieeexplore.ieee.org/stamp/stamp.jsp?arnumber=10699156</t>
  </si>
  <si>
    <t>2024 4th International Symposium on Computer Technology and Information Science (ISCTIS)</t>
  </si>
  <si>
    <t>https://ieeexplore.ieee.org/stamp/stamp.jsp?arnumber=10319764</t>
  </si>
  <si>
    <t>Blockchain Smart Contract Vulnerability Detection and Segmentation Using ML</t>
  </si>
  <si>
    <t>https://ieeexplore.ieee.org/stamp/stamp.jsp?arnumber=10634473</t>
  </si>
  <si>
    <t>Smart Contract: Tools and Challenges</t>
  </si>
  <si>
    <t>https://ieeexplore.ieee.org/stamp/stamp.jsp?arnumber=10530740</t>
  </si>
  <si>
    <t>Review</t>
  </si>
  <si>
    <t>2024 1st International Conference on Cognitive Green and Ubiquitous Computing (IC-CGU)</t>
  </si>
  <si>
    <t>Understanding and Detecting Privacy Leakage Vulnerabilities in Hyperledger Fabric Chaincodes</t>
  </si>
  <si>
    <t>https://ieeexplore.ieee.org/stamp/stamp.jsp?arnumber=10771204</t>
  </si>
  <si>
    <t>2024 IEEE 35th International Symposium on Software Reliability Engineering (ISSRE)</t>
  </si>
  <si>
    <t>A Qualitative Study on Using ChatGPT for Software Security: Perception vs. Practicality</t>
  </si>
  <si>
    <t>https://ieeexplore.ieee.org/stamp/stamp.jsp?arnumber=10835695</t>
  </si>
  <si>
    <t>2024 IEEE 6th International Conference on Trust Privacy and Security in Intelligent Systems and Applications (TPS-ISA)</t>
  </si>
  <si>
    <t>Formal Verification of ERC-Based Smart Contracts: A Systematic Literature Review</t>
  </si>
  <si>
    <t>https://ieeexplore.ieee.org/stamp/stamp.jsp?arnumber=10833642</t>
  </si>
  <si>
    <t>Smart Contract Vulnerability Detection Under Digital Assets</t>
  </si>
  <si>
    <t>https://ieeexplore.ieee.org/stamp/stamp.jsp?arnumber=10735475</t>
  </si>
  <si>
    <t>2024 4th International Conference on Computer Science and Blockchain (CCSB)</t>
  </si>
  <si>
    <t>https://ieeexplore.ieee.org/stamp/stamp.jsp?arnumber=10764830</t>
  </si>
  <si>
    <t>QuadraCode AI: Smart Contract Vulnerability Detection with Multimodal Representation</t>
  </si>
  <si>
    <t>https://ieeexplore.ieee.org/stamp/stamp.jsp?arnumber=10637655</t>
  </si>
  <si>
    <t>2024 33rd International Conference on Computer Communications and Networks (ICCCN)</t>
  </si>
  <si>
    <t>https://ieeexplore.ieee.org/stamp/stamp.jsp?arnumber=10549149</t>
  </si>
  <si>
    <t>https://ieeexplore.ieee.org/stamp/stamp.jsp?arnumber=10765027</t>
  </si>
  <si>
    <t>https://ieeexplore.ieee.org/stamp/stamp.jsp?arnumber=10554916</t>
  </si>
  <si>
    <t>2024 IEEE/ACM 46th International Conference on Software Engineering: Companion Proceedings (ICSE-Companion)</t>
  </si>
  <si>
    <t>Enhancing Smart Contract Vulnerability Detection using Graph-Based Deep Learning Approaches</t>
  </si>
  <si>
    <t>https://ieeexplore.ieee.org/stamp/stamp.jsp?arnumber=10860016</t>
  </si>
  <si>
    <t>2024 International Conference on Integrated Intelligence and Communication Systems (ICIICS)</t>
  </si>
  <si>
    <t>SCVHUNTER: Smart Contract Vulnerability Detection Based on Heterogeneous Graph Attention Network</t>
  </si>
  <si>
    <t>https://ieeexplore.ieee.org/stamp/stamp.jsp?arnumber=10549623</t>
  </si>
  <si>
    <t>Smart Contract Vulnerability Detection with Self-Ensemble Pre-Trained Language Models</t>
  </si>
  <si>
    <t>https://ieeexplore.ieee.org/stamp/stamp.jsp?arnumber=10607982</t>
  </si>
  <si>
    <t>2024 International Conference on Computer Information and Telecommunication Systems (CITS)</t>
  </si>
  <si>
    <t>Deep Learning-Based Vulnerability Detection Solutions in Smart Contracts: A Comparative and Meta-Analysis of Existing Approaches</t>
  </si>
  <si>
    <t>https://ieeexplore.ieee.org/stamp/stamp.jsp?arnumber=10848097</t>
  </si>
  <si>
    <t>EVM-Shield: In-Contract State Access Control for Fast Vulnerability Detection and Prevention</t>
  </si>
  <si>
    <t>https://ieeexplore.ieee.org/stamp/stamp.jsp?arnumber=10380598</t>
  </si>
  <si>
    <t>IEEE Transactions on Information Forensics and Security</t>
  </si>
  <si>
    <t>Enhancing Transparency in the Peer-to-Peer Transactive Energy Market: Smart Contract Monitoring in Bilateral Negotiations with the Ethereum Platform</t>
  </si>
  <si>
    <t>https://ieeexplore.ieee.org/stamp/stamp.jsp?arnumber=10631949</t>
  </si>
  <si>
    <t>Energy</t>
  </si>
  <si>
    <t>2024 9th International Conference on Technology and Energy Management (ICTEM)</t>
  </si>
  <si>
    <t>Exploring Smart Contracts based on Web 3.0 Applications with respect to Vulnerability Detection Mechanisms</t>
  </si>
  <si>
    <t>https://ieeexplore.ieee.org/stamp/stamp.jsp?arnumber=10560371</t>
  </si>
  <si>
    <t>2024 International Conference on Computing and Data Science (ICCDS)</t>
  </si>
  <si>
    <t>MuFuzz: Sequence-Aware Mutation and Seed Mask Guidance for Blockchain Smart Contract Fuzzing</t>
  </si>
  <si>
    <t>https://ieeexplore.ieee.org/stamp/stamp.jsp?arnumber=10597778</t>
  </si>
  <si>
    <t>2024 IEEE 40th International Conference on Data Engineering (ICDE)</t>
  </si>
  <si>
    <t>Smart Contract Upgradability: A Structured and Natural Approach</t>
  </si>
  <si>
    <t>https://ieeexplore.ieee.org/stamp/stamp.jsp?arnumber=10844407</t>
  </si>
  <si>
    <t>2024 6th International Conference on Blockchain Computing and Applications (BCCA)</t>
  </si>
  <si>
    <t>A Methodology for Vulnerability Assessment and Threat Modelling of an e-Voting Platform Based on Ethereum Blockchain</t>
  </si>
  <si>
    <t>https://ieeexplore.ieee.org/stamp/stamp.jsp?arnumber=10750196</t>
  </si>
  <si>
    <t>Research on link layer vulnerability of master-slave scheduling in industrial control network based on stochastic Petri net</t>
  </si>
  <si>
    <t>https://ieeexplore.ieee.org/stamp/stamp.jsp?arnumber=10624735</t>
  </si>
  <si>
    <t>2024 3rd International Conference on Energy and Power Engineering Control Engineering (EPECE)</t>
  </si>
  <si>
    <t>Static Detection of Missing Validations in Solidity Smart Contracts</t>
  </si>
  <si>
    <t>https://ieeexplore.ieee.org/stamp/stamp.jsp?arnumber=10679381</t>
  </si>
  <si>
    <t>2024 IEEE International Conference on Cyber Security and Resilience (CSR)</t>
  </si>
  <si>
    <t>https://ieeexplore.ieee.org/stamp/stamp.jsp?arnumber=10454763</t>
  </si>
  <si>
    <t>2024 IEEE 21st Consumer Communications &amp; Networking Conference (CCNC)</t>
  </si>
  <si>
    <t>Data Breaches: Financial and Reputational Impacts of Vulnerabilities on Organizations to Enhance Cybersecurity Strategies</t>
  </si>
  <si>
    <t>https://ieeexplore.ieee.org/stamp/stamp.jsp?arnumber=10841577</t>
  </si>
  <si>
    <t>2024 3rd International Conference on Automation Computing and Renewable Systems (ICACRS)</t>
  </si>
  <si>
    <t>Blockchain and Smart Contracts: Evolution</t>
  </si>
  <si>
    <t>10.1109/ICKECS61492.2024.10616652</t>
  </si>
  <si>
    <t>2024 International Conference on Knowledge Engineering and Communication Systems (ICKECS)</t>
  </si>
  <si>
    <t>An Approach to Optimize Symbolic Execution in Ethereum Smart Contracts</t>
  </si>
  <si>
    <t>https://ieeexplore.ieee.org/stamp/stamp.jsp?arnumber=10727001</t>
  </si>
  <si>
    <t>2024 IEEE 24th International Conference on Software Quality Reliability and Security Companion (QRS-C)</t>
  </si>
  <si>
    <t>VulnFusion: Exploiting Multimodal Representations for Advanced Smart Contract Vulnerability Detection</t>
  </si>
  <si>
    <t>https://ieeexplore.ieee.org/stamp/stamp.jsp?arnumber=10844483</t>
  </si>
  <si>
    <t>Systematic Study of Compilers and Vulnerability Scanners Using the Example of Integer Bugs</t>
  </si>
  <si>
    <t>https://ieeexplore.ieee.org/stamp/stamp.jsp?arnumber=10664359</t>
  </si>
  <si>
    <t>2024 IEEE International Conference on Blockchain (Blockchain)</t>
  </si>
  <si>
    <t>MindTheDApp: A Toolchain for Complex Network-Driven Structural Analysis of Ethereum-Based Decentralized Applications</t>
  </si>
  <si>
    <t>https://ieeexplore.ieee.org/stamp/stamp.jsp?arnumber=10436108</t>
  </si>
  <si>
    <t>https://ieeexplore.ieee.org/stamp/stamp.jsp?arnumber=10548754</t>
  </si>
  <si>
    <t>Cyber Risks and Blockchain Security for Digital Forensics</t>
  </si>
  <si>
    <t>https://ieeexplore.ieee.org/stamp/stamp.jsp?arnumber=10576471</t>
  </si>
  <si>
    <t>2024 IEEE 14th Symposium on Computer Applications &amp; Industrial Electronics (ISCAIE)</t>
  </si>
  <si>
    <t>An Approach to Detecting Reentrancy Vulnerabilities in Interacting Smart Contracts Using Model Checking</t>
  </si>
  <si>
    <t>https://ieeexplore.ieee.org/stamp/stamp.jsp?arnumber=10795666</t>
  </si>
  <si>
    <t>2024 IEEE Cyber Science and Technology Congress (CyberSciTech)</t>
  </si>
  <si>
    <t>Anonymous Crime Reporting using Blockchain and Smart Contract</t>
  </si>
  <si>
    <t>https://ieeexplore.ieee.org/stamp/stamp.jsp?arnumber=10607621</t>
  </si>
  <si>
    <t>2024 4th International Conference on Pervasive Computing and Social Networking (ICPCSN)</t>
  </si>
  <si>
    <t>Blockchain Technology and Vulnerability Exploits on Smart Contracts</t>
  </si>
  <si>
    <t>https://ieeexplore.ieee.org/stamp/stamp.jsp?arnumber=10742987</t>
  </si>
  <si>
    <t>2024 11th International Conference on Future Internet of Things and Cloud (FiCloud)</t>
  </si>
  <si>
    <t>Nyx: Detecting Exploitable Front-Running Vulnerabilities in Smart Contracts</t>
  </si>
  <si>
    <t>https://ieeexplore.ieee.org/stamp/stamp.jsp?arnumber=10646603</t>
  </si>
  <si>
    <t>LLMSmartSec: Smart Contract Security Auditing with LLM and Annotated Control Flow Graph</t>
  </si>
  <si>
    <t>https://ieeexplore.ieee.org/stamp/stamp.jsp?arnumber=10664261</t>
  </si>
  <si>
    <t>Major Security Risks and its Alleviating Techniques: Blockchain Web Application Perspectives</t>
  </si>
  <si>
    <t>https://ieeexplore.ieee.org/stamp/stamp.jsp?arnumber=10829120</t>
  </si>
  <si>
    <t>2024 7th International Conference on Contemporary Computing and Informatics (IC3I)</t>
  </si>
  <si>
    <t>A Systematic Review of the Blockchain Technology Security Challenges and Threats Classification</t>
  </si>
  <si>
    <t>https://ieeexplore.ieee.org/stamp/stamp.jsp?arnumber=10844455</t>
  </si>
  <si>
    <t>A Novel Counterfeit-proof</t>
  </si>
  <si>
    <t>10.1109/ICBDS61829.2024.10837369</t>
  </si>
  <si>
    <t>2024 IEEE International Conference on Blockchain and Distributed Systems Security (ICBDS)</t>
  </si>
  <si>
    <t>Advancing Trustworthiness in System-in-Package: A Novel Root-of-Trust Hardware Security Module for Heterogeneous Integration</t>
  </si>
  <si>
    <t>https://ieeexplore.ieee.org/stamp/stamp.jsp?arnumber=10466542</t>
  </si>
  <si>
    <t>FELLMVP: An Ensemble LLM Framework for Classifying Smart Contract Vulnerabilities</t>
  </si>
  <si>
    <t>https://ieeexplore.ieee.org/stamp/stamp.jsp?arnumber=10664408</t>
  </si>
  <si>
    <t>https://ieeexplore.ieee.org/stamp/stamp.jsp?arnumber=10549650</t>
  </si>
  <si>
    <t>Enhancing Blockchain Security</t>
  </si>
  <si>
    <t>https://ieeexplore.ieee.org/stamp/stamp.jsp?arnumber=10651753</t>
  </si>
  <si>
    <t>2024 IEEE Symposium on Wireless Technology &amp; Applications (ISWTA)</t>
  </si>
  <si>
    <t>Initial Attempt at Automated Vulnerability Fixing of Obfuscated Smart Contracts Using a Large Language Model</t>
  </si>
  <si>
    <t>https://ieeexplore.ieee.org/stamp/stamp.jsp?arnumber=10773661</t>
  </si>
  <si>
    <t>2024 IEEE International Conference on Consumer Electronics-Asia (ICCE-Asia)</t>
  </si>
  <si>
    <t>Assessing GitHub Copilot in Solidity Development: Capabilities</t>
  </si>
  <si>
    <t>10.1109/ACCESS.2024.3486365</t>
  </si>
  <si>
    <t>Hunting DeFi Vulnerabilities via Context-Sensitive Concolic Verification</t>
  </si>
  <si>
    <t>https://ieeexplore.ieee.org/stamp/stamp.jsp?arnumber=10554973</t>
  </si>
  <si>
    <t>Why CBDCs Will Likely Not Support Full Smart Contracts: A Requirements Analysis Perspective</t>
  </si>
  <si>
    <t>https://ieeexplore.ieee.org/stamp/stamp.jsp?arnumber=10628652</t>
  </si>
  <si>
    <t>2024 IEEE 32nd International Requirements Engineering Conference Workshops (REW)</t>
  </si>
  <si>
    <t>https://ieeexplore.ieee.org/stamp/stamp.jsp?arnumber=10531111</t>
  </si>
  <si>
    <t>Benchmarking Large Language Models for Ethereum Smart Contract Development</t>
  </si>
  <si>
    <t>https://ieeexplore.ieee.org/stamp/stamp.jsp?arnumber=10732686</t>
  </si>
  <si>
    <t>2024 6th Conference on Blockchain Research &amp; Applications for Innovative Networks and Services (BRAINS)</t>
  </si>
  <si>
    <t>Detecting Smart Contract Vulnerabilities based on Fusing Semantic and Syntax Structure Information</t>
  </si>
  <si>
    <t>https://ieeexplore.ieee.org/stamp/stamp.jsp?arnumber=10885229</t>
  </si>
  <si>
    <t>SmartInv: Multimodal Learning for Smart Contract Invariant Inference</t>
  </si>
  <si>
    <t>https://ieeexplore.ieee.org/stamp/stamp.jsp?arnumber=10646885</t>
  </si>
  <si>
    <t>A Survey of Mutation Based Testing Adequacy Study on Smart Contract</t>
  </si>
  <si>
    <t>https://ieeexplore.ieee.org/stamp/stamp.jsp?arnumber=10818333</t>
  </si>
  <si>
    <t>2024 11th International Conference on Dependable Systems and Their Applications (DSA)</t>
  </si>
  <si>
    <t>https://ieeexplore.ieee.org/stamp/stamp.jsp?arnumber=10764946</t>
  </si>
  <si>
    <t>Security Analysis of UAV Swarm Based on Smart Contracts</t>
  </si>
  <si>
    <t>https://ieeexplore.ieee.org/stamp/stamp.jsp?arnumber=10659787</t>
  </si>
  <si>
    <t>2024 International Conference on Intelligent Computing and Robotics (ICICR)</t>
  </si>
  <si>
    <t>Involuntary Transfer: A Vulnerability Pattern in Smart Contracts</t>
  </si>
  <si>
    <t>https://ieeexplore.ieee.org/stamp/stamp.jsp?arnumber=10385052</t>
  </si>
  <si>
    <t>Poster: VeriSol-MCE: Verification-Based Condition Coverage Analysis of Smart Contracts Using Model Checker Engines</t>
  </si>
  <si>
    <t>https://ieeexplore.ieee.org/stamp/stamp.jsp?arnumber=10638567</t>
  </si>
  <si>
    <t>2024 Conference Proceeding or Workshop on Software Testing Verification and Validation (ICST)</t>
  </si>
  <si>
    <t>https://ieeexplore.ieee.org/stamp/stamp.jsp?arnumber=10549285</t>
  </si>
  <si>
    <t>Logs2Vul: Vulnerability Detection from Logs for CSPM</t>
  </si>
  <si>
    <t>https://ieeexplore.ieee.org/stamp/stamp.jsp?arnumber=10469167</t>
  </si>
  <si>
    <t>2024 Fourth International Conference on Advances in Electrical Computing Communication and Sustainable Technologies (ICAECT)</t>
  </si>
  <si>
    <t>Blockchain-Based Data Integrity Verification</t>
  </si>
  <si>
    <t>https://ieeexplore.ieee.org/stamp/stamp.jsp?arnumber=10805414</t>
  </si>
  <si>
    <t>Votereum: Blockchain based Secure Voting System</t>
  </si>
  <si>
    <t>https://ieeexplore.ieee.org/stamp/stamp.jsp?arnumber=10607660</t>
  </si>
  <si>
    <t>GLM-Rf: Malicious smart contract static detection scheme based on GLM and Random forest</t>
  </si>
  <si>
    <t>https://ieeexplore.ieee.org/stamp/stamp.jsp?arnumber=10580616</t>
  </si>
  <si>
    <t>Semantic Sleuth: Identifying Ponzi Contracts via Large Language Models</t>
  </si>
  <si>
    <t>Security Assessment Framework and Evaluation for Blockchain Applications (SAFE-Block)</t>
  </si>
  <si>
    <t>https://ieeexplore.ieee.org/stamp/stamp.jsp?arnumber=10837302</t>
  </si>
  <si>
    <t>https://ieeexplore.ieee.org/stamp/stamp.jsp?arnumber=9795233</t>
  </si>
  <si>
    <t>A security framework for 5G-enabled wireless sensor networks based on blockchain technology</t>
  </si>
  <si>
    <t>https://ieeexplore.ieee.org/stamp/stamp.jsp?arnumber=10617316</t>
  </si>
  <si>
    <t>SVM Machine Learning Model for Detection of Etherlock Vulnerability in Solidity Smart Contracts</t>
  </si>
  <si>
    <t>https://ieeexplore.ieee.org/stamp/stamp.jsp?arnumber=10844475</t>
  </si>
  <si>
    <t>Detecting Unknown Threats in Smart Contracts With Domain Adaptation</t>
  </si>
  <si>
    <t>https://ieeexplore.ieee.org/stamp/stamp.jsp?arnumber=10664396</t>
  </si>
  <si>
    <t>2024 IEEE International Conference on Software Services Engineering (SSE)</t>
  </si>
  <si>
    <t>Detection of Phantom Reads in Hyperledger Fabric</t>
  </si>
  <si>
    <t>https://ieeexplore.ieee.org/stamp/stamp.jsp?arnumber=10549518</t>
  </si>
  <si>
    <t>WASMGuard - Security framework for WASM-based Smart Contracts</t>
  </si>
  <si>
    <t>https://ieeexplore.ieee.org/stamp/stamp.jsp?arnumber=10722161</t>
  </si>
  <si>
    <t>2024 23rd RoEduNet Conference: Networking in Education and Research (RoEduNet)</t>
  </si>
  <si>
    <t>SICode: Embedding-Based Subgraph Isomorphism Identification for Bug Detection</t>
  </si>
  <si>
    <t>https://ieeexplore.ieee.org/stamp/stamp.jsp?arnumber=10556446</t>
  </si>
  <si>
    <t>2024 IEEE/ACM 32nd International Conference on Program Comprehension (ICPC)</t>
  </si>
  <si>
    <t>A Study Of Scalable Solutions For Smart Contracts Performance</t>
  </si>
  <si>
    <t>https://ieeexplore.ieee.org/stamp/stamp.jsp?arnumber=10757239</t>
  </si>
  <si>
    <t>2024 8th International Symposium on Multidisciplinary Studies and Innovative Technologies (ISMSIT)</t>
  </si>
  <si>
    <t>https://ieeexplore.ieee.org/stamp/stamp.jsp?arnumber=10765039</t>
  </si>
  <si>
    <t>A Systematic Literature Review of Security and Privacy Solutions for the Metaverse</t>
  </si>
  <si>
    <t>https://ieeexplore.ieee.org/stamp/stamp.jsp?arnumber=10883817</t>
  </si>
  <si>
    <t>2024 11th International Conference on Social Networks Analysis Management and Security (SNAMS)</t>
  </si>
  <si>
    <t>Communications Security in Industry X: A Survey</t>
  </si>
  <si>
    <t>https://ieeexplore.ieee.org/stamp/stamp.jsp?arnumber=10409579</t>
  </si>
  <si>
    <t>IEEE Open Journal of the Communications Society</t>
  </si>
  <si>
    <t>A Conceptual Model for Diploma Verification in Education: Leveraging NFTs and Dynamic Smart Contracts</t>
  </si>
  <si>
    <t>https://ieeexplore.ieee.org/stamp/stamp.jsp?arnumber=10699024</t>
  </si>
  <si>
    <t>2024 International Conference on Information Technology Research and Innovation (ICITRI)</t>
  </si>
  <si>
    <t>https://ieeexplore.ieee.org/stamp/stamp.jsp?arnumber=10548588</t>
  </si>
  <si>
    <t>EvoFuzzer: An Evolutionary Fuzzer for Detecting Reentrancy Vulnerability in Smart Contracts</t>
  </si>
  <si>
    <t>https://ieeexplore.ieee.org/stamp/stamp.jsp?arnumber=10643322</t>
  </si>
  <si>
    <t>A Framework for Blockchain-Enabled Smart Contract Management System of Arms and Ammunition for Defence Industry</t>
  </si>
  <si>
    <t>https://ieeexplore.ieee.org/stamp/stamp.jsp?arnumber=10522135</t>
  </si>
  <si>
    <t>2024 11th International Conference on Reliability Infocom Technologies and Optimization (Trends and Future Directions) (ICRITO)</t>
  </si>
  <si>
    <t>A Smart-Contract-Based Policy-Domain Access Control Framework for Distributed Industrial IoT</t>
  </si>
  <si>
    <t>https://ieeexplore.ieee.org/stamp/stamp.jsp?arnumber=10305075</t>
  </si>
  <si>
    <t>https://ieeexplore.ieee.org/stamp/stamp.jsp?arnumber=10197172</t>
  </si>
  <si>
    <t>PrettySmart: Detecting Permission Re-Delegation Vulnerability for Token Behaviors in Smart Contracts</t>
  </si>
  <si>
    <t>https://ieeexplore.ieee.org/stamp/stamp.jsp?arnumber=10549644</t>
  </si>
  <si>
    <t>EdgeLinker: Practical Blockchain-based Framework for Healthcare Fog Applications to Enhance Security in Edge-IoT Data Communications</t>
  </si>
  <si>
    <t>https://ieeexplore.ieee.org/stamp/stamp.jsp?arnumber=10745419</t>
  </si>
  <si>
    <t>2024 5th CPSSI International Symposium on Cyber-Physical Systems (Applications and Theory) (CPSAT)</t>
  </si>
  <si>
    <t>A Verification of Digital Certificate Forgery Using Blockchain Technology and Smart Contract</t>
  </si>
  <si>
    <t>https://ieeexplore.ieee.org/stamp/stamp.jsp?arnumber=10810617</t>
  </si>
  <si>
    <t>2024 8th International Conference on Information Technology (InCIT)</t>
  </si>
  <si>
    <t>Exploring Security in Cryptocurrency: Challenges</t>
  </si>
  <si>
    <t>10.1109/ICISS62896.2024.10751129</t>
  </si>
  <si>
    <t>2024 International Conference on ICT for Smart Society (ICISS)</t>
  </si>
  <si>
    <t>Enhanced Lightweight Medical Sensor Networks Authentication Scheme Based on Blockchain</t>
  </si>
  <si>
    <t>https://ieeexplore.ieee.org/stamp/stamp.jsp?arnumber=10460552</t>
  </si>
  <si>
    <t>When Contracts Meets Crypto: Exploring Developers' Struggles with Ethereum Cryptographic APIs</t>
  </si>
  <si>
    <t>https://ieeexplore.ieee.org/stamp/stamp.jsp?arnumber=10548685</t>
  </si>
  <si>
    <t>Securing Blockchain-Based IoT Systems: A Review</t>
  </si>
  <si>
    <t>https://ieeexplore.ieee.org/stamp/stamp.jsp?arnumber=10599255</t>
  </si>
  <si>
    <t>Securing Supply Chains: Ethical Hacking in Logistics and Distribution</t>
  </si>
  <si>
    <t>https://ieeexplore.ieee.org/stamp/stamp.jsp?arnumber=10816886</t>
  </si>
  <si>
    <t>2024 8th International Conference on Computational System and Information Technology for Sustainable Solutions (CSITSS)</t>
  </si>
  <si>
    <t>Blockchain-Enhanced Academic Certificate Verification: A Decentralized and Trustworthy Framework</t>
  </si>
  <si>
    <t>https://ieeexplore.ieee.org/stamp/stamp.jsp?arnumber=10499524</t>
  </si>
  <si>
    <t>2024 International Conference on Advances in Computing Communication Electrical and Smart Systems (iCACCESS)</t>
  </si>
  <si>
    <t>https://ieeexplore.ieee.org/stamp/stamp.jsp?arnumber=10556443</t>
  </si>
  <si>
    <t>EduDocs: Document Verification using Blockchain</t>
  </si>
  <si>
    <t>https://ieeexplore.ieee.org/stamp/stamp.jsp?arnumber=10837395</t>
  </si>
  <si>
    <t>Innovative Blockchain Protocol for Enhancing Transaction Security and Integrity in Decentralized Financial Ecosystems</t>
  </si>
  <si>
    <t>https://ieeexplore.ieee.org/stamp/stamp.jsp?arnumber=10691288</t>
  </si>
  <si>
    <t>2024 International Conference on Data Science and Network Security (ICDSNS)</t>
  </si>
  <si>
    <t>DevSec-GPT ‚Äî Generative-AI (with Custom-Trained Meta's Llama2 LLM)</t>
  </si>
  <si>
    <t>10.1109/Cloud-Summit61220.2024.00012</t>
  </si>
  <si>
    <t>2024 IEEE Cloud Summit</t>
  </si>
  <si>
    <t>https://ieeexplore.ieee.org/stamp/stamp.jsp?arnumber=10764891</t>
  </si>
  <si>
    <t>Blockchain-Based Joint Ownership Group Formation</t>
  </si>
  <si>
    <t>https://ieeexplore.ieee.org/stamp/stamp.jsp?arnumber=10784448</t>
  </si>
  <si>
    <t>2024 IEEE International Conference on e-Business Engineering (ICEBE)</t>
  </si>
  <si>
    <t>The Analysis of Financial Network Transaction Risk Control Based on Blockchain and Edge Computing Technology</t>
  </si>
  <si>
    <t>https://ieeexplore.ieee.org/stamp/stamp.jsp?arnumber=10432773</t>
  </si>
  <si>
    <t>IEEE Transactions on Engineering Management</t>
  </si>
  <si>
    <t>EVOTE: A Decentralized Blockchain - Based Electoral Platformfor Upcoming Elections</t>
  </si>
  <si>
    <t>https://ieeexplore.ieee.org/stamp/stamp.jsp?arnumber=10774963</t>
  </si>
  <si>
    <t>2024 IEEE North Karnataka Subsection Flagship International Conference (NKCon)</t>
  </si>
  <si>
    <t>Crowdfunding Using Non-Fungible Tokens</t>
  </si>
  <si>
    <t>https://ieeexplore.ieee.org/stamp/stamp.jsp?arnumber=10625544</t>
  </si>
  <si>
    <t>2024 2nd International Conference on Sustainable Computing and Smart Systems (ICSCSS)</t>
  </si>
  <si>
    <t>Enhancing Patients Privacy in Healthcare Records with Blockchain Technology</t>
  </si>
  <si>
    <t>https://ieeexplore.ieee.org/stamp/stamp.jsp?arnumber=10726265</t>
  </si>
  <si>
    <t>A Blockchain-Enhanced Secure and Reliable Data Transaction Scheme in MAS via HTLC</t>
  </si>
  <si>
    <t>https://ieeexplore.ieee.org/stamp/stamp.jsp?arnumber=10595264</t>
  </si>
  <si>
    <t>2024 3rd Conference on Fully Actuated System Theory and Applications (FASTA)</t>
  </si>
  <si>
    <t>Business Compliance Detection of Smart Contracts in Electricity and Carbon Trading Scenarios</t>
  </si>
  <si>
    <t>https://ieeexplore.ieee.org/stamp/stamp.jsp?arnumber=10771465</t>
  </si>
  <si>
    <t>Decentralized Consensus Protocol for Securing IoT Networks Using Blockchain Technology</t>
  </si>
  <si>
    <t>https://ieeexplore.ieee.org/stamp/stamp.jsp?arnumber=10714694</t>
  </si>
  <si>
    <t>2024 8th International Conference on I-SMAC (IoT in Social Mobile Analytics and Cloud) (I-SMAC)</t>
  </si>
  <si>
    <t>Threat Modeling and Attack Simulation of Charging Infrastructures in Electric Vehicles</t>
  </si>
  <si>
    <t>https://ieeexplore.ieee.org/stamp/stamp.jsp?arnumber=10725968</t>
  </si>
  <si>
    <t>DAppSCAN: Building Large-Scale Datasets for Smart Contract Weaknesses in DApp Projects</t>
  </si>
  <si>
    <t>https://ieeexplore.ieee.org/stamp/stamp.jsp?arnumber=10486822</t>
  </si>
  <si>
    <t>Endogenous Security Formal Definition</t>
  </si>
  <si>
    <t>10.26599/TST.2023.9010034</t>
  </si>
  <si>
    <t>Tsinghua Science and Technology</t>
  </si>
  <si>
    <t>Utilizing IOTA Distributed Ledger Platform for Security in Model Predictive Frequency Control System of Microgrid</t>
  </si>
  <si>
    <t>https://ieeexplore.ieee.org/stamp/stamp.jsp?arnumber=10840950</t>
  </si>
  <si>
    <t>2024 11th International Conference on Power and Energy Systems Engineering (CPESE)</t>
  </si>
  <si>
    <t>Blockchain-Based Secure Authentication and Authorization Framework for Robust 5G Network Slicing</t>
  </si>
  <si>
    <t>https://ieeexplore.ieee.org/stamp/stamp.jsp?arnumber=10564203</t>
  </si>
  <si>
    <t>ConFuzz: Towards Large Scale Fuzz Testing of Smart Contracts in Ethereum</t>
  </si>
  <si>
    <t>https://ieeexplore.ieee.org/stamp/stamp.jsp?arnumber=10621414</t>
  </si>
  <si>
    <t>IEEE INFOCOM 2024 - Conference Proceeding or Workshop on Computer Communications</t>
  </si>
  <si>
    <t>Versioned Analysis of Software Quality Indicators and Self-admitted Technical Debt in Ethereum Smart Contracts with Ethstractor</t>
  </si>
  <si>
    <t>https://ieeexplore.ieee.org/stamp/stamp.jsp?arnumber=10664358</t>
  </si>
  <si>
    <t>https://ieeexplore.ieee.org/stamp/stamp.jsp?arnumber=10684841</t>
  </si>
  <si>
    <t>Classification Method of Ethereum Smart Contracts Based on Statistical Model Checking</t>
  </si>
  <si>
    <t>https://ieeexplore.ieee.org/stamp/stamp.jsp?arnumber=10684679</t>
  </si>
  <si>
    <t>2024 IEEE 24th International Conference on Software Quality Reliability and Security (QRS)</t>
  </si>
  <si>
    <t>Blockchain-Based REC System for Improving the Aspects of Procedural Complexity and Cyber Security</t>
  </si>
  <si>
    <t>https://ieeexplore.ieee.org/stamp/stamp.jsp?arnumber=10445470</t>
  </si>
  <si>
    <t>A Concurrent Smart Contract Model</t>
  </si>
  <si>
    <t>https://ieeexplore.ieee.org/stamp/stamp.jsp?arnumber=10805438</t>
  </si>
  <si>
    <t>Using Mutation Testing To Improve and Minimize Test Suites for Smart Contracts</t>
  </si>
  <si>
    <t>https://ieeexplore.ieee.org/stamp/stamp.jsp?arnumber=10638573</t>
  </si>
  <si>
    <t>Deploying a Cryptocurrency Technique Using Hashing and Web Integration</t>
  </si>
  <si>
    <t>https://ieeexplore.ieee.org/stamp/stamp.jsp?arnumber=10522142</t>
  </si>
  <si>
    <t>Blockchain-based Cryptocurrency Security Analysis Technology - A Review</t>
  </si>
  <si>
    <t>https://ieeexplore.ieee.org/stamp/stamp.jsp?arnumber=10544557</t>
  </si>
  <si>
    <t>2024 International Conference on Inventive Computation Technologies (ICICT)</t>
  </si>
  <si>
    <t>Blockchain-Based KYC Model for Credit Allocation in Banking</t>
  </si>
  <si>
    <t>https://ieeexplore.ieee.org/stamp/stamp.jsp?arnumber=10550908</t>
  </si>
  <si>
    <t>RSHealth: A Ring Signature Scheme for Identity Anonymization and Transaction Privacy in Blockchain Based E-Healthcare Systems</t>
  </si>
  <si>
    <t>https://ieeexplore.ieee.org/stamp/stamp.jsp?arnumber=10623667</t>
  </si>
  <si>
    <t>SolMover: Feasibility of Using LLMs for Translating Smart Contracts</t>
  </si>
  <si>
    <t>https://ieeexplore.ieee.org/stamp/stamp.jsp?arnumber=10634392</t>
  </si>
  <si>
    <t>https://ieeexplore.ieee.org/stamp/stamp.jsp?arnumber=10764825</t>
  </si>
  <si>
    <t>Distributed Ledger Credential Verification System Based on Design Thinking Approach</t>
  </si>
  <si>
    <t>https://ieeexplore.ieee.org/stamp/stamp.jsp?arnumber=10612686</t>
  </si>
  <si>
    <t>2024 International Conference on Expert Clouds and Applications (ICOECA)</t>
  </si>
  <si>
    <t>Verification and Validation of Product Warranty Using Blockchain</t>
  </si>
  <si>
    <t>https://ieeexplore.ieee.org/stamp/stamp.jsp?arnumber=10717121</t>
  </si>
  <si>
    <t>2024 10th International Conference on Advanced Computing and Communication Systems (ICACCS)</t>
  </si>
  <si>
    <t>On the Utilization of Blockchain and Smart Contracts in Charging Coordination of Roadway-Powered Electric Vehicles</t>
  </si>
  <si>
    <t>https://ieeexplore.ieee.org/stamp/stamp.jsp?arnumber=10415385</t>
  </si>
  <si>
    <t>Secure IoT with Blockchain for Industrial Application</t>
  </si>
  <si>
    <t>https://ieeexplore.ieee.org/stamp/stamp.jsp?arnumber=10724469</t>
  </si>
  <si>
    <t>An Application of Mobile based Secure Medical Record Sharing</t>
  </si>
  <si>
    <t>https://ieeexplore.ieee.org/stamp/stamp.jsp?arnumber=10533334</t>
  </si>
  <si>
    <t>2024 10th International Conference on Web Research (ICWR)</t>
  </si>
  <si>
    <t>Secure OTA Software Updates for Connected Vehicles Using LoRaWAN and Blockchain</t>
  </si>
  <si>
    <t>https://ieeexplore.ieee.org/stamp/stamp.jsp?arnumber=10726901</t>
  </si>
  <si>
    <t>Secure Disaster Management with Blockchain-based Mutual Authentication and Machine Learning for Drought Prediction</t>
  </si>
  <si>
    <t>https://ieeexplore.ieee.org/stamp/stamp.jsp?arnumber=10823584</t>
  </si>
  <si>
    <t>2024 7th International Conference on Internet Applications Protocols and Services (NETAPPS)</t>
  </si>
  <si>
    <t>Decentralized Applications for Agricultural Supply Chain: Exploring the Potential on the Ethereum Blockchain using Smart Contracts</t>
  </si>
  <si>
    <t>https://ieeexplore.ieee.org/stamp/stamp.jsp?arnumber=10837474</t>
  </si>
  <si>
    <t>A Systematic Review of Blockchain Applications in Pharmaceutical Supply Chain Traceability and Security</t>
  </si>
  <si>
    <t>https://ieeexplore.ieee.org/stamp/stamp.jsp?arnumber=10754349</t>
  </si>
  <si>
    <t>2024 10th International Conference on Optimization and Applications (ICOA)</t>
  </si>
  <si>
    <t>Blockchain-Based Coal Mining Concession Production Monitoring System</t>
  </si>
  <si>
    <t>https://ieeexplore.ieee.org/stamp/stamp.jsp?arnumber=10761749</t>
  </si>
  <si>
    <t>2024 2nd International Conference on Technology Innovation and Its Applications (ICTIIA)</t>
  </si>
  <si>
    <t>A Tender Management System Using Blockchain and IPFS</t>
  </si>
  <si>
    <t>https://ieeexplore.ieee.org/stamp/stamp.jsp?arnumber=10816990</t>
  </si>
  <si>
    <t>Unravelling Ethical Dimensions in Blockchain Technology: A Comprehensive Analysis</t>
  </si>
  <si>
    <t>https://ieeexplore.ieee.org/stamp/stamp.jsp?arnumber=10603151</t>
  </si>
  <si>
    <t>2024 4th Interdisciplinary Conference on Electrics and Computer (INTCEC)</t>
  </si>
  <si>
    <t>Strengthening IoT Security in Smart Cities: ServiceNow Vulnerability Response Framework with Blockchain and AI</t>
  </si>
  <si>
    <t>https://ieeexplore.ieee.org/stamp/stamp.jsp?arnumber=10865379</t>
  </si>
  <si>
    <t>2024 8th International Conference on Electrical Telecommunication and Computer Engineering (ELTICOM)</t>
  </si>
  <si>
    <t>Blockchain Programming Languages Vulnerabilities and Error Mitigation Strategies</t>
  </si>
  <si>
    <t>https://ieeexplore.ieee.org/stamp/stamp.jsp?arnumber=10645154</t>
  </si>
  <si>
    <t>2024 11th International Conference on Electrical Electronic and Computing Engineering (IcETRAN)</t>
  </si>
  <si>
    <t>https://ieeexplore.ieee.org/stamp/stamp.jsp?arnumber=10025570</t>
  </si>
  <si>
    <t>0,6</t>
  </si>
  <si>
    <t>IEEE Transactions on Reliability</t>
  </si>
  <si>
    <t>Feasibility of Test-Driven Development in Agile Blockchain Smart Contract Development: A Comprehensive Analysis</t>
  </si>
  <si>
    <t>https://ieeexplore.ieee.org/stamp/stamp.jsp?arnumber=10742781</t>
  </si>
  <si>
    <t>2024 First International Conference on Technological Innovations and Advance Computing (TIACOMP)</t>
  </si>
  <si>
    <t>Wappler: Sound Reachability Analysis for WebAssembly</t>
  </si>
  <si>
    <t>https://ieeexplore.ieee.org/stamp/stamp.jsp?arnumber=10664302</t>
  </si>
  <si>
    <t>2024 IEEE 37th Computer Security Foundations Symposium (CSF)</t>
  </si>
  <si>
    <t>Blockchain-Secure Gaming Environments: A Comprehensive Survey</t>
  </si>
  <si>
    <t>https://ieeexplore.ieee.org/stamp/stamp.jsp?arnumber=10772467</t>
  </si>
  <si>
    <t>IoT Security Challenges in Healthcare: Navigating Risks</t>
  </si>
  <si>
    <t>2024 International Conference on Emerging Innovations and Advanced Computing (INNOCOMP)</t>
  </si>
  <si>
    <t>Research on Software Supply Chain Security Assurance Mechanism System Based on Blockchain Technology</t>
  </si>
  <si>
    <t>https://ieeexplore.ieee.org/stamp/stamp.jsp?arnumber=10874292</t>
  </si>
  <si>
    <t>2024 4th International Signal Processing Communications and Engineering Management Conference (ISPCEM)</t>
  </si>
  <si>
    <t>An Efficient Solution for the Collusion Problem of DECO</t>
  </si>
  <si>
    <t>https://ieeexplore.ieee.org/stamp/stamp.jsp?arnumber=10779230</t>
  </si>
  <si>
    <t>2024 17th International Conference on Information Security and Cryptology (ISCT√ºrkiye)</t>
  </si>
  <si>
    <t>Blockchain Voting: A Solution to the Challenges of Traditional Electoral Systems</t>
  </si>
  <si>
    <t>https://ieeexplore.ieee.org/stamp/stamp.jsp?arnumber=10796778</t>
  </si>
  <si>
    <t>2024 First International Conference on Software Systems and Information Technology (SSITCON)</t>
  </si>
  <si>
    <t>Blockchain-Based Comparative Analysis of E-Voting Systems: A Review</t>
  </si>
  <si>
    <t>https://ieeexplore.ieee.org/stamp/stamp.jsp?arnumber=10507924</t>
  </si>
  <si>
    <t>2024 International Conference on Advancements in Smart Secure and Intelligent Computing (ASSIC)</t>
  </si>
  <si>
    <t>DeFiScanner: Spotting DeFi Attacks Exploiting Logic Vulnerabilities on Blockchain</t>
  </si>
  <si>
    <t>https://ieeexplore.ieee.org/stamp/stamp.jsp?arnumber=9996367</t>
  </si>
  <si>
    <t>IEEE Transactions on Computational Social Systems</t>
  </si>
  <si>
    <t>https://ieeexplore.ieee.org/stamp/stamp.jsp?arnumber=10556456</t>
  </si>
  <si>
    <t>MoveHelper: Reverse Engineering for Move Smart Contract Bytecode</t>
  </si>
  <si>
    <t>https://ieeexplore.ieee.org/stamp/stamp.jsp?arnumber=10744092</t>
  </si>
  <si>
    <t>2024 Sixth International Conference on Next Generation Data-driven Networks (NGDN)</t>
  </si>
  <si>
    <t>GreenLand: A Secure Land Registration Scheme for Blockchain and AI-Enabled Agriculture Industry 5.0</t>
  </si>
  <si>
    <t>https://ieeexplore.ieee.org/stamp/stamp.jsp?arnumber=10658643</t>
  </si>
  <si>
    <t>Sustainable Solutions for Emerging Issues in Wireless Technology</t>
  </si>
  <si>
    <t>https://ieeexplore.ieee.org/stamp/stamp.jsp?arnumber=10836336</t>
  </si>
  <si>
    <t>2024 International Conference on Decision Aid Sciences and Applications (DASA)</t>
  </si>
  <si>
    <t>PaVM: A Parallel Virtual Machine for Smart Contract Execution and Validation</t>
  </si>
  <si>
    <t>https://ieeexplore.ieee.org/stamp/stamp.jsp?arnumber=10323104</t>
  </si>
  <si>
    <t>IEEE Transactions on Parallel and Distributed Systems</t>
  </si>
  <si>
    <t>Strengthening Energy Infrastructure Security: A Blockchain Approach for SCADA Systems</t>
  </si>
  <si>
    <t>https://ieeexplore.ieee.org/stamp/stamp.jsp?arnumber=10881195</t>
  </si>
  <si>
    <t>2024 Global Energy Conference (GEC)</t>
  </si>
  <si>
    <t>Fortifying Decentralized Governance: Introducing Decentralized Autonomous Verification (DAVe) for Decentralized Autonomous Organization (DAOs) Security</t>
  </si>
  <si>
    <t>https://ieeexplore.ieee.org/stamp/stamp.jsp?arnumber=10629149</t>
  </si>
  <si>
    <t>2024 IEEE 28th International Conference on Intelligent Engineering Systems (INES)</t>
  </si>
  <si>
    <t>Integrating Business Process Context into Solidity-to-CPN Formal Verification</t>
  </si>
  <si>
    <t>https://ieeexplore.ieee.org/stamp/stamp.jsp?arnumber=10880268</t>
  </si>
  <si>
    <t>2024 32nd International Conference on Enabling Technologies: Infrastructure for Collaborative Enterprises (WETICE)</t>
  </si>
  <si>
    <t>Enhancing Security and Scalability in Electronic Voting Through Privacy-Preserving Cryptography and Efficient Data Structures</t>
  </si>
  <si>
    <t>https://ieeexplore.ieee.org/stamp/stamp.jsp?arnumber=10664271</t>
  </si>
  <si>
    <t>Securing the IoT Application Layer From an MQTT Protocol Perspective: Challenges and Research Prospects</t>
  </si>
  <si>
    <t>https://ieeexplore.ieee.org/stamp/stamp.jsp?arnumber=10458418</t>
  </si>
  <si>
    <t>IEEE Communications Surveys &amp; Tutorials</t>
  </si>
  <si>
    <t>Empowering Secure Transactions: Blockchain-Enabled Payments with AI Sentiment Analysis</t>
  </si>
  <si>
    <t>https://ieeexplore.ieee.org/stamp/stamp.jsp?arnumber=10544253</t>
  </si>
  <si>
    <t>2024 10th International Conference on Communication and Signal Processing (ICCSP)</t>
  </si>
  <si>
    <t>Advancing Cloud Security Frameworks Implementing Distributed Ledger Technology for Robust Data Protection and Decentralized Security Management in Cloud Computing Environments</t>
  </si>
  <si>
    <t>https://ieeexplore.ieee.org/stamp/stamp.jsp?arnumber=10690718</t>
  </si>
  <si>
    <t>2024 Second International Conference on Advances in Information Technology (ICAIT)</t>
  </si>
  <si>
    <t>Optimizing Forensic Analysis and Security in Cloud Environments Through Game Theory Optimized Recursive GRU Model and Blockchain Technology</t>
  </si>
  <si>
    <t>https://ieeexplore.ieee.org/stamp/stamp.jsp?arnumber=10780373</t>
  </si>
  <si>
    <t>2024 International Conference on Power Energy Control and Transmission Systems (ICPECTS)</t>
  </si>
  <si>
    <t>DeFiRanger: Detecting DeFi Price Manipulation Attacks</t>
  </si>
  <si>
    <t>https://ieeexplore.ieee.org/stamp/stamp.jsp?arnumber=10373899</t>
  </si>
  <si>
    <t>Engineering Smart Contracts with Symboleo: Progress Report 2024</t>
  </si>
  <si>
    <t>https://ieeexplore.ieee.org/stamp/stamp.jsp?arnumber=10838220</t>
  </si>
  <si>
    <t>2024 34th International Conference on Collaborative Advances in Software and COmputiNg (CASCON)</t>
  </si>
  <si>
    <t>Decentralized User Wallet: Transforming Digital Banking with Blockchain</t>
  </si>
  <si>
    <t>https://ieeexplore.ieee.org/stamp/stamp.jsp?arnumber=10714769</t>
  </si>
  <si>
    <t>Emphasizing the Early Phases of the Software Development Process Before Deploying Smart Contracts</t>
  </si>
  <si>
    <t>https://ieeexplore.ieee.org/stamp/stamp.jsp?arnumber=10843205</t>
  </si>
  <si>
    <t>Enhancing Mobile Enterprise Security: A Blockchain and Agent Paradigm-Based Approach for Continuous Protection and Rapid Adaptation</t>
  </si>
  <si>
    <t>https://ieeexplore.ieee.org/stamp/stamp.jsp?arnumber=10613771</t>
  </si>
  <si>
    <t>Innovations in Cryptocurrency Wallet Standards: Analyzing ERC4337 and ZK-Based Proposals</t>
  </si>
  <si>
    <t>https://ieeexplore.ieee.org/stamp/stamp.jsp?arnumber=10844443</t>
  </si>
  <si>
    <t>Blockchain Based Identity Management and Verification System for Educational Institutions</t>
  </si>
  <si>
    <t>https://ieeexplore.ieee.org/stamp/stamp.jsp?arnumber=10837049</t>
  </si>
  <si>
    <t>Comprehensive Survey of Blockchain Techniques</t>
  </si>
  <si>
    <t>https://ieeexplore.ieee.org/stamp/stamp.jsp?arnumber=10801142</t>
  </si>
  <si>
    <t>Authenticating HTTPS Connection without Relying on Certification Authorities</t>
  </si>
  <si>
    <t>https://ieeexplore.ieee.org/stamp/stamp.jsp?arnumber=10604609</t>
  </si>
  <si>
    <t>2024 15th Annual Undergraduate Research Conference on Applied Computing (URC)</t>
  </si>
  <si>
    <t>DeFinance: Decentralised Lending and Borrowing of Digital Assets</t>
  </si>
  <si>
    <t>https://ieeexplore.ieee.org/stamp/stamp.jsp?arnumber=10652406</t>
  </si>
  <si>
    <t>2024 IEEE Students Conference on Engineering and Systems (SCES)</t>
  </si>
  <si>
    <t>Complex Systems Oriented Approach for dApps Analysis</t>
  </si>
  <si>
    <t>https://ieeexplore.ieee.org/stamp/stamp.jsp?arnumber=10503430</t>
  </si>
  <si>
    <t>2024 IEEE International Conference on Pervasive Computing and Communications Workshops and other Affiliated Events (PerCom Workshops)</t>
  </si>
  <si>
    <t>Review on Security Concerns in Blockchain and it's Counter Measures</t>
  </si>
  <si>
    <t>https://ieeexplore.ieee.org/stamp/stamp.jsp?arnumber=10493732</t>
  </si>
  <si>
    <t>2024 Second International Conference on Emerging Trends in Information Technology and Engineering (ICETITE)</t>
  </si>
  <si>
    <t>Review on Security Concerns in Blockchain and it's Countermeasures</t>
  </si>
  <si>
    <t>https://ieeexplore.ieee.org/stamp/stamp.jsp?arnumber=10493705</t>
  </si>
  <si>
    <t>A Secure Data Sharing Platform in the Era of Web 3.0 by Leveraging the Power of Blockchain Technology</t>
  </si>
  <si>
    <t>https://ieeexplore.ieee.org/stamp/stamp.jsp?arnumber=10649818</t>
  </si>
  <si>
    <t>2024 IEEE International Conference on Automatic Control and Intelligent Systems (I2CACIS)</t>
  </si>
  <si>
    <t>AICyber-Chain: Combining AI and Blockchain for Improved Cybersecurity</t>
  </si>
  <si>
    <t>https://ieeexplore.ieee.org/stamp/stamp.jsp?arnumber=10684180</t>
  </si>
  <si>
    <t>Securing NFTs: Ethereum DApp Safety and Prevention Measures</t>
  </si>
  <si>
    <t>https://ieeexplore.ieee.org/stamp/stamp.jsp?arnumber=10664084</t>
  </si>
  <si>
    <t>Decentralized Cab Booking Application Utilizing Blockchain</t>
  </si>
  <si>
    <t>https://ieeexplore.ieee.org/stamp/stamp.jsp?arnumber=10616574</t>
  </si>
  <si>
    <t>Dept. of Computer Science St. Joseph‚Äôs Institute of Technology Chennai India Dept. of Computer Science St. Joseph‚Äôs Institute of Technology Chennai India Dept. of Computer Science St. Joseph‚Äôs Institute of Technology Chennai India</t>
  </si>
  <si>
    <t>https://ieeexplore.ieee.org/stamp/stamp.jsp?arnumber=10549634</t>
  </si>
  <si>
    <t>PufParkChain: Secure and Smart Parking Based on PUF Authentication and Lightweight Blockchain</t>
  </si>
  <si>
    <t>https://ieeexplore.ieee.org/stamp/stamp.jsp?arnumber=10526244</t>
  </si>
  <si>
    <t>Towards Smart Contract Fuzzing on GPUs</t>
  </si>
  <si>
    <t>https://ieeexplore.ieee.org/stamp/stamp.jsp?arnumber=10646637</t>
  </si>
  <si>
    <t>Fostering Trust in Smart Inverters: A Framework for Firmware Update Management and Tracking in VPP Context</t>
  </si>
  <si>
    <t>https://ieeexplore.ieee.org/stamp/stamp.jsp?arnumber=10829643</t>
  </si>
  <si>
    <t>IEEE Transactions on Smart Grid</t>
  </si>
  <si>
    <t>Decentralized Defenses: A Framework for 5G IoT Security in Industry 4.0 using Blockchain Crowdsourcing</t>
  </si>
  <si>
    <t>https://ieeexplore.ieee.org/stamp/stamp.jsp?arnumber=10601456</t>
  </si>
  <si>
    <t>2024 3rd International Conference on Sentiment Analysis and Deep Learning (ICSADL)</t>
  </si>
  <si>
    <t>Security and Efficient Data Verification Protocol for Distributed Database based on Zero-knowledge Proof</t>
  </si>
  <si>
    <t>https://ieeexplore.ieee.org/stamp/stamp.jsp?arnumber=10580848</t>
  </si>
  <si>
    <t>Towards a Decentralized Future: The Role of DeVerse in Publishing Evolution</t>
  </si>
  <si>
    <t>https://ieeexplore.ieee.org/stamp/stamp.jsp?arnumber=10716143</t>
  </si>
  <si>
    <t>2024 Parul International Conference on Engineering and Technology (PICET)</t>
  </si>
  <si>
    <t>Regulatory Compliance in Software Services Using Emerging Technologies</t>
  </si>
  <si>
    <t>https://ieeexplore.ieee.org/stamp/stamp.jsp?arnumber=10664355</t>
  </si>
  <si>
    <t>Hybrid Locking: An Effective Measure Against Reentrancy Attacks</t>
  </si>
  <si>
    <t>https://ieeexplore.ieee.org/stamp/stamp.jsp?arnumber=10716087</t>
  </si>
  <si>
    <t>A Malware Detection Method Based on Genetic Algorithm Optimized CNN-SENet Network</t>
  </si>
  <si>
    <t>https://ieeexplore.ieee.org/stamp/stamp.jsp?arnumber=10734072</t>
  </si>
  <si>
    <t>Ponzi Scheme Detection in Smart Contract via Transaction Semantic Representation Learning</t>
  </si>
  <si>
    <t>https://ieeexplore.ieee.org/stamp/stamp.jsp?arnumber=10274518</t>
  </si>
  <si>
    <t>Blockchain and Cloud Computing in Healthcare: A Critical Analysis and Future Prospects</t>
  </si>
  <si>
    <t>https://ieeexplore.ieee.org/stamp/stamp.jsp?arnumber=10653489</t>
  </si>
  <si>
    <t>2024 IEEE 3rd International Conference on Electrical Power and Energy Systems (ICEPES)</t>
  </si>
  <si>
    <t>Research on Data Platform Construction and Security of Information Network Based on Blockchain Technology</t>
  </si>
  <si>
    <t>https://ieeexplore.ieee.org/stamp/stamp.jsp?arnumber=10486052</t>
  </si>
  <si>
    <t>Smart Contract-based Consent Management System for Data Privacy Protection</t>
  </si>
  <si>
    <t>https://ieeexplore.ieee.org/stamp/stamp.jsp?arnumber=10810544</t>
  </si>
  <si>
    <t>Blockchain Security and Privacy using Machine Learning and Internet of Things-A Review</t>
  </si>
  <si>
    <t>https://ieeexplore.ieee.org/stamp/stamp.jsp?arnumber=10696712</t>
  </si>
  <si>
    <t>2024 First International Conference on Pioneering Developments in Computer Science &amp; Digital Technologies (IC2SDT)</t>
  </si>
  <si>
    <t>A Review of Fintech Management and Security Development</t>
  </si>
  <si>
    <t>https://ieeexplore.ieee.org/stamp/stamp.jsp?arnumber=10845678</t>
  </si>
  <si>
    <t>2024 IEEE 10th Information Technology International Seminar (ITIS)</t>
  </si>
  <si>
    <t>Securing the Future: Harnessing Blockchain's Power Against New-Age Vulnerabilities</t>
  </si>
  <si>
    <t>https://ieeexplore.ieee.org/stamp/stamp.jsp?arnumber=10549415</t>
  </si>
  <si>
    <t>2024 4th International Conference on Innovative Research in Applied Science Engineering and Technology (IRASET)</t>
  </si>
  <si>
    <t>DAI: A Dependencies Analyzer and Installer for Solidity Smart Contracts</t>
  </si>
  <si>
    <t>https://ieeexplore.ieee.org/stamp/stamp.jsp?arnumber=10621721</t>
  </si>
  <si>
    <t>Beyond Integration: Advancing Electricity Metering with Secure and Transparent Blockchain-IoT Solutions</t>
  </si>
  <si>
    <t>https://ieeexplore.ieee.org/stamp/stamp.jsp?arnumber=10605954</t>
  </si>
  <si>
    <t>2024 47th International Conference on Telecommunications and Signal Processing (TSP)</t>
  </si>
  <si>
    <t>Analysis of Blockchain-IoT Connection Patterns based on Clients Type</t>
  </si>
  <si>
    <t>https://ieeexplore.ieee.org/stamp/stamp.jsp?arnumber=10731822</t>
  </si>
  <si>
    <t>Revolutionizing Global IT Supply Chains: A Decentralized Framework for Cost-Effective and Streamlined Operations in Critical Events</t>
  </si>
  <si>
    <t>https://ieeexplore.ieee.org/stamp/stamp.jsp?arnumber=10534001</t>
  </si>
  <si>
    <t>2024 International Conference on Cognitive Robotics and Intelligent Systems (ICC - ROBINS)</t>
  </si>
  <si>
    <t>Leveraging High-Performance Computing in Smart Contracts and Decentralized Finance: Innovations in Financial Transactions</t>
  </si>
  <si>
    <t>https://ieeexplore.ieee.org/stamp/stamp.jsp?arnumber=10877439</t>
  </si>
  <si>
    <t>2024 Second International Conference Computational and Characterization Techniques in Engineering &amp; Sciences (IC3TES)</t>
  </si>
  <si>
    <t>An AI Multi-Model Approach to DeFi Project Trust Scoring and Security</t>
  </si>
  <si>
    <t>https://ieeexplore.ieee.org/stamp/stamp.jsp?arnumber=10664378</t>
  </si>
  <si>
    <t>iCon: Automated Verification of Inter-Transaction Properties in Tezos Smart Contracts with Unknowns</t>
  </si>
  <si>
    <t>https://ieeexplore.ieee.org/stamp/stamp.jsp?arnumber=10634430</t>
  </si>
  <si>
    <t>The Security Architecture Based on Blockchain for Peruvian Commercial SMEs</t>
  </si>
  <si>
    <t>https://ieeexplore.ieee.org/stamp/stamp.jsp?arnumber=10755708</t>
  </si>
  <si>
    <t>2024 IEEE ANDESCON</t>
  </si>
  <si>
    <t>A Blockchain-Assisted Multifactor Authentication Protocol for Enhancing IoMT Security</t>
  </si>
  <si>
    <t>https://ieeexplore.ieee.org/stamp/stamp.jsp?arnumber=10580920</t>
  </si>
  <si>
    <t>(In)Correct Smart Contract Specifications</t>
  </si>
  <si>
    <t>https://ieeexplore.ieee.org/stamp/stamp.jsp?arnumber=10634444</t>
  </si>
  <si>
    <t>FlashSyn: Flash Loan Attack Synthesis via Counter Example Driven Approximation</t>
  </si>
  <si>
    <t>https://ieeexplore.ieee.org/stamp/stamp.jsp?arnumber=10548683</t>
  </si>
  <si>
    <t>Autonomous Strike UAVs in Support of Homeland Security Missions: Challenges and Preliminary Solutions</t>
  </si>
  <si>
    <t>https://ieeexplore.ieee.org/stamp/stamp.jsp?arnumber=10576029</t>
  </si>
  <si>
    <t>A Distributed Authentication Scheme for Blockchain Sensors</t>
  </si>
  <si>
    <t>https://ieeexplore.ieee.org/stamp/stamp.jsp?arnumber=10805463</t>
  </si>
  <si>
    <t>Fake User Identification and Duplication Detection Using MERN Stack</t>
  </si>
  <si>
    <t>https://ieeexplore.ieee.org/stamp/stamp.jsp?arnumber=10780274</t>
  </si>
  <si>
    <t>PUF-Based Authentication-Oriented Architecture for Identification Tags</t>
  </si>
  <si>
    <t>https://ieeexplore.ieee.org/stamp/stamp.jsp?arnumber=10499711</t>
  </si>
  <si>
    <t>Blockchain-Enhanced Framework for Secure Third-Party Vendor Risk Management and Vigilant Security Controls</t>
  </si>
  <si>
    <t>https://ieeexplore.ieee.org/stamp/stamp.jsp?arnumber=10825025</t>
  </si>
  <si>
    <t>2024 IEEE International Conference on Big Data (BigData)</t>
  </si>
  <si>
    <t>A Blockchain-Based Security Assessment Framework</t>
  </si>
  <si>
    <t>https://ieeexplore.ieee.org/stamp/stamp.jsp?arnumber=10471996</t>
  </si>
  <si>
    <t>2024 26th International Conference on Advanced Communications Technology (ICACT)</t>
  </si>
  <si>
    <t>Unlocking the Potential of Interconnected Blockchains: A Comprehensive Study of Cosmos Blockchain Interoperability</t>
  </si>
  <si>
    <t>https://ieeexplore.ieee.org/stamp/stamp.jsp?arnumber=10752501</t>
  </si>
  <si>
    <t>Comparative Performance Analysis of Ethereum and Optimism Smart Contracts in Health Insurance</t>
  </si>
  <si>
    <t>https://ieeexplore.ieee.org/stamp/stamp.jsp?arnumber=10773514</t>
  </si>
  <si>
    <t>2024 9th International Conference on Computer Science and Engineering (UBMK)</t>
  </si>
  <si>
    <t>The Application of Blockchain Technology in Network Information Security</t>
  </si>
  <si>
    <t>https://ieeexplore.ieee.org/stamp/stamp.jsp?arnumber=10612945</t>
  </si>
  <si>
    <t>2024 4th Asia-Pacific Conference on Communications Technology and Computer Science (ACCTCS)</t>
  </si>
  <si>
    <t>Secure compilation of rich smart contracts on poor UTXO blockchains</t>
  </si>
  <si>
    <t>https://ieeexplore.ieee.org/stamp/stamp.jsp?arnumber=10629031</t>
  </si>
  <si>
    <t>2024 IEEE 9th European Symposium on Security and Privacy (EuroS&amp;P)</t>
  </si>
  <si>
    <t>Cyber Attack Defense: DID-based Email Security System</t>
  </si>
  <si>
    <t>https://ieeexplore.ieee.org/stamp/stamp.jsp?arnumber=10572205</t>
  </si>
  <si>
    <t>Design of Blockchain and ECC-Based Robust and Efficient Batch Authentication Protocol for Vehicular Ad-Hoc Networks</t>
  </si>
  <si>
    <t>https://ieeexplore.ieee.org/stamp/stamp.jsp?arnumber=10285535</t>
  </si>
  <si>
    <t>IEEE Transactions on Intelligent Transportation Systems</t>
  </si>
  <si>
    <t>Blockchain-Enabled Private and Secure Task Allocation Framework</t>
  </si>
  <si>
    <t>https://ieeexplore.ieee.org/stamp/stamp.jsp?arnumber=10427531</t>
  </si>
  <si>
    <t>2024 16th International Conference on COMmunication Systems &amp; NETworkS (COMSNETS)</t>
  </si>
  <si>
    <t>On Off-Chaining Smart Contract Runtime Protection: A Queuing Model Approach</t>
  </si>
  <si>
    <t>https://ieeexplore.ieee.org/stamp/stamp.jsp?arnumber=10502327</t>
  </si>
  <si>
    <t>Security Risk and Breach Detection Approach Based Blockchain for Medical Applications</t>
  </si>
  <si>
    <t>https://ieeexplore.ieee.org/stamp/stamp.jsp?arnumber=10737055</t>
  </si>
  <si>
    <t>Role of Non Fungible Tokens in Transforming Academic Credentials for Trust and Transparency</t>
  </si>
  <si>
    <t>https://ieeexplore.ieee.org/stamp/stamp.jsp?arnumber=10497380</t>
  </si>
  <si>
    <t>2024 International Conference on Emerging Smart Computing and Informatics (ESCI)</t>
  </si>
  <si>
    <t>A Tool to Facilitate the Design of Smart Contracts in Smart Water Distribution Networks</t>
  </si>
  <si>
    <t>https://ieeexplore.ieee.org/stamp/stamp.jsp?arnumber=10619818</t>
  </si>
  <si>
    <t>2024 IFIP Networking Conference (IFIP Networking)</t>
  </si>
  <si>
    <t>CRPWarner: Warning the Risk of Contract-Related Rug Pull in DeFi Smart Contracts</t>
  </si>
  <si>
    <t>https://ieeexplore.ieee.org/stamp/stamp.jsp?arnumber=10515209</t>
  </si>
  <si>
    <t>E-Commerce and Supply-chain using Blockchain</t>
  </si>
  <si>
    <t>https://ieeexplore.ieee.org/stamp/stamp.jsp?arnumber=10837112</t>
  </si>
  <si>
    <t>Optimizing Security in IoT Ecosystems Using Hybrid Artificial Intelligence and Blockchain Models: A Scalable and Efficient Approach for Threat Detection</t>
  </si>
  <si>
    <t>https://ieeexplore.ieee.org/stamp/stamp.jsp?arnumber=10849557</t>
  </si>
  <si>
    <t>A Secure and Efficient Charitable Donation System Based on Ethereum Blockchain and Searchable Encryption</t>
  </si>
  <si>
    <t>https://ieeexplore.ieee.org/stamp/stamp.jsp?arnumber=10275129</t>
  </si>
  <si>
    <t>IEEE Transactions on Consumer Electronics</t>
  </si>
  <si>
    <t>Innovative Blockchain-Enhanced Clinical Trial Management and Stakeholders Interoperability</t>
  </si>
  <si>
    <t>https://ieeexplore.ieee.org/stamp/stamp.jsp?arnumber=10827102</t>
  </si>
  <si>
    <t>MECAT: Memory-Safe Smart Contracts in ARM TrustZone</t>
  </si>
  <si>
    <t>https://ieeexplore.ieee.org/stamp/stamp.jsp?arnumber=10496091</t>
  </si>
  <si>
    <t>Blockchain-Enabled Fleet Management System for Large Transportation Companies</t>
  </si>
  <si>
    <t>https://ieeexplore.ieee.org/stamp/stamp.jsp?arnumber=10779540</t>
  </si>
  <si>
    <t>2024 IEEE SmartBlock4Africa</t>
  </si>
  <si>
    <t>Age Verification using Zero-knowledge Proof</t>
  </si>
  <si>
    <t>https://ieeexplore.ieee.org/stamp/stamp.jsp?arnumber=10837396</t>
  </si>
  <si>
    <t>A Pull Firmware Update Mechanism for Industrial Control Based on IOTA Streams</t>
  </si>
  <si>
    <t>https://ieeexplore.ieee.org/stamp/stamp.jsp?arnumber=10716840</t>
  </si>
  <si>
    <t>2024 19th Asia Joint Conference on Information Security (AsiaJCIS)</t>
  </si>
  <si>
    <t>MonitorChain: An Extensible Tool for Real-Time Monitoring of Blockchain-Based Software Applications</t>
  </si>
  <si>
    <t>https://ieeexplore.ieee.org/stamp/stamp.jsp?arnumber=10706853</t>
  </si>
  <si>
    <t>Application of Blockchain Technology and TCN-IS Model on Financial Risk in Universities</t>
  </si>
  <si>
    <t>https://ieeexplore.ieee.org/stamp/stamp.jsp?arnumber=10660123</t>
  </si>
  <si>
    <t>2024 2nd International Conference on Mechatronics IoT and Industrial Informatics (ICMIII)</t>
  </si>
  <si>
    <t>Adversarial Machine Learning for Blockchain Security</t>
  </si>
  <si>
    <t>https://ieeexplore.ieee.org/stamp/stamp.jsp?arnumber=10581129</t>
  </si>
  <si>
    <t>2024 International Conference on Intelligent Systems for Cybersecurity (ISCS)</t>
  </si>
  <si>
    <t>CCID-CAN: Cross-Chain Intrusion Detection on CAN Bus for Autonomous Vehicles</t>
  </si>
  <si>
    <t>https://ieeexplore.ieee.org/stamp/stamp.jsp?arnumber=10508208</t>
  </si>
  <si>
    <t>SATI: Sidechain-Based Access Control &amp; Trust Mechanism for IoT Networks</t>
  </si>
  <si>
    <t>https://ieeexplore.ieee.org/stamp/stamp.jsp?arnumber=10630615</t>
  </si>
  <si>
    <t>Quantifying the Risk of Out-of-Gas Conditions in Ethereum Smart Contracts</t>
  </si>
  <si>
    <t>https://ieeexplore.ieee.org/stamp/stamp.jsp?arnumber=10848774</t>
  </si>
  <si>
    <t>2025 IEEE 4th International Conference on AI in Cybersecurity (ICAIC)</t>
  </si>
  <si>
    <t>Blockchain in Education: a New Approach to Storing and Verification of Academic Works</t>
  </si>
  <si>
    <t>https://ieeexplore.ieee.org/stamp/stamp.jsp?arnumber=10769792</t>
  </si>
  <si>
    <t>2024 Intelligent Technologies and Electronic Devices in Vehicle and Road Transport Complex (TIRVED)</t>
  </si>
  <si>
    <t>A Digital Twin Approach for Blockchain Smart Contracts</t>
  </si>
  <si>
    <t>https://ieeexplore.ieee.org/stamp/stamp.jsp?arnumber=10621720</t>
  </si>
  <si>
    <t>Enhanced Security and Efficiency in Blockchain With Aggregated Zero-Knowledge Proof Mechanisms</t>
  </si>
  <si>
    <t>https://ieeexplore.ieee.org/stamp/stamp.jsp?arnumber=10489953</t>
  </si>
  <si>
    <t>Block Chain Technology for Securing IoT Devices and Data</t>
  </si>
  <si>
    <t>https://ieeexplore.ieee.org/stamp/stamp.jsp?arnumber=10568652</t>
  </si>
  <si>
    <t>2024 Ninth International Conference on Science Technology Engineering and Mathematics (ICONSTEM)</t>
  </si>
  <si>
    <t>Integration of Blockchain Technology in Smart Grids for Enhancing Security</t>
  </si>
  <si>
    <t>10.1109/ICPEICES62430.2024.10719361</t>
  </si>
  <si>
    <t>2024 IEEE Third International Conference on Power Electronics Intelligent Control and Energy Systems (ICPEICES)</t>
  </si>
  <si>
    <t>Classify Attacks Based on Blockchain Components</t>
  </si>
  <si>
    <t>https://ieeexplore.ieee.org/stamp/stamp.jsp?arnumber=10527258</t>
  </si>
  <si>
    <t>2024 12th International Symposium on Digital Forensics and Security (ISDFS)</t>
  </si>
  <si>
    <t>A Systematic Review on Blockchain-Enabled Internet of Vehicles (BIoV): Challenges</t>
  </si>
  <si>
    <t>10.1109/ACCESS.2024.3453433</t>
  </si>
  <si>
    <t>State-based Invariant Property Generation of Solidity Smart Contracts using Abstract Interpretation</t>
  </si>
  <si>
    <t>https://ieeexplore.ieee.org/stamp/stamp.jsp?arnumber=10664380</t>
  </si>
  <si>
    <t>Blockchain based Cloud storage drive platform</t>
  </si>
  <si>
    <t>https://ieeexplore.ieee.org/stamp/stamp.jsp?arnumber=10837432</t>
  </si>
  <si>
    <t>Bridging Two Worlds: Framework for Secure Implementation of Blockchain Oracles</t>
  </si>
  <si>
    <t>https://ieeexplore.ieee.org/stamp/stamp.jsp?arnumber=10621735</t>
  </si>
  <si>
    <t>SoK: Security and Privacy of Blockchain Interoperability</t>
  </si>
  <si>
    <t>https://ieeexplore.ieee.org/stamp/stamp.jsp?arnumber=10646648</t>
  </si>
  <si>
    <t>Blockchain Based Patient Centric Medical Records Sharing With Privacy Preservation</t>
  </si>
  <si>
    <t>https://ieeexplore.ieee.org/stamp/stamp.jsp?arnumber=10724755</t>
  </si>
  <si>
    <t>PRIDA-ME: A Privacy-Preserving</t>
  </si>
  <si>
    <t>https://ieeexplore.ieee.org/stamp/stamp.jsp?arnumber=10819498</t>
  </si>
  <si>
    <t>Department of Information Security National University of Sciences and Technology Islamabad Pakistan Department of Information Security National University of Sciences and Technology Islamabad Pakistan Department of Information Security National University of Sciences and Technology Islamabad Pakistan Department of Mathematics and Computer Science Royal Military College of Canada Kingston ON Canada Department of Computer Software Engineering National University of Sciences and Technology Islamabad Pakistan</t>
  </si>
  <si>
    <t>BLM-Chain: AI-Driven Blockchain for UAV Threat Resistance in IoBT</t>
  </si>
  <si>
    <t>https://ieeexplore.ieee.org/stamp/stamp.jsp?arnumber=10827764</t>
  </si>
  <si>
    <t>LLM-Based Edge Intelligence: A Comprehensive Survey on Architectures</t>
  </si>
  <si>
    <t>10.1109/OJCOMS.2024.3456549</t>
  </si>
  <si>
    <t>Securing the Threads: In-Depth Analysis of IoT Architecture and Threat Mitigation</t>
  </si>
  <si>
    <t>https://ieeexplore.ieee.org/stamp/stamp.jsp?arnumber=10882542</t>
  </si>
  <si>
    <t>2024 13th International Conference on System Modeling &amp; Advancement in Research Trends (SMART)</t>
  </si>
  <si>
    <t>Efficiency and Transparency in Supplier Performance Evaluation: A Blockchain-Powered Smart Contract Solution</t>
  </si>
  <si>
    <t>https://ieeexplore.ieee.org/stamp/stamp.jsp?arnumber=10683703</t>
  </si>
  <si>
    <t>An Intrusion Detection System For Detecting DDoS Attacks In Blockchain-Enabled IoMT Networks</t>
  </si>
  <si>
    <t>https://ieeexplore.ieee.org/stamp/stamp.jsp?arnumber=10812635</t>
  </si>
  <si>
    <t>2024 7th International Conference on Signal Processing and Information Security (ICSPIS)</t>
  </si>
  <si>
    <t>BlockDLO: Blockchain Computing With Deep Learning Orchestration for Secure Data Communication in IoT Environment</t>
  </si>
  <si>
    <t>https://ieeexplore.ieee.org/stamp/stamp.jsp?arnumber=10681423</t>
  </si>
  <si>
    <t>MedTech Chain: Decentralised, Secure and Privacy-preserving Platform for Medical Device Data Research</t>
  </si>
  <si>
    <t>https://ieeexplore.ieee.org/stamp/stamp.jsp?arnumber=10732045</t>
  </si>
  <si>
    <t>Department of Intelligent Systems Cyber Security Group Delft University of Technology Delft The Netherlands Department of Intelligent Systems Cyber Security Group Delft University of Technology Delft The Netherlands Department of Intelligent Systems Cyber Security Group Delft University of Technology Delft The Netherlands Department of Intelligent Systems Cyber Security Group Delft University of Technology Delft The Netherlands Department of Intelligent Systems Cyber Security Group Delft University of Technology Delft The Netherlands</t>
  </si>
  <si>
    <t>Using NFTs for Product Management</t>
  </si>
  <si>
    <t>Department of Industrial and Systems Engineering Khalifa University Abu Dhabi United Arab Emirates Department of Electrical Engineering and Computer Science Khalifa University Abu Dhabi United Arab Emirates Department of Electrical Engineering and Computer Science Khalifa University Abu Dhabi United Arab Emirates Department of Industrial and Systems Engineering Khalifa University Abu Dhabi United Arab Emirates Department of Industrial and Systems Engineering Khalifa University Abu Dhabi United Arab Emirates Heart Vascular and Thoracic Institute Cleveland Clinic Abu Dhabi Abu Dhabi United Arab Emirates</t>
  </si>
  <si>
    <t>MQTT-Chain: An MQTT approach using blockchain and smart contracts to achieve a new Quality of Service level</t>
  </si>
  <si>
    <t>https://ieeexplore.ieee.org/stamp/stamp.jsp?arnumber=10742992</t>
  </si>
  <si>
    <t>Survey of Vulnerabilities and Architectural Flaws in Existing Collaborative DDoS Mitigation Systems for Autonomous Systems</t>
  </si>
  <si>
    <t>https://ieeexplore.ieee.org/stamp/stamp.jsp?arnumber=10725175</t>
  </si>
  <si>
    <t>The Future of Data Protection: Empowering Data Security with Identity-Centric Blockchain Technology</t>
  </si>
  <si>
    <t>https://ieeexplore.ieee.org/stamp/stamp.jsp?arnumber=10692084</t>
  </si>
  <si>
    <t>2024 2nd World Conference on Communication &amp; Computing (WCONF)</t>
  </si>
  <si>
    <t>Controlled Redactable Blockchain Based on T-Times Chameleon Hash and Signature</t>
  </si>
  <si>
    <t>https://ieeexplore.ieee.org/stamp/stamp.jsp?arnumber=10620354</t>
  </si>
  <si>
    <t>A Publicly Verifiable Outsourcing Matrix Computation Scheme Based on Smart Contracts</t>
  </si>
  <si>
    <t>https://ieeexplore.ieee.org/stamp/stamp.jsp?arnumber=10336365</t>
  </si>
  <si>
    <t>IEEE Transactions on Cloud Computing</t>
  </si>
  <si>
    <t>Safeguarding DeFi Smart Contracts Against Oracle Deviations</t>
  </si>
  <si>
    <t>https://ieeexplore.ieee.org/stamp/stamp.jsp?arnumber=10548838</t>
  </si>
  <si>
    <t>A Comprehensive Study on Software Engineering and Emerging Technologies</t>
  </si>
  <si>
    <t>https://ieeexplore.ieee.org/stamp/stamp.jsp?arnumber=10722262</t>
  </si>
  <si>
    <t>2024 5th International Conference on Smart Electronics and Communication (ICOSEC)</t>
  </si>
  <si>
    <t>Research on Big Data Financial Fraud Detection System Based on Machine Learning</t>
  </si>
  <si>
    <t>https://ieeexplore.ieee.org/stamp/stamp.jsp?arnumber=10808078</t>
  </si>
  <si>
    <t>2024 5th International Conference on Intelligent Computing and Human-Computer Interaction (ICHCI)</t>
  </si>
  <si>
    <t>AIAS: Ensuring Application Integrity Through Ethereum Blockchain</t>
  </si>
  <si>
    <t>https://ieeexplore.ieee.org/stamp/stamp.jsp?arnumber=10716637</t>
  </si>
  <si>
    <t>A Secure and Smooth Data Delivery Platform with Block chain in Cloud Computing</t>
  </si>
  <si>
    <t>https://ieeexplore.ieee.org/stamp/stamp.jsp?arnumber=10493870</t>
  </si>
  <si>
    <t>2024 5th International Conference on Mobile Computing and Sustainable Informatics (ICMCSI)</t>
  </si>
  <si>
    <t>A Threshold-Based Full-Decentralized Authentication and Key Agreement Scheme for VANETs Powered by Consortium Blockchain</t>
  </si>
  <si>
    <t>https://ieeexplore.ieee.org/stamp/stamp.jsp?arnumber=10553280</t>
  </si>
  <si>
    <t>IEEE Transactions on Mobile Computing</t>
  </si>
  <si>
    <t>Security Requirements for e-Tendering: A Systematic Literature Review</t>
  </si>
  <si>
    <t>https://ieeexplore.ieee.org/stamp/stamp.jsp?arnumber=10751223</t>
  </si>
  <si>
    <t>Trusted LLM Inference on the Edge with Smart Contracts</t>
  </si>
  <si>
    <t>https://ieeexplore.ieee.org/stamp/stamp.jsp?arnumber=10634448</t>
  </si>
  <si>
    <t>Formal Verification of Justification and Finalization in Beacon Chain</t>
  </si>
  <si>
    <t>https://ieeexplore.ieee.org/stamp/stamp.jsp?arnumber=10500390</t>
  </si>
  <si>
    <t>Automatic Modeling and Verification of Smart Contracts Based on Colored Petri Nets</t>
  </si>
  <si>
    <t>https://ieeexplore.ieee.org/stamp/stamp.jsp?arnumber=10759952</t>
  </si>
  <si>
    <t>2024 International Conference on Networking Sensing and Control (ICNSC)</t>
  </si>
  <si>
    <t>A Zero Trust-Based Framework Employing Blockchain Technology and Ring Oscillator Physical Unclonable Functions for Security of Field Programmable Gate Array Supply Chain</t>
  </si>
  <si>
    <t>https://ieeexplore.ieee.org/stamp/stamp.jsp?arnumber=10570172</t>
  </si>
  <si>
    <t>A Security Enhanced Authentication Protocol</t>
  </si>
  <si>
    <t>https://ieeexplore.ieee.org/stamp/stamp.jsp?arnumber=10511119</t>
  </si>
  <si>
    <t>2024 5th International Conference on Intelligent Communication Technologies and Virtual Mobile Networks (ICICV)</t>
  </si>
  <si>
    <t>Security Dynamics of Blockchain-Enabled SDN Systems: A Taxonomic Approach</t>
  </si>
  <si>
    <t>https://ieeexplore.ieee.org/stamp/stamp.jsp?arnumber=10773558</t>
  </si>
  <si>
    <t>A New Architecture for Decentralized Cybersecurity Mesh (DCSM) Using Blockchain Technology for Distributed Networks</t>
  </si>
  <si>
    <t>https://ieeexplore.ieee.org/stamp/stamp.jsp?arnumber=10777231</t>
  </si>
  <si>
    <t>2024 1st International Conference on Emerging Technologies for Dependable Internet of Things (ICETI)</t>
  </si>
  <si>
    <t>Bridging the Legal Divide: Contractual Enforceability and Acceptability in the AI-Driven Automated Conversion of Smart Legal Contracts</t>
  </si>
  <si>
    <t>https://ieeexplore.ieee.org/stamp/stamp.jsp?arnumber=10835661</t>
  </si>
  <si>
    <t>SolOSphere: A Framework for Gas Optimization in Solidity Smart Contracts</t>
  </si>
  <si>
    <t>https://ieeexplore.ieee.org/stamp/stamp.jsp?arnumber=10621683</t>
  </si>
  <si>
    <t>Leveraging Large Language Models for Automatic Smart Contract Generation</t>
  </si>
  <si>
    <t>https://ieeexplore.ieee.org/stamp/stamp.jsp?arnumber=10633392</t>
  </si>
  <si>
    <t>Revisiting Rollbacks on Smart Contracts in TEE-protected Private Blockchains</t>
  </si>
  <si>
    <t>https://ieeexplore.ieee.org/stamp/stamp.jsp?arnumber=10628912</t>
  </si>
  <si>
    <t>2024 IEEE European Symposium on Security and Privacy Workshops (EuroS&amp;PW)</t>
  </si>
  <si>
    <t>Enhanced Anomaly Detection in Ethereum: Unveiling and Classifying Threats With Machine Learning</t>
  </si>
  <si>
    <t>https://ieeexplore.ieee.org/stamp/stamp.jsp?arnumber=10759631</t>
  </si>
  <si>
    <t>Blockchain-Based Defense Mechanisms for Mitigating Unnecessary Islanding in Microgrids Against Cyber- Attack</t>
  </si>
  <si>
    <t>https://ieeexplore.ieee.org/stamp/stamp.jsp?arnumber=10674777</t>
  </si>
  <si>
    <t>2024 IEEE International Conference on Smart Power Control and Renewable Energy (ICSPCRE)</t>
  </si>
  <si>
    <t>Secure Crowdfunding Using Blockchain</t>
  </si>
  <si>
    <t>https://ieeexplore.ieee.org/stamp/stamp.jsp?arnumber=10837405</t>
  </si>
  <si>
    <t>Efficient Provably Secure Authentication Protocol for Multidomain IIoT Using a Combined Off-Chain and On-Chain Approach</t>
  </si>
  <si>
    <t>https://ieeexplore.ieee.org/stamp/stamp.jsp?arnumber=10374565</t>
  </si>
  <si>
    <t>On the Privacy and Security for E-Education Metaverse</t>
  </si>
  <si>
    <t>https://ieeexplore.ieee.org/stamp/stamp.jsp?arnumber=10578660</t>
  </si>
  <si>
    <t>2024 IEEE Global Engineering Education Conference (EDUCON)</t>
  </si>
  <si>
    <t>Biometric Verification Using Blockchain and Quantum Computing</t>
  </si>
  <si>
    <t>https://ieeexplore.ieee.org/stamp/stamp.jsp?arnumber=10840605</t>
  </si>
  <si>
    <t>2024 4th International Conference on Technological Advancements in Computational Sciences (ICTACS)</t>
  </si>
  <si>
    <t>Blockchain-Enhanced Feedback Management System for Educational Institutions</t>
  </si>
  <si>
    <t>https://ieeexplore.ieee.org/stamp/stamp.jsp?arnumber=10486309</t>
  </si>
  <si>
    <t>2024 2nd International Conference on Computer Communication and Control (IC4)</t>
  </si>
  <si>
    <t>Blockchain-Enabled Examination Platform: A Secure Approach for Academic Assessments</t>
  </si>
  <si>
    <t>https://ieeexplore.ieee.org/stamp/stamp.jsp?arnumber=10725734</t>
  </si>
  <si>
    <t>A Data Extraction Methodology for Ethereum Smart Contracts</t>
  </si>
  <si>
    <t>https://ieeexplore.ieee.org/stamp/stamp.jsp?arnumber=10502604</t>
  </si>
  <si>
    <t>Application of Blockchain Technologies for Creating Decentralized Energy Markets in Smart Cities</t>
  </si>
  <si>
    <t>https://ieeexplore.ieee.org/stamp/stamp.jsp?arnumber=10803744</t>
  </si>
  <si>
    <t>2024 6th International Conference on Control Systems Mathematical Modeling Automation and Energy Efficiency (SUMMA)</t>
  </si>
  <si>
    <t>DataDAO Club - Revolutionizing Investment Management with On-Chain Governance</t>
  </si>
  <si>
    <t>https://ieeexplore.ieee.org/stamp/stamp.jsp?arnumber=10612525</t>
  </si>
  <si>
    <t>A Comprehensive Approach to Supporting Blockchain Developers</t>
  </si>
  <si>
    <t>https://ieeexplore.ieee.org/stamp/stamp.jsp?arnumber=10714550</t>
  </si>
  <si>
    <t>2024 IEEE Symposium on Visual Languages and Human-Centric Computing (VL/HCC)</t>
  </si>
  <si>
    <t>User Safety and Security in the Metaverse: A Critical Review</t>
  </si>
  <si>
    <t>https://ieeexplore.ieee.org/stamp/stamp.jsp?arnumber=10520714</t>
  </si>
  <si>
    <t>Secure eKYC: Blockchain Integration with Facial Recognition and FASNet-Based Anti-Spoofing Mechanism</t>
  </si>
  <si>
    <t>https://ieeexplore.ieee.org/stamp/stamp.jsp?arnumber=10593050</t>
  </si>
  <si>
    <t>2024 5th International Conference for Emerging Technology (INCET)</t>
  </si>
  <si>
    <t>Decentralized PKI Framework for Data Integrity in Spatial Crowdsourcing Drone Services</t>
  </si>
  <si>
    <t>https://ieeexplore.ieee.org/stamp/stamp.jsp?arnumber=10707566</t>
  </si>
  <si>
    <t>Use Cases and Comparative Analysis of Blockchain Networks and Layers for DApp Development</t>
  </si>
  <si>
    <t>https://ieeexplore.ieee.org/stamp/stamp.jsp?arnumber=10577885</t>
  </si>
  <si>
    <t>Digital Twin-Driven Trust Management in Open RAN-Based Spatial Crowdsourcing Drone Services</t>
  </si>
  <si>
    <t>https://ieeexplore.ieee.org/stamp/stamp.jsp?arnumber=10535995</t>
  </si>
  <si>
    <t>IEEE Transactions on Green Communications and Networking</t>
  </si>
  <si>
    <t>Mitigating E-Commerce Security Risks with Blockchain: A Multi-Layered Architecture</t>
  </si>
  <si>
    <t>https://ieeexplore.ieee.org/stamp/stamp.jsp?arnumber=10581253</t>
  </si>
  <si>
    <t>Usage of Blockchain Technology for Improving Computer Security</t>
  </si>
  <si>
    <t>https://ieeexplore.ieee.org/stamp/stamp.jsp?arnumber=10877007</t>
  </si>
  <si>
    <t>Automation of Financial Aid Distribution Systems Using Consortium Blockchain</t>
  </si>
  <si>
    <t>https://ieeexplore.ieee.org/stamp/stamp.jsp?arnumber=10499448</t>
  </si>
  <si>
    <t>Cybersecurity Anomaly Detection: AI and Ethereum Blockchain for a Secure and Tamperproof IoHT Data Management</t>
  </si>
  <si>
    <t>https://ieeexplore.ieee.org/stamp/stamp.jsp?arnumber=10680041</t>
  </si>
  <si>
    <t>An Optimized Blockchain Model for Secure and Efficient Data Management in Internet of Things*</t>
  </si>
  <si>
    <t>https://ieeexplore.ieee.org/stamp/stamp.jsp?arnumber=10624817</t>
  </si>
  <si>
    <t>2024 IEEE International Conference on Information Technology Electronics and Intelligent Communication Systems (ICITEICS)</t>
  </si>
  <si>
    <t>Specular: Towards Secure, Trust-minimized Optimistic Blockchain Execution</t>
  </si>
  <si>
    <t>https://ieeexplore.ieee.org/stamp/stamp.jsp?arnumber=10646707</t>
  </si>
  <si>
    <t>A Review and Bibliometric Analysis of Blockchain Adoption Within the Context of Smart Construction Projects</t>
  </si>
  <si>
    <t>https://ieeexplore.ieee.org/stamp/stamp.jsp?arnumber=10459703</t>
  </si>
  <si>
    <t>2024 ASU International Conference in Emerging Technologies for Sustainability and Intelligent Systems (ICETSIS)</t>
  </si>
  <si>
    <t>An Annotation Assisted Smart Contracts Generation Method</t>
  </si>
  <si>
    <t>https://ieeexplore.ieee.org/stamp/stamp.jsp?arnumber=10495043</t>
  </si>
  <si>
    <t>A Blockchain-Based Trustworthy Federated Learning Privacy Protection Scheme</t>
  </si>
  <si>
    <t>https://ieeexplore.ieee.org/stamp/stamp.jsp?arnumber=10570990</t>
  </si>
  <si>
    <t>2024 IEEE Wireless Communications and Networking Conference (WCNC)</t>
  </si>
  <si>
    <t>Decentralizing Health: The Role of Private Blockchain in Secure and Patient-Oriented EHR Management</t>
  </si>
  <si>
    <t>https://ieeexplore.ieee.org/stamp/stamp.jsp?arnumber=10486508</t>
  </si>
  <si>
    <t>dTEE: A Declarative Approach to Secure IoT Applications Using TrustZone</t>
  </si>
  <si>
    <t>https://ieeexplore.ieee.org/stamp/stamp.jsp?arnumber=10577323</t>
  </si>
  <si>
    <t>2024 23rd ACM/IEEE International Conference on Information Processing in Sensor Networks (IPSN)</t>
  </si>
  <si>
    <t>VoteChain: Promising a Secure and Transparent Election using Blockchain and Biometrics</t>
  </si>
  <si>
    <t>https://ieeexplore.ieee.org/stamp/stamp.jsp?arnumber=10780340</t>
  </si>
  <si>
    <t>Ponziguard: Detecting Ponzi Schemes on Ethereum with Contract Runtime Behavior Graph (CRBG)</t>
  </si>
  <si>
    <t>https://ieeexplore.ieee.org/stamp/stamp.jsp?arnumber=10548971</t>
  </si>
  <si>
    <t>Securing the Ballot: Ganache's Role in Modernizing E-Voting</t>
  </si>
  <si>
    <t>https://ieeexplore.ieee.org/stamp/stamp.jsp?arnumber=10763353</t>
  </si>
  <si>
    <t>2024 4th International Conference on Sustainable Expert Systems (ICSES)</t>
  </si>
  <si>
    <t>Decentralized Storage Based on a Blockchain</t>
  </si>
  <si>
    <t>https://ieeexplore.ieee.org/stamp/stamp.jsp?arnumber=10592930</t>
  </si>
  <si>
    <t>2024 International Conference on Communication Computer Sciences and Engineering (IC3SE)</t>
  </si>
  <si>
    <t>A Deep-Learning-Integrated Blockchain Framework for Securing Industrial IoT</t>
  </si>
  <si>
    <t>https://ieeexplore.ieee.org/stamp/stamp.jsp?arnumber=10254517</t>
  </si>
  <si>
    <t>Blockchain-based Private Set Intersection Protocol with Attribute-based Access Control</t>
  </si>
  <si>
    <t>https://ieeexplore.ieee.org/stamp/stamp.jsp?arnumber=10580160</t>
  </si>
  <si>
    <t>Blockchain-based Framework for Securing and Enhancing Internet of Things Ecosystems</t>
  </si>
  <si>
    <t>https://ieeexplore.ieee.org/stamp/stamp.jsp?arnumber=10762013</t>
  </si>
  <si>
    <t>2024 International Seminar on Application for Technology of Information and Communication (iSemantic)</t>
  </si>
  <si>
    <t>Cybersecurity in Healthcare: IOT Security for Medical Devices</t>
  </si>
  <si>
    <t>https://ieeexplore.ieee.org/stamp/stamp.jsp?arnumber=10724329</t>
  </si>
  <si>
    <t>Trust in Software Supply Chains: Blockchain-Enabled SBOM and the AIBOM Future</t>
  </si>
  <si>
    <t>https://ieeexplore.ieee.org/stamp/stamp.jsp?arnumber=10649704</t>
  </si>
  <si>
    <t>2024 IEEE/ACM 4th International Workshop on Engineering and Cybersecurity of Critical Systems and 2024 IEEE/ACM Second International Workshop on Software Vulnerability (EnCyCriS/SVM)</t>
  </si>
  <si>
    <t>A Blockchain and Machine Learning-Based Integrated Framework for Dynamic Customs Security Enhancement with a Focus on Smuggling</t>
  </si>
  <si>
    <t>https://ieeexplore.ieee.org/stamp/stamp.jsp?arnumber=10534558</t>
  </si>
  <si>
    <t>2024 6th International Conference on Electrical Engineering and Information &amp; Communication Technology (ICEEICT)</t>
  </si>
  <si>
    <t>Enhanced Cyber Logic: A Robust Design of Identity based Encryption Mechanism to Secure Data using Blockchain Technology</t>
  </si>
  <si>
    <t>https://ieeexplore.ieee.org/stamp/stamp.jsp?arnumber=10626097</t>
  </si>
  <si>
    <t>2024 4th International Conference on Intelligent Technologies (CONIT)</t>
  </si>
  <si>
    <t>IoT based Blockchain System for Security from Identity Theft in Industrial Automation</t>
  </si>
  <si>
    <t>https://ieeexplore.ieee.org/stamp/stamp.jsp?arnumber=10545083</t>
  </si>
  <si>
    <t>2024 International Conference on Trends in Quantum Computing and Emerging Business Technologies</t>
  </si>
  <si>
    <t>A Robust Framework for Crowdfunding Processes</t>
  </si>
  <si>
    <t>https://ieeexplore.ieee.org/stamp/stamp.jsp?arnumber=10730320</t>
  </si>
  <si>
    <t>2024 1st International Conference on Advanced Computing and Emerging Technologies (ACET)</t>
  </si>
  <si>
    <t>Agrochain: Harnessing Blockchain for Agricultural Progress with DApp Technology</t>
  </si>
  <si>
    <t>https://ieeexplore.ieee.org/stamp/stamp.jsp?arnumber=10863890</t>
  </si>
  <si>
    <t>2024 International Conference on Sustainable Communication Networks and Application (ICSCNA)</t>
  </si>
  <si>
    <t>Toward Secure and Trustworthy Vehicular Fog Computing: A Survey</t>
  </si>
  <si>
    <t>https://ieeexplore.ieee.org/stamp/stamp.jsp?arnumber=10458420</t>
  </si>
  <si>
    <t>Securing Drones with Blockchain-Enabled Privacy-Preserving Authentication</t>
  </si>
  <si>
    <t>https://ieeexplore.ieee.org/stamp/stamp.jsp?arnumber=10616927</t>
  </si>
  <si>
    <t>Fast Payments Across Heterogeneous Blockchains for Internet of Things</t>
  </si>
  <si>
    <t>https://ieeexplore.ieee.org/stamp/stamp.jsp?arnumber=10453562</t>
  </si>
  <si>
    <t>Blockchain Data Mining With Graph Learning: A Survey</t>
  </si>
  <si>
    <t>https://ieeexplore.ieee.org/stamp/stamp.jsp?arnumber=10296043</t>
  </si>
  <si>
    <t>IEEE Transactions on Pattern Analysis and Machine Intelligence</t>
  </si>
  <si>
    <t>Blockchain-Based Decentralized Access Control Framework for Enhanced Security and Privacy for Consumer Electronic Devices</t>
  </si>
  <si>
    <t>https://ieeexplore.ieee.org/stamp/stamp.jsp?arnumber=10546970</t>
  </si>
  <si>
    <t>Integrating Federated Machine Learning in Blockchain Crowdfunding Ecosystem for Increased Security and Transparency</t>
  </si>
  <si>
    <t>https://ieeexplore.ieee.org/stamp/stamp.jsp?arnumber=10746050</t>
  </si>
  <si>
    <t>2024 30th International Conference on Mechatronics and Machine Vision in Practice (M2VIP)</t>
  </si>
  <si>
    <t>Integration of Blockchain Technology and Machine Learning in Online Secure Banking System</t>
  </si>
  <si>
    <t>https://ieeexplore.ieee.org/stamp/stamp.jsp?arnumber=10816977</t>
  </si>
  <si>
    <t>Implementation of a Decentralised Platform for Digital File Verification and Sharing using Solana Blockchain and IPFS</t>
  </si>
  <si>
    <t>https://ieeexplore.ieee.org/stamp/stamp.jsp?arnumber=10607683</t>
  </si>
  <si>
    <t>Integrating Blockchain Technology for Enhanced Security and Trust in Remote IoT Healthcare Systems</t>
  </si>
  <si>
    <t>https://ieeexplore.ieee.org/stamp/stamp.jsp?arnumber=10797561</t>
  </si>
  <si>
    <t>2024 3rd Odisha International Conference on Electrical Power Engineering Communication and Computing Technology (ODICON)</t>
  </si>
  <si>
    <t>Harnessing the Potential of Blockchain in ChainAgilePlus Framework for the Improvement of Distributed Scrum of Scrums Agile Software Development</t>
  </si>
  <si>
    <t>https://ieeexplore.ieee.org/stamp/stamp.jsp?arnumber=10595117</t>
  </si>
  <si>
    <t>EOS Blockchain-Based Electronic Voting System</t>
  </si>
  <si>
    <t>https://ieeexplore.ieee.org/stamp/stamp.jsp?arnumber=10732348</t>
  </si>
  <si>
    <t>A Multi-Signature Scheme for Defending Malleability Attack on DeFi</t>
  </si>
  <si>
    <t>https://ieeexplore.ieee.org/stamp/stamp.jsp?arnumber=10843682</t>
  </si>
  <si>
    <t>SymboleoNLP: A Tool for Generating Formal Specifications from Legal Contract Templates</t>
  </si>
  <si>
    <t>https://ieeexplore.ieee.org/stamp/stamp.jsp?arnumber=10628493</t>
  </si>
  <si>
    <t>2024 IEEE 32nd International Requirements Engineering Conference (RE)</t>
  </si>
  <si>
    <t>Ethereum Smart Contract Account Classification and Transaction Prediction Using the Graph Attention Network</t>
  </si>
  <si>
    <t>https://ieeexplore.ieee.org/stamp/stamp.jsp?arnumber=10654715</t>
  </si>
  <si>
    <t>Journal of Web Engineering</t>
  </si>
  <si>
    <t>Blockchain-powered Healthcare: Revolutionizing Security and Privacy in IoT-based Systems</t>
  </si>
  <si>
    <t>https://ieeexplore.ieee.org/stamp/stamp.jsp?arnumber=10585062</t>
  </si>
  <si>
    <t>2024 International Conference on Computational Intelligence and Computing Applications (ICCICA)</t>
  </si>
  <si>
    <t>A Blockchain-Based Secure Distributed Authentication Scheme for Internet of Vehicles</t>
  </si>
  <si>
    <t>https://ieeexplore.ieee.org/stamp/stamp.jsp?arnumber=10547210</t>
  </si>
  <si>
    <t>Enhancing Security in Cloud Native Applications: A Blockchain-Based Approach for Container Image Integrity</t>
  </si>
  <si>
    <t>https://ieeexplore.ieee.org/stamp/stamp.jsp?arnumber=10731057</t>
  </si>
  <si>
    <t>2024 IEEE 3rd World Conference on Applied Intelligence and Computing (AIC)</t>
  </si>
  <si>
    <t>A Federated-ANFIS for Collaborative Intrusion Detection in Securing Decentralized Autonomous Organizations</t>
  </si>
  <si>
    <t>https://ieeexplore.ieee.org/stamp/stamp.jsp?arnumber=10227539</t>
  </si>
  <si>
    <t>Blockchain for Securing CI/CD Pipeline: A Review on Tools</t>
  </si>
  <si>
    <t>10.1109/CIoT63799.2024.10757084</t>
  </si>
  <si>
    <t>2024 7th Conference on Cloud and Internet of Things (CIoT)</t>
  </si>
  <si>
    <t>A Proposed Model for Improving the Reliability of Online Exam Results Using Blockchain</t>
  </si>
  <si>
    <t>https://ieeexplore.ieee.org/stamp/stamp.jsp?arnumber=10216975</t>
  </si>
  <si>
    <t>A Chebyshev Polynomial-Based Authentication Scheme Using Blockchain Technology for Fog-Based Vehicular Network</t>
  </si>
  <si>
    <t>https://ieeexplore.ieee.org/stamp/stamp.jsp?arnumber=10412662</t>
  </si>
  <si>
    <t>Design and Development of Block Chain Technology Based Small Scale Institutional Voting System</t>
  </si>
  <si>
    <t>https://ieeexplore.ieee.org/stamp/stamp.jsp?arnumber=10864372</t>
  </si>
  <si>
    <t>Implementation of a Secured and Decentralized Database for Valid Students Using Blockchain Technology</t>
  </si>
  <si>
    <t>https://ieeexplore.ieee.org/stamp/stamp.jsp?arnumber=10561794</t>
  </si>
  <si>
    <t>2024 3rd International Conference on Advancement in Electrical and Electronic Engineering (ICAEEE)</t>
  </si>
  <si>
    <t>Monero With Multi-Grained Redaction</t>
  </si>
  <si>
    <t>https://ieeexplore.ieee.org/stamp/stamp.jsp?arnumber=10057988</t>
  </si>
  <si>
    <t>Using IOTA Tangle and Machine Learning for a Defensive Model-Based Approach Against Replication Attacks on Wireless Sensor Networks</t>
  </si>
  <si>
    <t>https://ieeexplore.ieee.org/stamp/stamp.jsp?arnumber=10707613</t>
  </si>
  <si>
    <t>A Decentralized Smart Grid Communication Framework Using SDN-Enabled Blockchain</t>
  </si>
  <si>
    <t>https://ieeexplore.ieee.org/stamp/stamp.jsp?arnumber=10454835</t>
  </si>
  <si>
    <t>Securing the Metaverse: The Intersection of ML-Based Oracles and Blockchain Technology</t>
  </si>
  <si>
    <t>https://ieeexplore.ieee.org/stamp/stamp.jsp?arnumber=10807869</t>
  </si>
  <si>
    <t>2024 2nd International Conference on Intelligent Metaverse Technologies &amp; Applications (iMETA)</t>
  </si>
  <si>
    <t>Abstract Interpretation for PLONKish Circuits</t>
  </si>
  <si>
    <t>https://ieeexplore.ieee.org/stamp/stamp.jsp?arnumber=10838020</t>
  </si>
  <si>
    <t>Exploring Strategies for Guiding Symbolic Analysis with Machine Learning Prediction</t>
  </si>
  <si>
    <t>https://ieeexplore.ieee.org/stamp/stamp.jsp?arnumber=10589864</t>
  </si>
  <si>
    <t>2024 IEEE International Conference on Software Analysis Evolution and Reengineering (SANER)</t>
  </si>
  <si>
    <t>From cadCAD to casCAD2: A Mechanism Validation and Verification System for Decentralized Autonomous Organizations Based on Parallel Intelligence</t>
  </si>
  <si>
    <t>https://ieeexplore.ieee.org/stamp/stamp.jsp?arnumber=10175162</t>
  </si>
  <si>
    <t>Mobile-based Vaccine Tracking System using Ethereum Blockchain and QR Code</t>
  </si>
  <si>
    <t>https://ieeexplore.ieee.org/stamp/stamp.jsp?arnumber=10467308</t>
  </si>
  <si>
    <t>2024 International Conference on Artificial Intelligence Computer Data Sciences and Applications (ACDSA)</t>
  </si>
  <si>
    <t>Stop Pulling my Rug: Exposing Rug Pull Risks in Crypto Token to Investors</t>
  </si>
  <si>
    <t>https://ieeexplore.ieee.org/stamp/stamp.jsp?arnumber=10554695</t>
  </si>
  <si>
    <t>2024 IEEE/ACM 46th International Conference on Software Engineering: Software Engineering in Practice (ICSE-SEIP)</t>
  </si>
  <si>
    <t>Modified AI-based learning Approach to Secure Data using Deep learning algorithms</t>
  </si>
  <si>
    <t>https://ieeexplore.ieee.org/stamp/stamp.jsp?arnumber=10837269</t>
  </si>
  <si>
    <t>2024 International Conference on Intelligent Computing and Emerging Communication Technologies (ICEC)</t>
  </si>
  <si>
    <t>The Evolution of Labor Market: A Blockchain Based Decentralized Hiring System for Efficient Labor Acquisition</t>
  </si>
  <si>
    <t>https://ieeexplore.ieee.org/stamp/stamp.jsp?arnumber=10522318</t>
  </si>
  <si>
    <t>Badges as a Gamification Tool in Higher Education Through Tokenization</t>
  </si>
  <si>
    <t>https://ieeexplore.ieee.org/stamp/stamp.jsp?arnumber=10735887</t>
  </si>
  <si>
    <t>2024 IEEE Biennial Congress of Argentina (ARGENCON)</t>
  </si>
  <si>
    <t>A Revocable and Fair Outsourcing Attribute-Based Access Control Scheme in Metaverse</t>
  </si>
  <si>
    <t>https://ieeexplore.ieee.org/stamp/stamp.jsp?arnumber=10472315</t>
  </si>
  <si>
    <t>Detection of NFT Duplications with Image Hash Functions</t>
  </si>
  <si>
    <t>https://ieeexplore.ieee.org/stamp/stamp.jsp?arnumber=10634437</t>
  </si>
  <si>
    <t>Optimizing Industrial IoT Data Security Through Blockchain-Enabled Incentive-Driven Game Theoretic Approach for Data Sharing</t>
  </si>
  <si>
    <t>https://ieeexplore.ieee.org/stamp/stamp.jsp?arnumber=10480419</t>
  </si>
  <si>
    <t>A Blockchain-Based Solution for Securing Central Bank Bond Management</t>
  </si>
  <si>
    <t>https://ieeexplore.ieee.org/stamp/stamp.jsp?arnumber=10796542</t>
  </si>
  <si>
    <t>2024 IEEE International Conference on Computing Applications and Systems (COMPAS)</t>
  </si>
  <si>
    <t>Infusing Data Feeds and Models on Blockchain Contracts Through Oracle Based Infrastructure</t>
  </si>
  <si>
    <t>https://ieeexplore.ieee.org/stamp/stamp.jsp?arnumber=10752172</t>
  </si>
  <si>
    <t>2024 IEEE Region 10 Symposium (TENSYMP)</t>
  </si>
  <si>
    <t>Envisaging the patterns in Blockchain</t>
  </si>
  <si>
    <t>https://ieeexplore.ieee.org/stamp/stamp.jsp?arnumber=10672814</t>
  </si>
  <si>
    <t>2024 7th International Conference on Circuit Power and Computing Technologies (ICCPCT)</t>
  </si>
  <si>
    <t>To Implement Blockchain Based Social Media Platform with Sentiment Analysis Using NLP</t>
  </si>
  <si>
    <t>https://ieeexplore.ieee.org/stamp/stamp.jsp?arnumber=10743538</t>
  </si>
  <si>
    <t>2024 International Conference on Advances in Computing Research on Science Engineering and Technology (ACROSET)</t>
  </si>
  <si>
    <t>Detection of Counterfeit Products with QR Codes using Blockchain Technology</t>
  </si>
  <si>
    <t>https://ieeexplore.ieee.org/stamp/stamp.jsp?arnumber=10673132</t>
  </si>
  <si>
    <t>Secure Blockchain based Biometric Authentication using Elliptic Curve Digital Signature Algorithm</t>
  </si>
  <si>
    <t>https://ieeexplore.ieee.org/stamp/stamp.jsp?arnumber=10844381</t>
  </si>
  <si>
    <t>Enabling Trustable Financing: A Verifiable Privacy-Preserving Cross-Chain Protocol</t>
  </si>
  <si>
    <t>https://ieeexplore.ieee.org/stamp/stamp.jsp?arnumber=10693771</t>
  </si>
  <si>
    <t>2024 IEEE/CIC International Conference on Communications in China (ICCC Workshops)</t>
  </si>
  <si>
    <t>Blockchain in Supply Chains: A Dual Perspective on Transparency and Efficiency</t>
  </si>
  <si>
    <t>https://ieeexplore.ieee.org/stamp/stamp.jsp?arnumber=10630263</t>
  </si>
  <si>
    <t>2024 International Conference on Science Engineering and Business for Driving Sustainable Development Goals (SEB4SDG)</t>
  </si>
  <si>
    <t>BAESDA: A Blockchain-Assisted Efficient and Secure Data Authentication Scheme for Distributed IoT Collection System</t>
  </si>
  <si>
    <t>https://ieeexplore.ieee.org/stamp/stamp.jsp?arnumber=10458052</t>
  </si>
  <si>
    <t>IEEE Sensors Journal</t>
  </si>
  <si>
    <t>Exploring the Integration of Blockchain and Distributed DevOps for Secure</t>
  </si>
  <si>
    <t>10.1109/ACCESS.2024.3509036</t>
  </si>
  <si>
    <t>Secure Sharing Architecture of Personal Healthcare Data Using Private Permissioned Blockchain for Telemedicine</t>
  </si>
  <si>
    <t>https://ieeexplore.ieee.org/stamp/stamp.jsp?arnumber=10616139</t>
  </si>
  <si>
    <t>A Review of Secure IoT Based Smart Health Monitoring System using Blockchain Technique</t>
  </si>
  <si>
    <t>https://ieeexplore.ieee.org/stamp/stamp.jsp?arnumber=10601427</t>
  </si>
  <si>
    <t>FACOS: Enabling Privacy Protection Through Fine-Grained Access Control With On-Chain and Off-Chain System</t>
  </si>
  <si>
    <t>https://ieeexplore.ieee.org/stamp/stamp.jsp?arnumber=10596314</t>
  </si>
  <si>
    <t>Security Enhancement Using Scalable Blockchain-Based Multi-Factor Authentication</t>
  </si>
  <si>
    <t>https://ieeexplore.ieee.org/stamp/stamp.jsp?arnumber=10844379</t>
  </si>
  <si>
    <t>Blockchain-Based Certificate-Free Cross-Domain Authentication Mechanism for Industrial Internet</t>
  </si>
  <si>
    <t>https://ieeexplore.ieee.org/stamp/stamp.jsp?arnumber=10185967</t>
  </si>
  <si>
    <t>Advancing Medical Device Management Systems through Ethereum Blockchain</t>
  </si>
  <si>
    <t>https://ieeexplore.ieee.org/stamp/stamp.jsp?arnumber=10844496</t>
  </si>
  <si>
    <t>Bytecode Skeletons for Sample Selection in the Analysis of Blockchain Programs</t>
  </si>
  <si>
    <t>https://ieeexplore.ieee.org/stamp/stamp.jsp?arnumber=10634441</t>
  </si>
  <si>
    <t>Search-Based Automated Program Repair: A Survey</t>
  </si>
  <si>
    <t>https://ieeexplore.ieee.org/stamp/stamp.jsp?arnumber=10727087</t>
  </si>
  <si>
    <t>Blockchain: Tools, Challenges and Benefits</t>
  </si>
  <si>
    <t>https://ieeexplore.ieee.org/stamp/stamp.jsp?arnumber=10763568</t>
  </si>
  <si>
    <t>School of Technology Woxsen University Hyderabad School of Technology Woxsen University Hyderabad School of Technology Woxsen University Hyderabad Department of CS Central University Odisha India</t>
  </si>
  <si>
    <t>Benchmarking Local Blockchain Frameworks for Online Voting System: Comparative Analysis of Truffle and Hardhat Across Diverse Transaction Loads</t>
  </si>
  <si>
    <t>https://ieeexplore.ieee.org/stamp/stamp.jsp?arnumber=10864300</t>
  </si>
  <si>
    <t>Eisdspa: An Efficient and Secure Blockchain-Based Donation Scheme With Privacy Protection and Auditability</t>
  </si>
  <si>
    <t>https://ieeexplore.ieee.org/stamp/stamp.jsp?arnumber=10759694</t>
  </si>
  <si>
    <t>IDIA: IOTA and Decentralized Identifiers Assisted Authentication in Smart Oceans</t>
  </si>
  <si>
    <t>https://ieeexplore.ieee.org/stamp/stamp.jsp?arnumber=10770467</t>
  </si>
  <si>
    <t>2024 20th International Conference on Wireless and Mobile Computing Networking and Communications (WiMob)</t>
  </si>
  <si>
    <t>Fortifying Federated Learning in IIoT: Leveraging Blockchain and Digital Twin Innovations for Enhanced Security and Resilience</t>
  </si>
  <si>
    <t>https://ieeexplore.ieee.org/stamp/stamp.jsp?arnumber=10530305</t>
  </si>
  <si>
    <t>Design and Implementation of Biometric Blockchain Authentication for VANET Security</t>
  </si>
  <si>
    <t>https://ieeexplore.ieee.org/stamp/stamp.jsp?arnumber=10482007</t>
  </si>
  <si>
    <t>2024 IEEE International Students' Conference on Electrical Electronics and Computer Science (SCEECS)</t>
  </si>
  <si>
    <t>Seamless Seafood Supply Chain Management: A Dynamic Blockchain Contract with Role-Based Flexibility and Enhanced Security</t>
  </si>
  <si>
    <t>https://ieeexplore.ieee.org/stamp/stamp.jsp?arnumber=10468755</t>
  </si>
  <si>
    <t>DIaC: Re-Imagining Decentralized Infrastructure as Code Using Blockchain</t>
  </si>
  <si>
    <t>https://ieeexplore.ieee.org/stamp/stamp.jsp?arnumber=10287565</t>
  </si>
  <si>
    <t>Development of HR Metrics and Plans for Employee Engagement in Banking Sector Using Blockchain Technology</t>
  </si>
  <si>
    <t>https://ieeexplore.ieee.org/stamp/stamp.jsp?arnumber=10511140</t>
  </si>
  <si>
    <t>A Secure and Transparent Voting System Framework Using Finger Vein and Blockchain Technology</t>
  </si>
  <si>
    <t>https://ieeexplore.ieee.org/stamp/stamp.jsp?arnumber=10847554</t>
  </si>
  <si>
    <t>2024 IEEE 16th International Conference on Computational Intelligence and Communication Networks (CICN)</t>
  </si>
  <si>
    <t>Blockchain Based Fake Product Detection System: Enhancing Supply Chain Transparency</t>
  </si>
  <si>
    <t>https://ieeexplore.ieee.org/stamp/stamp.jsp?arnumber=10696230</t>
  </si>
  <si>
    <t>Development of a database for the main stationary sources of pollution with regulation of emissions quotas</t>
  </si>
  <si>
    <t>https://ieeexplore.ieee.org/stamp/stamp.jsp?arnumber=10629309</t>
  </si>
  <si>
    <t>2024 IEEE 4th International Conference on Smart Information Systems and Technologies (SIST)</t>
  </si>
  <si>
    <t>Creating Resilient Digital Asset Management Frameworks in Financial Operations Using Blockchain Technology</t>
  </si>
  <si>
    <t>https://ieeexplore.ieee.org/stamp/stamp.jsp?arnumber=10545263</t>
  </si>
  <si>
    <t>From Creation to Exploitation: The Oracle Lifecycle</t>
  </si>
  <si>
    <t>https://ieeexplore.ieee.org/stamp/stamp.jsp?arnumber=10621738</t>
  </si>
  <si>
    <t>An Improved Blockchain Based Security Framework for IoT Enabled Wireless Network</t>
  </si>
  <si>
    <t>https://ieeexplore.ieee.org/stamp/stamp.jsp?arnumber=10593137</t>
  </si>
  <si>
    <t>MorphDAG: A Workload-Aware Elastic DAG-Based Blockchain</t>
  </si>
  <si>
    <t>https://ieeexplore.ieee.org/stamp/stamp.jsp?arnumber=10483543</t>
  </si>
  <si>
    <t>Blockchain and the Metaverse: Personalized Learning for a Digital Future</t>
  </si>
  <si>
    <t>https://ieeexplore.ieee.org/stamp/stamp.jsp?arnumber=10844439</t>
  </si>
  <si>
    <t>Python- Driven Organ Management System based on DJANGO Environment</t>
  </si>
  <si>
    <t>https://ieeexplore.ieee.org/stamp/stamp.jsp?arnumber=10548788</t>
  </si>
  <si>
    <t>2024 Third International Conference on Distributed Computing and Electrical Circuits and Electronics (ICDCECE)</t>
  </si>
  <si>
    <t>Secure Cross-Chain Provenance for Digital Forensics Collaboration</t>
  </si>
  <si>
    <t>https://ieeexplore.ieee.org/stamp/stamp.jsp?arnumber=10835543</t>
  </si>
  <si>
    <t>Exploring the Integration of Blockchain in 6G Networks for Improved Security and Efficiency</t>
  </si>
  <si>
    <t>https://ieeexplore.ieee.org/stamp/stamp.jsp?arnumber=10470740</t>
  </si>
  <si>
    <t>Integrating Post-Quantum Cryptography and Blockchain to Secure Low-Cost IoT Devices</t>
  </si>
  <si>
    <t>https://ieeexplore.ieee.org/stamp/stamp.jsp?arnumber=10756206</t>
  </si>
  <si>
    <t>IEEE Transactions on Industrial Informatics</t>
  </si>
  <si>
    <t>A Framework for Democratizing Open-Source Decision-Making using Decentralized Autonomous Organization</t>
  </si>
  <si>
    <t>https://ieeexplore.ieee.org/stamp/stamp.jsp?arnumber=10485140</t>
  </si>
  <si>
    <t>2024 6th International Conference on Computing and Informatics (ICCI)</t>
  </si>
  <si>
    <t>A Novel Blockchain Supported Hybrid Authentication and Handshake Algorithm for Smart Grid</t>
  </si>
  <si>
    <t>https://ieeexplore.ieee.org/stamp/stamp.jsp?arnumber=10766603</t>
  </si>
  <si>
    <t>Decentralized Application using Blockchain</t>
  </si>
  <si>
    <t>https://ieeexplore.ieee.org/stamp/stamp.jsp?arnumber=10661001</t>
  </si>
  <si>
    <t>2024 5th International Conference on Image Processing and Capsule Networks (ICIPCN)</t>
  </si>
  <si>
    <t>Improved LTE-R Access Authentication Scheme Based on Blockchain and Secgear</t>
  </si>
  <si>
    <t>https://ieeexplore.ieee.org/stamp/stamp.jsp?arnumber=10288119</t>
  </si>
  <si>
    <t>On the Resilience of Authentication Schemes in IoT Networks With Different Structural Topologies</t>
  </si>
  <si>
    <t>https://ieeexplore.ieee.org/stamp/stamp.jsp?arnumber=10315153</t>
  </si>
  <si>
    <t>ECC-EXONUM-eVOTING: A Novel Signature-Based e-Voting Scheme Using Blockchain and Zero Knowledge Property</t>
  </si>
  <si>
    <t>https://ieeexplore.ieee.org/stamp/stamp.jsp?arnumber=10376464</t>
  </si>
  <si>
    <t>Harnessing the Power of web3: A Blockchain Approach to Crowdfunding</t>
  </si>
  <si>
    <t>https://ieeexplore.ieee.org/stamp/stamp.jsp?arnumber=10724330</t>
  </si>
  <si>
    <t>Lightweight Blockchain Prototype for Food Supply Chain Management</t>
  </si>
  <si>
    <t>https://ieeexplore.ieee.org/stamp/stamp.jsp?arnumber=10871597</t>
  </si>
  <si>
    <t>2024 17th International Conference on Security of Information and Networks (SIN)</t>
  </si>
  <si>
    <t>The Convergence of Block chain and Network Security: Opportunities and Challenges</t>
  </si>
  <si>
    <t>https://ieeexplore.ieee.org/stamp/stamp.jsp?arnumber=10724141</t>
  </si>
  <si>
    <t>$\mathsf {AVeCQ}$AVeCQ: Anonymous Verifiable Crowdsourcing With Worker Qualities</t>
  </si>
  <si>
    <t>https://ieeexplore.ieee.org/stamp/stamp.jsp?arnumber=10531192</t>
  </si>
  <si>
    <t>A Review on Blockchain -Based Paradigm for the Management of Digital Assets in Healthcare</t>
  </si>
  <si>
    <t>https://ieeexplore.ieee.org/stamp/stamp.jsp?arnumber=10744254</t>
  </si>
  <si>
    <t>2024 IEEE 5th India Council International Subsections Conference (INDISCON)</t>
  </si>
  <si>
    <t>A Comprehensive Assessment and Review of Blockchain Integration in Online Gaming</t>
  </si>
  <si>
    <t>https://ieeexplore.ieee.org/stamp/stamp.jsp?arnumber=10574967</t>
  </si>
  <si>
    <t>2024 MIT Art Design and Technology School of Computing International Conference (MITADTSoCiCon)</t>
  </si>
  <si>
    <t>Ethereum Transaction Replay Platform Based on State-Wise Account Input Data</t>
  </si>
  <si>
    <t>https://ieeexplore.ieee.org/stamp/stamp.jsp?arnumber=10504751</t>
  </si>
  <si>
    <t>Blockchain-Inspired Collaborative Cyber-Attacks Detection for Securing Metaverse</t>
  </si>
  <si>
    <t>https://ieeexplore.ieee.org/stamp/stamp.jsp?arnumber=10430365</t>
  </si>
  <si>
    <t>The Frontier of Blockchain Privacy: Development of a Private Ethereum Network</t>
  </si>
  <si>
    <t>https://ieeexplore.ieee.org/stamp/stamp.jsp?arnumber=10576280</t>
  </si>
  <si>
    <t>Enhancing Security using Trusted Blockchain Method for Internet of Vehicle</t>
  </si>
  <si>
    <t>https://ieeexplore.ieee.org/stamp/stamp.jsp?arnumber=10486132</t>
  </si>
  <si>
    <t>2024 International Conference on Automation and Computation (AUTOCOM)</t>
  </si>
  <si>
    <t>A Semi-Decentralized PKI Based on Blockchain With a Stake-Based Reward-Punishment Mechanism</t>
  </si>
  <si>
    <t>https://ieeexplore.ieee.org/stamp/stamp.jsp?arnumber=10509698</t>
  </si>
  <si>
    <t>Enhancing Privacy and Security in Decentralized Social Systems: Blockchain-Based Approach</t>
  </si>
  <si>
    <t>https://ieeexplore.ieee.org/stamp/stamp.jsp?arnumber=10533137</t>
  </si>
  <si>
    <t>2024 2nd International Conference on Cyber Resilience (ICCR)</t>
  </si>
  <si>
    <t>Intellectual Property Blockchain</t>
  </si>
  <si>
    <t>https://ieeexplore.ieee.org/stamp/stamp.jsp?arnumber=10844459</t>
  </si>
  <si>
    <t>Preserving Data Integrity and Detecting Toxic Recordings in Machine Learning using Blockchain</t>
  </si>
  <si>
    <t>https://ieeexplore.ieee.org/stamp/stamp.jsp?arnumber=10579239</t>
  </si>
  <si>
    <t>2024 IEEE 25th International Symposium on a World of Wireless Mobile and Multimedia Networks (WoWMoM)</t>
  </si>
  <si>
    <t>Lawful Remote Forensics Mechanism With Admissibility of Evidence in Stochastic and Unpredictable Transnational Crime</t>
  </si>
  <si>
    <t>https://ieeexplore.ieee.org/stamp/stamp.jsp?arnumber=10547601</t>
  </si>
  <si>
    <t>Contract Machines: An Engineer-friendly Specification Language for Mode-Based Systems</t>
  </si>
  <si>
    <t>https://ieeexplore.ieee.org/stamp/stamp.jsp?arnumber=10564508</t>
  </si>
  <si>
    <t>Workshop</t>
  </si>
  <si>
    <t>Real Estate Registry Platform Through NFT Tokenization Using Blockchain</t>
  </si>
  <si>
    <t>https://ieeexplore.ieee.org/stamp/stamp.jsp?arnumber=10488945</t>
  </si>
  <si>
    <t>2024 2nd International Conference on Disruptive Technologies (ICDT)</t>
  </si>
  <si>
    <t>Comparative Analysis of Blockchain Platforms for Adapting Proof of Authentication in IoT</t>
  </si>
  <si>
    <t>https://ieeexplore.ieee.org/stamp/stamp.jsp?arnumber=10793267</t>
  </si>
  <si>
    <t>2024 7th International Conference on Advanced Communication Technologies and Networking (CommNet)</t>
  </si>
  <si>
    <t>A Test Method for the Convergence of the Metaverse and Blockchain</t>
  </si>
  <si>
    <t>https://ieeexplore.ieee.org/stamp/stamp.jsp?arnumber=10472002</t>
  </si>
  <si>
    <t>Blockchain Based Toll Collection System</t>
  </si>
  <si>
    <t>https://ieeexplore.ieee.org/stamp/stamp.jsp?arnumber=10581064</t>
  </si>
  <si>
    <t>2024 International Conference on Current Trends in Advanced Computing (ICCTAC)</t>
  </si>
  <si>
    <t>A Systematic Review on a Multi-tenant Database Management System in Cloud Computing</t>
  </si>
  <si>
    <t>https://ieeexplore.ieee.org/stamp/stamp.jsp?arnumber=10533959</t>
  </si>
  <si>
    <t>Strategies for Detecting Counterfeit Products in the Global Food Supply Chain</t>
  </si>
  <si>
    <t>https://ieeexplore.ieee.org/stamp/stamp.jsp?arnumber=10866916</t>
  </si>
  <si>
    <t>2024 4th International Conference on Ubiquitous Computing and Intelligent Information Systems (ICUIS)</t>
  </si>
  <si>
    <t>Implementation of Blockchain Solutions with MiniFabric for Rapid Prototyping</t>
  </si>
  <si>
    <t>https://ieeexplore.ieee.org/stamp/stamp.jsp?arnumber=10522435</t>
  </si>
  <si>
    <t>Secure and Transparent Driver Profiling Using Blockchain and IPFS for Smart Cities</t>
  </si>
  <si>
    <t>https://ieeexplore.ieee.org/stamp/stamp.jsp?arnumber=10839731</t>
  </si>
  <si>
    <t>2024 2nd International Conference on Information and Communication Technology (ICICT)</t>
  </si>
  <si>
    <t>A Lattice-Based Certificateless Secure Data Transmission Scheme for Internet of Vehicles Based-Blockchain</t>
  </si>
  <si>
    <t>https://ieeexplore.ieee.org/stamp/stamp.jsp?arnumber=10696977</t>
  </si>
  <si>
    <t>IEEE Transactions on Vehicular Technology</t>
  </si>
  <si>
    <t>A Sharded Blockchain Architecture for Healthcare Data</t>
  </si>
  <si>
    <t>https://ieeexplore.ieee.org/stamp/stamp.jsp?arnumber=10633634</t>
  </si>
  <si>
    <t>Enabling SME Participation in Agricultural Futures: A Tokenized Pooling Model for Euronext Wheat Contracts</t>
  </si>
  <si>
    <t>https://ieeexplore.ieee.org/stamp/stamp.jsp?arnumber=10851510</t>
  </si>
  <si>
    <t>2024 International Conference Automatics and Informatics (ICAI)</t>
  </si>
  <si>
    <t>Intelligent Gesture-Enhanced Blockchain Voting: A New Era of Secure and Accessible E-Voting</t>
  </si>
  <si>
    <t>https://ieeexplore.ieee.org/stamp/stamp.jsp?arnumber=10695054</t>
  </si>
  <si>
    <t>A Domain Embedding Model for Botnet Detection Based on Smart Blockchain</t>
  </si>
  <si>
    <t>https://ieeexplore.ieee.org/stamp/stamp.jsp?arnumber=10264867</t>
  </si>
  <si>
    <t>Securing Smart Grid Data With Blockchain and Wireless Sensor Networks: A Collaborative Approach</t>
  </si>
  <si>
    <t>https://ieeexplore.ieee.org/stamp/stamp.jsp?arnumber=10419089</t>
  </si>
  <si>
    <t>Smart Home Secure Network using Decentralized Infrastructure and Machine Learning Techniques</t>
  </si>
  <si>
    <t>https://ieeexplore.ieee.org/stamp/stamp.jsp?arnumber=10775423</t>
  </si>
  <si>
    <t>2024 Antennas Design and Measurement International Conference (ADMInC)</t>
  </si>
  <si>
    <t>Security Enhancement in Tea Supply Chain using Blockchain with Hyperledger</t>
  </si>
  <si>
    <t>https://ieeexplore.ieee.org/stamp/stamp.jsp?arnumber=10467817</t>
  </si>
  <si>
    <t>2024 2nd International Conference on Intelligent Data Communication Technologies and Internet of Things (IDCIoT)</t>
  </si>
  <si>
    <t>Blockchain-IoT Healthcare Applications and Trends: A Review</t>
  </si>
  <si>
    <t>https://ieeexplore.ieee.org/stamp/stamp.jsp?arnumber=10379622</t>
  </si>
  <si>
    <t>Methodological Advancements in Standardizing Blockchain Assessment</t>
  </si>
  <si>
    <t>https://ieeexplore.ieee.org/stamp/stamp.jsp?arnumber=10458083</t>
  </si>
  <si>
    <t>Adaptive Mitigation of Blackhole Attacks in Blockchain-Enhanced Software Defined Networks</t>
  </si>
  <si>
    <t>https://ieeexplore.ieee.org/stamp/stamp.jsp?arnumber=10850069</t>
  </si>
  <si>
    <t>Voltran: Unlocking Trust and Confidentiality in Decentralized Federated Learning Aggregation</t>
  </si>
  <si>
    <t>https://ieeexplore.ieee.org/stamp/stamp.jsp?arnumber=10703116</t>
  </si>
  <si>
    <t>Transaction Fees Minimization in Blockchain-Based Home Delivery System</t>
  </si>
  <si>
    <t>https://ieeexplore.ieee.org/stamp/stamp.jsp?arnumber=10630504</t>
  </si>
  <si>
    <t>Chebyshev Polynomial and Private Blockchain Based Cross-Domain Authentication Protocol for IoD Networks</t>
  </si>
  <si>
    <t>https://ieeexplore.ieee.org/stamp/stamp.jsp?arnumber=10454702</t>
  </si>
  <si>
    <t>An Efficient and Transparent Financial Transaction System using Decentralized Finance (DeFi) based on Blockchain Technology</t>
  </si>
  <si>
    <t>https://ieeexplore.ieee.org/stamp/stamp.jsp?arnumber=10811700</t>
  </si>
  <si>
    <t>2024 2nd International Conference on Recent Advances in Information Technology for Sustainable Development (ICRAIS)</t>
  </si>
  <si>
    <t>SoK: Opportunities for Accelerating Multi - Party Computation via Trusted Hardware</t>
  </si>
  <si>
    <t>https://ieeexplore.ieee.org/stamp/stamp.jsp?arnumber=10738354</t>
  </si>
  <si>
    <t>2024 International Symposium on Secure and Private Execution Environment Design (SEED)</t>
  </si>
  <si>
    <t>Exploring Web3 Challenges: Implications for Investigative Techniques and Evidence Acquisition in Digital Forensics</t>
  </si>
  <si>
    <t>https://ieeexplore.ieee.org/stamp/stamp.jsp?arnumber=10851563</t>
  </si>
  <si>
    <t>Nurgle: Exacerbating Resource Consumption in Blockchain State Storage via MPT Manipulation</t>
  </si>
  <si>
    <t>https://ieeexplore.ieee.org/stamp/stamp.jsp?arnumber=10646826</t>
  </si>
  <si>
    <t>Exploring Key Properties and Predicting Price Movements of Cryptocurrency Market Using Social Network Analysis</t>
  </si>
  <si>
    <t>https://ieeexplore.ieee.org/stamp/stamp.jsp?arnumber=10521656</t>
  </si>
  <si>
    <t>A Systematic Literature Review of the Emerging Technologies used in Securing Healthcare Data</t>
  </si>
  <si>
    <t>https://ieeexplore.ieee.org/stamp/stamp.jsp?arnumber=10846068</t>
  </si>
  <si>
    <t>2024 12th International Conference on Internet of Everything Microwave Embedded Communication and Networks (IEMECON)</t>
  </si>
  <si>
    <t>DAO Governance Protocols and their Vulnerabilities</t>
  </si>
  <si>
    <t>https://ieeexplore.ieee.org/stamp/stamp.jsp?arnumber=10732536</t>
  </si>
  <si>
    <t>A Systematic Literature Review of Decentralized Applications in Web3: Identifying Challenges and Opportunities for Blockchain Developers</t>
  </si>
  <si>
    <t>https://ieeexplore.ieee.org/stamp/stamp.jsp?arnumber=10826066</t>
  </si>
  <si>
    <t>Blockchain-Based Central Bank Digital Currency: Empowering Centralized Oversight With Decentralized Transactions</t>
  </si>
  <si>
    <t>https://ieeexplore.ieee.org/stamp/stamp.jsp?arnumber=10798112</t>
  </si>
  <si>
    <t>Blockchain-Based Anonymous Reputation System for Performance Appraisal</t>
  </si>
  <si>
    <t>https://ieeexplore.ieee.org/stamp/stamp.jsp?arnumber=10849538</t>
  </si>
  <si>
    <t>A Blockchain Solution for Supply Chain Traceability in the Indian Market</t>
  </si>
  <si>
    <t>https://ieeexplore.ieee.org/stamp/stamp.jsp?arnumber=10616285</t>
  </si>
  <si>
    <t>2024 International Conference on Innovations and Challenges in Emerging Technologies (ICICET)</t>
  </si>
  <si>
    <t>Exploring the Mechanisms of Decentralized Finance (DeFi) Using Blockchain Technology</t>
  </si>
  <si>
    <t>https://ieeexplore.ieee.org/stamp/stamp.jsp?arnumber=10701148</t>
  </si>
  <si>
    <t>2024 3rd International Conference on Creative Communication and Innovative Technology (ICCIT)</t>
  </si>
  <si>
    <t>Deepfake Detection: Emerging Techniques and Evolving Challenges</t>
  </si>
  <si>
    <t>https://ieeexplore.ieee.org/stamp/stamp.jsp?arnumber=10846677</t>
  </si>
  <si>
    <t>Decentralized Electronic Health Records Management via Redactable Blockchain and Revocable IPFS</t>
  </si>
  <si>
    <t>https://ieeexplore.ieee.org/stamp/stamp.jsp?arnumber=10614433</t>
  </si>
  <si>
    <t>2024 IEEE/ACM Conference on Connected Health: Applications Systems and Engineering Technologies (CHASE)</t>
  </si>
  <si>
    <t>AI-Powered Secure Decentralized Energy Transactions in Smart Grids: Enhancing Security and Efficiency</t>
  </si>
  <si>
    <t>https://ieeexplore.ieee.org/stamp/stamp.jsp?arnumber=10653598</t>
  </si>
  <si>
    <t>ML-DDoS: A Blockchain-Based Multilevel DDoS Mitigation Mechanism for IoT Environments</t>
  </si>
  <si>
    <t>https://ieeexplore.ieee.org/stamp/stamp.jsp?arnumber=9774423</t>
  </si>
  <si>
    <t>BOTQUAS: Blockchain-based Solutions for Trustworthy Data Sharing in Sustainable and Circular Economy</t>
  </si>
  <si>
    <t>https://ieeexplore.ieee.org/stamp/stamp.jsp?arnumber=10803374</t>
  </si>
  <si>
    <t>2024 50th Euromicro Conference on Software Engineering and Advanced Applications (SEAA)</t>
  </si>
  <si>
    <t>Blockchain-Based Secure Data Sharing Algorithms for Cognitive Decision Management</t>
  </si>
  <si>
    <t>https://ieeexplore.ieee.org/stamp/stamp.jsp?arnumber=10698611</t>
  </si>
  <si>
    <t>2024 International Conference on Electrical Computer and Energy Technologies (ICECET</t>
  </si>
  <si>
    <t>Exploring Hyperledger Caliper Benchmarking Tool to Measure the Performance of Blockchain Based Solutions</t>
  </si>
  <si>
    <t>https://ieeexplore.ieee.org/stamp/stamp.jsp?arnumber=10522188</t>
  </si>
  <si>
    <t>Grubbs Test Based Algorithms to Improve the Efficiency of Blockchain Oracles</t>
  </si>
  <si>
    <t>https://ieeexplore.ieee.org/stamp/stamp.jsp?arnumber=10592444</t>
  </si>
  <si>
    <t>2024 International Wireless Communications and Mobile Computing (IWCMC)</t>
  </si>
  <si>
    <t>DeFiGuard: A Price Manipulation Detection Service in DeFi Using Graph Neural Networks</t>
  </si>
  <si>
    <t>https://ieeexplore.ieee.org/stamp/stamp.jsp?arnumber=10740038</t>
  </si>
  <si>
    <t>Metamorphose Digital Marketing with Cybersecurity Data Privacy Federatin Utilizing Blockchain</t>
  </si>
  <si>
    <t>https://ieeexplore.ieee.org/stamp/stamp.jsp?arnumber=10847524</t>
  </si>
  <si>
    <t>CredSSI: Enhancing Security and Privacy with Self-Sovereign Identities Approach</t>
  </si>
  <si>
    <t>https://ieeexplore.ieee.org/stamp/stamp.jsp?arnumber=10503044</t>
  </si>
  <si>
    <t>Blockchain Technology in Protein Folding: Enhancing Data Sharing and Collaboration</t>
  </si>
  <si>
    <t>https://ieeexplore.ieee.org/stamp/stamp.jsp?arnumber=10826960</t>
  </si>
  <si>
    <t>Vehicular Networks: Revolutionizing Motor Vehicle Operations and Governance through Blockchain</t>
  </si>
  <si>
    <t>https://ieeexplore.ieee.org/stamp/stamp.jsp?arnumber=10602247</t>
  </si>
  <si>
    <t>2024 International Conference on Advances in Computing Communication and Applied Informatics (ACCAI)</t>
  </si>
  <si>
    <t>Product Authenticity: A Blockchain-Based Solution</t>
  </si>
  <si>
    <t>https://ieeexplore.ieee.org/stamp/stamp.jsp?arnumber=10593633</t>
  </si>
  <si>
    <t>HydroDrone: Multi-Drone Network for Secure Task Management in Smart Water Resource Management</t>
  </si>
  <si>
    <t>https://ieeexplore.ieee.org/stamp/stamp.jsp?arnumber=10723361</t>
  </si>
  <si>
    <t>2024 IEEE 21st International Conference on Mobile Ad-Hoc and Smart Systems (MASS)</t>
  </si>
  <si>
    <t>Oblivious Transfer-Based Authentication and Privacy-Preserving Protocol for 5G-Enabled Vehicular Fog Computing</t>
  </si>
  <si>
    <t>https://ieeexplore.ieee.org/stamp/stamp.jsp?arnumber=10599474</t>
  </si>
  <si>
    <t>BlockMQ: Blockchain Assisted MQTT Authentication</t>
  </si>
  <si>
    <t>https://ieeexplore.ieee.org/stamp/stamp.jsp?arnumber=10696441</t>
  </si>
  <si>
    <t>Exploring the Role of Blockchain Technology in Improving Sustainable Supply Chain Performance: A System-Analysis-Based Approach</t>
  </si>
  <si>
    <t>https://ieeexplore.ieee.org/stamp/stamp.jsp?arnumber=10005278</t>
  </si>
  <si>
    <t>Data Valuation and Pricing in Internet of Things: Survey and Vision</t>
  </si>
  <si>
    <t>https://ieeexplore.ieee.org/stamp/stamp.jsp?arnumber=10788389</t>
  </si>
  <si>
    <t>2024 IEEE International Conference on Smart Internet of Things (SmartIoT)</t>
  </si>
  <si>
    <t>Towards Blockchain-based Decentralized Employee Transfer System</t>
  </si>
  <si>
    <t>https://ieeexplore.ieee.org/stamp/stamp.jsp?arnumber=10844383</t>
  </si>
  <si>
    <t>Artificial Intelligence Data Model Verification through Distributed Ledger Technology</t>
  </si>
  <si>
    <t>https://ieeexplore.ieee.org/stamp/stamp.jsp?arnumber=10475723</t>
  </si>
  <si>
    <t>2024 28th International Conference on Information Technology (IT)</t>
  </si>
  <si>
    <t>Blockchain Integration in FIFA Clearing House: Enhancing Security and Operational Efficiency</t>
  </si>
  <si>
    <t>https://ieeexplore.ieee.org/stamp/stamp.jsp?arnumber=10635976</t>
  </si>
  <si>
    <t>2024 IEEE International Workshop on Sport Technology and Research (STAR)</t>
  </si>
  <si>
    <t>A Secure Blockchain-based Reputation Scheme for Data Offloading in Edge Computing</t>
  </si>
  <si>
    <t>https://ieeexplore.ieee.org/stamp/stamp.jsp?arnumber=10580334</t>
  </si>
  <si>
    <t>Blockchain-Powered Carbon Credit Management: Innovating Sustainability Tracking</t>
  </si>
  <si>
    <t>https://ieeexplore.ieee.org/stamp/stamp.jsp?arnumber=10817037</t>
  </si>
  <si>
    <t>Unlocking the Viability of Blockchain Adoption for Healthcare: A Feasibility Study</t>
  </si>
  <si>
    <t>https://ieeexplore.ieee.org/stamp/stamp.jsp?arnumber=10724889</t>
  </si>
  <si>
    <t>Energy Communities as Enablers of Local Token Economies: An Exploratory Analysis in Italy</t>
  </si>
  <si>
    <t>https://ieeexplore.ieee.org/stamp/stamp.jsp?arnumber=10751192</t>
  </si>
  <si>
    <t>2024 IEEE International Conference on Environment and Electrical Engineering and 2024 IEEE Industrial and Commercial Power Systems Europe (EEEIC / I&amp;CPS Europe)</t>
  </si>
  <si>
    <t>RollupTheCrowd: Leveraging ZkRollups for a Scalable and Privacy-Preserving Reputation-Based Crowdsourcing Platform</t>
  </si>
  <si>
    <t>https://ieeexplore.ieee.org/stamp/stamp.jsp?arnumber=10633387</t>
  </si>
  <si>
    <t>Securing Digital Evidence In Forensic Investigation Using Blockchain</t>
  </si>
  <si>
    <t>https://ieeexplore.ieee.org/stamp/stamp.jsp?arnumber=10837800</t>
  </si>
  <si>
    <t>2024 4th Asian Conference on Innovation in Technology (ASIANCON)</t>
  </si>
  <si>
    <t>Cloud Storage and Secure File Sharing Using Blockchain with Xchacha20 and Shake Cryptography</t>
  </si>
  <si>
    <t>https://ieeexplore.ieee.org/stamp/stamp.jsp?arnumber=10847520</t>
  </si>
  <si>
    <t>What is Preventing the Wider Use of Digital Currencies?</t>
  </si>
  <si>
    <t>https://ieeexplore.ieee.org/stamp/stamp.jsp?arnumber=10569352</t>
  </si>
  <si>
    <t>2024 47th MIPRO ICT and Electronics Convention (MIPRO)</t>
  </si>
  <si>
    <t>Transaction Types in Cryptocurrencies</t>
  </si>
  <si>
    <t>https://ieeexplore.ieee.org/stamp/stamp.jsp?arnumber=10711051</t>
  </si>
  <si>
    <t>2024 8th International Artificial Intelligence and Data Processing Symposium (IDAP)</t>
  </si>
  <si>
    <t>Space-Hard Obfuscation Against Shared Cache Attacks and its Application in Securing ECDSA for Cloud-Based Blockchains</t>
  </si>
  <si>
    <t>https://ieeexplore.ieee.org/stamp/stamp.jsp?arnumber=10487030</t>
  </si>
  <si>
    <t>DDRM: Distributed Drone Reputation Management for Trust and Reliability in Crowdsourced Drone Services</t>
  </si>
  <si>
    <t>https://ieeexplore.ieee.org/stamp/stamp.jsp?arnumber=10707556</t>
  </si>
  <si>
    <t>Distributed Honey pot Based on Block chain</t>
  </si>
  <si>
    <t>https://ieeexplore.ieee.org/stamp/stamp.jsp?arnumber=10544053</t>
  </si>
  <si>
    <t>Digital Forensics Meets Blockchain: Enhancing Evidence Authenticity and Traceability</t>
  </si>
  <si>
    <t>https://ieeexplore.ieee.org/stamp/stamp.jsp?arnumber=10532961</t>
  </si>
  <si>
    <t>Enabling Network Technologies For Flexible Railway Connectivity</t>
  </si>
  <si>
    <t>https://ieeexplore.ieee.org/stamp/stamp.jsp?arnumber=10716357</t>
  </si>
  <si>
    <t>Design and Implementation oF a Single Sign-In Identity (SSID) oN tHE Banking System Using a Blockchain Algorithm</t>
  </si>
  <si>
    <t>https://ieeexplore.ieee.org/stamp/stamp.jsp?arnumber=10630174</t>
  </si>
  <si>
    <t>BEKMP: A Blockchain-Enabled Key Management Protocol for Underwater Acoustic Sensor Networks</t>
  </si>
  <si>
    <t>https://ieeexplore.ieee.org/stamp/stamp.jsp?arnumber=10539615</t>
  </si>
  <si>
    <t>Trans-Border Trusted Data Spaces: A General Framework Supporting Trustworthy International Data Circulation</t>
  </si>
  <si>
    <t>https://ieeexplore.ieee.org/stamp/stamp.jsp?arnumber=10883955</t>
  </si>
  <si>
    <t>Simulating an Agri-Food DApp System</t>
  </si>
  <si>
    <t>https://ieeexplore.ieee.org/stamp/stamp.jsp?arnumber=10621731</t>
  </si>
  <si>
    <t>Comparative Analysis of Blockchain based Digital Currency Transactions and UPI</t>
  </si>
  <si>
    <t>https://ieeexplore.ieee.org/stamp/stamp.jsp?arnumber=10467758</t>
  </si>
  <si>
    <t>A Comprehensive Survey of Blockchain Technology-Trust as a Service</t>
  </si>
  <si>
    <t>https://ieeexplore.ieee.org/stamp/stamp.jsp?arnumber=10601432</t>
  </si>
  <si>
    <t>Anti Counterfeiting Solution For Product Authentication Using Blockchain</t>
  </si>
  <si>
    <t>https://ieeexplore.ieee.org/stamp/stamp.jsp?arnumber=10493511</t>
  </si>
  <si>
    <t>TokenGreen: A Versatile NFT Framework for Peer-to-Peer Energy Trading and Asset Ownership of Electric Vehicles</t>
  </si>
  <si>
    <t>https://ieeexplore.ieee.org/stamp/stamp.jsp?arnumber=10414974</t>
  </si>
  <si>
    <t>Machine Learning-Driven Blockchain for Enhanced Drug Discovery and Development in Pharmaceutical Research</t>
  </si>
  <si>
    <t>https://ieeexplore.ieee.org/stamp/stamp.jsp?arnumber=10688287</t>
  </si>
  <si>
    <t>2024 OPJU International Technology Conference (OTCON) on Smart Computing for Innovation and Advancement in Industry 4.0</t>
  </si>
  <si>
    <t>IoHT System Authentication Through the Blockchain Technology: A Review</t>
  </si>
  <si>
    <t>https://ieeexplore.ieee.org/stamp/stamp.jsp?arnumber=10708078</t>
  </si>
  <si>
    <t>2024 10th International Conference on Control Decision and Information Technologies (CoDIT)</t>
  </si>
  <si>
    <t>A Responsibility Pillar: Exploring and Assessing Decentralized Intelligence</t>
  </si>
  <si>
    <t>https://ieeexplore.ieee.org/stamp/stamp.jsp?arnumber=10664265</t>
  </si>
  <si>
    <t>Cosmos discovery: Quantitative assessment of Cosmos blockchain</t>
  </si>
  <si>
    <t>https://ieeexplore.ieee.org/stamp/stamp.jsp?arnumber=10786573</t>
  </si>
  <si>
    <t>2024 32nd International Conference on Modeling Analysis and Simulation of Computer and Telecommunication Systems (MASCOTS)</t>
  </si>
  <si>
    <t>Futuristic Decentralized Vehicular Network Architecture and Repairing Management System on Blockchain</t>
  </si>
  <si>
    <t>https://ieeexplore.ieee.org/stamp/stamp.jsp?arnumber=10495341</t>
  </si>
  <si>
    <t>Schnorr Multi-Signatures with Key Aggregation for Privacy and Verifiable Randomness in Blockchain Cloud</t>
  </si>
  <si>
    <t>https://ieeexplore.ieee.org/stamp/stamp.jsp?arnumber=10559311</t>
  </si>
  <si>
    <t>2024 International Conference on E-mobility Power Control and Smart Systems (ICEMPS)</t>
  </si>
  <si>
    <t>Secure Logistics Using Blockchain and Quantum Techniques</t>
  </si>
  <si>
    <t>https://ieeexplore.ieee.org/stamp/stamp.jsp?arnumber=10724489</t>
  </si>
  <si>
    <t>A Comprehensive Approach to Industry 4.0 Security: Blockchain and Dynamic Access Control Integration</t>
  </si>
  <si>
    <t>https://ieeexplore.ieee.org/stamp/stamp.jsp?arnumber=10596628</t>
  </si>
  <si>
    <t>2024 Sixth International Conference on Computational Intelligence and Communication Technologies (CCICT)</t>
  </si>
  <si>
    <t>Healthcare-CT: Solid PoD and Blockchain-Enabled Cyber Twin Approach for Healthcare 5.0 Ecosystems</t>
  </si>
  <si>
    <t>https://ieeexplore.ieee.org/stamp/stamp.jsp?arnumber=10251939</t>
  </si>
  <si>
    <t>Technologies Integration With Semantic Web Techniques For Business Valuation: Identifying Equities' Intrinsic Value Without Market Bias</t>
  </si>
  <si>
    <t>https://ieeexplore.ieee.org/stamp/stamp.jsp?arnumber=10533113</t>
  </si>
  <si>
    <t>Attributes of a Blockchain-Based Halal Tracking and Tracing System: A Multi-Criteria Decision-Making Approach</t>
  </si>
  <si>
    <t>https://ieeexplore.ieee.org/stamp/stamp.jsp?arnumber=10607252</t>
  </si>
  <si>
    <t>2024 9th International Conference on Big Data Analytics (ICBDA)</t>
  </si>
  <si>
    <t>Enhancing Agriculture Through IoT and Blockchain: A VeChain-Enhanced Sustainable Development Approach for Small-Scale Agricultural Exploitations</t>
  </si>
  <si>
    <t>https://ieeexplore.ieee.org/stamp/stamp.jsp?arnumber=10767676</t>
  </si>
  <si>
    <t>Blockchain-Based Decentralized Storage Design for Data Confidence Over Cloud-Native Edge Infrastructure</t>
  </si>
  <si>
    <t>https://ieeexplore.ieee.org/stamp/stamp.jsp?arnumber=10485283</t>
  </si>
  <si>
    <t>Blockchain-Aided Anonymous Traceable and Revocable Access Control Scheme With Dynamic Policy Updating for the Cloud IoT</t>
  </si>
  <si>
    <t>https://ieeexplore.ieee.org/stamp/stamp.jsp?arnumber=10155312</t>
  </si>
  <si>
    <t>Counterfeit Pharmaceutical Product Detection Using Blockchain Technology</t>
  </si>
  <si>
    <t>https://ieeexplore.ieee.org/stamp/stamp.jsp?arnumber=10725331</t>
  </si>
  <si>
    <t>DEthna: Accurate Ethereum Network Topology Discovery with Marked Transactions</t>
  </si>
  <si>
    <t>https://ieeexplore.ieee.org/stamp/stamp.jsp?arnumber=10621281</t>
  </si>
  <si>
    <t>Secure and Fine-Grained Access Control With Optimized Revocation for Outsourced IoT EHRs With Adaptive Load-Sharing in Fog-Assisted Cloud Environment</t>
  </si>
  <si>
    <t>https://ieeexplore.ieee.org/stamp/stamp.jsp?arnumber=10552839</t>
  </si>
  <si>
    <t>Log Preservation in Custody Dual Blockchain With Energy Regime and Obfuscation Shuffle</t>
  </si>
  <si>
    <t>https://ieeexplore.ieee.org/stamp/stamp.jsp?arnumber=10473083</t>
  </si>
  <si>
    <t>Blockchain-Based Privacy-Preserving Federated Learning for Mobile Crowdsourcing</t>
  </si>
  <si>
    <t>https://ieeexplore.ieee.org/stamp/stamp.jsp?arnumber=10347450</t>
  </si>
  <si>
    <t>BlockTwins: Blockchain Empowered Supply Chain Digital Twins in Metaverse</t>
  </si>
  <si>
    <t>https://ieeexplore.ieee.org/stamp/stamp.jsp?arnumber=10615660</t>
  </si>
  <si>
    <t>2024 IEEE International Conference on Communications Workshops (ICC Workshops)</t>
  </si>
  <si>
    <t>A Comparative Analysis of Blockchain Redaction Techniques</t>
  </si>
  <si>
    <t>https://ieeexplore.ieee.org/stamp/stamp.jsp?arnumber=10646406</t>
  </si>
  <si>
    <t>2024 IEEE International Conference on Decentralized Applications and Infrastructures (DAPPS)</t>
  </si>
  <si>
    <t>Analyzing Stock Market Trends using Social Media user Moods and Social Influence using Lightweight BERT-BiGRU-A Model</t>
  </si>
  <si>
    <t>https://ieeexplore.ieee.org/stamp/stamp.jsp?arnumber=10575915</t>
  </si>
  <si>
    <t>2024 3rd International Conference on Applied Artificial Intelligence and Computing (ICAAIC)</t>
  </si>
  <si>
    <t>A Secure Vehicle Registration and Authentication System Using Distributed Blockchain Technology</t>
  </si>
  <si>
    <t>https://ieeexplore.ieee.org/stamp/stamp.jsp?arnumber=10561713</t>
  </si>
  <si>
    <t>Challenges and Future Developments in the Metaverse</t>
  </si>
  <si>
    <t>https://ieeexplore.ieee.org/stamp/stamp.jsp?arnumber=10807897</t>
  </si>
  <si>
    <t>Smart City Middleware: A Survey and a Conceptual Framework</t>
  </si>
  <si>
    <t>https://ieeexplore.ieee.org/stamp/stamp.jsp?arnumber=10379798</t>
  </si>
  <si>
    <t>Resilient and Fast Block Transmission System for Scalable Hyperledger Fabric Blockchain in Multi-Cloud Environments</t>
  </si>
  <si>
    <t>https://ieeexplore.ieee.org/stamp/stamp.jsp?arnumber=10616168</t>
  </si>
  <si>
    <t>Multilingual Standalone Trustworthy Voice-Based Social Network for Disaster Situations</t>
  </si>
  <si>
    <t>https://ieeexplore.ieee.org/stamp/stamp.jsp?arnumber=10754773</t>
  </si>
  <si>
    <t>2024 IEEE 15th Annual Ubiquitous Computing Electronics &amp; Mobile Communication Conference (UEMCON)</t>
  </si>
  <si>
    <t>Benchmarking Blockchain Bridge Aggregators</t>
  </si>
  <si>
    <t>https://ieeexplore.ieee.org/stamp/stamp.jsp?arnumber=10664224</t>
  </si>
  <si>
    <t>Impact of Equivalence Assessment in the Education Sector using the XAI Model of Blockchain with ECTS</t>
  </si>
  <si>
    <t>https://ieeexplore.ieee.org/stamp/stamp.jsp?arnumber=10575529</t>
  </si>
  <si>
    <t>Advocate - Trustworthy Evidence in Cloud Systems</t>
  </si>
  <si>
    <t>https://ieeexplore.ieee.org/stamp/stamp.jsp?arnumber=10732660</t>
  </si>
  <si>
    <t>The Impact of Artificial Intelligence and Blockchain on Six Sigma: A Systematic Literature Review of the Evidence and Implications</t>
  </si>
  <si>
    <t>https://ieeexplore.ieee.org/stamp/stamp.jsp?arnumber=10308524</t>
  </si>
  <si>
    <t>Towards a Blockchain Generative AI Driven Education: An Exploratory Study</t>
  </si>
  <si>
    <t>https://ieeexplore.ieee.org/stamp/stamp.jsp?arnumber=10548898</t>
  </si>
  <si>
    <t>A User Based HVAC System Management Through Blockchain Technology and Model Predictive Control</t>
  </si>
  <si>
    <t>https://ieeexplore.ieee.org/stamp/stamp.jsp?arnumber=10530245</t>
  </si>
  <si>
    <t>IEEE Transactions on Automation Science and Engineering</t>
  </si>
  <si>
    <t>Research on Transparency and Optimization of Aviation Materials Supply Chain based on Blockchain</t>
  </si>
  <si>
    <t>https://ieeexplore.ieee.org/stamp/stamp.jsp?arnumber=10546211</t>
  </si>
  <si>
    <t>2024 IEEE 13th International Conference on Communication Systems and Network Technologies (CSNT)</t>
  </si>
  <si>
    <t>Development of E-Governance Services in Smart Cities using Artificial intelligence and Blockchain</t>
  </si>
  <si>
    <t>https://ieeexplore.ieee.org/stamp/stamp.jsp?arnumber=10616607</t>
  </si>
  <si>
    <t>Alexandria Engineering Journal</t>
  </si>
  <si>
    <t>Proxy Re-Encryption for Secure Data Sharing with Blockchain in Internet of Medical Things</t>
  </si>
  <si>
    <t>https://www.sciencedirect.com/science/article/pii/S1389128624002056</t>
  </si>
  <si>
    <t>Performance analysis of a blockchain process modeling: Application of distributed ledger technology in trading clearing and settlement processes</t>
  </si>
  <si>
    <t>https://www.sciencedirect.com/science/article/pii/S2199853124001422</t>
  </si>
  <si>
    <t>Journal of Open Innovation: Technology Market and Complexity</t>
  </si>
  <si>
    <t>E-voting system using cloud-based hybrid blockchain technology</t>
  </si>
  <si>
    <t>https://www.sciencedirect.com/science/article/pii/S2666449624000069</t>
  </si>
  <si>
    <t>Journal of Safety Science and Resilience</t>
  </si>
  <si>
    <t>Blockchain-based Order Management Process in Decentralized Production Networks: A Conceptual Framework</t>
  </si>
  <si>
    <t>https://www.sciencedirect.com/science/article/pii/S2212827124013751</t>
  </si>
  <si>
    <t>Procedia CIRP</t>
  </si>
  <si>
    <t>Energy Blockchain in Smart Communities: Towards Affordable Clean Energy Supply for the Built Environment</t>
  </si>
  <si>
    <t>https://www.sciencedirect.com/science/article/pii/S0199859524000587</t>
  </si>
  <si>
    <t>Energy Engineering</t>
  </si>
  <si>
    <t>Blockchain-enabled transformation: Decentralized planning and secure peer-to-peer trading in local energy networks</t>
  </si>
  <si>
    <t>https://www.sciencedirect.com/science/article/pii/S2352467724002856</t>
  </si>
  <si>
    <t>Sustainable Energy Grids and Networks</t>
  </si>
  <si>
    <t>Normal wiggly hesitant fuzzy modelling approach for 6G frameworks based blockchain technology</t>
  </si>
  <si>
    <t>https://www.sciencedirect.com/science/article/pii/S0957417424021717</t>
  </si>
  <si>
    <t>Expert Systems with Applications</t>
  </si>
  <si>
    <t>Multi-agent-based decentralized residential energy management using Deep Reinforcement Learning</t>
  </si>
  <si>
    <t>https://www.sciencedirect.com/science/article/pii/S2352710224005990</t>
  </si>
  <si>
    <t>Journal of Building Engineering</t>
  </si>
  <si>
    <t>Secure decentralized firmware update delivery service for Internet of Things</t>
  </si>
  <si>
    <t>https://www.sciencedirect.com/science/article/pii/S2542660524000787</t>
  </si>
  <si>
    <t>Internet of Things</t>
  </si>
  <si>
    <t>A Measurement Study of the Ethereum Underlying P2P Network</t>
  </si>
  <si>
    <t>https://www.sciencedirect.com/science/article/pii/S1546221824001838</t>
  </si>
  <si>
    <t>Computers Materials and Continua</t>
  </si>
  <si>
    <t>Blockchain-enabled platform-as-a-service for production management in off-site construction design using openBIM standards</t>
  </si>
  <si>
    <t>https://www.sciencedirect.com/science/article/pii/S0926580524001833</t>
  </si>
  <si>
    <t>Automation in Construction</t>
  </si>
  <si>
    <t>Exploring the role of artificial intelligence in enhancing battery performance and mitigating cybersecurity threats in electric vehicles: A systematic literature review</t>
  </si>
  <si>
    <t>Procedia Computer Science</t>
  </si>
  <si>
    <t>Quantum of Trust: Overview of Blockchain Technology for Product Authentication in Food and Pharmaceutical Supply Chains</t>
  </si>
  <si>
    <t>https://www.sciencedirect.com/science/article/pii/S0924224425000287</t>
  </si>
  <si>
    <t>Trends in Food Science &amp; Technology</t>
  </si>
  <si>
    <t>Research on A New Cross-Border Barter Trade Settlement Model Based On Blockchain And Smart Contracts</t>
  </si>
  <si>
    <t>https://www.sciencedirect.com/science/article/pii/S1877050924028187</t>
  </si>
  <si>
    <t>OpenFL: A scalable and secure decentralized federated learning system on the Ethereum blockchain</t>
  </si>
  <si>
    <t>https://www.sciencedirect.com/science/article/pii/S254266052400115X</t>
  </si>
  <si>
    <t>BRON: A blockchained framework for privacy information retrieval in human resource management</t>
  </si>
  <si>
    <t>https://www.sciencedirect.com/science/article/pii/S2405844024094246</t>
  </si>
  <si>
    <t>Heliyon</t>
  </si>
  <si>
    <t>Chapter 6 - Blockchain-powered healthcare in the metaverse: Advancing security interoperability and patient empowerment</t>
  </si>
  <si>
    <t>https://www.sciencedirect.com/science/article/pii/B9780443240492000078</t>
  </si>
  <si>
    <t>Leveraging Metaverse and Analytics of Things (AoT) in Medical Systems</t>
  </si>
  <si>
    <t>Applications and emerging trends of blockchain technology in marketing to develop Industry 5.0 Businesses: A comprehensive survey and network analysis</t>
  </si>
  <si>
    <t>https://www.sciencedirect.com/science/article/pii/S2542660524003421</t>
  </si>
  <si>
    <t>Transactive energy management system for smart grids using Multi-Agent Modeling and Blockchain</t>
  </si>
  <si>
    <t>https://www.sciencedirect.com/science/article/pii/S2210537924000465</t>
  </si>
  <si>
    <t>Sustainable Computing: Informatics and Systems</t>
  </si>
  <si>
    <t>A blockchain privacy-conserving framework for secure medical data transmission in the internet of medical things</t>
  </si>
  <si>
    <t>https://www.sciencedirect.com/science/article/pii/S2772662224000237</t>
  </si>
  <si>
    <t>Decision Analytics Journal</t>
  </si>
  <si>
    <t>A blockchain-machine learning ecosystem for IoT-Based remote health monitoring of diabetic patients</t>
  </si>
  <si>
    <t>https://www.sciencedirect.com/science/article/pii/S2772442524000406</t>
  </si>
  <si>
    <t>Healthcare Analytics</t>
  </si>
  <si>
    <t>Journal of Systems Architecture</t>
  </si>
  <si>
    <t>Chapter 10 - Decentralizing healthcare through parallel blockchain architecture: transmitting internet of medical things data through smart contracts in telecare medical information systems</t>
  </si>
  <si>
    <t>https://www.sciencedirect.com/science/article/pii/B9780443240287000118</t>
  </si>
  <si>
    <t>Data Science in the Medical Field</t>
  </si>
  <si>
    <t>What does matter in the success of a decentralized application? From idea to development</t>
  </si>
  <si>
    <t>Finance Research Letters</t>
  </si>
  <si>
    <t>Blockchain empowered access control for digital twin system with attribute-based encryption</t>
  </si>
  <si>
    <t>https://www.sciencedirect.com/science/article/pii/S0167739X24003376</t>
  </si>
  <si>
    <t>Applying Computational Intelligence for Social Good</t>
  </si>
  <si>
    <t>A survey on Ethereum pseudonymity: Techniques challenges and future directions</t>
  </si>
  <si>
    <t>https://www.sciencedirect.com/science/article/pii/S1084804524001966</t>
  </si>
  <si>
    <t>Journal of Network and Computer Applications</t>
  </si>
  <si>
    <t>JCDC: A blockchain-based framework for secure data storage and circulation in JointCloud</t>
  </si>
  <si>
    <t>https://www.sciencedirect.com/science/article/pii/S0167739X24004424</t>
  </si>
  <si>
    <t>Anticipate automate accelerate: A framework for blockchain in anticipatory action</t>
  </si>
  <si>
    <t>https://www.sciencedirect.com/science/article/pii/S2212420924004060</t>
  </si>
  <si>
    <t>International Journal of Disaster Risk Reduction</t>
  </si>
  <si>
    <t>Fully decentralized privacy-enabled Federated Learning system based on Byzantine-resilient consensus protocol</t>
  </si>
  <si>
    <t>https://www.sciencedirect.com/science/article/pii/S1569190X24001011</t>
  </si>
  <si>
    <t>Simulation Modelling Practice and Theory</t>
  </si>
  <si>
    <t>Empowering the hydrogen economy: The transformative potential of blockchain technology</t>
  </si>
  <si>
    <t>https://www.sciencedirect.com/science/article/pii/S1364032124002983</t>
  </si>
  <si>
    <t>Renewable and Sustainable Energy Reviews</t>
  </si>
  <si>
    <t>Chapter 14 - Blockchains and intelligent transportation system applications</t>
  </si>
  <si>
    <t>https://www.sciencedirect.com/science/article/pii/B9780443138782000035</t>
  </si>
  <si>
    <t>Data Analytics for Intelligent Transportation Systems (Second Edition)</t>
  </si>
  <si>
    <t>Impacts of digitalization on smart grids renewable energy and demand response: An updated review of current applications</t>
  </si>
  <si>
    <t>https://www.sciencedirect.com/science/article/pii/S259017452400268X</t>
  </si>
  <si>
    <t>Energy Conversion and Management: X</t>
  </si>
  <si>
    <t>Secure and trusted sharing mechanism of private data for Internet of Things</t>
  </si>
  <si>
    <t>https://www.sciencedirect.com/science/article/pii/S266729522400076X</t>
  </si>
  <si>
    <t>High-Confidence Computing</t>
  </si>
  <si>
    <t>Journal of Parallel and Distributed Computing</t>
  </si>
  <si>
    <t>Chapter 9 - Blockchain technologies for automatic secure and tamper-proof energy trading</t>
  </si>
  <si>
    <t>Advances in Digitalization and Machine Learning for Integrated Building-Transportation Energy Systems</t>
  </si>
  <si>
    <t>1 - Demand response analysis in microgrids with blockchain: A comprehensive cyber-physical approach</t>
  </si>
  <si>
    <t>https://www.sciencedirect.com/science/article/pii/B9780443221873000011</t>
  </si>
  <si>
    <t>Next-Generation Cyber-Physical Microgrid Systems</t>
  </si>
  <si>
    <t>Beyond the hype: A TAM-based analysis of blockchain adoption drivers in construction industry</t>
  </si>
  <si>
    <t>https://www.sciencedirect.com/science/article/pii/S2405844024145537</t>
  </si>
  <si>
    <t>A Cross-Multi-Domain Trust Assessment Authority Delegation Method Based on Automotive Industry Chain</t>
  </si>
  <si>
    <t>https://www.sciencedirect.com/science/article/pii/S1546221825000414</t>
  </si>
  <si>
    <t>D-VRE: From a Jupyter-enabled Private Research Environment to Decentralized Collaborative Research Ecosystem</t>
  </si>
  <si>
    <t>https://www.sciencedirect.com/science/article/pii/S2096720924000575</t>
  </si>
  <si>
    <t>A smart-contract-based adaptive security governance architecture for smart city service interoperations</t>
  </si>
  <si>
    <t>https://www.sciencedirect.com/science/article/pii/S2210670724005420</t>
  </si>
  <si>
    <t>Sustainable Cities and Society</t>
  </si>
  <si>
    <t>A Blockchain-Based Access Control Scheme for Reputation Value Attributes of the Internet of Things</t>
  </si>
  <si>
    <t>https://www.sciencedirect.com/science/article/pii/S1546221824002108</t>
  </si>
  <si>
    <t>20 - Distributed mobile cloud computing services and blockchain technology</t>
  </si>
  <si>
    <t>https://www.sciencedirect.com/science/article/pii/B9780443132681000029</t>
  </si>
  <si>
    <t>Computational Intelligence and Blockchain in Complex Systems</t>
  </si>
  <si>
    <t>Egyptian Informatics Journal</t>
  </si>
  <si>
    <t>CoPiFL: A collusion-resistant and privacy-preserving federated learning crowdsourcing scheme using blockchain and homomorphic encryption</t>
  </si>
  <si>
    <t>https://www.sciencedirect.com/science/article/pii/S0167739X24000876</t>
  </si>
  <si>
    <t>Case Studies on Transport Policy</t>
  </si>
  <si>
    <t>Computers in Industry</t>
  </si>
  <si>
    <t>Energy and Buildings</t>
  </si>
  <si>
    <t>Expert perspectives on blockchain in the circular economy: A Delphi study with industry specialists</t>
  </si>
  <si>
    <t>https://www.sciencedirect.com/science/article/pii/S0959652624022297</t>
  </si>
  <si>
    <t>Journal of Cleaner Production</t>
  </si>
  <si>
    <t>Nonfungible Tokens in Cardiovascular Medicine</t>
  </si>
  <si>
    <t>https://www.sciencedirect.com/science/article/pii/S0828282X24005622</t>
  </si>
  <si>
    <t>Canadian Journal of Cardiology</t>
  </si>
  <si>
    <t>Profit distribution through blockchain solution from battery energy storage system in a virtual power plant using intelligence techniques</t>
  </si>
  <si>
    <t>https://www.sciencedirect.com/science/article/pii/S2352152X24027361</t>
  </si>
  <si>
    <t>Journal of Energy Storage</t>
  </si>
  <si>
    <t>Optimizing mobile blockchain networks: A game theoretical approach to cooperative multi-terminal computation</t>
  </si>
  <si>
    <t>https://www.sciencedirect.com/science/article/pii/S0167739X24006332</t>
  </si>
  <si>
    <t>Blockchain-based smart trading mechanism for renewable energy power consumption vouchers and green certificates: Platform design and simulation</t>
  </si>
  <si>
    <t>https://www.sciencedirect.com/science/article/pii/S0306261924007347</t>
  </si>
  <si>
    <t>Applied Energy</t>
  </si>
  <si>
    <t>Reliable and Transparent Supply Chain Supported by Blockchain</t>
  </si>
  <si>
    <t>https://www.sciencedirect.com/science/article/pii/B9780443137013002693</t>
  </si>
  <si>
    <t>Reference Module in Social Sciences</t>
  </si>
  <si>
    <t>Consortium blockchain private key protection scheme based on rational secret sharing and blockchain</t>
  </si>
  <si>
    <t>https://www.sciencedirect.com/science/article/pii/S1389128624000926</t>
  </si>
  <si>
    <t>Computer Standards &amp; Interfaces</t>
  </si>
  <si>
    <t>Chapter 6 - Blockchain strategies for medicine and health science</t>
  </si>
  <si>
    <t>https://www.sciencedirect.com/science/article/pii/B9780443135651000154</t>
  </si>
  <si>
    <t>Metaverse Technologies in Healthcare</t>
  </si>
  <si>
    <t>An Integrated Blockchain Based Real Time Stock Price Prediction Model by CNN Bi LSTM and AM</t>
  </si>
  <si>
    <t>https://www.sciencedirect.com/science/article/pii/S1877050924009244</t>
  </si>
  <si>
    <t>Application of data asset registration technology in smart grid management</t>
  </si>
  <si>
    <t>https://www.sciencedirect.com/science/article/pii/S1877050924021252</t>
  </si>
  <si>
    <t>Transforming agricultural supply chains: Leveraging blockchain-enabled java smart contracts and IoT integration</t>
  </si>
  <si>
    <t>https://www.sciencedirect.com/science/article/pii/S2405959524000316</t>
  </si>
  <si>
    <t>ICT Express</t>
  </si>
  <si>
    <t>Journal of Infrastructure Intelligence and Resilience</t>
  </si>
  <si>
    <t>Bidirectional utilization of blockchain and privacy computing: Issues progress and challenges</t>
  </si>
  <si>
    <t>Assessment of the development of digital financial assets in the Russian Federation based on an empirical analysis of international data on digital assets</t>
  </si>
  <si>
    <t>https://www.sciencedirect.com/science/article/pii/S1877050924019525</t>
  </si>
  <si>
    <t>Physiological-chain: A privacy preserving physiological data sharing ecosystem</t>
  </si>
  <si>
    <t>https://www.sciencedirect.com/science/article/pii/S0306457324001213</t>
  </si>
  <si>
    <t>Information Processing &amp; Management</t>
  </si>
  <si>
    <t>Assessing the role of blockchain technology for marine bunkering operations ‚Äì A case study of task technology fit</t>
  </si>
  <si>
    <t>Marine Policy</t>
  </si>
  <si>
    <t>Blockchain in clinical trials: Bibliometric and network studies of applications challenges and future prospects based on data analytics</t>
  </si>
  <si>
    <t>https://www.sciencedirect.com/science/article/pii/S0169260724003146</t>
  </si>
  <si>
    <t>Computer Methods and Programs in Biomedicine</t>
  </si>
  <si>
    <t>How to increase and sustain cooperation in public goods games: Conditional commitments via a mediator</t>
  </si>
  <si>
    <t>https://www.sciencedirect.com/science/article/pii/S0167268124004037</t>
  </si>
  <si>
    <t>Journal of Economic Behavior &amp; Organization</t>
  </si>
  <si>
    <t>A survey on blockchain technology in the maritime industry: Challenges and future perspectives</t>
  </si>
  <si>
    <t>https://www.sciencedirect.com/science/article/pii/S0167739X24001213</t>
  </si>
  <si>
    <t>Blockchain applications in the construction supply chain</t>
  </si>
  <si>
    <t>https://www.sciencedirect.com/science/article/pii/S092658052500038X</t>
  </si>
  <si>
    <t>An automated decision-making system employing complex networks and blockchain for the decentralized stock market</t>
  </si>
  <si>
    <t>https://www.sciencedirect.com/science/article/pii/S0957417424019985</t>
  </si>
  <si>
    <t>Blockchain: An opportunity to improve supply chains in the wake of digitalization</t>
  </si>
  <si>
    <t>https://www.sciencedirect.com/science/article/pii/S266709682400079X</t>
  </si>
  <si>
    <t>International Journal of Information Management Data Insights</t>
  </si>
  <si>
    <t>Leveraging complex event processing for monitoring and automatically detecting anomalies in Ethereum-based blockchain networks</t>
  </si>
  <si>
    <t>https://www.sciencedirect.com/science/article/pii/S0920548924000515</t>
  </si>
  <si>
    <t>ASBlock:An Agricultural based Supply Chain Management using Blockchain Technology</t>
  </si>
  <si>
    <t>https://www.sciencedirect.com/science/article/pii/S1877050924008603</t>
  </si>
  <si>
    <t>Profile contracts for electricity retail customers</t>
  </si>
  <si>
    <t>https://www.sciencedirect.com/science/article/pii/S0301421524003781</t>
  </si>
  <si>
    <t>Energy Policy</t>
  </si>
  <si>
    <t>Towards novel blockchain decentralised autonomous organisation (DAO) led corporate governance framework</t>
  </si>
  <si>
    <t>https://www.sciencedirect.com/science/article/pii/S0040162524002130</t>
  </si>
  <si>
    <t>Technological Forecasting and Social Change</t>
  </si>
  <si>
    <t>CoTwin: Collaborative improvement of digital twins enabled by blockchain</t>
  </si>
  <si>
    <t>https://www.sciencedirect.com/science/article/pii/S0167739X24001171</t>
  </si>
  <si>
    <t>Towards blockchain-enabled decentralized and secure federated learning</t>
  </si>
  <si>
    <t>https://www.sciencedirect.com/science/article/pii/S0020025524002810</t>
  </si>
  <si>
    <t>Chapter 2 - Designing computational intelligence techniques based smart framework for sustainable computing</t>
  </si>
  <si>
    <t>https://www.sciencedirect.com/science/article/pii/B9780443237249000025</t>
  </si>
  <si>
    <t>Computational Intelligence in Sustainable Computing and Optimization</t>
  </si>
  <si>
    <t>Journal of International Financial Markets Institutions and Money</t>
  </si>
  <si>
    <t>Chapter 8 - Blockchain-based healthcare assistance model in distributed disaster management systems</t>
  </si>
  <si>
    <t>https://www.sciencedirect.com/science/article/pii/B9780443134722000140</t>
  </si>
  <si>
    <t>The Role of Blockchain in Disaster Management</t>
  </si>
  <si>
    <t>Blockchain-enabled smart contracts for enhancing seed certification transparency: A design science approach</t>
  </si>
  <si>
    <t>https://www.sciencedirect.com/science/article/pii/S2772375524002569</t>
  </si>
  <si>
    <t>Smart Agricultural Technology</t>
  </si>
  <si>
    <t>Bids and asks: Blockchain-based peer-to-peer trading platform</t>
  </si>
  <si>
    <t>https://www.sciencedirect.com/science/article/pii/S0045790624004439</t>
  </si>
  <si>
    <t>Smart contract assisted secure aggregation scheme for model update in federated learning</t>
  </si>
  <si>
    <t>https://www.sciencedirect.com/science/article/pii/S1389128624003748</t>
  </si>
  <si>
    <t>FractalNet-based key generation for authentication in Voice over IP using Blockchain</t>
  </si>
  <si>
    <t>https://www.sciencedirect.com/science/article/pii/S2090447925000279</t>
  </si>
  <si>
    <t>Ain Shams Engineering Journal</t>
  </si>
  <si>
    <t>VFL-Chain: Bulletproofing Federated Learning in the V2X environments</t>
  </si>
  <si>
    <t>https://www.sciencedirect.com/science/article/pii/S0167739X24000578</t>
  </si>
  <si>
    <t>zk-DASTARK: A quantum-resistant data authentication and zero-knowledge proof scheme for protecting data feed to smart contracts</t>
  </si>
  <si>
    <t>https://www.sciencedirect.com/science/article/pii/S0045790625000321</t>
  </si>
  <si>
    <t>Empowering Autonomous IoT Devices in Blockchain Through Gasless Transactions</t>
  </si>
  <si>
    <t>https://www.sciencedirect.com/science/article/pii/S2096720924000708</t>
  </si>
  <si>
    <t>A peer-to-peer energy bidding and transaction framework for prosumers based on blockchain consensus mechanism and smart contract</t>
  </si>
  <si>
    <t>https://www.sciencedirect.com/science/article/pii/S037877882500177X</t>
  </si>
  <si>
    <t>A novel secure privacy-preserving data sharing model with deep-based key generation on the blockchain network in the cloud</t>
  </si>
  <si>
    <t>https://www.sciencedirect.com/science/article/pii/S0920548924001016</t>
  </si>
  <si>
    <t>Blockchain-assisted healthcare insurance fraud detection framework using ensemble learning</t>
  </si>
  <si>
    <t>https://www.sciencedirect.com/science/article/pii/S0045790624008243</t>
  </si>
  <si>
    <t>IDPonzi: An interpretable detection model for identifying smart Ponzi schemes</t>
  </si>
  <si>
    <t>https://www.sciencedirect.com/science/article/pii/S0952197624010261</t>
  </si>
  <si>
    <t>Engineering Applications of Artificial Intelligence</t>
  </si>
  <si>
    <t>NFTs for accessing monetizing and teleporting digital twins and digital artifacts in the metaverse</t>
  </si>
  <si>
    <t>https://www.sciencedirect.com/science/article/pii/S0140366424003128</t>
  </si>
  <si>
    <t>A private Ethereum blockchain for organ donation and transplantation based on intelligent smart contracts</t>
  </si>
  <si>
    <t>https://www.sciencedirect.com/science/article/pii/S1110866524001051</t>
  </si>
  <si>
    <t>BRAPTOR: An efficient method for instant asset-transfer and generic application in blockchain</t>
  </si>
  <si>
    <t>https://www.sciencedirect.com/science/article/pii/S0045790624005639</t>
  </si>
  <si>
    <t>Blockchain application in energy trading for grid-connected prosumers</t>
  </si>
  <si>
    <t>https://www.sciencedirect.com/science/article/pii/S2772671124001669</t>
  </si>
  <si>
    <t>e-Prime - Advances in Electrical Engineering Electronics and Energy</t>
  </si>
  <si>
    <t>AI-enhanced blockchain technology: A review of advancements and opportunities</t>
  </si>
  <si>
    <t>https://www.sciencedirect.com/science/article/pii/S1084804524000353</t>
  </si>
  <si>
    <t>Potential application areas and benefits of blockchain-enabled smart contracts adoption in infrastructure Public-private partnership (PPP) projects</t>
  </si>
  <si>
    <t>https://www.sciencedirect.com/science/article/pii/S2666188825000474</t>
  </si>
  <si>
    <t>Sustainable Futures</t>
  </si>
  <si>
    <t>A literature review on transformative impacts of blockchain technology on manufacturing management and industrial engineering practices</t>
  </si>
  <si>
    <t>https://www.sciencedirect.com/science/article/pii/S294973612500003X</t>
  </si>
  <si>
    <t>Green Technologies and Sustainability</t>
  </si>
  <si>
    <t>Blockchain-based change management in engineering procurement and construction projects</t>
  </si>
  <si>
    <t>https://www.sciencedirect.com/science/article/pii/S1478462924000105</t>
  </si>
  <si>
    <t>Proceedings of the Institution of Civil Engineers - Engineering Sustainability</t>
  </si>
  <si>
    <t>Secure traceability mechanism of green electricity based on smart contracts and provenance model</t>
  </si>
  <si>
    <t>https://www.sciencedirect.com/science/article/pii/S2405844024081222</t>
  </si>
  <si>
    <t>Unlocking potential of open source model training in decentralized federated learning environment</t>
  </si>
  <si>
    <t>https://www.sciencedirect.com/science/article/pii/S2096720924000770</t>
  </si>
  <si>
    <t>DBVA: Double-layered blockchain architecture for enhanced security in VANET vehicular authentication</t>
  </si>
  <si>
    <t>https://www.sciencedirect.com/science/article/pii/S0140366425000052</t>
  </si>
  <si>
    <t>Blockchain based solution for secure information sharing in pharma supply chain management</t>
  </si>
  <si>
    <t>https://www.sciencedirect.com/science/article/pii/S2405844024163049</t>
  </si>
  <si>
    <t>SoK: On the Security of Non-Fungible Tokens</t>
  </si>
  <si>
    <t>https://www.sciencedirect.com/science/article/pii/S2096720924000812</t>
  </si>
  <si>
    <t>DBAC-DSR-BT: A secure and reliable deep speech recognition based-distributed biometric access control scheme over blockchain technology</t>
  </si>
  <si>
    <t>https://www.sciencedirect.com/science/article/pii/S0920548924000989</t>
  </si>
  <si>
    <t>Chapter 2 - Smart contracts for efficient resource allocation and management in hyperautomated agricultural information systems</t>
  </si>
  <si>
    <t>https://www.sciencedirect.com/science/article/pii/B9780443241390000023</t>
  </si>
  <si>
    <t>Hyperautomation in Precision Agriculture</t>
  </si>
  <si>
    <t>Blockchain-supported online banking scheme</t>
  </si>
  <si>
    <t>https://www.sciencedirect.com/science/article/pii/S1110866524000793</t>
  </si>
  <si>
    <t>Automatic Conversion of Smart Contracts for Non-Blocking Verification</t>
  </si>
  <si>
    <t>https://www.sciencedirect.com/science/article/pii/S2405896324001265</t>
  </si>
  <si>
    <t>IFAC-PapersOnLine</t>
  </si>
  <si>
    <t>Secure cross-chain interaction solution in multi-blockchain environment</t>
  </si>
  <si>
    <t>https://www.sciencedirect.com/science/article/pii/S2405844024048928</t>
  </si>
  <si>
    <t>Enhancing land management policy in Bangladesh: A blockchain-based framework for transparent and efficient land management</t>
  </si>
  <si>
    <t>https://www.sciencedirect.com/science/article/pii/S0264837724003892</t>
  </si>
  <si>
    <t>Land Use Policy</t>
  </si>
  <si>
    <t>Smart blockchain networks: Revolutionizing donation tracking in the Web 3.0</t>
  </si>
  <si>
    <t>https://www.sciencedirect.com/science/article/pii/S0140366424003190</t>
  </si>
  <si>
    <t>A Fair and Trusted Trading Scheme for Medical Data Based on Smart Contracts</t>
  </si>
  <si>
    <t>https://www.sciencedirect.com/science/article/pii/S1546221824001140</t>
  </si>
  <si>
    <t>Role and attribute-based access control scheme for decentralized medicine supply chain</t>
  </si>
  <si>
    <t>https://www.sciencedirect.com/science/article/pii/S2214212624001534</t>
  </si>
  <si>
    <t>An improved smart contract-based bring your own device (BYOD) security control framework</t>
  </si>
  <si>
    <t>https://www.sciencedirect.com/science/article/pii/S1110016824009116</t>
  </si>
  <si>
    <t>Blockchain-based reliable task offloading framework for edge-cloud cooperative workflows in IoMT</t>
  </si>
  <si>
    <t>https://www.sciencedirect.com/science/article/pii/S0020025524004432</t>
  </si>
  <si>
    <t>FADSF: A Data Sharing Model for Intelligent Connected Vehicles Based on Blockchain Technology</t>
  </si>
  <si>
    <t>https://www.sciencedirect.com/science/article/pii/S154622182400571X</t>
  </si>
  <si>
    <t>Andro-BCFL: Blockchain and federated learning based Android malware detection</t>
  </si>
  <si>
    <t>https://www.sciencedirect.com/science/article/pii/S0045790624008735</t>
  </si>
  <si>
    <t>Smart blockchain-powered natural resource asset management and ecological governance countermeasures</t>
  </si>
  <si>
    <t>https://www.sciencedirect.com/science/article/pii/S2405844024175068</t>
  </si>
  <si>
    <t>A formal specification language and automatic modeling method of asset securitization contract</t>
  </si>
  <si>
    <t>https://www.sciencedirect.com/science/article/pii/S1319157824002520</t>
  </si>
  <si>
    <t>Blockchain-based collaborative data analysis framework for distributed medical knowledge extraction</t>
  </si>
  <si>
    <t>https://www.sciencedirect.com/science/article/pii/S0360835224002201</t>
  </si>
  <si>
    <t>Computers &amp; Industrial Engineering</t>
  </si>
  <si>
    <t>A Decentralized Voting System on the Polygon Blockchain</t>
  </si>
  <si>
    <t>https://www.sciencedirect.com/science/article/pii/S1877050924029569</t>
  </si>
  <si>
    <t>DAMFSD: A decentralized authorization model with flexible and secure delegation</t>
  </si>
  <si>
    <t>https://www.sciencedirect.com/science/article/pii/S2542660524002580</t>
  </si>
  <si>
    <t>Enabling efficient verification in a DApp: The case of copyright management</t>
  </si>
  <si>
    <t>https://www.sciencedirect.com/science/article/pii/S2096720924000472</t>
  </si>
  <si>
    <t>Secure and decentralized federated learning framework with non-IID data based on blockchain</t>
  </si>
  <si>
    <t>https://www.sciencedirect.com/science/article/pii/S2405844024032079</t>
  </si>
  <si>
    <t>Event log extraction methodology for Ethereum applications</t>
  </si>
  <si>
    <t>https://www.sciencedirect.com/science/article/pii/S0167739X24005302</t>
  </si>
  <si>
    <t>Dynamic risk and hedging strategies in post-COVID digital asset sectors</t>
  </si>
  <si>
    <t>https://www.sciencedirect.com/science/article/pii/S027553192400535X</t>
  </si>
  <si>
    <t>Research in International Business and Finance</t>
  </si>
  <si>
    <t>Monitoring and controlling engineering projects with blockchain-based critical chain project management</t>
  </si>
  <si>
    <t>https://www.sciencedirect.com/science/article/pii/S0926580524002206</t>
  </si>
  <si>
    <t>Blockchain-assisted Verifiable Secure Multi-Party Data Computing</t>
  </si>
  <si>
    <t>https://www.sciencedirect.com/science/article/pii/S1389128624005449</t>
  </si>
  <si>
    <t>PTTS: Zero-knowledge proof-based private token transfer system on Ethereum blockchain and its network flow based balance range privacy attack analysis</t>
  </si>
  <si>
    <t>https://www.sciencedirect.com/science/article/pii/S1084804524002224</t>
  </si>
  <si>
    <t>NFTs for combating deepfakes and fake metaverse digital contents</t>
  </si>
  <si>
    <t>https://www.sciencedirect.com/science/article/pii/S2542660524000751</t>
  </si>
  <si>
    <t>PSPL: A Ponzi scheme smart contracts detection approach via compressed sensing oversampling-based peephole LSTM</t>
  </si>
  <si>
    <t>https://www.sciencedirect.com/science/article/pii/S0167739X24006198</t>
  </si>
  <si>
    <t>A decentralized and security-enhanced professional title evaluation system in universities under mobile Internet of Things</t>
  </si>
  <si>
    <t>https://www.sciencedirect.com/science/article/pii/S2405844024024332</t>
  </si>
  <si>
    <t>Blockchain applications in UAV industry: Review opportunities and challenges</t>
  </si>
  <si>
    <t>https://www.sciencedirect.com/science/article/pii/S1084804524001097</t>
  </si>
  <si>
    <t>ANNProof: Building a verifiable and efficient outsourced approximate nearest neighbor search system on blockchain</t>
  </si>
  <si>
    <t>https://www.sciencedirect.com/science/article/pii/S0167739X24000785</t>
  </si>
  <si>
    <t>A secure and efficient log storage and query framework based on blockchain</t>
  </si>
  <si>
    <t>https://www.sciencedirect.com/science/article/pii/S1389128624005152</t>
  </si>
  <si>
    <t>Trustless privacy-preserving data aggregation on Ethereum with hypercube network topology</t>
  </si>
  <si>
    <t>https://www.sciencedirect.com/science/article/pii/S0140366424003566</t>
  </si>
  <si>
    <t>Blockchain-based governance models supporting corruption-transparency: A systematic literature review</t>
  </si>
  <si>
    <t>AdapT: A reusable package for implementing smart contracts that process transactions of congruous types</t>
  </si>
  <si>
    <t>https://www.sciencedirect.com/science/article/pii/S2665963824000824</t>
  </si>
  <si>
    <t>Software Impacts</t>
  </si>
  <si>
    <t>Integrated blockchain and Digital Twin framework for sustainable building energy management</t>
  </si>
  <si>
    <t>https://www.sciencedirect.com/science/article/pii/S2452414X24001900</t>
  </si>
  <si>
    <t>Journal of Industrial Information Integration</t>
  </si>
  <si>
    <t>Blockchain and NFT-based traceability and certification for UAV parts in manufacturing</t>
  </si>
  <si>
    <t>https://www.sciencedirect.com/science/article/pii/S2452414X24000414</t>
  </si>
  <si>
    <t>A review of smart contract adoption in agriculture and food industry</t>
  </si>
  <si>
    <t>https://www.sciencedirect.com/science/article/pii/S0168169924004526</t>
  </si>
  <si>
    <t>Computers and Electronics in Agriculture</t>
  </si>
  <si>
    <t>Smart Contracts and Shared Platforms in Sustainable Health Care: Systematic Review</t>
  </si>
  <si>
    <t>https://www.sciencedirect.com/science/article/pii/S2291969425000237</t>
  </si>
  <si>
    <t>JMIR Medical Informatics</t>
  </si>
  <si>
    <t>Self-sovereign identity framework with user-friendly private key generation and rule table</t>
  </si>
  <si>
    <t>https://www.sciencedirect.com/science/article/pii/S0167739X25000524</t>
  </si>
  <si>
    <t>TDS-NA: Blockchain-based trusted data sharing scheme with PKI authentication</t>
  </si>
  <si>
    <t>https://www.sciencedirect.com/science/article/pii/S0140366424000689</t>
  </si>
  <si>
    <t>B-LPoET: A middleware lightweight Proof-of-Elapsed Time (PoET) for efficient distributed transaction execution and security on Blockchain using multithreading technology</t>
  </si>
  <si>
    <t>https://www.sciencedirect.com/science/article/pii/S0045790624002714</t>
  </si>
  <si>
    <t>Smarter smart contracts for automatic BIM metadata compliance checking in blockchain-enabled common data environment</t>
  </si>
  <si>
    <t>https://www.sciencedirect.com/science/article/pii/S1474034624002751</t>
  </si>
  <si>
    <t>Advanced Engineering Informatics</t>
  </si>
  <si>
    <t>Smart agriculture assurance: IoT and blockchain for trusted sustainable produce</t>
  </si>
  <si>
    <t>https://www.sciencedirect.com/science/article/pii/S0168169924005751</t>
  </si>
  <si>
    <t>Asia Pacific Management Review</t>
  </si>
  <si>
    <t>MDAPW3: MDA-based development of blockchain-enabled decentralized applications</t>
  </si>
  <si>
    <t>https://www.sciencedirect.com/science/article/pii/S0167642324001084</t>
  </si>
  <si>
    <t>An integrated Cognitive Reliability and Error Analysis Method (CREAM) and optimization for enhancing human reliability in blockchain</t>
  </si>
  <si>
    <t>https://www.sciencedirect.com/science/article/pii/S2772662224001103</t>
  </si>
  <si>
    <t>Automation in logistics port and freight transport with blockchain technology</t>
  </si>
  <si>
    <t>https://www.sciencedirect.com/science/article/pii/S2352146524001030</t>
  </si>
  <si>
    <t>Transportation Research Procedia</t>
  </si>
  <si>
    <t>An agnostic and secure interoperability protocol for seamless asset movement</t>
  </si>
  <si>
    <t>https://www.sciencedirect.com/science/article/pii/S1084804524001073</t>
  </si>
  <si>
    <t>Bridging the gap: Predictive contracts in blockchain-achieving recalibration for industrial networks</t>
  </si>
  <si>
    <t>https://www.sciencedirect.com/science/article/pii/S2452414X24001560</t>
  </si>
  <si>
    <t>Trajectory privacy protection method with smart contract-based query exchange in the Social Internet of Vehicles</t>
  </si>
  <si>
    <t>https://www.sciencedirect.com/science/article/pii/S0140366424001361</t>
  </si>
  <si>
    <t>Privacy-preserving Crime Reporting and Rewarding in the Presence of Active Insider and Outsider Adversaries</t>
  </si>
  <si>
    <t>https://www.sciencedirect.com/science/article/pii/S1877050924017307</t>
  </si>
  <si>
    <t>14 - Blockchain technology for smart wireless sensor networks</t>
  </si>
  <si>
    <t>https://www.sciencedirect.com/science/article/pii/B9780443303005000166</t>
  </si>
  <si>
    <t>Blockchain and Digital Twin for Smart Healthcare</t>
  </si>
  <si>
    <t>Renewable Energy Trading Platform using Blockchain</t>
  </si>
  <si>
    <t>https://www.sciencedirect.com/science/article/pii/S1877050924005738</t>
  </si>
  <si>
    <t>BCRS-DS: A Privacy-protected data sharing scheme for IoT based on blockchain and certificateless ring signature</t>
  </si>
  <si>
    <t>https://www.sciencedirect.com/science/article/pii/S2214212624002163</t>
  </si>
  <si>
    <t>A secure data storage and sharing scheme for port supply chain based on blockchain and dynamic searchable encryption</t>
  </si>
  <si>
    <t>https://www.sciencedirect.com/science/article/pii/S0920548924000564</t>
  </si>
  <si>
    <t>FMCF: A fusing multiple code features approach based on Transformer for Solidity smart contracts source code summarization</t>
  </si>
  <si>
    <t>https://www.sciencedirect.com/science/article/pii/S1568494624010123</t>
  </si>
  <si>
    <t>Applied Soft Computing</t>
  </si>
  <si>
    <t>Application of IoT and blockchain technology in the integration of innovation and industrial chains in high-tech manufacturing</t>
  </si>
  <si>
    <t>https://www.sciencedirect.com/science/article/pii/S1110016825000298</t>
  </si>
  <si>
    <t>Swarm Learning for temporal and spatial series data in energy systems: A decentralized collaborative learning design based on blockchain</t>
  </si>
  <si>
    <t>https://www.sciencedirect.com/science/article/pii/S0306261924024371</t>
  </si>
  <si>
    <t>Parametric verification to ensure safe behaviour of connected devices</t>
  </si>
  <si>
    <t>https://www.sciencedirect.com/science/article/pii/S1877050924033738</t>
  </si>
  <si>
    <t>Blockchain-enabled data sharing for IoT: A lightweight secure and searchable scheme</t>
  </si>
  <si>
    <t>https://www.sciencedirect.com/science/article/pii/S138376212400167X</t>
  </si>
  <si>
    <t>Design of knowledge transaction protection mechanism in the open innovation community based on blockchain technology</t>
  </si>
  <si>
    <t>https://www.sciencedirect.com/science/article/pii/S2666764924000407</t>
  </si>
  <si>
    <t>Data Science and Management</t>
  </si>
  <si>
    <t>When auditing Meets Blockchain: A study on applying blockchain smart contracts in auditing</t>
  </si>
  <si>
    <t>https://www.sciencedirect.com/science/article/pii/S1467089525000065</t>
  </si>
  <si>
    <t>International Journal of Accounting Information Systems</t>
  </si>
  <si>
    <t>Harnessing heap analysis for the synthesis of superoptimized bytecode</t>
  </si>
  <si>
    <t>https://www.sciencedirect.com/science/article/pii/S0164121224003285</t>
  </si>
  <si>
    <t>BlockCharge: A blockchain-based auction framework for EV charging via mobile stations</t>
  </si>
  <si>
    <t>https://www.sciencedirect.com/science/article/pii/S030626192402021X</t>
  </si>
  <si>
    <t>A blockchain-based approach to the challenges of EU‚Äôs environmental policy compliance in aquaculture: From traceability to fraud prevention</t>
  </si>
  <si>
    <t>A Comprehensive Study on Energy Trading and Finance Using Blockchain Technology</t>
  </si>
  <si>
    <t>https://www.sciencedirect.com/science/article/pii/S2666519025000263</t>
  </si>
  <si>
    <t>Unconventional Resources</t>
  </si>
  <si>
    <t>Blockchain and timely auction mechanism-based spectrum management</t>
  </si>
  <si>
    <t>https://www.sciencedirect.com/science/article/pii/S0167739X24006678</t>
  </si>
  <si>
    <t>Auditable and dynamic access control scheme with behavior and identity tracing</t>
  </si>
  <si>
    <t>https://www.sciencedirect.com/science/article/pii/S1389128624004559</t>
  </si>
  <si>
    <t>Tethering Layer 2 solutions to the blockchain: A survey on proving schemes</t>
  </si>
  <si>
    <t>https://www.sciencedirect.com/science/article/pii/S014036642400255X</t>
  </si>
  <si>
    <t>A fuzzy dematel-based delegated Proof-of-Stake consensus mechanism for medical model fusion on blockchain</t>
  </si>
  <si>
    <t>https://www.sciencedirect.com/science/article/pii/S1474034624007468</t>
  </si>
  <si>
    <t>Blockchain and Quantum Machine Learning Driven Energy Trading for Electric Vehicles</t>
  </si>
  <si>
    <t>https://www.sciencedirect.com/science/article/pii/S1570870524002439</t>
  </si>
  <si>
    <t>Ad Hoc Networks</t>
  </si>
  <si>
    <t>Enhancing transparency and efficiency in blockchain harvest: Empowering farmers and consumers through transparent trading in agricultural applications</t>
  </si>
  <si>
    <t>https://www.sciencedirect.com/science/article/pii/S1110016825000146</t>
  </si>
  <si>
    <t>An efficient certificateless blockchain-enabled authentication scheme to secure producer mobility in named data networks</t>
  </si>
  <si>
    <t>https://www.sciencedirect.com/science/article/pii/S108480452400184X</t>
  </si>
  <si>
    <t>A Federated Learning Framework with Blockchain-Based Auditable Participant Selection</t>
  </si>
  <si>
    <t>https://www.sciencedirect.com/science/article/pii/S1546221824000869</t>
  </si>
  <si>
    <t>Predictive analysis-based sustainable waste management in smart cities using IoT edge computing and blockchain technology</t>
  </si>
  <si>
    <t>https://www.sciencedirect.com/science/article/pii/S0166361524001623</t>
  </si>
  <si>
    <t>Computers &amp; Chemical Engineering</t>
  </si>
  <si>
    <t>BRIP: Towards a privacy-preserving trustworthy and transparent ride-sharing system with semantic matching powered by blockchain and IPFS</t>
  </si>
  <si>
    <t>https://www.sciencedirect.com/science/article/pii/S108480452400047X</t>
  </si>
  <si>
    <t>Unleashing the prospective of blockchain-federated learning fusion for IoT security: A comprehensive review</t>
  </si>
  <si>
    <t>https://www.sciencedirect.com/science/article/pii/S1574013724000698</t>
  </si>
  <si>
    <t>Computer Science Review</t>
  </si>
  <si>
    <t>Enabling Attribute-based Access Control for OpenStack Cloud Resources through Smart Contracts</t>
  </si>
  <si>
    <t>https://www.sciencedirect.com/science/article/pii/S1877050924006355</t>
  </si>
  <si>
    <t>Blockchain-based crowdsourcing for human intelligence tasks with dual fairness</t>
  </si>
  <si>
    <t>https://www.sciencedirect.com/science/article/pii/S2096720924000265</t>
  </si>
  <si>
    <t>Near-Pruned single assignment transformation of programs</t>
  </si>
  <si>
    <t>https://www.sciencedirect.com/science/article/pii/S2590118425000103</t>
  </si>
  <si>
    <t>Journal of Computer Languages</t>
  </si>
  <si>
    <t>Blockchain Solutions for Authorization and Authentication</t>
  </si>
  <si>
    <t>https://www.sciencedirect.com/science/article/pii/S1877050924011025</t>
  </si>
  <si>
    <t>Automatic Recommender System of Development Platforms for Smart Contract‚ÄìBased Health Care Insurance Fraud Detection Solutions: Taxonomy and Performance Evaluation</t>
  </si>
  <si>
    <t>https://www.sciencedirect.com/science/article/pii/S1438887124006745</t>
  </si>
  <si>
    <t>Journal of Medical Internet Research</t>
  </si>
  <si>
    <t>A cross-chain access control mechanism based on blockchain and the threshold Paillier cryptosystem</t>
  </si>
  <si>
    <t>https://www.sciencedirect.com/science/article/pii/S0140366424001865</t>
  </si>
  <si>
    <t>Blockchain-Based Key Management Scheme Using Rational Secret Sharing</t>
  </si>
  <si>
    <t>https://www.sciencedirect.com/science/article/pii/S1546221824004417</t>
  </si>
  <si>
    <t>Collaborative supervision of dangerous goods supply chain: A blockchain-based conceptual platform</t>
  </si>
  <si>
    <t>https://www.sciencedirect.com/science/article/pii/S0360835224009409</t>
  </si>
  <si>
    <t>Measurement: Sensors</t>
  </si>
  <si>
    <t>Examining blockchain's role in supply chain finance structure and governance</t>
  </si>
  <si>
    <t>https://www.sciencedirect.com/science/article/pii/S1057521925000420</t>
  </si>
  <si>
    <t>International Review of Financial Analysis</t>
  </si>
  <si>
    <t>Light-HIDRA: Scalable and decentralized resource orchestration in Fog-IoT environments</t>
  </si>
  <si>
    <t>https://www.sciencedirect.com/science/article/pii/S0167739X24002735</t>
  </si>
  <si>
    <t>An overview of blockchain smart contract execution mechanism</t>
  </si>
  <si>
    <t>https://www.sciencedirect.com/science/article/pii/S2452414X24001195</t>
  </si>
  <si>
    <t>How can the holder trust the verifier? A CP-ABPRE-based solution to control the access to claims in a Self-Sovereign-Identity scenario</t>
  </si>
  <si>
    <t>https://www.sciencedirect.com/science/article/pii/S2096720924000095</t>
  </si>
  <si>
    <t>Stability analysis of maritime logistics alliance based on blockchain</t>
  </si>
  <si>
    <t>https://www.sciencedirect.com/science/article/pii/S0967070X24003998</t>
  </si>
  <si>
    <t>Transport Policy</t>
  </si>
  <si>
    <t>Transparent and Accountable Training Data Sharing in Decentralized Machine Learning Systems</t>
  </si>
  <si>
    <t>https://www.sciencedirect.com/science/article/pii/S1546221824000687</t>
  </si>
  <si>
    <t>A decentralised approach to cyber-physical systems as a service: Managing shared access worldwide through blockchain standards</t>
  </si>
  <si>
    <t>https://www.sciencedirect.com/science/article/pii/S0166361525000296</t>
  </si>
  <si>
    <t>Decentralized AIoT based intelligence for sustainable energy prosumption in local energy communities: A citizen-centric prosumer approach</t>
  </si>
  <si>
    <t>https://www.sciencedirect.com/science/article/pii/S0264275124004128</t>
  </si>
  <si>
    <t>Cities</t>
  </si>
  <si>
    <t>Designing A Blockchain-Empowered Telehealth Artifact for Decentralized Identity Management and Trustworthy Communication: Interdisciplinary Approach</t>
  </si>
  <si>
    <t>https://www.sciencedirect.com/science/article/pii/S1438887124005946</t>
  </si>
  <si>
    <t>Secure collaborative EHR Sharing using multi-authority attribute-based proxy re-encryption in Web 3.0</t>
  </si>
  <si>
    <t>https://www.sciencedirect.com/science/article/pii/S1389128624006832</t>
  </si>
  <si>
    <t>Peer-to-peer multi-energy trading in a decentralized network: A review</t>
  </si>
  <si>
    <t>https://www.sciencedirect.com/science/article/pii/S1364032124006956</t>
  </si>
  <si>
    <t>Design of Blockchain and Strategic Financing Service under the Platform Economy</t>
  </si>
  <si>
    <t>https://www.sciencedirect.com/science/article/pii/S0305048324001658</t>
  </si>
  <si>
    <t>Omega</t>
  </si>
  <si>
    <t>Chapter 18 - Integration of deep learning and blockchain technology for a smart healthcare record management system</t>
  </si>
  <si>
    <t>https://www.sciencedirect.com/science/article/pii/B9780443240287000192</t>
  </si>
  <si>
    <t>Blockchain-enabled framework for transactive home energy management with cloud energy storage under uncertainties</t>
  </si>
  <si>
    <t>https://www.sciencedirect.com/science/article/pii/S0378778824005322</t>
  </si>
  <si>
    <t>A novel method for fully distributed sealed bid power trading in a network of islanded microgrids using consortium blockchains and a framework for its implementation</t>
  </si>
  <si>
    <t>https://www.sciencedirect.com/science/article/pii/S0142061524001844</t>
  </si>
  <si>
    <t>International Journal of Electrical Power &amp; Energy Systems</t>
  </si>
  <si>
    <t>Blockchain empowered dynamic access control for secure data sharing in collaborative emergency management</t>
  </si>
  <si>
    <t>https://www.sciencedirect.com/science/article/pii/S0306457324003194</t>
  </si>
  <si>
    <t>Trusted access control mechanism for data with blockchain-assisted attribute encryption</t>
  </si>
  <si>
    <t>https://www.sciencedirect.com/science/article/pii/S2667295224000680</t>
  </si>
  <si>
    <t>Towards smarter cyberthreats detection model for industrial internet of things (IIoT) 4.0</t>
  </si>
  <si>
    <t>https://www.sciencedirect.com/science/article/pii/S2452414X24000396</t>
  </si>
  <si>
    <t>BIM-blockchain integrated automatic asset tracking and delay propagation analysis for prefabricated construction projects</t>
  </si>
  <si>
    <t>https://www.sciencedirect.com/science/article/pii/S0926580524005909</t>
  </si>
  <si>
    <t>Amplifying swift-trust collaboration and teamwork in warehouse management through blockchain-enabled technology</t>
  </si>
  <si>
    <t>https://www.sciencedirect.com/science/article/pii/S2949863524000323</t>
  </si>
  <si>
    <t>Supply Chain Analytics</t>
  </si>
  <si>
    <t>Chapter 5 - Blockchain technology and neural networks for the Internet of Medical Things</t>
  </si>
  <si>
    <t>https://www.sciencedirect.com/science/article/pii/B978044334226400006X</t>
  </si>
  <si>
    <t>Blockchain and Digital Twin for Smart Hospitals</t>
  </si>
  <si>
    <t>Adoption of central bank digital currencies: Initial evidence from China</t>
  </si>
  <si>
    <t>https://www.sciencedirect.com/science/article/pii/S0929119925000033</t>
  </si>
  <si>
    <t>Journal of Corporate Finance</t>
  </si>
  <si>
    <t>The internet of value: Towards a definition framework and understanding of its sustainability implications</t>
  </si>
  <si>
    <t>https://www.sciencedirect.com/science/article/pii/S0040162524002622</t>
  </si>
  <si>
    <t>LPP-BPSI: A location privacy-preserving scheme using blockchain and Private Set Intersection in spatial crowdsourcing</t>
  </si>
  <si>
    <t>https://www.sciencedirect.com/science/article/pii/S0167739X24001092</t>
  </si>
  <si>
    <t>Decentralized peer-to-peer energy trading in microgrids: Leveraging blockchain technology and smart contracts</t>
  </si>
  <si>
    <t>https://www.sciencedirect.com/science/article/pii/S2352484724004797</t>
  </si>
  <si>
    <t>Energy Reports</t>
  </si>
  <si>
    <t>Blockchain-based CP-ABE data sharing and privacy-preserving scheme using distributed KMS and zero-knowledge proof</t>
  </si>
  <si>
    <t>https://www.sciencedirect.com/science/article/pii/S1319157824000582</t>
  </si>
  <si>
    <t>A novel blockchain-watermarking mechanism utilizing interplanetary file system and fast walsh hadamard transform</t>
  </si>
  <si>
    <t>https://www.sciencedirect.com/science/article/pii/S2589004224020467</t>
  </si>
  <si>
    <t>iScience</t>
  </si>
  <si>
    <t>Classified data authentication scheme for IoT based on aggregate signature and Hyperledger Fabric</t>
  </si>
  <si>
    <t>https://www.sciencedirect.com/science/article/pii/S2214212624001546</t>
  </si>
  <si>
    <t>International Journal of Hydrogen Energy</t>
  </si>
  <si>
    <t>A cyber-layer based on weighted average consensus in blockchain environment for accurate sharing of power systems‚Äô dynamic states</t>
  </si>
  <si>
    <t>AI -Driven Data Aggregation Level Smart Contracts for Blockchain Healthcare Insurance Claims Adjudication</t>
  </si>
  <si>
    <t>https://www.sciencedirect.com/science/article/pii/S1877050924017216</t>
  </si>
  <si>
    <t>HealthRec-Chain: Patient-centric blockchain enabled IPFS for privacy preserving scalable health data</t>
  </si>
  <si>
    <t>https://www.sciencedirect.com/science/article/pii/S1389128624000550</t>
  </si>
  <si>
    <t>Distributed management of patient data-sharing informed consents for clinical research</t>
  </si>
  <si>
    <t>https://www.sciencedirect.com/science/article/pii/S0010482524010412</t>
  </si>
  <si>
    <t>Computers in Biology and Medicine</t>
  </si>
  <si>
    <t>Elevating e-health excellence with IOTA distributed ledger technology: Sustaining data integrity in next-gen fog-driven systems</t>
  </si>
  <si>
    <t>https://www.sciencedirect.com/science/article/pii/S0167739X25000500</t>
  </si>
  <si>
    <t>Distributed software architecture for accessing the NFT-Vehicle</t>
  </si>
  <si>
    <t>https://www.sciencedirect.com/science/article/pii/S2352711024001912</t>
  </si>
  <si>
    <t>SoftwareX</t>
  </si>
  <si>
    <t>Chapter Nine - Improving security of e-healthcare data by using machine learning</t>
  </si>
  <si>
    <t>https://www.sciencedirect.com/science/article/pii/S0065245824000755</t>
  </si>
  <si>
    <t>Role of Internet of Things and Machine Learning in Smart Healthcare</t>
  </si>
  <si>
    <t>BiometricIdentity dApp: Decentralized biometric authentication based on fuzzy commitment and blockchain</t>
  </si>
  <si>
    <t>https://www.sciencedirect.com/science/article/pii/S2352711024003029</t>
  </si>
  <si>
    <t>IoT convergence with machine learning &amp; blockchain: A review</t>
  </si>
  <si>
    <t>https://www.sciencedirect.com/science/article/pii/S2542660524001288</t>
  </si>
  <si>
    <t>DTAIS: Distributed trusted active identity resolution systems for the Industrial Internet</t>
  </si>
  <si>
    <t>Optimal smart contracts for controlling the environment in electric vehicles based on an Internet of Things network</t>
  </si>
  <si>
    <t>https://www.sciencedirect.com/science/article/pii/S0140366424002081</t>
  </si>
  <si>
    <t>Sustainable decision support system in Industry 4.0 under uncertainties with m-polar picture fuzzy information aggregation</t>
  </si>
  <si>
    <t>https://www.sciencedirect.com/science/article/pii/S1110016824015758</t>
  </si>
  <si>
    <t>Construction framework of smart tourism big data mining model driven by blockchain technology</t>
  </si>
  <si>
    <t>https://www.sciencedirect.com/science/article/pii/S2405844024101909</t>
  </si>
  <si>
    <t>Blockchain-based concept for total site heat integration: A pinch-based smart contract energy management in industrial symbiosis</t>
  </si>
  <si>
    <t>https://www.sciencedirect.com/science/article/pii/S0360544224020358</t>
  </si>
  <si>
    <t>Analysis of Block Chain Applications in Asset Backed Securitization System</t>
  </si>
  <si>
    <t>https://www.sciencedirect.com/science/article/pii/S1877050924005635</t>
  </si>
  <si>
    <t>How does blockchain impact sustainable food security? Insights from literature review</t>
  </si>
  <si>
    <t>https://www.sciencedirect.com/science/article/pii/S266709682400065X</t>
  </si>
  <si>
    <t>Enabling sustainable energy sharing and tracking for rural energy communities in emerging economies</t>
  </si>
  <si>
    <t>https://www.sciencedirect.com/science/article/pii/S1755008424000978</t>
  </si>
  <si>
    <t>Renewable Energy Focus</t>
  </si>
  <si>
    <t>Enhancing fraud detection efficiency in mobile transactions through the integration of bidirectional 3d Quasi-Recurrent Neural network and blockchain technologies</t>
  </si>
  <si>
    <t>https://www.sciencedirect.com/science/article/pii/S0957417424020463</t>
  </si>
  <si>
    <t>P-Chain: Towards privacy-aware smart contract using SMPC</t>
  </si>
  <si>
    <t>https://www.sciencedirect.com/science/article/pii/S2214212624001741</t>
  </si>
  <si>
    <t>Rug Pull Detection on Decentralized Exchange Using Transaction Data</t>
  </si>
  <si>
    <t>https://www.sciencedirect.com/science/article/pii/S2096720925000028</t>
  </si>
  <si>
    <t>Joint energy efficiency and network optimization for integrated blockchain-SDN-based internet of things networks</t>
  </si>
  <si>
    <t>https://www.sciencedirect.com/science/article/pii/S0167739X24004837</t>
  </si>
  <si>
    <t>How can blockchain-based lending platforms support microcredit activities in developing countries? An empirical validation of its opportunities and challenges</t>
  </si>
  <si>
    <t>https://www.sciencedirect.com/science/article/pii/S0040162524001963</t>
  </si>
  <si>
    <t>Transforming agri-food value chains in Bangladesh: A practical application of blockchain for traceability and fair pricing</t>
  </si>
  <si>
    <t>https://www.sciencedirect.com/science/article/pii/S2405844024161221</t>
  </si>
  <si>
    <t>A blockchain-enabled decentralized access control scheme using multi-authority attribute-based encryption for edge-assisted Internet of Things</t>
  </si>
  <si>
    <t>https://www.sciencedirect.com/science/article/pii/S2542660524001616</t>
  </si>
  <si>
    <t>A bibliometric analysis of IoT applications in logistics and supply chain management</t>
  </si>
  <si>
    <t>https://www.sciencedirect.com/science/article/pii/S2405844024126096</t>
  </si>
  <si>
    <t>œÄFL: Private Atomic Incentive mechanism for federated learning based on blockchain</t>
  </si>
  <si>
    <t>https://www.sciencedirect.com/science/article/pii/S2096720924000848</t>
  </si>
  <si>
    <t>Consortium blockchain-based tunnel data bank for traceable sharing and treatment of structural health monitoring data</t>
  </si>
  <si>
    <t>https://www.sciencedirect.com/science/article/pii/S0926580524004564</t>
  </si>
  <si>
    <t>Proof-of-authority-based secure and efficient aggregation with differential privacy for federated learning in industrial IoT</t>
  </si>
  <si>
    <t>https://www.sciencedirect.com/science/article/pii/S2542660524000490</t>
  </si>
  <si>
    <t>A Blockchain-Based Efficient Cross-Domain Authentication Scheme for Internet of Vehicles</t>
  </si>
  <si>
    <t>https://www.sciencedirect.com/science/article/pii/S1546221824005009</t>
  </si>
  <si>
    <t>Contract-based hierarchical security aggregation scheme for enhancing privacy in federated learning</t>
  </si>
  <si>
    <t>https://www.sciencedirect.com/science/article/pii/S2214212624001595</t>
  </si>
  <si>
    <t>Smart Contract Generation through NLP and Blockchain for Legal Documents</t>
  </si>
  <si>
    <t>https://www.sciencedirect.com/science/article/pii/S1877050924009141</t>
  </si>
  <si>
    <t>DeFi Risk Assessment: MakerDAO Loan Portfolio Case</t>
  </si>
  <si>
    <t>https://www.sciencedirect.com/science/article/pii/S2096720924000721</t>
  </si>
  <si>
    <t>Integrating Digital Twin and Blockchain for dynamic building Life Cycle Sustainability Assessment</t>
  </si>
  <si>
    <t>https://www.sciencedirect.com/science/article/pii/S2352710224025865</t>
  </si>
  <si>
    <t>Towards machine-readable semantic-based E-business contract representations using Network of Timed Automata (NTA)</t>
  </si>
  <si>
    <t>https://www.sciencedirect.com/science/article/pii/S0167739X24001699</t>
  </si>
  <si>
    <t>The British Accounting Review</t>
  </si>
  <si>
    <t>On-chain zero-knowledge machine learning: An overview and comparison</t>
  </si>
  <si>
    <t>https://www.sciencedirect.com/science/article/pii/S1319157824002969</t>
  </si>
  <si>
    <t>Using blockchain technology to achieve sustainability in the hospitality industry by reducing food waste</t>
  </si>
  <si>
    <t>https://www.sciencedirect.com/science/article/pii/S0360835224007071</t>
  </si>
  <si>
    <t>Adaptive optimization and dynamic pricing in decentralized energy markets using blockchain technology and consensus-based verification</t>
  </si>
  <si>
    <t>https://www.sciencedirect.com/science/article/pii/S2352467725000128</t>
  </si>
  <si>
    <t>BCAS: Blockchain-based secure access and sharing scheme for EHR data</t>
  </si>
  <si>
    <t>https://www.sciencedirect.com/science/article/pii/S2352864824001408</t>
  </si>
  <si>
    <t>A comprehensive survey on social engineering attacks countermeasures case study and research challenges</t>
  </si>
  <si>
    <t>https://www.sciencedirect.com/science/article/pii/S0306457324002875</t>
  </si>
  <si>
    <t>DFier: A directed vulnerability verifier for Ethereum smart contracts</t>
  </si>
  <si>
    <t>https://www.sciencedirect.com/science/article/pii/S1084804524001619</t>
  </si>
  <si>
    <t>BESTS: Blockchain-enabled electric vehicles scheduling and coordination scheme at charging station</t>
  </si>
  <si>
    <t>https://www.sciencedirect.com/science/article/pii/S2352467724003266</t>
  </si>
  <si>
    <t>On Designs of Decentralized Reputation Management for Permissioned Blockchain Networks</t>
  </si>
  <si>
    <t>https://www.sciencedirect.com/science/article/pii/S1526149224001966</t>
  </si>
  <si>
    <t>Coordinating REST interactions in service choreographies using blockchain</t>
  </si>
  <si>
    <t>https://www.sciencedirect.com/science/article/pii/S209672092400054X</t>
  </si>
  <si>
    <t>A vulnerability detection framework by focusing on critical execution paths</t>
  </si>
  <si>
    <t>https://www.sciencedirect.com/science/article/pii/S0950584924001228</t>
  </si>
  <si>
    <t>Penetration Testing Analysis: Impact on Smart Contract Market Value</t>
  </si>
  <si>
    <t>https://www.sciencedirect.com/science/article/pii/S1877050924004976</t>
  </si>
  <si>
    <t>Digital Twins-enabled Zero Touch Network: A smart contract and explainable AI integrated cybersecurity framework</t>
  </si>
  <si>
    <t>https://www.sciencedirect.com/science/article/pii/S0167739X24000608</t>
  </si>
  <si>
    <t>Unveiling vulnerable smart contracts: Toward profiling vulnerable smart contracts using genetic algorithm and generating benchmark dataset</t>
  </si>
  <si>
    <t>BloAC: A blockchain-based secure access control management for the Internet of Things</t>
  </si>
  <si>
    <t>https://www.sciencedirect.com/science/article/pii/S2214212624001996</t>
  </si>
  <si>
    <t>CABC: A Cross-Domain Authentication Method Combining Blockchain with Certificateless Signature for IIoT</t>
  </si>
  <si>
    <t>https://www.sciencedirect.com/science/article/pii/S0167739X24001717</t>
  </si>
  <si>
    <t>Smart contract vulnerability detection using wide and deep neural network</t>
  </si>
  <si>
    <t>https://www.sciencedirect.com/science/article/pii/S0167642324000959</t>
  </si>
  <si>
    <t>Unveiling Smart Contracts Vulnerabilities: Toward Profiling Smart Contracts Vulnerabilities using Enhanced Genetic Algorithm and Generating Benchmark Dataset</t>
  </si>
  <si>
    <t>https://www.sciencedirect.com/science/article/pii/S2096720924000666</t>
  </si>
  <si>
    <t>Blockchain-enabled EHR access auditing: Enhancing healthcare data security</t>
  </si>
  <si>
    <t>https://www.sciencedirect.com/science/article/pii/S2405844024104380</t>
  </si>
  <si>
    <t>A vulnerability detection framework with enhanced graph feature learning</t>
  </si>
  <si>
    <t>https://www.sciencedirect.com/science/article/pii/S0164121224001638</t>
  </si>
  <si>
    <t>https://www.sciencedirect.com/science/article/pii/S016412122300314X</t>
  </si>
  <si>
    <t>A comprehensive survey of smart contract security: State of the art and research directions</t>
  </si>
  <si>
    <t>https://www.sciencedirect.com/science/article/pii/S1084804524000596</t>
  </si>
  <si>
    <t>ReenRepair: Automatic and semantic equivalent repair of reentrancy in smart contracts</t>
  </si>
  <si>
    <t>https://www.sciencedirect.com/science/article/pii/S0164121224001523</t>
  </si>
  <si>
    <t>PSCBO: A provably secure consensus-based blockchain Oracle</t>
  </si>
  <si>
    <t>https://www.sciencedirect.com/science/article/pii/S0920548924000618</t>
  </si>
  <si>
    <t>IoV-BCFL: An intrusion detection method for IoV based on blockchain and federated learning</t>
  </si>
  <si>
    <t>https://www.sciencedirect.com/science/article/pii/S1570870524002014</t>
  </si>
  <si>
    <t>23 - Blockchain for security and privacy in the smart healthcare</t>
  </si>
  <si>
    <t>https://www.sciencedirect.com/science/article/pii/B9780443303005000257</t>
  </si>
  <si>
    <t>Mutual authentication enabled trust model for vehicular energy networks using Blockchain in Smart Healthcare Systems</t>
  </si>
  <si>
    <t>https://www.sciencedirect.com/science/article/pii/S1569190X24001205</t>
  </si>
  <si>
    <t>Blockchain-enhanced smart contracts for formal verification of IoT access control mechanisms</t>
  </si>
  <si>
    <t>https://www.sciencedirect.com/science/article/pii/S1110016824017071</t>
  </si>
  <si>
    <t>DBC-MulBiLSTM: A DistilBERT-CNN Feature Fusion Framework enhanced by multi-head self-attention and BiLSTM for smart contract vulnerability detection</t>
  </si>
  <si>
    <t>https://www.sciencedirect.com/science/article/pii/S0045790625000394</t>
  </si>
  <si>
    <t>Smart contract-based public integrity auditing for cloud storage against malicious auditors</t>
  </si>
  <si>
    <t>https://www.sciencedirect.com/science/article/pii/S0167739X25000044</t>
  </si>
  <si>
    <t>Enhancing sustainability in electric mobility: Exploring blockchain applications for secure EV charging and energy management</t>
  </si>
  <si>
    <t>https://www.sciencedirect.com/science/article/pii/S0045790624004300</t>
  </si>
  <si>
    <t>A verifiable EVM-based cross-language smart contract implementation scheme for matrix calculation</t>
  </si>
  <si>
    <t>https://www.sciencedirect.com/science/article/pii/S2352864824000348</t>
  </si>
  <si>
    <t>A Systematic Review and Performance Evaluation of Open-Source Tools for Smart Contract Vulnerability Detection</t>
  </si>
  <si>
    <t>A novel blockchain-based anonymous roaming authentication scheme for VANET</t>
  </si>
  <si>
    <t>https://www.sciencedirect.com/science/article/pii/S2214212624002242</t>
  </si>
  <si>
    <t>EAOS: Exposing attacks in smart contracts through analyzing opcode sequences with operands</t>
  </si>
  <si>
    <t>https://www.sciencedirect.com/science/article/pii/S1389128624007916</t>
  </si>
  <si>
    <t>A distributed intrusion detection framework for vehicular Ad Hoc networks via federated learning and Blockchain</t>
  </si>
  <si>
    <t>https://www.sciencedirect.com/science/article/pii/S1570870524002889</t>
  </si>
  <si>
    <t>Mitigating smart contract vulnerabilities in electronic toll collection using blockchain security</t>
  </si>
  <si>
    <t>https://www.sciencedirect.com/science/article/pii/S2542660524003706</t>
  </si>
  <si>
    <t>A comprehensive survey of smart contracts vulnerability detection tools: Techniques and methodologies</t>
  </si>
  <si>
    <t>https://www.sciencedirect.com/science/article/pii/S1084804525000396</t>
  </si>
  <si>
    <t>Digital twins and dynamic NFTs for blockchain-based crowdsourced last-mile delivery</t>
  </si>
  <si>
    <t>https://www.sciencedirect.com/science/article/pii/S030645732400116X</t>
  </si>
  <si>
    <t>Detecting the provenance of price hike in agri-food supply chain using private Ethereum blockchain network</t>
  </si>
  <si>
    <t>https://www.sciencedirect.com/science/article/pii/S2405844024070038</t>
  </si>
  <si>
    <t>A contracted container-based code component collaboration model with reusable but invisible right management</t>
  </si>
  <si>
    <t>https://www.sciencedirect.com/science/article/pii/S0306457324004163</t>
  </si>
  <si>
    <t>Machine Learning on Blockchain (MLOB): A New Paradigm for Computational Security in Engineering</t>
  </si>
  <si>
    <t>https://www.sciencedirect.com/science/article/pii/S2095809924007112</t>
  </si>
  <si>
    <t>Engineering</t>
  </si>
  <si>
    <t>SAGIN-ID: A rapid intrusion detection method for space-air-ground integrated network based on smart contracts</t>
  </si>
  <si>
    <t>https://www.sciencedirect.com/science/article/pii/S0045790625000278</t>
  </si>
  <si>
    <t>Secure Goods Storage and Anti-Theft Approach using Ethereum Blockchain</t>
  </si>
  <si>
    <t>https://www.sciencedirect.com/science/article/pii/S1877050924005490</t>
  </si>
  <si>
    <t>MuLPP: A multi-level privacy preserving for blockchain-based bilateral P2P energy trading</t>
  </si>
  <si>
    <t>https://www.sciencedirect.com/science/article/pii/S1084804525000384</t>
  </si>
  <si>
    <t>Preserving Data Secrecy and Integrity for Cloud Storage Using Smart Contracts and Cryptographic Primitives</t>
  </si>
  <si>
    <t>https://www.sciencedirect.com/science/article/pii/S1546221824002327</t>
  </si>
  <si>
    <t>A smart contract solution for transparent auctions on permissioned blockchain platform</t>
  </si>
  <si>
    <t>https://www.sciencedirect.com/science/article/pii/S0045790624007869</t>
  </si>
  <si>
    <t>Secure environmental social and governance (ESG) data management for construction projects using blockchain</t>
  </si>
  <si>
    <t>https://www.sciencedirect.com/science/article/pii/S2210670724004074</t>
  </si>
  <si>
    <t>A secure and efficient authentication and key agreement protocol in blockchain-enabled VANETs</t>
  </si>
  <si>
    <t>https://www.sciencedirect.com/science/article/pii/S0045790624008723</t>
  </si>
  <si>
    <t>SC-VDTwinAuth: Smart-contract Assisted Handover Authentication Protocol for Vehicular Digital Twin Network</t>
  </si>
  <si>
    <t>https://www.sciencedirect.com/science/article/pii/S2214209625000178</t>
  </si>
  <si>
    <t>Vehicular Communications</t>
  </si>
  <si>
    <t>DA-GNN: A smart contract vulnerability detection method based on Dual Attention Graph Neural Network</t>
  </si>
  <si>
    <t>https://www.sciencedirect.com/science/article/pii/S1389128624000707</t>
  </si>
  <si>
    <t>Deductive verification of solidity smart contracts with SSCalc</t>
  </si>
  <si>
    <t>https://www.sciencedirect.com/science/article/pii/S0167642325000061</t>
  </si>
  <si>
    <t>A systematic literature review on dynamic testing of blockchain oriented software</t>
  </si>
  <si>
    <t>Securing the internet‚Äôs backbone: A blockchain-based and incentive-driven architecture for DNS cache poisoning defense</t>
  </si>
  <si>
    <t>https://www.sciencedirect.com/science/article/pii/S1389128624006091</t>
  </si>
  <si>
    <t>BAIoT-EMS: Consortium network for small-medium enterprises management system with blockchain and augmented intelligence of things</t>
  </si>
  <si>
    <t>https://www.sciencedirect.com/science/article/pii/S0952197624019973</t>
  </si>
  <si>
    <t>Blockchain-empowered multi-skilled crowdsourcing for mobile web 3.0</t>
  </si>
  <si>
    <t>https://www.sciencedirect.com/science/article/pii/S0140366424003840</t>
  </si>
  <si>
    <t>Smart contract anomaly detection: The Contrastive Learning Paradigm</t>
  </si>
  <si>
    <t>https://www.sciencedirect.com/science/article/pii/S1389128625000891</t>
  </si>
  <si>
    <t>A deep decentralized privacy-preservation framework for online social networks</t>
  </si>
  <si>
    <t>https://www.sciencedirect.com/science/article/pii/S2096720924000460</t>
  </si>
  <si>
    <t>VelogCPS: A safe blockchain network for cyber‚Äìphysical systems leveraging block verifiers</t>
  </si>
  <si>
    <t>https://www.sciencedirect.com/science/article/pii/S1383762124001140</t>
  </si>
  <si>
    <t>A Blockchain-based Trusted Sharing Method for Railway Transportation BIM Data</t>
  </si>
  <si>
    <t>https://www.sciencedirect.com/science/article/pii/S2096720924000861</t>
  </si>
  <si>
    <t>Chapter 5 - Blockchain for security and privacy in the smart sensor network</t>
  </si>
  <si>
    <t>https://www.sciencedirect.com/science/article/pii/B9780443363702000062</t>
  </si>
  <si>
    <t>Sensor Networks for Smart Hospitals</t>
  </si>
  <si>
    <t>An interpretable model for large-scale smart contract vulnerability detection</t>
  </si>
  <si>
    <t>https://www.sciencedirect.com/science/article/pii/S2096720924000228</t>
  </si>
  <si>
    <t>Machine learning methods for detecting smart contracts vulnerabilities within Ethereum blockchain ‚àí A review</t>
  </si>
  <si>
    <t>Blockchain-based resale and leasing of pre-owned medical equipment</t>
  </si>
  <si>
    <t>https://www.sciencedirect.com/science/article/pii/S0160791X24000976</t>
  </si>
  <si>
    <t>Technology in Society</t>
  </si>
  <si>
    <t>A Two-Phase Blockchain-Enabled Framework for Securing Internet of Medical Things Systems</t>
  </si>
  <si>
    <t>https://www.sciencedirect.com/science/article/pii/S2542660524002762</t>
  </si>
  <si>
    <t>A secure and efficient UAV network defense strategy: Convergence of blockchain and deep learning</t>
  </si>
  <si>
    <t>https://www.sciencedirect.com/science/article/pii/S0920548924000138</t>
  </si>
  <si>
    <t>Effective combining source code and opcode for accurate vulnerability detection of smart contracts in edge AI systems</t>
  </si>
  <si>
    <t>https://www.sciencedirect.com/science/article/pii/S1568494624003302</t>
  </si>
  <si>
    <t>Bi-thresholds-based unknown vulnerability detection in smart contracts using multi-classification model</t>
  </si>
  <si>
    <t>https://www.sciencedirect.com/science/article/pii/S0045790624006098</t>
  </si>
  <si>
    <t>Smart Contract Vulnerability Detection Method Based on Feature Graph and Multiple Attention Mechanisms</t>
  </si>
  <si>
    <t>https://www.sciencedirect.com/science/article/pii/S1546221824002285</t>
  </si>
  <si>
    <t>A Framework for Enhancing Privacy and Anonymity in Blockchain-Enabled IoT Devices</t>
  </si>
  <si>
    <t>https://www.sciencedirect.com/science/article/pii/S1546221824003096</t>
  </si>
  <si>
    <t>Design and implementation of a decentralized document management system</t>
  </si>
  <si>
    <t>https://www.sciencedirect.com/science/article/pii/S0957417424023832</t>
  </si>
  <si>
    <t>Relay network-based cross-chain data interaction protocol with integrity audit</t>
  </si>
  <si>
    <t>https://www.sciencedirect.com/science/article/pii/S0045790624001903</t>
  </si>
  <si>
    <t>A smart contract-based 6G-enabled authentication scheme for securing Internet of Nano Medical Things network</t>
  </si>
  <si>
    <t>https://www.sciencedirect.com/science/article/pii/S1570870524002178</t>
  </si>
  <si>
    <t>BFL-SC: A blockchain-enabled federated learning framework with smart contracts for securing social media-integrated internet of things systems</t>
  </si>
  <si>
    <t>https://www.sciencedirect.com/science/article/pii/S1570870525000083</t>
  </si>
  <si>
    <t>Lightweight blockchain-based remote user authentication for fog-enabled IoT deployment</t>
  </si>
  <si>
    <t>https://www.sciencedirect.com/science/article/pii/S0140366424001415</t>
  </si>
  <si>
    <t>DSCAPS: A decentralized smart contract auditing platform based on sidechain</t>
  </si>
  <si>
    <t>https://www.sciencedirect.com/science/article/pii/S0020025524007758</t>
  </si>
  <si>
    <t>Automated trusted collaborative processes through blockchain &amp; IoT integration: The fraud detection case</t>
  </si>
  <si>
    <t>https://www.sciencedirect.com/science/article/pii/S2542660524000489</t>
  </si>
  <si>
    <t>An Attention-based Wide and Deep Neural Network for Reentrancy Vulnerability Detection in Smart Contracts</t>
  </si>
  <si>
    <t>https://www.sciencedirect.com/science/article/pii/S0164121225000299</t>
  </si>
  <si>
    <t>Enhancing claustrophobia exposure therapy: A blockchain and NFT-enabled metaverse approach</t>
  </si>
  <si>
    <t>https://www.sciencedirect.com/science/article/pii/S0747563224002322</t>
  </si>
  <si>
    <t>Computers in Human Behavior</t>
  </si>
  <si>
    <t>To Healthier Ethereum: A Comprehensive and Iterative Smart Contract Weakness Enumeration</t>
  </si>
  <si>
    <t>https://www.sciencedirect.com/science/article/pii/S209672092400071X</t>
  </si>
  <si>
    <t>L2-MA-CPABE: A ciphertext access control scheme integrating blockchain and off-chain computation with zero knowledge proof</t>
  </si>
  <si>
    <t>https://www.sciencedirect.com/science/article/pii/S1319157824003367</t>
  </si>
  <si>
    <t>Adoption of blockchain to develop a deployable secure healthcare solution: An analysis</t>
  </si>
  <si>
    <t>https://www.sciencedirect.com/science/article/pii/S2772918424000262</t>
  </si>
  <si>
    <t>Cyber Security and Applications</t>
  </si>
  <si>
    <t>Disruptive 6G architecture: Software-centric AI-driven and digital market-based mobile networks</t>
  </si>
  <si>
    <t>https://www.sciencedirect.com/science/article/pii/S1389128624005140</t>
  </si>
  <si>
    <t>Vulnerability detection techniques for smart contracts: A systematic literature review</t>
  </si>
  <si>
    <t>Immutable COVID-19 Vaccination Certificate using Blockchain</t>
  </si>
  <si>
    <t>https://www.sciencedirect.com/science/article/pii/S1877050924005684</t>
  </si>
  <si>
    <t>Enhancing foreign exchange reserve security for central banks using Blockchain FHE and AWS</t>
  </si>
  <si>
    <t>https://www.sciencedirect.com/science/article/pii/S1319157824003409</t>
  </si>
  <si>
    <t>Leveraging lightweight blockchain for secure collaborative computing in UAV Ad-Hoc Networks</t>
  </si>
  <si>
    <t>https://www.sciencedirect.com/science/article/pii/S1389128624004444</t>
  </si>
  <si>
    <t>Detecting abnormal behaviors in smart contracts using opcode sequences</t>
  </si>
  <si>
    <t>https://www.sciencedirect.com/science/article/pii/S0140366424001087</t>
  </si>
  <si>
    <t>Reentrancy vulnerability detection based on graph convolutional networks and expert patterns under subspace mapping</t>
  </si>
  <si>
    <t>https://www.sciencedirect.com/science/article/pii/S0167404824001962</t>
  </si>
  <si>
    <t>Computers &amp; Security</t>
  </si>
  <si>
    <t>Multi-Platform Wallet for Privacy Protection and Key Recovery in Decentralized Applications</t>
  </si>
  <si>
    <t>https://www.sciencedirect.com/science/article/pii/S2096720924000563</t>
  </si>
  <si>
    <t>A Review of Deep Learning-Based Vulnerability Detection Tools for Ethernet Smart Contracts</t>
  </si>
  <si>
    <t>SmartGuard: An LLM-enhanced framework for smart contract vulnerability detection</t>
  </si>
  <si>
    <t>https://www.sciencedirect.com/science/article/pii/S0957417425001010</t>
  </si>
  <si>
    <t>The role of ontologies in smart contracts: A systematic literature review</t>
  </si>
  <si>
    <t>Decentralized artificial intelligence in construction using blockchain</t>
  </si>
  <si>
    <t>https://www.sciencedirect.com/science/article/pii/S0926580524004059</t>
  </si>
  <si>
    <t>A consent-aware electronic medical records sharing method based on blockchain</t>
  </si>
  <si>
    <t>https://www.sciencedirect.com/science/article/pii/S0920548924000710</t>
  </si>
  <si>
    <t>Orchestration constraints BlockChained smart contract and integrated digital twins manufacturing systems: ManuChain4.0-based application paradigm and case study</t>
  </si>
  <si>
    <t>https://www.sciencedirect.com/science/article/pii/S0278612524000803</t>
  </si>
  <si>
    <t>Journal of Manufacturing Systems</t>
  </si>
  <si>
    <t>Belief game: Verifying smart contract functionality in player dynamic interactions</t>
  </si>
  <si>
    <t>https://www.sciencedirect.com/science/article/pii/S2215098624002994</t>
  </si>
  <si>
    <t>Engineering Science and Technology an International Journal</t>
  </si>
  <si>
    <t>A review of DAO governance: Recent literature and emerging trends</t>
  </si>
  <si>
    <t>https://www.sciencedirect.com/science/article/pii/S0929119925000021</t>
  </si>
  <si>
    <t>https://catalogplus.tuwien.at/permalink/f/1m011kq/TN_cdi_crossref_primary_10_1016_j_scs_2024_105717</t>
  </si>
  <si>
    <t>Sustainable cities and society, 2024-10, Vol.113, p.105717, Article 105717</t>
  </si>
  <si>
    <t>Building Cybersecurity Applications with Blockchain and Smart Contracts</t>
  </si>
  <si>
    <t>https://catalogplus.tuwien.at/permalink/f/2ccb9r/UTW_alma51146727470003336</t>
  </si>
  <si>
    <t>Signals and Communication Technology</t>
  </si>
  <si>
    <t>Emerging Secure Networks, Blockchains and Smart Contract Technologies</t>
  </si>
  <si>
    <t>https://catalogplus.tuwien.at/permalink/f/2ccb9r/UTW_alma51152917160003336</t>
  </si>
  <si>
    <t>Analysis of Front-Running Vulnerabilities in Solidity Smart Contracts</t>
  </si>
  <si>
    <t>https://catalogplus.tuwien.at/permalink/f/2ccb9r/UTW_alma71154579720003336</t>
  </si>
  <si>
    <t>Advancing Symbolic Execution Tools with a Transient Storage Model for Vulnerability Detection in Smart Contracts</t>
  </si>
  <si>
    <t>https://catalogplus.tuwien.at/permalink/f/2ccb9r/UTW_alma71152940770003336</t>
  </si>
  <si>
    <t>An Integrated Smart Contract Vulnerability Detection Tool Using Multi-layer Perceptron on Real-time Solidity Smart Contracts</t>
  </si>
  <si>
    <t>https://catalogplus.tuwien.at/permalink/f/1m011kq/TN_cdi_ieee_primary_10430147</t>
  </si>
  <si>
    <t>IEEE access, 2024-01, Vol.12, p.1-1</t>
  </si>
  <si>
    <t>Frontiers in blockchain, 2024-01, Vol.6</t>
  </si>
  <si>
    <t>https://catalogplus.tuwien.at/permalink/f/1m011kq/TN_cdi_proquest_journals_3165908009</t>
  </si>
  <si>
    <t>ACM computing surveys, 2025-02, Vol.57 (2), p.1-36, Article 32</t>
  </si>
  <si>
    <t>https://catalogplus.tuwien.at/permalink/f/1m011kq/TN_cdi_crossref_primary_10_1016_j_jss_2024_112160</t>
  </si>
  <si>
    <t>The Journal of systems and software, 2024-11, Vol.217, p.112160, Article 112160</t>
  </si>
  <si>
    <t>SmartOracle: Generating Smart Contract Oracle via Fine-Grained Invariant Detection</t>
  </si>
  <si>
    <t>https://catalogplus.tuwien.at/permalink/f/1m011kq/TN_cdi_crossref_primary_10_1109_TSE_2025_3534567</t>
  </si>
  <si>
    <t>IEEE transactions on software engineering, 2025-01, p.1-13</t>
  </si>
  <si>
    <t>Machine learning methods for detecting smart contracts vulnerabilities within Ethereum blockchain − A review</t>
  </si>
  <si>
    <t>https://catalogplus.tuwien.at/permalink/f/1m011kq/TN_cdi_crossref_primary_10_1016_j_eswa_2024_126353</t>
  </si>
  <si>
    <t>Expert systems with applications, 2025-04, Vol.268, p.126353, Article 126353</t>
  </si>
  <si>
    <t>https://catalogplus.tuwien.at/permalink/f/1m011kq/TN_cdi_crossref_primary_10_1016_j_eswa_2025_126479</t>
  </si>
  <si>
    <t>Expert systems with applications, 2025-04, Vol.269, p.126479, Article 126479</t>
  </si>
  <si>
    <t>https://catalogplus.tuwien.at/permalink/f/1m011kq/TN_cdi_ieee_primary_10531111</t>
  </si>
  <si>
    <t>IEEE transactions on software engineering, 2024-07, Vol.50 (7), p.1789-1806</t>
  </si>
  <si>
    <t>https://catalogplus.tuwien.at/permalink/f/1m011kq/TN_cdi_ieee_primary_10548754</t>
  </si>
  <si>
    <t>2024 IEEE/ACM 46th International Conference on Software Engineering (ICSE), 2024, p.1-12</t>
  </si>
  <si>
    <t>https://catalogplus.tuwien.at/permalink/f/1m011kq/TN_cdi_crossref_primary_10_1145_3641846</t>
  </si>
  <si>
    <t>ACM transactions on software engineering and methodology, 2024-06, Vol.33 (5), p.1-55, Article 114</t>
  </si>
  <si>
    <t>https://catalogplus.tuwien.at/permalink/f/1m011kq/TN_cdi_proquest_journals_3039061246</t>
  </si>
  <si>
    <t>Concurrency and computation, 2024-05, Vol.36 (10)</t>
  </si>
  <si>
    <t>A new scheme of vulnerability analysis in smart contract with machine learning</t>
  </si>
  <si>
    <t>https://catalogplus.tuwien.at/permalink/f/1m011kq/TN_cdi_proquest_journals_3126253956</t>
  </si>
  <si>
    <t>Wireless networks, 2024-10, Vol.30 (7), p.6325-6334</t>
  </si>
  <si>
    <t>https://catalogplus.tuwien.at/permalink/f/1m011kq/TN_cdi_crossref_primary_10_1016_j_ins_2024_120861</t>
  </si>
  <si>
    <t>Information sciences, 2024-08, Vol.677, p.120861, Article 120861</t>
  </si>
  <si>
    <t>IEEE internet of things journal, 2024-02, Vol.11 (3), p.1-1</t>
  </si>
  <si>
    <t>Detection of vulnerabilities in blockchain smart contracts using deep learning</t>
  </si>
  <si>
    <t>https://catalogplus.tuwien.at/permalink/f/1m011kq/TN_cdi_proquest_journals_3163361440</t>
  </si>
  <si>
    <t>Wireless networks, 2025-01, Vol.31 (1), p.201-217</t>
  </si>
  <si>
    <t>SGDL: Smart contract vulnerability generation via deep learning</t>
  </si>
  <si>
    <t>https://catalogplus.tuwien.at/permalink/f/1m011kq/TN_cdi_proquest_journals_3142697751</t>
  </si>
  <si>
    <t>Journal of software : evolution and process, 2024-12, Vol.36 (12), p.n/a</t>
  </si>
  <si>
    <t>Science of computer programming, 2024-05, Vol.234, p.103076, Article 103076</t>
  </si>
  <si>
    <t>Refereed Delegation of Computation Using Smart Contracts</t>
  </si>
  <si>
    <t>https://catalogplus.tuwien.at/permalink/f/1m011kq/TN_cdi_proquest_journals_3127756441</t>
  </si>
  <si>
    <t>IEEE transactions on dependable and secure computing, 2024-11, Vol.21 (6), p.5208-5227</t>
  </si>
  <si>
    <t>Deductive verification of smart contracts with Dafny</t>
  </si>
  <si>
    <t>https://catalogplus.tuwien.at/permalink/f/1m011kq/TN_cdi_proquest_journals_2972997592</t>
  </si>
  <si>
    <t>International journal on software tools for technology transfer, 2024-04, Vol.26 (2), p.131-145</t>
  </si>
  <si>
    <t>https://catalogplus.tuwien.at/permalink/f/1m011kq/TN_cdi_proquest_journals_3127709676</t>
  </si>
  <si>
    <t>IEEE transactions on software engineering, 2024-11, Vol.50 (11), p.2983-3006</t>
  </si>
  <si>
    <t>https://catalogplus.tuwien.at/permalink/f/1m011kq/TN_cdi_crossref_primary_10_1016_j_scico_2024_103172</t>
  </si>
  <si>
    <t>Science of computer programming, 2024-12, Vol.238, p.103172, Article 103172</t>
  </si>
  <si>
    <t>Why Smart Contracts Reported as Vulnerable Were Not Exploited?</t>
  </si>
  <si>
    <t>https://catalogplus.tuwien.at/permalink/f/1m011kq/TN_cdi_ieee_primary_10810462</t>
  </si>
  <si>
    <t>IEEE transactions on dependable and secure computing, 2024-12, p.1-18</t>
  </si>
  <si>
    <t>https://catalogplus.tuwien.at/permalink/f/1m011kq/TN_cdi_doaj_primary_oai_doaj_org_article_7bc1166c8bc04f6ea05d16b122bf980f</t>
  </si>
  <si>
    <t>https://catalogplus.tuwien.at/permalink/f/1m011kq/TN_cdi_crossref_primary_10_1016_j_jnca_2024_103984</t>
  </si>
  <si>
    <t>Journal of network and computer applications, 2024-11, Vol.231, p.103984, Article 103984</t>
  </si>
  <si>
    <t>IEEE transactions on knowledge and data engineering, 2024-09, Vol.36 (9), p.4916-4929</t>
  </si>
  <si>
    <t>https://catalogplus.tuwien.at/permalink/f/1m011kq/TN_cdi_acm_books_10_1145_3597503_3639117</t>
  </si>
  <si>
    <t>2024 IEEE/ACM 46th International Conference on Software Engineering (ICSE), 2024, p.1-13</t>
  </si>
  <si>
    <t>https://catalogplus.tuwien.at/permalink/f/1m011kq/TN_cdi_crossref_primary_10_1016_j_comnet_2024_110238</t>
  </si>
  <si>
    <t>Computer networks (Amsterdam, Netherlands : 1999), 2024-04, Vol.242, p.110238, Article 110238</t>
  </si>
  <si>
    <t>https://catalogplus.tuwien.at/permalink/f/1m011kq/TN_cdi_crossref_primary_10_1109_TSC_2024_3463394</t>
  </si>
  <si>
    <t>IEEE transactions on services computing, 2024-11, Vol.17 (6), p.4522-4539</t>
  </si>
  <si>
    <t>Detecting unknown vulnerabilities in smart contracts using opcode sequences</t>
  </si>
  <si>
    <t>https://catalogplus.tuwien.at/permalink/f/1m011kq/TN_cdi_informaworld_taylorfrancis_310_1080_09540091_2024_2313853</t>
  </si>
  <si>
    <t>Connection science, 2024-12, Vol.36 (1)</t>
  </si>
  <si>
    <t>https://catalogplus.tuwien.at/permalink/f/1m011kq/TN_cdi_proquest_journals_3069403316</t>
  </si>
  <si>
    <t>https://catalogplus.tuwien.at/permalink/f/1m011kq/TN_cdi_crossref_primary_10_1016_j_comnet_2024_110959</t>
  </si>
  <si>
    <t>Computer networks (Amsterdam, Netherlands : 1999), 2025-02, Vol.257, p.110959, Article 110959</t>
  </si>
  <si>
    <t>https://catalogplus.tuwien.at/permalink/f/1m011kq/TN_cdi_askewsholts_vlebooks_9783031507335</t>
  </si>
  <si>
    <t>https://catalogplus.tuwien.at/permalink/f/1m011kq/TN_cdi_crossref_primary_10_1016_j_scico_2025_103267</t>
  </si>
  <si>
    <t>Science of computer programming, 2025-07, Vol.243, p.103267, Article 103267</t>
  </si>
  <si>
    <t>EtherVote: a secure smart contract-based e-voting system</t>
  </si>
  <si>
    <t>https://catalogplus.tuwien.at/permalink/f/1m011kq/TN_cdi_proquest_journals_3166914612</t>
  </si>
  <si>
    <t>Wireless networks, 2025-02, Vol.31 (2), p.1279-1299</t>
  </si>
  <si>
    <t>Smart Contract Timestamp Vulnerability Detection Based on Code Homogeneity</t>
  </si>
  <si>
    <t>https://catalogplus.tuwien.at/permalink/f/1m011kq/TN_cdi_proquest_journals_3128502213</t>
  </si>
  <si>
    <t>IEICE Transactions on Information and Systems, 2024/10/01, Vol.E107.D(10), pp.1362-1366</t>
  </si>
  <si>
    <t>https://catalogplus.tuwien.at/permalink/f/1m011kq/TN_cdi_proquest_journals_3055262296</t>
  </si>
  <si>
    <t>Multimedia tools and applications, 2024-05, Vol.83 (17), p.51469-51512</t>
  </si>
  <si>
    <t>Propagation-based Code Clone Analysis for Detecting Smart Contract Vulnerability</t>
  </si>
  <si>
    <t>https://catalogplus.tuwien.at/permalink/f/1m011kq/TN_cdi_crossref_primary_10_1587_transinf_2024EDL8079</t>
  </si>
  <si>
    <t>IEICE transactions on information and systems, 2024, Article 2024EDL8079</t>
  </si>
  <si>
    <t>https://catalogplus.tuwien.at/permalink/f/1m011kq/TN_cdi_crossref_primary_10_1016_j_comcom_2024_03_016</t>
  </si>
  <si>
    <t>Computer communications, 2024-04, Vol.220, p.12-22</t>
  </si>
  <si>
    <t>https://catalogplus.tuwien.at/permalink/f/1m011kq/TN_cdi_crossref_primary_10_1016_j_procs_2023_12_151</t>
  </si>
  <si>
    <t>Procedia computer science, 2024, Vol.231, p.8-15</t>
  </si>
  <si>
    <t>https://catalogplus.tuwien.at/permalink/f/1m011kq/TN_cdi_crossref_primary_10_1145_3702973</t>
  </si>
  <si>
    <t>ACM transactions on software engineering and methodology, 2024-11</t>
  </si>
  <si>
    <t>The Journal of systems and software, 2024-03, Vol.209, p.111919, Article 111919</t>
  </si>
  <si>
    <t>https://catalogplus.tuwien.at/permalink/f/1m011kq/TN_cdi_proquest_journals_3031419442</t>
  </si>
  <si>
    <t>Journal of software : evolution and process, 2024-04, Vol.36 (4), p.n/a</t>
  </si>
  <si>
    <t>https://catalogplus.tuwien.at/permalink/f/1m011kq/TN_cdi_proquest_journals_3153911384</t>
  </si>
  <si>
    <t>IEEE transactions on software engineering, 2025-01, Vol.51 (1), p.1-13</t>
  </si>
  <si>
    <t>https://catalogplus.tuwien.at/permalink/f/1m011kq/TN_cdi_proquest_journals_3068177377</t>
  </si>
  <si>
    <t>IEEE transactions on software engineering, 2024-06, Vol.50 (6), p.1360-1373</t>
  </si>
  <si>
    <t>https://catalogplus.tuwien.at/permalink/f/1m011kq/TN_cdi_crossref_primary_10_1016_j_jss_2025_112361</t>
  </si>
  <si>
    <t>The Journal of systems and software, 2025-05, Vol.223, p.112361, Article 112361</t>
  </si>
  <si>
    <t>DeepFusion: Smart Contract Vulnerability Detection Via Deep Learning and Data Fusion</t>
  </si>
  <si>
    <t>https://catalogplus.tuwien.at/permalink/f/1m011kq/TN_cdi_crossref_primary_10_1109_TR_2024_3480010</t>
  </si>
  <si>
    <t>IEEE transactions on reliability, 2024-10, p.1-15</t>
  </si>
  <si>
    <t>https://catalogplus.tuwien.at/permalink/f/1m011kq/TN_cdi_proquest_journals_3056262622</t>
  </si>
  <si>
    <t>Wireless networks, 2024-04, Vol.30 (3), p.1285-1304</t>
  </si>
  <si>
    <t>ReenSAT: Reentrancy Vulnerability Detection in Smart Contracts Using Semantic-Enhanced SAT Evaluation</t>
  </si>
  <si>
    <t>https://catalogplus.tuwien.at/permalink/f/1m011kq/TN_cdi_ieee_primary_10752786</t>
  </si>
  <si>
    <t>IEEE transactions on reliability, 2024-11, p.1-15</t>
  </si>
  <si>
    <t>https://catalogplus.tuwien.at/permalink/f/1m011kq/TN_cdi_crossref_primary_10_1109_ACCESS_2024_3386751</t>
  </si>
  <si>
    <t>IEEE access, 2024, Vol.12, p.51485-51499</t>
  </si>
  <si>
    <t>https://catalogplus.tuwien.at/permalink/f/1m011kq/TN_cdi_proquest_journals_3119814540</t>
  </si>
  <si>
    <t>Automated software engineering, 2025-06, Vol.32 (1), p.1, Article 1</t>
  </si>
  <si>
    <t>https://catalogplus.tuwien.at/permalink/f/1m011kq/TN_cdi_crossref_primary_10_1016_j_future_2024_02_015</t>
  </si>
  <si>
    <t>Future generation computer systems, 2024-07, Vol.156, p.191-205</t>
  </si>
  <si>
    <t>https://catalogplus.tuwien.at/permalink/f/1m011kq/TN_cdi_crossref_primary_10_1109_TPDS_2024_3389153</t>
  </si>
  <si>
    <t>IEEE transactions on parallel and distributed systems, 2024-08, Vol.35 (8), p.1345-1359</t>
  </si>
  <si>
    <t>https://catalogplus.tuwien.at/permalink/f/1m011kq/TN_cdi_crossref_primary_10_1016_j_jnca_2024_103882</t>
  </si>
  <si>
    <t>Journal of network and computer applications, 2024-06, Vol.226, p.103882, Article 103882</t>
  </si>
  <si>
    <t>https://catalogplus.tuwien.at/permalink/f/1m011kq/TN_cdi_proquest_journals_3080004280</t>
  </si>
  <si>
    <t>Journal of software : evolution and process, 2024-07, Vol.36 (7), p.n/a</t>
  </si>
  <si>
    <t>IEEE transactions on reliability, 2024-03, Vol.73 (1), p.186-202</t>
  </si>
  <si>
    <t>On Identity, Transaction, and Smart Contract Privacy on Permissioned and Permissionless Blockchain: A Comprehensive Survey</t>
  </si>
  <si>
    <t>https://catalogplus.tuwien.at/permalink/f/1m011kq/TN_cdi_proquest_journals_3147505056</t>
  </si>
  <si>
    <t>ACM computing surveys, 2024-12, Vol.56 (12), p.1-35, Article 298</t>
  </si>
  <si>
    <t>https://catalogplus.tuwien.at/permalink/f/1m011kq/TN_cdi_proquest_journals_3050579123</t>
  </si>
  <si>
    <t>Data mining and knowledge discovery, 2024-05, Vol.38 (3), p.888-912</t>
  </si>
  <si>
    <t>https://catalogplus.tuwien.at/permalink/f/1m011kq/TN_cdi_doaj_primary_oai_doaj_org_article_903c6ca7839d4c46b1d27ff21256ac56</t>
  </si>
  <si>
    <t>Blockchain. Research and applications Online, 2024-03, Vol.5 (1), p.100171, Article 100171</t>
  </si>
  <si>
    <t>https://catalogplus.tuwien.at/permalink/f/1m011kq/TN_cdi_acm_books_10_1145_3597503_3639128</t>
  </si>
  <si>
    <t>https://catalogplus.tuwien.at/permalink/f/1m011kq/TN_cdi_ieee_primary_10646637</t>
  </si>
  <si>
    <t>2024 IEEE Symposium on Security and Privacy (SP), 2024, p.2255-2272</t>
  </si>
  <si>
    <t>https://catalogplus.tuwien.at/permalink/f/1m011kq/TN_cdi_crossref_primary_10_1145_3656416</t>
  </si>
  <si>
    <t>Proceedings of ACM on programming languages, 2024-06, Vol.8 (PLDI), p.965-989, Article 186</t>
  </si>
  <si>
    <t>https://catalogplus.tuwien.at/permalink/f/1m011kq/TN_cdi_proquest_journals_2923905345</t>
  </si>
  <si>
    <t>Electronics (Basel), 2024-02, Vol.13 (3), p.489</t>
  </si>
  <si>
    <t>https://catalogplus.tuwien.at/permalink/f/1m011kq/TN_cdi_crossref_primary_10_1016_j_asoc_2024_111556</t>
  </si>
  <si>
    <t>Applied soft computing, 2024-06, Vol.158, p.111556, Article 111556</t>
  </si>
  <si>
    <t>https://catalogplus.tuwien.at/permalink/f/1m011kq/TN_cdi_crossref_primary_10_1016_j_procs_2024_03_139</t>
  </si>
  <si>
    <t>Procedia computer science, 2024, Vol.234, p.1404-1411</t>
  </si>
  <si>
    <t>https://catalogplus.tuwien.at/permalink/f/1m011kq/TN_cdi_acm_books_10_1145_3597503_3639173</t>
  </si>
  <si>
    <t>2024 IEEE/ACM 46th International Conference on Software Engineering (ICSE), 2024, p.1-11</t>
  </si>
  <si>
    <t>Sound analysis and migration of data from Ethereum smart contracts</t>
  </si>
  <si>
    <t>https://catalogplus.tuwien.at/permalink/f/1m011kq/TN_cdi_proquest_journals_2938244533</t>
  </si>
  <si>
    <t>Automated software engineering, 2024-05, Vol.31 (1), p.21, Article 21</t>
  </si>
  <si>
    <t>https://catalogplus.tuwien.at/permalink/f/1m011kq/TN_cdi_ieee_primary_10764946</t>
  </si>
  <si>
    <t>IEEE/ACM International Conference on Automated Software Engineering : [proceedings], 2024, p.1570-1582</t>
  </si>
  <si>
    <t>Sparrow: Expediting Smart Contract Execution for Blockchain Sharding via Inter-Shard Caching</t>
  </si>
  <si>
    <t>https://catalogplus.tuwien.at/permalink/f/1m011kq/TN_cdi_ieee_primary_10816245</t>
  </si>
  <si>
    <t>IEEE transactions on parallel and distributed systems, 2025-03, Vol.36 (3), p.377-390</t>
  </si>
  <si>
    <t>https://catalogplus.tuwien.at/permalink/f/1m011kq/TN_cdi_proquest_journals_2915105866</t>
  </si>
  <si>
    <t>The Journal of supercomputing, 2024, Vol.80 (2), p.1396-1425</t>
  </si>
  <si>
    <t>Computer networks (Amsterdam, Netherlands : 1999), 2024-01, Vol.238, p.110133, Article 110133</t>
  </si>
  <si>
    <t>Smart contract vulnerabilities detection with bidirectional encoder representations from transformers and control flow graph</t>
  </si>
  <si>
    <t>https://catalogplus.tuwien.at/permalink/f/1m011kq/TN_cdi_proquest_journals_3078635699</t>
  </si>
  <si>
    <t>Multimedia systems, 2024-08, Vol.30 (4), Article 204</t>
  </si>
  <si>
    <t>https://catalogplus.tuwien.at/permalink/f/1m011kq/TN_cdi_crossref_primary_10_1016_j_future_2024_107655</t>
  </si>
  <si>
    <t>Future generation computer systems, 2025-05, Vol.166, p.107655, Article 107655</t>
  </si>
  <si>
    <t>IEEE transactions on dependable and secure computing, 2024-07, Vol.21 (4), p.2145-2161</t>
  </si>
  <si>
    <t>Advanced Security Auditing Methods for Solidity-Based Smart Contracts</t>
  </si>
  <si>
    <t>https://catalogplus.tuwien.at/permalink/f/1m011kq/TN_cdi_proquest_journals_3120642514</t>
  </si>
  <si>
    <t>Electronics (Basel), 2024-10, Vol.13 (20), p.4093</t>
  </si>
  <si>
    <t>Privacy-Preserving Anomaly Detection of Encrypted Smart Contract for Blockchain-Based Data Trading</t>
  </si>
  <si>
    <t>https://catalogplus.tuwien.at/permalink/f/1m011kq/TN_cdi_proquest_journals_3100625702</t>
  </si>
  <si>
    <t>IEEE transactions on dependable and secure computing, 2024-09, Vol.21 (5), p.4510-4525</t>
  </si>
  <si>
    <t>https://catalogplus.tuwien.at/permalink/f/1m011kq/TN_cdi_crossref_primary_10_32604_cmes_2024_046758</t>
  </si>
  <si>
    <t>Computer modeling in engineering &amp; sciences, 2024, Vol.140 (1), p.77-108</t>
  </si>
  <si>
    <t>https://catalogplus.tuwien.at/permalink/f/1m011kq/TN_cdi_proquest_journals_3084594030</t>
  </si>
  <si>
    <t>Empirical software engineering : an international journal, 2024-09, Vol.29 (5), p.117, Article 117</t>
  </si>
  <si>
    <t>https://catalogplus.tuwien.at/permalink/f/1m011kq/TN_cdi_proquest_journals_2995142058</t>
  </si>
  <si>
    <t>IEEE internet of things journal, 2024-04, Vol.11 (7), p.1-1</t>
  </si>
  <si>
    <t>https://catalogplus.tuwien.at/permalink/f/1m011kq/TN_cdi_doaj_primary_oai_doaj_org_article_26a9590d378a4f18bba5054e77629390</t>
  </si>
  <si>
    <t>Blockchain. Research and applications Online, 2024-09, Vol.5 (3), p.100209, Article 100209</t>
  </si>
  <si>
    <t>Preserving flow table integrity in OpenFlow networks through smart contract</t>
  </si>
  <si>
    <t>https://catalogplus.tuwien.at/permalink/f/1m011kq/TN_cdi_proquest_journals_3087442783</t>
  </si>
  <si>
    <t>Cluster computing, 2024-07, Vol.27 (4), p.4569-4588</t>
  </si>
  <si>
    <t>https://catalogplus.tuwien.at/permalink/f/1m011kq/TN_cdi_proquest_journals_3056262656</t>
  </si>
  <si>
    <t>Wireless networks, 2024-04, Vol.30 (3), p.1165-1186</t>
  </si>
  <si>
    <t>Smart grid security based on blockchain and smart contract</t>
  </si>
  <si>
    <t>https://catalogplus.tuwien.at/permalink/f/1m011kq/TN_cdi_proquest_journals_3069349024</t>
  </si>
  <si>
    <t>Peer-to-peer networking and applications, 2024-07, Vol.17 (4), p.2167-2184</t>
  </si>
  <si>
    <t>ACM transactions on software engineering and methodology, 2024-04, Vol.33 (4), p.1-31, Article 106</t>
  </si>
  <si>
    <t>https://catalogplus.tuwien.at/permalink/f/1m011kq/TN_cdi_ieee_primary_10646603</t>
  </si>
  <si>
    <t>2024 IEEE Symposium on Security and Privacy (SP), 2024, p.2198-2216</t>
  </si>
  <si>
    <t>Deep learning-based methodology for vulnerability detection in smart contracts</t>
  </si>
  <si>
    <t>https://catalogplus.tuwien.at/permalink/f/1m011kq/TN_cdi_doaj_primary_oai_doaj_org_article_d5d65704a6aa4cc3894e5ef5c24dae47</t>
  </si>
  <si>
    <t>PeerJ. Computer science, 2024-09, Vol.10, p.e2320, Article e2320</t>
  </si>
  <si>
    <t>International journal of information security, 2024-02, Vol.23 (1), p.557-575</t>
  </si>
  <si>
    <t>https://catalogplus.tuwien.at/permalink/f/1m011kq/TN_cdi_proquest_journals_2933657674</t>
  </si>
  <si>
    <t>Automated software engineering, 2024-05, Vol.31 (1), p.24, Article 24</t>
  </si>
  <si>
    <t>Automated Repair of Smart Contract Vulnerabilities: A Systematic Literature Review</t>
  </si>
  <si>
    <t>https://catalogplus.tuwien.at/permalink/f/1m011kq/TN_cdi_proquest_journals_3116607345</t>
  </si>
  <si>
    <t>Electronics (Basel), 2024-10, Vol.13 (19), p.3942</t>
  </si>
  <si>
    <t>https://catalogplus.tuwien.at/permalink/f/1m011kq/TN_cdi_ieee_primary_10646883</t>
  </si>
  <si>
    <t>2024 IEEE Symposium on Security and Privacy (SP), 2024, p.2273-2290</t>
  </si>
  <si>
    <t>https://catalogplus.tuwien.at/permalink/f/1m011kq/TN_cdi_ieee_primary_10646885</t>
  </si>
  <si>
    <t>2024 IEEE Symposium on Security and Privacy (SP), 2024, p.2217-2235</t>
  </si>
  <si>
    <t>https://catalogplus.tuwien.at/permalink/f/1m011kq/TN_cdi_ieee_primary_10764825</t>
  </si>
  <si>
    <t>IEEE/ACM International Conference on Automated Software Engineering : [proceedings], 2024, p.2378-2381</t>
  </si>
  <si>
    <t>Enhancing BERT-Based Language Model for Multi-label Vulnerability Detection of Smart Contract in Blockchain</t>
  </si>
  <si>
    <t>https://catalogplus.tuwien.at/permalink/f/1m011kq/TN_cdi_proquest_journals_3071630660</t>
  </si>
  <si>
    <t>Journal of network and systems management, 2024-07, Vol.32 (3), p.63, Article 63</t>
  </si>
  <si>
    <t>MultiTagging: A Vulnerable Smart Contract Labeling and Evaluation Framework</t>
  </si>
  <si>
    <t>https://catalogplus.tuwien.at/permalink/f/1m011kq/TN_cdi_proquest_journals_3144086240</t>
  </si>
  <si>
    <t>Electronics (Basel), 2024-12, Vol.13 (23), p.4616</t>
  </si>
  <si>
    <t>https://catalogplus.tuwien.at/permalink/f/1m011kq/TN_cdi_proquest_journals_3065335906</t>
  </si>
  <si>
    <t>Journal of signal processing systems, 2024-03, Vol.96 (3), p.215-237</t>
  </si>
  <si>
    <t>A Smart Contract-Based Access Control Framework For Smart Healthcare Systems</t>
  </si>
  <si>
    <t>https://catalogplus.tuwien.at/permalink/f/1m011kq/TN_cdi_crossref_primary_10_1093_comjnl_bxac183</t>
  </si>
  <si>
    <t>Computer journal, 2024-02, Vol.67 (2), p.407-422</t>
  </si>
  <si>
    <t>Access Control Verification in Smart Contracts Using Colored Petri Nets</t>
  </si>
  <si>
    <t>https://catalogplus.tuwien.at/permalink/f/1m011kq/TN_cdi_doaj_primary_oai_doaj_org_article_9e9b6988d8e94d75ab609917f8825406</t>
  </si>
  <si>
    <t>Computers (Basel), 2024-11, Vol.13 (11), p.274</t>
  </si>
  <si>
    <t>Smart contracts auditing and multi-classification using machine learning algorithms: an efficient vulnerability detection in ethereum blockchain</t>
  </si>
  <si>
    <t>https://catalogplus.tuwien.at/permalink/f/1m011kq/TN_cdi_proquest_journals_3093957408</t>
  </si>
  <si>
    <t>Computing, 2024-09, Vol.106 (9), p.2971-3003</t>
  </si>
  <si>
    <t>Particle Swarm Algorithm for Smart Contract Vulnerability Detection Based on Semantic Web</t>
  </si>
  <si>
    <t>https://catalogplus.tuwien.at/permalink/f/1m011kq/TN_cdi_proquest_journals_3050230916</t>
  </si>
  <si>
    <t>International journal on semantic web and information systems, 2024-01, Vol.20 (1), p.1-33</t>
  </si>
  <si>
    <t>Ethereum Smart Contract Vulnerability Detection and Machine Learning-Driven Solutions: A Systematic Literature Review</t>
  </si>
  <si>
    <t>https://catalogplus.tuwien.at/permalink/f/1m011kq/TN_cdi_proquest_journals_3072317710</t>
  </si>
  <si>
    <t>Electronics (Basel), 2024-06, Vol.13 (12), p.2295</t>
  </si>
  <si>
    <t>https://catalogplus.tuwien.at/permalink/f/1m011kq/TN_cdi_ieee_primary_10548356</t>
  </si>
  <si>
    <t>Policy-Based Smart Contracts Management for IoT Privacy Preservation</t>
  </si>
  <si>
    <t>https://catalogplus.tuwien.at/permalink/f/1m011kq/TN_cdi_doaj_primary_oai_doaj_org_article_fd7eff5a27004c14aa9c7898a28eac5f</t>
  </si>
  <si>
    <t>Future internet, 2024-12, Vol.16 (12), p.452</t>
  </si>
  <si>
    <t>IEEE internet of things journal, 2024-03, Vol.11 (6), p.1-1</t>
  </si>
  <si>
    <t>Image Processing Applications in Smart Contracts: Automated Financial Transaction Verification</t>
  </si>
  <si>
    <t>https://catalogplus.tuwien.at/permalink/f/1m011kq/TN_cdi_proquest_journals_3107679379</t>
  </si>
  <si>
    <t>Traitement du signal, 2024-08, Vol.41 (4), p.1923-1932</t>
  </si>
  <si>
    <t>Future internet, 2024-01, Vol.16 (1), p.6</t>
  </si>
  <si>
    <t>https://catalogplus.tuwien.at/permalink/f/1m011kq/TN_cdi_crossref_primary_10_1109_ACCESS_2024_3482389</t>
  </si>
  <si>
    <t>IEEE access, 2024, Vol.12, p.154700-154717</t>
  </si>
  <si>
    <t>https://catalogplus.tuwien.at/permalink/f/1m011kq/TN_cdi_acm_books_10_1145_3691620_3695601_brief</t>
  </si>
  <si>
    <t>IEEE/ACM International Conference on Automated Software Engineering : [proceedings], 2024, p.1358-1369</t>
  </si>
  <si>
    <t>https://catalogplus.tuwien.at/permalink/f/1m011kq/TN_cdi_crossref_primary_10_1145_3689796</t>
  </si>
  <si>
    <t>Proceedings of ACM on programming languages, 2024-10, Vol.8 (OOPSLA2), p.2402-2433, Article 356</t>
  </si>
  <si>
    <t>https://catalogplus.tuwien.at/permalink/f/1m011kq/TN_cdi_acm_books_10_1145_3597503_3639225_brief</t>
  </si>
  <si>
    <t>https://catalogplus.tuwien.at/permalink/f/1m011kq/TN_cdi_ieee_primary_10764925</t>
  </si>
  <si>
    <t>IEEE/ACM International Conference on Automated Software Engineering : [proceedings], 2024, p.2350-2353</t>
  </si>
  <si>
    <t>A refinement-based approach to safe smart contract deployment and evolution</t>
  </si>
  <si>
    <t>https://catalogplus.tuwien.at/permalink/f/1m011kq/TN_cdi_proquest_journals_3081510867</t>
  </si>
  <si>
    <t>Software and systems modeling, 2024-06, Vol.23 (3), p.657-693</t>
  </si>
  <si>
    <t>https://catalogplus.tuwien.at/permalink/f/1m011kq/TN_cdi_ieee_primary_10833642</t>
  </si>
  <si>
    <t>IEEE access, 2025, Vol.13, p.11396-11422</t>
  </si>
  <si>
    <t>A Smart Contract Vulnerability Detection Method Based on Heterogeneous Contract Semantic Graphs and Pre-Training Techniques</t>
  </si>
  <si>
    <t>https://catalogplus.tuwien.at/permalink/f/1m011kq/TN_cdi_proquest_journals_3110456813</t>
  </si>
  <si>
    <t>Electronics (Basel), 2024-09, Vol.13 (18), p.3786</t>
  </si>
  <si>
    <t>A smart contract vulnerability detection method based on deep learning with opcode sequences</t>
  </si>
  <si>
    <t>https://catalogplus.tuwien.at/permalink/f/1m011kq/TN_cdi_proquest_journals_3112677093</t>
  </si>
  <si>
    <t>Peer-to-peer networking and applications, 2024-09, Vol.17 (5), p.3222-3238</t>
  </si>
  <si>
    <t>https://catalogplus.tuwien.at/permalink/f/1m011kq/TN_cdi_crossref_primary_10_1109_TBDATA_2024_3403376</t>
  </si>
  <si>
    <t>IEEE transactions on big data, 2025-02, Vol.11 (1), p.190-207</t>
  </si>
  <si>
    <t>https://catalogplus.tuwien.at/permalink/f/1m011kq/TN_cdi_acm_books_10_1145_3691620_3695482</t>
  </si>
  <si>
    <t>IEEE/ACM International Conference on Automated Software Engineering : [proceedings], 2024, p.1019-1031</t>
  </si>
  <si>
    <t>International journal of information security, 2024-02, Vol.23 (1), p.347-371</t>
  </si>
  <si>
    <t>https://catalogplus.tuwien.at/permalink/f/1m011kq/TN_cdi_acm_books_10_1145_3691620_3695292_brief</t>
  </si>
  <si>
    <t>IEEE/ACM International Conference on Automated Software Engineering : [proceedings], 2024, p.2240-2248</t>
  </si>
  <si>
    <t>https://catalogplus.tuwien.at/permalink/f/1m011kq/TN_cdi_ieee_primary_10637655</t>
  </si>
  <si>
    <t>2024 33rd International Conference on Computer Communications and Networks (ICCCN), 2024, p.1-9</t>
  </si>
  <si>
    <t>Detecting unknown vulnerabilities in smart contracts with the CNN-BiLSTM model</t>
  </si>
  <si>
    <t>https://catalogplus.tuwien.at/permalink/f/1m011kq/TN_cdi_proquest_journals_3133855061</t>
  </si>
  <si>
    <t>International journal of information security, 2025-02, Vol.24 (1), p.33, Article 33</t>
  </si>
  <si>
    <t>Emphasizing the early phases of the software development process before deploying smart contracts</t>
  </si>
  <si>
    <t>https://catalogplus.tuwien.at/permalink/f/1m011kq/TN_cdi_ieee_primary_10843205</t>
  </si>
  <si>
    <t>IEEE access, 2025-01, Vol.13, p.1-1</t>
  </si>
  <si>
    <t>Blockchain and Smart Contracts for Digital Copyright Protection</t>
  </si>
  <si>
    <t>https://catalogplus.tuwien.at/permalink/f/1m011kq/TN_cdi_doaj_primary_oai_doaj_org_article_4745a1d552444aea973763cc7a06ce55</t>
  </si>
  <si>
    <t>Future internet, 2024-05, Vol.16 (5), p.169</t>
  </si>
  <si>
    <t>Vulnsense: efficient vulnerability detection in ethereum smart contracts by multimodal learning with graph neural network and language model</t>
  </si>
  <si>
    <t>https://catalogplus.tuwien.at/permalink/f/1m011kq/TN_cdi_proquest_journals_3147298560</t>
  </si>
  <si>
    <t>International journal of information security, 2025-02, Vol.24 (1), p.48, Article 48</t>
  </si>
  <si>
    <t>https://catalogplus.tuwien.at/permalink/f/1m011kq/TN_cdi_ieee_primary_10763577</t>
  </si>
  <si>
    <t>Proceedings - International Conference on Parallel and Distributed Systems, 2024, p.633-640</t>
  </si>
  <si>
    <t>BFTRAND: Low-Latency Random Number Provider for BFT Smart Contracts</t>
  </si>
  <si>
    <t>https://catalogplus.tuwien.at/permalink/f/1m011kq/TN_cdi_ieee_primary_10647037</t>
  </si>
  <si>
    <t>2024 54th Annual IEEE/IFIP International Conference on Dependable Systems and Networks (DSN), 2024, p.389-402</t>
  </si>
  <si>
    <t>Safe design and evolution of smart contracts using dynamic condition response graphs to model generic role‐based behaviors</t>
  </si>
  <si>
    <t>https://catalogplus.tuwien.at/permalink/f/1m011kq/TN_cdi_proquest_journals_3160315818</t>
  </si>
  <si>
    <t>Journal of software : evolution and process, 2025-01, Vol.37 (1), p.n/a</t>
  </si>
  <si>
    <t>Trustworthy and efficient project scheduling in IIoT based on smart contracts and edge computing</t>
  </si>
  <si>
    <t>https://catalogplus.tuwien.at/permalink/f/1m011kq/TN_cdi_doaj_primary_oai_doaj_org_article_19c1760854204b7097d62c77791f6c57</t>
  </si>
  <si>
    <t>Journal of cloud computing : advances, systems and applications, 2025-12, Vol.14 (1), p.2-16, Article 2</t>
  </si>
  <si>
    <t>https://catalogplus.tuwien.at/permalink/f/1m011kq/TN_cdi_crossref_primary_10_1016_j_compeleceng_2025_110084</t>
  </si>
  <si>
    <t>Computers &amp; electrical engineering, 2025-04, Vol.123, p.110084, Article 110084</t>
  </si>
  <si>
    <t>PaySwitch: Smart Contract-Based Payment Switch for Off-Chain Payment Channel Networks</t>
  </si>
  <si>
    <t>https://catalogplus.tuwien.at/permalink/f/1m011kq/TN_cdi_doaj_primary_oai_doaj_org_article_b6369fc973dc4a6eb5c368dd2afdc9b7</t>
  </si>
  <si>
    <t>IEEE access, 2025, Vol.13, p.14837-14856</t>
  </si>
  <si>
    <t>https://catalogplus.tuwien.at/permalink/f/1m011kq/TN_cdi_ieee_primary_10549623</t>
  </si>
  <si>
    <t>Smart Contract Vulnerability Detection Methods: A Survey</t>
  </si>
  <si>
    <t>https://catalogplus.tuwien.at/permalink/f/1m011kq/TN_cdi_springer_books_10_1007_978_981_99_8101_4_13</t>
  </si>
  <si>
    <t>Blockchain and Trustworthy Systems, 2023, Vol.1896, p.179-196</t>
  </si>
  <si>
    <t>SafeCheck: Detecting smart contract vulnerabilities based on static program analysis methods</t>
  </si>
  <si>
    <t>https://catalogplus.tuwien.at/permalink/f/1m011kq/TN_cdi_crossref_primary_10_1002_spy2_393</t>
  </si>
  <si>
    <t>Security and privacy, 2024-09, Vol.7 (5), p.n/a</t>
  </si>
  <si>
    <t>https://catalogplus.tuwien.at/permalink/f/1m011kq/TN_cdi_acm_books_10_1145_3597503_3639140_brief</t>
  </si>
  <si>
    <t>Blockchain‐Enabled Decentralized Healthcare Data Exchange: Leveraging Novel Encryption Scheme, Smart Contracts, and Ring Signatures for Enhanced Data Security and Patient Privacy</t>
  </si>
  <si>
    <t>https://catalogplus.tuwien.at/permalink/f/1m011kq/TN_cdi_proquest_journals_3129202038</t>
  </si>
  <si>
    <t>International journal of network management, 2024-09, Vol.34 (5), p.n/a</t>
  </si>
  <si>
    <t>Empirical software engineering : an international journal, 2024-02, Vol.29 (1), p.13, Article 13</t>
  </si>
  <si>
    <t>Constructing Next-Generation IoT Security: Embedded Smart Contracts and Multi-Layer Security Protection</t>
  </si>
  <si>
    <t>https://catalogplus.tuwien.at/permalink/f/1m011kq/TN_cdi_crossref_primary_10_1109_JIOT_2025_3541256</t>
  </si>
  <si>
    <t>IEEE internet of things journal, 2025-02, p.1-1</t>
  </si>
  <si>
    <t>https://catalogplus.tuwien.at/permalink/f/1m011kq/TN_cdi_crossref_primary_10_32604_cmc_2024_052887</t>
  </si>
  <si>
    <t>Computers, materials &amp; continua, 2024, Vol.80 (1), p.995-1032</t>
  </si>
  <si>
    <t>SC-CAAC: A Smart-Contract-Based Context-Aware Access Control Scheme for Blockchain-Enabled IoT Systems</t>
  </si>
  <si>
    <t>https://catalogplus.tuwien.at/permalink/f/1m011kq/TN_cdi_crossref_primary_10_1109_JIOT_2024_3371504</t>
  </si>
  <si>
    <t>IEEE internet of things journal, 2024-06, Vol.11 (11), p.19866-19881</t>
  </si>
  <si>
    <t>Vulnerability Detection and Classification of Ethereum Smart Contracts Using Deep Learning</t>
  </si>
  <si>
    <t>https://catalogplus.tuwien.at/permalink/f/1m011kq/TN_cdi_doaj_primary_oai_doaj_org_article_0e79a8920c30489ca9145e3cee463c6b</t>
  </si>
  <si>
    <t>Future internet, 2024-09, Vol.16 (9), p.321</t>
  </si>
  <si>
    <t>https://catalogplus.tuwien.at/permalink/f/1m011kq/TN_cdi_crossref_primary_10_1109_TCC_2023_3337848</t>
  </si>
  <si>
    <t>IEEE transactions on cloud computing, 2024-01, Vol.12 (1), p.70-83</t>
  </si>
  <si>
    <t>https://catalogplus.tuwien.at/permalink/f/1m011kq/TN_cdi_crossref_primary_10_1145_3687251_3687253</t>
  </si>
  <si>
    <t>Applied computing review : a publication of the Special Interest Group on Applied Computing, 2024-08, Vol.24 (2), p.19-29</t>
  </si>
  <si>
    <t>Pioneering automated vulnerability detection for smart contracts in blockchain using KEVM: Guardian ADRGAN</t>
  </si>
  <si>
    <t>https://catalogplus.tuwien.at/permalink/f/1m011kq/TN_cdi_proquest_journals_3060206350</t>
  </si>
  <si>
    <t>International journal of information security, 2024-06, Vol.23 (3), p.1805-1819</t>
  </si>
  <si>
    <t>A fair multi-party contract signing scheme based on off-chain protocols and on-chain smart contracts</t>
  </si>
  <si>
    <t>https://catalogplus.tuwien.at/permalink/f/1m011kq/TN_cdi_proquest_journals_3152182968</t>
  </si>
  <si>
    <t>The Journal of supercomputing, 2025-01, Vol.81 (2), Article 372</t>
  </si>
  <si>
    <t>MVD-HG: multigranularity smart contract vulnerability detection method based on heterogeneous graphs</t>
  </si>
  <si>
    <t>https://catalogplus.tuwien.at/permalink/f/1m011kq/TN_cdi_doaj_primary_oai_doaj_org_article_b5efcd0eeddb4fe09c9afbf409f90ea0</t>
  </si>
  <si>
    <t>Cybersecurity (Singapore), 2024-10, Vol.7 (1), p.55-15, Article 55</t>
  </si>
  <si>
    <t>Practices for Assessing the Security Level of Solidity Smart Contracts</t>
  </si>
  <si>
    <t>https://catalogplus.tuwien.at/permalink/f/1m011kq/TN_cdi_springer_books_10_1007_978_3_031_57537_2_5</t>
  </si>
  <si>
    <t>Foundations and Practice of Security, 2024, Vol.14551, p.71-86</t>
  </si>
  <si>
    <t>Trusted Execution Environment With Rollback Protection for Smart Contract-Based IoT Data Trading</t>
  </si>
  <si>
    <t>https://catalogplus.tuwien.at/permalink/f/1m011kq/TN_cdi_proquest_journals_3114563742</t>
  </si>
  <si>
    <t>IEEE internet of things journal, 2024-10, Vol.11 (20), p.32901-32909</t>
  </si>
  <si>
    <t>https://catalogplus.tuwien.at/permalink/f/1m011kq/TN_cdi_proquest_journals_2933609815</t>
  </si>
  <si>
    <t>IEEE access, 2024, Vol.12, p.29222-29237</t>
  </si>
  <si>
    <t>Smart contract empowered dynamic consent: decentralized storage and access control for healthcare applications</t>
  </si>
  <si>
    <t>https://catalogplus.tuwien.at/permalink/f/1m011kq/TN_cdi_proquest_journals_3142734683</t>
  </si>
  <si>
    <t>Peer-to-peer networking and applications, 2025-02, Vol.18 (1), p.40, Article 40</t>
  </si>
  <si>
    <t>https://catalogplus.tuwien.at/permalink/f/1m011kq/TN_cdi_ieee_primary_10763613</t>
  </si>
  <si>
    <t>Proceedings - International Conference on Parallel and Distributed Systems, 2024, p.641-648</t>
  </si>
  <si>
    <t>The Impact of Input Types on Smart Contract Vulnerability Detection Performance Based on Deep Learning: A Preliminary Study</t>
  </si>
  <si>
    <t>https://catalogplus.tuwien.at/permalink/f/1m011kq/TN_cdi_doaj_primary_oai_doaj_org_article_761d7c9426bf412d8c09ac4982b229f6</t>
  </si>
  <si>
    <t>Information (Basel), 2024-06, Vol.15 (6), p.302</t>
  </si>
  <si>
    <t>Attribute-Based Hierarchical Keyword Auditing With Batch Fault Localization Assisted by Smart Contracts</t>
  </si>
  <si>
    <t>https://catalogplus.tuwien.at/permalink/f/1m011kq/TN_cdi_crossref_primary_10_1109_TCC_2024_3452324</t>
  </si>
  <si>
    <t>IEEE transactions on cloud computing, 2024-10, Vol.12 (4), p.1232-1247</t>
  </si>
  <si>
    <t>A Novel Prosumer-Centric Smart Contract Based Approach for Blockchain-Enabled Energy Scheduling Using Electric Vehicles</t>
  </si>
  <si>
    <t>https://catalogplus.tuwien.at/permalink/f/1m011kq/TN_cdi_crossref_primary_10_1109_ACCESS_2024_3451186</t>
  </si>
  <si>
    <t>IEEE access, 2024, Vol.12, p.120747-120760</t>
  </si>
  <si>
    <t>SCoTMan: A Scalable Smart Contract for Trust Management in Social IoT With Real-World Constraints</t>
  </si>
  <si>
    <t>https://catalogplus.tuwien.at/permalink/f/1m011kq/TN_cdi_proquest_journals_3112229035</t>
  </si>
  <si>
    <t>IEEE access, 2024, Vol.12, p.137836-137850</t>
  </si>
  <si>
    <t>https://catalogplus.tuwien.at/permalink/f/1m011kq/TN_cdi_doaj_primary_oai_doaj_org_article_04e261473f4042608590b0c00ad7f65d</t>
  </si>
  <si>
    <t>Egyptian informatics journal, 2024-12, Vol.28, p.100542, Article 100542</t>
  </si>
  <si>
    <t>LA-IMDCN: A Lightweight Authentication Scheme With Smart Contract in Implantable Medical Device Communication Networks</t>
  </si>
  <si>
    <t>https://catalogplus.tuwien.at/permalink/f/1m011kq/TN_cdi_doaj_primary_oai_doaj_org_article_11eaaa32ce7b4e9fa13ab85a9501bc03</t>
  </si>
  <si>
    <t>IEEE access, 2024, Vol.12, p.99694-99703</t>
  </si>
  <si>
    <t>DApps ecosystems: mapping the network structure of smart contract interactions</t>
  </si>
  <si>
    <t>https://catalogplus.tuwien.at/permalink/f/1m011kq/TN_cdi_doaj_primary_oai_doaj_org_article_a78e734268804a768f284481f4f025c5</t>
  </si>
  <si>
    <t>EPJ data science, 2024-09, Vol.13 (1), p.60-31, Article 60</t>
  </si>
  <si>
    <t>https://catalogplus.tuwien.at/permalink/f/1m011kq/TN_cdi_proquest_journals_2925772438</t>
  </si>
  <si>
    <t>Peer-to-peer networking and applications, 2024, Vol.17 (1), p.200-212</t>
  </si>
  <si>
    <t>https://catalogplus.tuwien.at/permalink/f/1m011kq/TN_cdi_acm_books_10_1145_3691620_3695361_brief</t>
  </si>
  <si>
    <t>IEEE/ACM International Conference on Automated Software Engineering : [proceedings], 2024, p.2399-2402</t>
  </si>
  <si>
    <t>https://catalogplus.tuwien.at/permalink/f/1m011kq/TN_cdi_ieee_primary_10597778</t>
  </si>
  <si>
    <t>2024 IEEE 40th International Conference on Data Engineering (ICDE), 2024, p.1972-1985</t>
  </si>
  <si>
    <t>Blockchain based multi-signature smart contract electronic seal orienting mobile IoT terminals</t>
  </si>
  <si>
    <t>https://catalogplus.tuwien.at/permalink/f/1m011kq/TN_cdi_proquest_journals_3112677089</t>
  </si>
  <si>
    <t>Peer-to-peer networking and applications, 2024-09, Vol.17 (5), p.3445-3458</t>
  </si>
  <si>
    <t>A Stealthy Communication Model with Blockchain Smart Contract for Bidding Systems</t>
  </si>
  <si>
    <t>https://catalogplus.tuwien.at/permalink/f/1m011kq/TN_cdi_proquest_journals_3079024475</t>
  </si>
  <si>
    <t>Electronics (Basel), 2024-07, Vol.13 (13), p.2523</t>
  </si>
  <si>
    <t>A Blockchain-based Privacy Protection Protocol using Smart Contracts in LEO satellite networks</t>
  </si>
  <si>
    <t>https://catalogplus.tuwien.at/permalink/f/1m011kq/TN_cdi_proquest_journals_2986722381</t>
  </si>
  <si>
    <t>Peer-to-peer networking and applications, 2024-03, Vol.17 (2), p.800-818</t>
  </si>
  <si>
    <t>Smart Contract Vulnerability Detection Based on Multimodal Feature Fusion</t>
  </si>
  <si>
    <t>https://catalogplus.tuwien.at/permalink/f/1m011kq/TN_cdi_springer_books_10_1007_978_981_97_5588_2_29</t>
  </si>
  <si>
    <t>Advanced Intelligent Computing Technology and Applications, 2024, Vol.14864, p.344-355</t>
  </si>
  <si>
    <t>A personalized and efficient EMR sharing and management scheme based on smart contracts</t>
  </si>
  <si>
    <t>https://catalogplus.tuwien.at/permalink/f/1m011kq/TN_cdi_proquest_journals_3065768903</t>
  </si>
  <si>
    <t>Peer-to-peer networking and applications, 2024-05, Vol.17 (3), p.1569-1587</t>
  </si>
  <si>
    <t>Software Weakness Detection in Solidity Smart Contracts Using Control and Data Flow Analysis: A Novel Approach with Graph Neural Networks</t>
  </si>
  <si>
    <t>https://catalogplus.tuwien.at/permalink/f/1m011kq/TN_cdi_proquest_journals_3097929545</t>
  </si>
  <si>
    <t>Electronics (Basel), 2024-08, Vol.13 (16), p.3162</t>
  </si>
  <si>
    <t>Smart Contract Code Clone Detection Based on Pre-training Techniques</t>
  </si>
  <si>
    <t>https://catalogplus.tuwien.at/permalink/f/1m011kq/TN_cdi_springer_books_10_1007_978_981_99_8104_5_4</t>
  </si>
  <si>
    <t>Blockchain and Trustworthy Systems, 2023, Vol.1897, p.44-57</t>
  </si>
  <si>
    <t>An Efficient Certificateless Key-Insulated Blind Signature Scheme Based on Smart Contract for Data Sharing in Industrial Internet of Things</t>
  </si>
  <si>
    <t>https://catalogplus.tuwien.at/permalink/f/1m011kq/TN_cdi_ieee_primary_10742628</t>
  </si>
  <si>
    <t>IEEE internet of things journal, 2024-11, p.1-1</t>
  </si>
  <si>
    <t>https://catalogplus.tuwien.at/permalink/f/1m011kq/TN_cdi_crossref_primary_10_1016_j_iot_2024_101429</t>
  </si>
  <si>
    <t>Internet of things (Amsterdam. Online), 2024-12, Vol.28, p.101429, Article 101429</t>
  </si>
  <si>
    <t>Multi-model Smart Contract Vulnerability Detection Based on BiGRU</t>
  </si>
  <si>
    <t>https://catalogplus.tuwien.at/permalink/f/1m011kq/TN_cdi_springer_books_10_1007_978_981_99_8132_8_1</t>
  </si>
  <si>
    <t>Neural Information Processing, 2023, Vol.1962, p.3-14</t>
  </si>
  <si>
    <t>Deep Learning Based Bug Detection in Solidity Smart Contracts</t>
  </si>
  <si>
    <t>https://catalogplus.tuwien.at/permalink/f/1m011kq/TN_cdi_springer_books_10_1007_978_3_031_53082_1_9</t>
  </si>
  <si>
    <t>Recent Trends in Image Processing and Pattern Recognition, 2024, Vol.2026, p.101-109</t>
  </si>
  <si>
    <t>An Integration Model for the Mapping of BPMN to Smart Contract: MCQ Case Study</t>
  </si>
  <si>
    <t>https://catalogplus.tuwien.at/permalink/f/1m011kq/TN_cdi_hal_primary_oai_HAL_hal_04782953v1</t>
  </si>
  <si>
    <t>IEEE engineering management review, 2024, p.1-12</t>
  </si>
  <si>
    <t>https://catalogplus.tuwien.at/permalink/f/1m011kq/TN_cdi_acm_books_10_1145_3597503_3639152_brief</t>
  </si>
  <si>
    <t>A secure digital evidence preservation system for an iot-enabled smart environment using ipfs, blockchain, and smart contracts</t>
  </si>
  <si>
    <t>https://catalogplus.tuwien.at/permalink/f/1m011kq/TN_cdi_proquest_journals_3150567402</t>
  </si>
  <si>
    <t>Peer-to-peer networking and applications, 2025-04, Vol.18 (2), p.5, Article 5</t>
  </si>
  <si>
    <t>SolGPT: A GPT-Based Static Vulnerability Detection Model for Enhancing Smart Contract Security</t>
  </si>
  <si>
    <t>https://catalogplus.tuwien.at/permalink/f/1m011kq/TN_cdi_springer_books_10_1007_978_981_97_0859_8_3</t>
  </si>
  <si>
    <t>Algorithms and Architectures for Parallel Processing, 2024, Vol.14490, p.42-62</t>
  </si>
  <si>
    <t>Experiences Using Ethereum and Quorum Blockchain Smart Contracts in Dairy Production</t>
  </si>
  <si>
    <t>https://catalogplus.tuwien.at/permalink/f/1m011kq/TN_cdi_doaj_primary_oai_doaj_org_article_2a0cdbf9dbc64a5b854872bce36e950a</t>
  </si>
  <si>
    <t>Journal of sensor and actuator networks, 2024-01, Vol.13 (1), p.6</t>
  </si>
  <si>
    <t>Securing Smart Contracts in Fog Computing: Machine Learning-Based Attack Detection for Registration and Resource Access Granting</t>
  </si>
  <si>
    <t>https://catalogplus.tuwien.at/permalink/f/1m011kq/TN_cdi_proquest_journals_2995548078</t>
  </si>
  <si>
    <t>IEEE access, 2024, Vol.12, p.42802-42815</t>
  </si>
  <si>
    <t>https://catalogplus.tuwien.at/permalink/f/1m011kq/TN_cdi_crossref_primary_10_1145_3689711</t>
  </si>
  <si>
    <t>Proceedings of ACM on programming languages, 2024-10, Vol.8 (OOPSLA2), p.1-29, Article 271</t>
  </si>
  <si>
    <t>Detect Llama - Finding Vulnerabilities in Smart Contracts Using Large Language Models</t>
  </si>
  <si>
    <t>https://catalogplus.tuwien.at/permalink/f/1m011kq/TN_cdi_springer_books_10_1007_978_981_97_5101_3_23</t>
  </si>
  <si>
    <t>Information Security and Privacy, 2024, p.424-443</t>
  </si>
  <si>
    <t>A Modeling and Verification Framework for Ethereum Smart Contracts</t>
  </si>
  <si>
    <t>https://catalogplus.tuwien.at/permalink/f/1m011kq/TN_cdi_springer_books_10_1007_978_3_031_63790_2_13</t>
  </si>
  <si>
    <t>Rigorous State-Based Methods, 2024, Vol.14759, p.201-207</t>
  </si>
  <si>
    <t>A Multi-Candidate Self-Tallying Voting Scheme Based on Smart Contracts</t>
  </si>
  <si>
    <t>https://catalogplus.tuwien.at/permalink/f/1m011kq/TN_cdi_doaj_primary_oai_doaj_org_article_ea658d9629aa4210bfa78036d31b89fc</t>
  </si>
  <si>
    <t>Cryptography, 2024-09, Vol.8 (3), p.42</t>
  </si>
  <si>
    <t>Comparison of Ethereum Smart Contract Analysis and Verification Methods</t>
  </si>
  <si>
    <t>https://catalogplus.tuwien.at/permalink/f/1m011kq/TN_cdi_springer_books_10_1007_978_3_031_54204_6_21</t>
  </si>
  <si>
    <t>Computer Security. ESORICS 2023 International Workshops, 2024, Vol.14398, p.344-358</t>
  </si>
  <si>
    <t>A Scalable Security Approach in IoT Networks: Smart Contracts and Anomaly-Based IDS for Gateways Using Hardware Accelerators</t>
  </si>
  <si>
    <t>https://catalogplus.tuwien.at/permalink/f/1m011kq/TN_cdi_crossref_primary_10_1109_ACCESS_2024_3486605</t>
  </si>
  <si>
    <t>IEEE access, 2024, Vol.12, p.159519-159533</t>
  </si>
  <si>
    <t>SmartDED: A Blockchain- and Smart Contract-Based Digital Electronic Detonator Safety Supervision System</t>
  </si>
  <si>
    <t>https://catalogplus.tuwien.at/permalink/f/1m011kq/TN_cdi_doaj_primary_oai_doaj_org_article_34b1d2e88f004bc9801e21c989bcf76a</t>
  </si>
  <si>
    <t>Future internet, 2024-05, Vol.16 (5), p.171</t>
  </si>
  <si>
    <t>Consolidation of Ground Truth Sets for Weakness Detection in Smart Contracts</t>
  </si>
  <si>
    <t>https://catalogplus.tuwien.at/permalink/f/1m011kq/TN_cdi_springer_books_10_1007_978_3_031_48806_1_28</t>
  </si>
  <si>
    <t>Financial Cryptography and Data Security. FC 2023 International Workshops, 2024, p.439-455</t>
  </si>
  <si>
    <t>Information (Basel), 2024-01, Vol.15 (1), p.24</t>
  </si>
  <si>
    <t>A Systematic Literature Review on Smart Contract Vulnerability Detection by Symbolic Execution</t>
  </si>
  <si>
    <t>https://catalogplus.tuwien.at/permalink/f/1m011kq/TN_cdi_springer_books_10_1007_978_981_99_8101_4_16</t>
  </si>
  <si>
    <t>Blockchain and Trustworthy Systems, 2023, Vol.1896, p.226-241</t>
  </si>
  <si>
    <t>Blockchain-based System Towards Data Security Against Smart Contract Vulnerabilities: Electronic Toll Collection Context</t>
  </si>
  <si>
    <t>https://catalogplus.tuwien.at/permalink/f/1m011kq/TN_cdi_proquest_journals_3084409310</t>
  </si>
  <si>
    <t>International journal of advanced computer science &amp; applications, 2024, Vol.15 (6)</t>
  </si>
  <si>
    <t>Smart Contracts for a Secure and Privacy-Preserving Smart Grid</t>
  </si>
  <si>
    <t>https://catalogplus.tuwien.at/permalink/f/1m011kq/TN_cdi_springer_books_10_1007_978_3_031_61231_2_8</t>
  </si>
  <si>
    <t>Risks and Security of Internet and Systems, 2024, p.103-118</t>
  </si>
  <si>
    <t>Smart Contract Vulnerability Detection Based on Generative Adversarial Networks and Graph Matching Networks</t>
  </si>
  <si>
    <t>https://catalogplus.tuwien.at/permalink/f/1m011kq/TN_cdi_springer_books_10_1007_978_981_97_4522_7_19</t>
  </si>
  <si>
    <t>Network Simulation and Evaluation, 2024, p.269-283</t>
  </si>
  <si>
    <t>Smart Contract Vulnerability Detection Based on Multi Graph Convolutional Neural Networks with Self-attention</t>
  </si>
  <si>
    <t>https://catalogplus.tuwien.at/permalink/f/1m011kq/TN_cdi_springer_books_10_1007_978_981_97_5588_2_27</t>
  </si>
  <si>
    <t>Advanced Intelligent Computing Technology and Applications, 2024, Vol.14864, p.319-330</t>
  </si>
  <si>
    <t>A General Smart Contract Vulnerability Detection Framework with Self-attention Graph Pooling</t>
  </si>
  <si>
    <t>https://catalogplus.tuwien.at/permalink/f/1m011kq/TN_cdi_springer_books_10_1007_978_981_99_8104_5_1</t>
  </si>
  <si>
    <t>Blockchain and Trustworthy Systems, 2023, Vol.1897, p.3-16</t>
  </si>
  <si>
    <t>A Vulnerability Detection Method for Smart Contract Using Opcode Sequences with Variable Length</t>
  </si>
  <si>
    <t>https://catalogplus.tuwien.at/permalink/f/1m011kq/TN_cdi_springer_books_10_1007_978_981_97_5603_2_30</t>
  </si>
  <si>
    <t>Advanced Intelligent Computing Technology and Applications, 2024, p.369-380</t>
  </si>
  <si>
    <t>Revolutionizing Security in Land Management System with Integration of Efficient Consensus and Smart Contract Enabled Blockchain in Land Registry Procedure</t>
  </si>
  <si>
    <t>https://catalogplus.tuwien.at/permalink/f/1m011kq/TN_cdi_proquest_journals_3155894759</t>
  </si>
  <si>
    <t>SN computer science, 2025-01, Vol.6 (1), p.76, Article 76</t>
  </si>
  <si>
    <t>IntelliCon: Confidence-Based Approach for Fine-Grained Vulnerability Analysis in Smart Contracts</t>
  </si>
  <si>
    <t>https://catalogplus.tuwien.at/permalink/f/1m011kq/TN_cdi_springer_books_10_1007_978_981_99_8101_4_4</t>
  </si>
  <si>
    <t>Blockchain and Trustworthy Systems, 2023, Vol.1896, p.45-59</t>
  </si>
  <si>
    <t>An API Security Framework for IoT-Enabled Healthcare System with the Application Blockchain-Based Smart Contract</t>
  </si>
  <si>
    <t>https://catalogplus.tuwien.at/permalink/f/1m011kq/TN_cdi_proquest_journals_3127436519</t>
  </si>
  <si>
    <t>SN computer science, 2024-11, Vol.5 (8), p.1044, Article 1044</t>
  </si>
  <si>
    <t>Efficient Vulnerability Detection for Smart Contracts Using Gated Graph Neural Network</t>
  </si>
  <si>
    <t>https://catalogplus.tuwien.at/permalink/f/1m011kq/TN_cdi_springer_books_10_1007_978_981_97_5101_3_3</t>
  </si>
  <si>
    <t>Information Security and Privacy, 2024, p.44-63</t>
  </si>
  <si>
    <t>Modeling and Verification of Solidity Smart Contracts with the B Method</t>
  </si>
  <si>
    <t>https://catalogplus.tuwien.at/permalink/f/1m011kq/TN_cdi_springer_books_10_1007_978_3_031_66456_4_9</t>
  </si>
  <si>
    <t>Engineering of Complex Computer Systems, 2025, p.159-178</t>
  </si>
  <si>
    <t>Research Trends in Smart Contracts in Blockchain 3.0 Phase</t>
  </si>
  <si>
    <t>https://catalogplus.tuwien.at/permalink/f/1m011kq/TN_cdi_springer_books_10_1007_978_3_031_51674_0_6</t>
  </si>
  <si>
    <t>Services Computing – SCC 2023, 2024, p.79-92</t>
  </si>
  <si>
    <t>Extracting Formal Smart-Contract Specifications from Natural Language with LLMs</t>
  </si>
  <si>
    <t>https://catalogplus.tuwien.at/permalink/f/1m011kq/TN_cdi_springer_books_10_1007_978_3_031_71261_6_7</t>
  </si>
  <si>
    <t>Formal Aspects of Component Software, 2024, Vol.15189, p.109-126</t>
  </si>
  <si>
    <t>Transaction-Based Blockchain Systems Security Improvement Employing Micro-Segmentation Controlled by Smart Contracts and Detection of Saddle Goatfish</t>
  </si>
  <si>
    <t>https://catalogplus.tuwien.at/permalink/f/1m011kq/TN_cdi_proquest_journals_3110134408</t>
  </si>
  <si>
    <t>SN computer science, 2024-10, Vol.5 (7), p.898, Article 898</t>
  </si>
  <si>
    <t>Using Game Theory to Secure Smart Contracts in Blockchain</t>
  </si>
  <si>
    <t>https://catalogplus.tuwien.at/permalink/f/1m011kq/TN_cdi_springer_books_10_1007_978_3_031_71115_2_4</t>
  </si>
  <si>
    <t>Computer Information Systems and Industrial Management, 2024, Vol.14902, p.47-59</t>
  </si>
  <si>
    <t>Evaluating the Vulnerability Detection Efficacy of Smart Contracts Analysis Tools</t>
  </si>
  <si>
    <t>https://catalogplus.tuwien.at/permalink/f/1m011kq/TN_cdi_springer_books_10_1007_978_3_031_68606_1_13</t>
  </si>
  <si>
    <t>Computer Safety, Reliability, and Security, 2024, Vol.14988, p.200-217</t>
  </si>
  <si>
    <t>Total Power Factor Smart Contract with Cyber Grid Guard Using Distributed Ledger Technology for Electrical Utility Grid with Customer-Owned Wind Farm</t>
  </si>
  <si>
    <t>https://catalogplus.tuwien.at/permalink/f/1m011kq/TN_cdi_osti_scitechconnect_2474752</t>
  </si>
  <si>
    <t>Electronics (Basel), 2024-10, Vol.13 (20), p.4055</t>
  </si>
  <si>
    <t>Multi-label Detection Method for Smart Contract Vulnerabilities Based on Expert Knowledge and Pre-training Technology</t>
  </si>
  <si>
    <t>https://catalogplus.tuwien.at/permalink/f/1m011kq/TN_cdi_springer_books_10_1007_978_981_97_0808_6_17</t>
  </si>
  <si>
    <t>Algorithms and Architectures for Parallel Processing, 2024, Vol.14491, p.299-312</t>
  </si>
  <si>
    <t>https://catalogplus.tuwien.at/permalink/f/1m011kq/TN_cdi_doaj_primary_oai_doaj_org_article_8b43a444d15c41f79be1d748000ba1d2</t>
  </si>
  <si>
    <t>IET generation, transmission &amp; distribution, 2024-02, Vol.18 (3), p.625-638</t>
  </si>
  <si>
    <t>Smart Contract Generation Supporting Multi-instance for Inter-Organizational Process Collaboration</t>
  </si>
  <si>
    <t>https://catalogplus.tuwien.at/permalink/f/1m011kq/TN_cdi_springer_books_10_1007_978_981_99_9640_7_29</t>
  </si>
  <si>
    <t>Computer Supported Cooperative Work and Social Computing, 2024, Vol.2013, p.390-405</t>
  </si>
  <si>
    <t>The Best of Both Worlds: Integrating Semantic Features with Expert Features for Smart Contract Vulnerability Detection</t>
  </si>
  <si>
    <t>https://catalogplus.tuwien.at/permalink/f/1m011kq/TN_cdi_springer_books_10_1007_978_981_99_8104_5_2</t>
  </si>
  <si>
    <t>Blockchain and Trustworthy Systems, 2023, Vol.1897, p.17-31</t>
  </si>
  <si>
    <t>Blockchain-Enabled IoV Framework for Establishing Automated Communication Using Smart Contract</t>
  </si>
  <si>
    <t>https://catalogplus.tuwien.at/permalink/f/1m011kq/TN_cdi_springer_books_10_1007_978_3_031_48879_5_8</t>
  </si>
  <si>
    <t>Computational Intelligence in Communications and Business Analytics, 2023, Vol.1956, p.88-101</t>
  </si>
  <si>
    <t>Enhancing Smart Contract Security Through Multi-Agent Deep Reinforcement Learning Fuzzing: A Survey of Approaches and Techniques</t>
  </si>
  <si>
    <t>https://catalogplus.tuwien.at/permalink/f/1m011kq/TN_cdi_proquest_journals_3072003354</t>
  </si>
  <si>
    <t>International journal of advanced computer science &amp; applications, 2024, Vol.15 (5)</t>
  </si>
  <si>
    <t>Who Needs the Most Research Effort? Investigating the Importance of Smart Contract Weaknesses</t>
  </si>
  <si>
    <t>https://catalogplus.tuwien.at/permalink/f/1m011kq/TN_cdi_springer_books_10_1007_978_981_99_8101_4_14</t>
  </si>
  <si>
    <t>Blockchain and Trustworthy Systems, 2023, Vol.1896, p.197-210</t>
  </si>
  <si>
    <t>The “dark side” of smart contracts: A contract theory perspective</t>
  </si>
  <si>
    <t>https://catalogplus.tuwien.at/permalink/f/1m011kq/TN_cdi_proquest_journals_3129925307</t>
  </si>
  <si>
    <t>European management review, 2024-09, Vol.21 (3), p.516-519</t>
  </si>
  <si>
    <t>BKRSC-IoT: Blockchain-Based Key Revocation Using Smart Contracts for IoT Networks</t>
  </si>
  <si>
    <t>https://catalogplus.tuwien.at/permalink/f/1m011kq/TN_cdi_springer_books_10_1007_978_3_031_51643_6_24</t>
  </si>
  <si>
    <t>Management of Digital EcoSystems, 2024, Vol.2022, p.331-344</t>
  </si>
  <si>
    <t>Towards a B-Method Framework for Smart Contract Verification: The Case of ACTUS Financial Contracts</t>
  </si>
  <si>
    <t>https://catalogplus.tuwien.at/permalink/f/1m011kq/TN_cdi_springer_books_10_1007_978_3_031_61231_2_3</t>
  </si>
  <si>
    <t>Risks and Security of Internet and Systems, 2024, p.25-32</t>
  </si>
  <si>
    <t>Smart contracts and security basics</t>
  </si>
  <si>
    <t>https://catalogplus.tuwien.at/permalink/f/1m011kq/TN_cdi_spie_proceedings_10_1117_12_3025032</t>
  </si>
  <si>
    <t>Blockchain-Based Smart Contract Model for Securing Healthcare Transactions by Using Consumer Electronics and Mobile-Edge Computing</t>
  </si>
  <si>
    <t>https://catalogplus.tuwien.at/permalink/f/1m011kq/TN_cdi_crossref_primary_10_1109_TCE_2024_3357115</t>
  </si>
  <si>
    <t>IEEE transactions on consumer electronics, 2024-02, Vol.70 (1), p.4026-4036</t>
  </si>
  <si>
    <t>https://catalogplus.tuwien.at/permalink/f/1m011kq/TN_cdi_crossref_primary_10_1016_j_bcra_2024_100253</t>
  </si>
  <si>
    <t>Blockchain: Research and Applications, 2024-12, p.100253, Article 100253</t>
  </si>
  <si>
    <t>Smart Contract-Based Decentralized Data Sharing and Content Delivery for Intelligent Connected Vehicles in Edge Computing</t>
  </si>
  <si>
    <t>https://catalogplus.tuwien.at/permalink/f/1m011kq/TN_cdi_ieee_primary_10508747</t>
  </si>
  <si>
    <t>IEEE transactions on intelligent transportation systems, 2024-10, Vol.25 (10), p.14535-14545</t>
  </si>
  <si>
    <t>Ethereum smart contract security: Design, risks and protection approaches</t>
  </si>
  <si>
    <t>https://catalogplus.tuwien.at/permalink/f/1m011kq/TN_cdi_proquest_journals_2923126092</t>
  </si>
  <si>
    <t>AIP conference proceedings, 2024, Vol.2729 (1)</t>
  </si>
  <si>
    <t>IOTASDN: IOTA 2.0 Smart Contracts for Securing Software-Defined Networking Ecosystem</t>
  </si>
  <si>
    <t>https://catalogplus.tuwien.at/permalink/f/1m011kq/TN_cdi_doaj_primary_oai_doaj_org_article_6eaaf900b5ba484d9a236582e2645e56</t>
  </si>
  <si>
    <t>Sensors (Basel, Switzerland), 2024-09, Vol.24 (17), p.5716</t>
  </si>
  <si>
    <t>Taxonomic insights into ethereum smart contracts by linking application categories to security vulnerabilities</t>
  </si>
  <si>
    <t>https://catalogplus.tuwien.at/permalink/f/1m011kq/TN_cdi_doaj_primary_oai_doaj_org_article_c9a09d0071a24acaa979d94a0f9ae698</t>
  </si>
  <si>
    <t>Scientific reports, 2024-10, Vol.14 (1), p.23433-20, Article 23433</t>
  </si>
  <si>
    <t>https://catalogplus.tuwien.at/permalink/f/1m011kq/TN_cdi_acm_books_10_1145_3664476_3664507</t>
  </si>
  <si>
    <t>Proceedings of the 19th International Conference on Availability, Reliability and Security, 2024, p.1-13</t>
  </si>
  <si>
    <t>https://catalogplus.tuwien.at/permalink/f/1m011kq/TN_cdi_acm_books_10_1145_3634737_3661142</t>
  </si>
  <si>
    <t>Proceedings of the 19th ACM Asia Conference on Computer and Communications Security, 2024, p.336-352</t>
  </si>
  <si>
    <t>SmartLLMSentry: A Comprehensive LLM Based Smart Contract Vulnerability Detection Framework</t>
  </si>
  <si>
    <t>https://catalogplus.tuwien.at/permalink/f/1m011kq/TN_cdi_doaj_primary_oai_doaj_org_article_46b4622ec9f04b0782931b4f31deb4f0</t>
  </si>
  <si>
    <t>Journal of Metaverse, 2024-12, Vol.4 (2), p.126-137</t>
  </si>
  <si>
    <t>https://catalogplus.tuwien.at/permalink/f/1m011kq/TN_cdi_acm_books_10_1145_3663533_3664039</t>
  </si>
  <si>
    <t>Proceedings of the 20th International Conference on Predictive Models and Data Analytics in Software Engineering, 2024, p.32-41</t>
  </si>
  <si>
    <t>Malicious Data Traceability and Throughput Optimization Using Blockchain (IOTA Smart Contracts) for Next Generation Internet of Vehicles</t>
  </si>
  <si>
    <t>https://catalogplus.tuwien.at/permalink/f/1m011kq/TN_cdi_crossref_primary_10_1109_TVT_2024_3432807</t>
  </si>
  <si>
    <t>IEEE transactions on vehicular technology, 2024-12, Vol.73 (12), p.18102-18119</t>
  </si>
  <si>
    <t>https://catalogplus.tuwien.at/permalink/f/1m011kq/TN_cdi_crossref_primary_10_1145_3643895</t>
  </si>
  <si>
    <t>Distributed Ledger Technologies: Research and Practice, 2024-09, Vol.3 (3), p.1-28, Article 23</t>
  </si>
  <si>
    <t>EDSCVD: Enhanced Dual-Channel Smart Contract Vulnerability Detection Method</t>
  </si>
  <si>
    <t>https://catalogplus.tuwien.at/permalink/f/1m011kq/TN_cdi_proquest_journals_3120737503</t>
  </si>
  <si>
    <t>Symmetry (Basel), 2024-10, Vol.16 (10), p.1381</t>
  </si>
  <si>
    <t>Detecting Rug-Pull: Analyzing Smart Contract Backdoor Codes in Ethereum</t>
  </si>
  <si>
    <t>https://catalogplus.tuwien.at/permalink/f/1m011kq/TN_cdi_doaj_primary_oai_doaj_org_article_be1d18b3585a43ab8c06173818c135c4</t>
  </si>
  <si>
    <t>Applied sciences, 2025-01, Vol.15 (1), p.450</t>
  </si>
  <si>
    <t>Smart contract vulnerability detection based on adaptive genetic algorithm</t>
  </si>
  <si>
    <t>https://catalogplus.tuwien.at/permalink/f/1m011kq/TN_cdi_spie_proceedings_10_1117_12_3036907</t>
  </si>
  <si>
    <t>https://catalogplus.tuwien.at/permalink/f/1m011kq/TN_cdi_crossref_primary_10_1016_j_compeleceng_2024_109682</t>
  </si>
  <si>
    <t>Computers &amp; electrical engineering, 2024-12, Vol.120, p.109682, Article 109682</t>
  </si>
  <si>
    <t>Smart contract-based surveillance for ensuring ICT infrastructure security in online examination systems</t>
  </si>
  <si>
    <t>https://catalogplus.tuwien.at/permalink/f/1m011kq/TN_cdi_scitation_primary_10_1063_5_0250552</t>
  </si>
  <si>
    <t>AIP conference proceedings, 2025, Vol.3253 (1)</t>
  </si>
  <si>
    <t>https://catalogplus.tuwien.at/permalink/f/1m011kq/TN_cdi_ieee_primary_10454763</t>
  </si>
  <si>
    <t>2024 IEEE 21st Consumer Communications &amp; Networking Conference (CCNC), 2024, p.188-193</t>
  </si>
  <si>
    <t>Realtime polymorphic malicious behavior detection in blockchain-based smart contracts</t>
  </si>
  <si>
    <t>https://catalogplus.tuwien.at/permalink/f/1m011kq/TN_cdi_crossref_primary_10_1093_jigpal_jzae016</t>
  </si>
  <si>
    <t>Logic journal of the IGPL, 2024-03, Vol.32 (2), p.210-223</t>
  </si>
  <si>
    <t>https://catalogplus.tuwien.at/permalink/f/1m011kq/TN_cdi_ieee_primary_10538581</t>
  </si>
  <si>
    <t>2023 IEEE 22nd International Conference on Trust, Security and Privacy in Computing and Communications (TrustCom), 2023, p.284-291</t>
  </si>
  <si>
    <t>https://catalogplus.tuwien.at/permalink/f/1m011kq/TN_cdi_doaj_primary_oai_doaj_org_article_c23a80bf2c17465c8ae9cd9db4a73327</t>
  </si>
  <si>
    <t>Engineering science and technology, an international journal, 2024-12, Vol.60, p.101913, Article 101913</t>
  </si>
  <si>
    <t>Deep Learning-based Vulnerability Detection Solutions in Smart Contracts: A Comparative and Meta-Analysis of Existing Approaches</t>
  </si>
  <si>
    <t>https://catalogplus.tuwien.at/permalink/f/1m011kq/TN_cdi_crossref_primary_10_1109_ACCESS_2025_3532326</t>
  </si>
  <si>
    <t>https://catalogplus.tuwien.at/permalink/f/1m011kq/TN_cdi_acm_books_10_1145_3677525_3678692</t>
  </si>
  <si>
    <t>Proceedings of the 2024 International Conference on Information Technology for Social Good, 2024, p.420-428</t>
  </si>
  <si>
    <t>Attributes based access control mechanism using smart contracts against denial of service attacks in SDN</t>
  </si>
  <si>
    <t>https://catalogplus.tuwien.at/permalink/f/1m011kq/TN_cdi_proquest_journals_3094531562</t>
  </si>
  <si>
    <t>AIP conference proceedings, 2024, Vol.3149 (1)</t>
  </si>
  <si>
    <t>ACS-IoT: Smart Contract and Blockchain Assisted Framework for Access Control Systems in IoT Enterprise Environment</t>
  </si>
  <si>
    <t>https://catalogplus.tuwien.at/permalink/f/1m011kq/TN_cdi_proquest_journals_3075962367</t>
  </si>
  <si>
    <t>Wireless personal communications, 2024-06, Vol.136 (3), p.1331-1352</t>
  </si>
  <si>
    <t>https://catalogplus.tuwien.at/permalink/f/1m011kq/TN_cdi_ieee_primary_10556443</t>
  </si>
  <si>
    <t>2024 IEEE/ACM 32nd International Conference on Program Comprehension (ICPC), 2024, p.333-345</t>
  </si>
  <si>
    <t>https://catalogplus.tuwien.at/permalink/f/1m011kq/TN_cdi_acm_books_10_1145_3643916_3644406</t>
  </si>
  <si>
    <t>2024 IEEE/ACM 32nd International Conference on Program Comprehension (ICPC), 2024, p.258-269</t>
  </si>
  <si>
    <t>https://catalogplus.tuwien.at/permalink/f/1m011kq/TN_cdi_acm_books_10_1145_3605098_3636040</t>
  </si>
  <si>
    <t>Proceedings of the 39th ACM/SIGAPP Symposium on Applied Computing, 2024, p.1425-1432</t>
  </si>
  <si>
    <t>Detecting DeFi securities violations from token smart contract code</t>
  </si>
  <si>
    <t>https://catalogplus.tuwien.at/permalink/f/1m011kq/TN_cdi_doaj_primary_oai_doaj_org_article_e0e0c1d5e01442ae99b0e6843f7cd1a8</t>
  </si>
  <si>
    <t>Financial innovation (Heidelberg), 2024-02, Vol.10 (1), p.78-35, Article 78</t>
  </si>
  <si>
    <t>The effect of smart contracts (blockchain technology) on Jordan’s land registry and survey department for sustainable development</t>
  </si>
  <si>
    <t>https://catalogplus.tuwien.at/permalink/f/1m011kq/TN_cdi_doaj_primary_oai_doaj_org_article_bbc3429e2b804d81a9f07101fe2f1876</t>
  </si>
  <si>
    <t>Discover sustainability, 2025-02, Vol.6 (1), p.69-20, Article 69</t>
  </si>
  <si>
    <t>https://catalogplus.tuwien.at/permalink/f/1m011kq/TN_cdi_doaj_primary_oai_doaj_org_article_198a64797e35485c8749c677e531cd83</t>
  </si>
  <si>
    <t>Alexandria engineering journal, 2025-04, Vol.118, p.315-324</t>
  </si>
  <si>
    <t>Security Analysis of Smart Contract Migration from Ethereum to Arbitrum</t>
  </si>
  <si>
    <t>https://catalogplus.tuwien.at/permalink/f/1m011kq/TN_cdi_proquest_journals_3149521046</t>
  </si>
  <si>
    <t>Blockchains, 2024-10, Vol.2 (4), p.424-444</t>
  </si>
  <si>
    <t>https://catalogplus.tuwien.at/permalink/f/1m011kq/TN_cdi_ieee_primary_10700860</t>
  </si>
  <si>
    <t>IEEE transactions on network science and engineering, 2024-11, Vol.11 (6), p.6382-6395</t>
  </si>
  <si>
    <t>https://catalogplus.tuwien.at/permalink/f/1m011kq/TN_cdi_ieee_primary_10795093</t>
  </si>
  <si>
    <t>Proceedings - Conference on Software Maintenance (1987), 2024, p.13-24</t>
  </si>
  <si>
    <t>ParaEthereum: Private and Parallel Smart Contracts with Trusted Hardware</t>
  </si>
  <si>
    <t>https://catalogplus.tuwien.at/permalink/f/1m011kq/TN_cdi_ieee_primary_10623044</t>
  </si>
  <si>
    <t>ICC 2024 - IEEE International Conference on Communications, 2024, p.2028-2033</t>
  </si>
  <si>
    <t>Smart Contract-Based Access Control Scheme for Blockchain Assisted 6G-Enabled IoT-Based Big Data Driven Healthcare Cyber Physical Systems</t>
  </si>
  <si>
    <t>https://catalogplus.tuwien.at/permalink/f/1m011kq/TN_cdi_proquest_journals_3151264753</t>
  </si>
  <si>
    <t>IEEE transactions on consumer electronics, 2024-11, Vol.70 (4), p.6975-6986</t>
  </si>
  <si>
    <t>https://catalogplus.tuwien.at/permalink/f/1m011kq/TN_cdi_crossref_primary_10_1145_3703462</t>
  </si>
  <si>
    <t>Distributed ledger technologies (Online), 2024-11</t>
  </si>
  <si>
    <t>https://catalogplus.tuwien.at/permalink/f/1m011kq/TN_cdi_crossref_primary_10_1016_j_compeleceng_2025_110096</t>
  </si>
  <si>
    <t>Computers &amp; electrical engineering, 2025-04, Vol.123, p.110096, Article 110096</t>
  </si>
  <si>
    <t>A Dynamic Behavior Verification Method for Composite Smart Contracts Based on Model Checking</t>
  </si>
  <si>
    <t>https://catalogplus.tuwien.at/permalink/f/1m011kq/TN_cdi_doaj_primary_oai_doaj_org_article_b76c5f044f184c2c8abc9ee9e07f9af4</t>
  </si>
  <si>
    <t>Mathematics (Basel), 2024-08, Vol.12 (15), p.2431</t>
  </si>
  <si>
    <t>Automatic construction and verification algorithm for smart contracts based on formal verification</t>
  </si>
  <si>
    <t>https://catalogplus.tuwien.at/permalink/f/1m011kq/TN_cdi_proquest_journals_3123905929</t>
  </si>
  <si>
    <t>AIP advances, 2024-11, Vol.14 (11), p.115304-115304-9</t>
  </si>
  <si>
    <t>Criteria for Implementing Smart Contract Technology for Hr Practitioners</t>
  </si>
  <si>
    <t>https://catalogplus.tuwien.at/permalink/f/1m011kq/TN_cdi_proquest_journals_3104146370</t>
  </si>
  <si>
    <t>The Journal of developing areas, 2024, Vol.58 (1), p.269-278</t>
  </si>
  <si>
    <t>https://catalogplus.tuwien.at/permalink/f/1m011kq/TN_cdi_acm_books_10_1145_3605098_3636003_brief</t>
  </si>
  <si>
    <t>Proceedings of the 39th ACM/SIGAPP Symposium on Applied Computing, 2024, p.1517-1524</t>
  </si>
  <si>
    <t>IEEE transactions on engineering management, 2024, Vol.71, p.12418-12432</t>
  </si>
  <si>
    <t>https://catalogplus.tuwien.at/permalink/f/1m011kq/TN_cdi_acm_books_10_1145_3634737_3659435_brief</t>
  </si>
  <si>
    <t>Proceedings of the 19th ACM Asia Conference on Computer and Communications Security, 2024, p.1955-1957</t>
  </si>
  <si>
    <t>A secure transaction and smart contract architecture for internet of vehicles</t>
  </si>
  <si>
    <t>https://catalogplus.tuwien.at/permalink/f/1m011kq/TN_cdi_pubmedcentral_primary_oai_pubmedcentral_nih_gov_11590135</t>
  </si>
  <si>
    <t>Science progress (1916), 2024-10, Vol.107 (4), p.368504241296039</t>
  </si>
  <si>
    <t>Studying Potentials and Barriers of Successful Implementation of Smart Contracts in Saudi Arabia’s Construction Industry</t>
  </si>
  <si>
    <t>https://catalogplus.tuwien.at/permalink/f/1m011kq/TN_cdi_doaj_primary_oai_doaj_org_article_27baf1d96f8b4a51b177ec25ba21ab99</t>
  </si>
  <si>
    <t>Advances in civil engineering, 2024-01, Vol.2024 (1)</t>
  </si>
  <si>
    <t>https://catalogplus.tuwien.at/permalink/f/1m011kq/TN_cdi_proquest_journals_3094516749</t>
  </si>
  <si>
    <t>IEEE transactions on network science and engineering, 2024-09, Vol.11 (5), p.4007-4019</t>
  </si>
  <si>
    <t>Smart contract fuzzy testing vulnerability detection method based on MDP and simulated annealing</t>
  </si>
  <si>
    <t>https://catalogplus.tuwien.at/permalink/f/1m011kq/TN_cdi_spie_proceedings_10_1117_12_3033128</t>
  </si>
  <si>
    <t>Zero-Knowledge Proofs for Questionnaire Result Verification in Smart Contracts</t>
  </si>
  <si>
    <t>https://catalogplus.tuwien.at/permalink/f/1m011kq/TN_cdi_ieee_primary_10508637</t>
  </si>
  <si>
    <t>2023 Mexican International Conference on Computer Science (ENC), 2023, p.1-5</t>
  </si>
  <si>
    <t>https://catalogplus.tuwien.at/permalink/f/1m011kq/TN_cdi_doaj_primary_oai_doaj_org_article_e3c174e4188a4410a54028135aa6e5c6</t>
  </si>
  <si>
    <t>Alexandria engineering journal, 2024-10, Vol.105, p.598-612</t>
  </si>
  <si>
    <t>Smart contract vulnerability detection based on BERT-based multilayer feature fusion</t>
  </si>
  <si>
    <t>https://catalogplus.tuwien.at/permalink/f/1m011kq/TN_cdi_spie_proceedings_10_1117_12_3035052</t>
  </si>
  <si>
    <t>Meta-Governance: Blockchain-Driven Metaverse Platform for Mitigating Misbehavior Using Smart Contract and AI</t>
  </si>
  <si>
    <t>https://catalogplus.tuwien.at/permalink/f/1m011kq/TN_cdi_ieee_primary_10571927</t>
  </si>
  <si>
    <t>IEEE eTransactions on network and service management, 2024-08, Vol.21 (4), p.4024-4038</t>
  </si>
  <si>
    <t>Machine learning approaches for enhancing smart contracts security: A systematic literature review</t>
  </si>
  <si>
    <t>https://catalogplus.tuwien.at/permalink/f/1m011kq/TN_cdi_doaj_primary_oai_doaj_org_article_83c22c649da5415cb5b128c576cb29f0</t>
  </si>
  <si>
    <t>International journal of data and network science (Print), 2024-01, Vol.8 (3), p.1349-1368</t>
  </si>
  <si>
    <t>SybilPSIoT: Preventing Sybil attacks in signed social internet of things based on web of trust and smart contract</t>
  </si>
  <si>
    <t>https://catalogplus.tuwien.at/permalink/f/1m011kq/TN_cdi_doaj_primary_oai_doaj_org_article_a737c665847a4252b815e70609fb4c42</t>
  </si>
  <si>
    <t>IET communications, 2024-02, Vol.18 (3), p.258-269</t>
  </si>
  <si>
    <t>Vulnerabilities in Smart Contracts of Decentralized Blockchain</t>
  </si>
  <si>
    <t>https://catalogplus.tuwien.at/permalink/f/1m011kq/TN_cdi_springer_books_10_1007_978_981_99_9811_1_44</t>
  </si>
  <si>
    <t>Cyber Security and Digital Forensics, 2024, Vol.896, p.551-566</t>
  </si>
  <si>
    <t>Smart Contracts Vulnerability Detection Using Transformers</t>
  </si>
  <si>
    <t>https://catalogplus.tuwien.at/permalink/f/1m011kq/TN_cdi_springer_books_10_1007_978_981_96_0576_7_12</t>
  </si>
  <si>
    <t>Web Information Systems Engineering - WISE 2024, 2024, Vol.15440, p.151-165</t>
  </si>
  <si>
    <t>The Legal Effect and Application of Smart Contracts under the Administrative Law System</t>
  </si>
  <si>
    <t>https://catalogplus.tuwien.at/permalink/f/1m011kq/TN_cdi_doaj_primary_oai_doaj_org_article_c3b47ea143724da3a6d8e38d7a5006b0</t>
  </si>
  <si>
    <t>Applied mathematics and nonlinear sciences, 2024-01, Vol.9 (1)</t>
  </si>
  <si>
    <t>Smart Contract Vulnerability Auditor Using GNN</t>
  </si>
  <si>
    <t>https://catalogplus.tuwien.at/permalink/f/1m011kq/TN_cdi_springer_books_10_1007_978_981_97_6588_1_32</t>
  </si>
  <si>
    <t>Computing and Machine Learning, 2024, Vol.1108, p.429-440</t>
  </si>
  <si>
    <t>Secure Smart Contracts with Isabelle/Solidity</t>
  </si>
  <si>
    <t>https://catalogplus.tuwien.at/permalink/f/1m011kq/TN_cdi_springer_books_10_1007_978_3_031_77382_2_10</t>
  </si>
  <si>
    <t>Software Engineering and Formal Methods, 2025, p.162-181</t>
  </si>
  <si>
    <t>A machine learning sentiment classification of factors that shape trust in smart contracts</t>
  </si>
  <si>
    <t>https://catalogplus.tuwien.at/permalink/f/1m011kq/TN_cdi_doaj_primary_oai_doaj_org_article_734dd972622a42d98512ac657657238c</t>
  </si>
  <si>
    <t>Journal of Nigerian Society of Physical Sciences, 2025-02, Vol.7 (1), p.2177</t>
  </si>
  <si>
    <t>https://catalogplus.tuwien.at/permalink/f/1m011kq/TN_cdi_acm_books_10_1145_3654522_3654577_brief</t>
  </si>
  <si>
    <t>Proceedings of the 2024 9th International Conference on Intelligent Information Technology, 2024, p.223-230</t>
  </si>
  <si>
    <t>A Decentralized Energy Management System Inculcating Supply–Demand Ratio (SDR) and Miners’ Stake Through Blockchain Smart Contract for Community Microgrid Operation</t>
  </si>
  <si>
    <t>https://catalogplus.tuwien.at/permalink/f/1m011kq/TN_cdi_proquest_journals_3040055615</t>
  </si>
  <si>
    <t>IEEE journal of emerging and selected topics in industrial electronics (Print), 2024-04, Vol.5 (2), p.369-380</t>
  </si>
  <si>
    <t>https://catalogplus.tuwien.at/permalink/f/1m011kq/TN_cdi_doaj_primary_oai_doaj_org_article_a0e9f322c34e4ca0a5ae34f88f443c5a</t>
  </si>
  <si>
    <t>Smart agricultural technology, 2024-12, Vol.9, p.100651, Article 100651</t>
  </si>
  <si>
    <t>https://catalogplus.tuwien.at/permalink/f/1m011kq/TN_cdi_crossref_primary_10_1109_TNSE_2024_3447025</t>
  </si>
  <si>
    <t>IEEE transactions on network science and engineering, 2024-11, Vol.11 (6), p.5790-5802</t>
  </si>
  <si>
    <t>Smart Contract Vulnerability Detection Based on Code Graph Embedding Approach</t>
  </si>
  <si>
    <t>https://catalogplus.tuwien.at/permalink/f/1m011kq/TN_cdi_proquest_ebookcentralchapters_31862055_350_327</t>
  </si>
  <si>
    <t>Frontiers in Cyber Security, 2025, Vol.2315</t>
  </si>
  <si>
    <t>https://catalogplus.tuwien.at/permalink/f/1m011kq/TN_cdi_crossref_primary_10_1145_3686167</t>
  </si>
  <si>
    <t>Distributed ledger technologies (Online), 2024-12, Vol.3 (4), p.1-24, Article 28</t>
  </si>
  <si>
    <t>Two-Stage Smart Contract Vulnerability Detection Combining Semantic Features and Graph Features</t>
  </si>
  <si>
    <t>https://catalogplus.tuwien.at/permalink/f/1m011kq/TN_cdi_ieee_primary_10538921</t>
  </si>
  <si>
    <t>2023 IEEE 22nd International Conference on Trust, Security and Privacy in Computing and Communications (TrustCom), 2023, p.257-264</t>
  </si>
  <si>
    <t>Integrated Dairy Production and Cattle Healthcare Management Using Blockchain NFTs and Smart Contracts</t>
  </si>
  <si>
    <t>https://catalogplus.tuwien.at/permalink/f/1m011kq/TN_cdi_doaj_primary_oai_doaj_org_article_d82fe2ace75e447da87cc38c13e1510d</t>
  </si>
  <si>
    <t>Systems (Basel), 2025-01, Vol.13 (1), p.65</t>
  </si>
  <si>
    <t>Smarter and resilient smart contracts applications for smart cities environment using blockchain technology</t>
  </si>
  <si>
    <t>https://catalogplus.tuwien.at/permalink/f/1m011kq/TN_cdi_doaj_primary_oai_doaj_org_article_c624d13f68e04c0b9e1ed97a4a37d216</t>
  </si>
  <si>
    <t>Automatika, 2024-04, Vol.65 (2), p.572-583</t>
  </si>
  <si>
    <t>Trustworthy Reputation for Federated Learning in O-RAN Using Blockchain and Smart Contracts</t>
  </si>
  <si>
    <t>https://catalogplus.tuwien.at/permalink/f/1m011kq/TN_cdi_ieee_primary_10879031</t>
  </si>
  <si>
    <t>IEEE open journal of the Communications Society, 2025-02, p.1-1</t>
  </si>
  <si>
    <t>Heterogeneous Data Fusion Based Vulnerability Detection for Ethereum Smart Contracts</t>
  </si>
  <si>
    <t>https://catalogplus.tuwien.at/permalink/f/1m011kq/TN_cdi_proquest_ebookcentralchapters_31750331_374_306</t>
  </si>
  <si>
    <t>Blockchain and Web3. 0 Technology Innovation and Application, 2024, Vol.2277</t>
  </si>
  <si>
    <t>AtomCI: A New System for the Atomic Cross-Chain Smart Contract Invocation Spanning Heterogeneous Blockchains</t>
  </si>
  <si>
    <t>https://catalogplus.tuwien.at/permalink/f/1m011kq/TN_cdi_crossref_primary_10_1109_TNSE_2023_3349192</t>
  </si>
  <si>
    <t>IEEE transactions on network science and engineering, 2024-05, Vol.11 (3), p.2782-2796</t>
  </si>
  <si>
    <t>https://catalogplus.tuwien.at/permalink/f/1m011kq/TN_cdi_crossref_primary_10_1145_3653679</t>
  </si>
  <si>
    <t>Distributed Ledger Technologies: Research and Practice, 2024-09, Vol.3 (3), p.1-17, Article 18</t>
  </si>
  <si>
    <t>https://catalogplus.tuwien.at/permalink/f/1m011kq/TN_cdi_acm_books_10_1145_3605098_3636187_brief</t>
  </si>
  <si>
    <t>Proceedings of the 39th ACM/SIGAPP Symposium on Applied Computing, 2024, p.300-304</t>
  </si>
  <si>
    <t>Smart Contract Kill Switch for Security in a Private Blockchain-based Software Transaction System</t>
  </si>
  <si>
    <t>https://catalogplus.tuwien.at/permalink/f/1m011kq/TN_cdi_ieee_primary_10810726</t>
  </si>
  <si>
    <t>IEEE International Workshop on Information Forensics and Security (Print), 2024, p.1-6</t>
  </si>
  <si>
    <t>ENHANCING HEALTHCARE IN PANGASINAN: SIMULATING BLOCKCHAIN’S SMART CONTRACT SECURITY FOR DIGITAL TRANSFORMATION</t>
  </si>
  <si>
    <t>https://catalogplus.tuwien.at/permalink/f/1m011kq/TN_cdi_doaj_primary_oai_doaj_org_article_1b3c2b1f41be40a6a33750e847312e52</t>
  </si>
  <si>
    <t>Proceedings on engineering sciences (Online), 2024-12, Vol.6 (4), p.1481-1488</t>
  </si>
  <si>
    <t>A Systematic Literature Review on Blockchain-based Smart Contracts: Platforms, Applications, and Challenges</t>
  </si>
  <si>
    <t>https://catalogplus.tuwien.at/permalink/f/1m011kq/TN_cdi_crossref_primary_10_1145_3704741</t>
  </si>
  <si>
    <t>Research on Smart Contract Verification and Generation Method Based on BPMN</t>
  </si>
  <si>
    <t>https://catalogplus.tuwien.at/permalink/f/1m011kq/TN_cdi_doaj_primary_oai_doaj_org_article_1f4ed51e0f444094a6d38108e5c34359</t>
  </si>
  <si>
    <t>Mathematics (Basel), 2024-07, Vol.12 (14), p.2158</t>
  </si>
  <si>
    <t>https://catalogplus.tuwien.at/permalink/f/1m011kq/TN_cdi_acm_books_10_1145_3677525_3678664</t>
  </si>
  <si>
    <t>Proceedings of the 2024 International Conference on Information Technology for Social Good, 2024, p.216-224</t>
  </si>
  <si>
    <t>https://catalogplus.tuwien.at/permalink/f/1m011kq/TN_cdi_crossref_primary_10_1145_3688812</t>
  </si>
  <si>
    <t>Distributed ledger technologies (Online), 2024-08</t>
  </si>
  <si>
    <t>https://catalogplus.tuwien.at/permalink/f/1m011kq/TN_cdi_doaj_primary_oai_doaj_org_article_093e19eceade45c28ea6ea8f9ee41cf3</t>
  </si>
  <si>
    <t>Heliyon, 2024-06, Vol.10 (11), p.e32091, Article e32091</t>
  </si>
  <si>
    <t>The Principle of Staking: Formal Verification of Staking Smart Contract</t>
  </si>
  <si>
    <t>https://catalogplus.tuwien.at/permalink/f/1m011kq/TN_cdi_springer_books_10_1007_978_981_96_0602_3_9</t>
  </si>
  <si>
    <t>Dependable Software Engineering. Theories, Tools, and Applications, 2024, Vol.15469, p.161-179</t>
  </si>
  <si>
    <t>https://catalogplus.tuwien.at/permalink/f/1m011kq/TN_cdi_ieee_primary_10577852</t>
  </si>
  <si>
    <t>2024 13th Mediterranean Conference on Embedded Computing (MECO), 2024, p.1-7</t>
  </si>
  <si>
    <t>Dynamic Credible Spectrum Sharing Based on Smart Contract in Vehicular Networks</t>
  </si>
  <si>
    <t>https://catalogplus.tuwien.at/permalink/f/1m011kq/TN_cdi_doaj_primary_oai_doaj_org_article_137161bd5852442ca547d55359ec53f3</t>
  </si>
  <si>
    <t>Mathematics (Basel), 2024-07, Vol.12 (13), p.1929</t>
  </si>
  <si>
    <t>https://catalogplus.tuwien.at/permalink/f/1m011kq/TN_cdi_ieee_primary_10619818</t>
  </si>
  <si>
    <t>2024 IFIP Networking Conference (IFIP Networking), 2024, p.708-713</t>
  </si>
  <si>
    <t>Cloud-Based Secure Blockchain Framework Utilizing Smart Contracts for Regulating Access to Confidential Electronic Medical Health Records</t>
  </si>
  <si>
    <t>https://catalogplus.tuwien.at/permalink/f/1m011kq/TN_cdi_proquest_journals_3108817517</t>
  </si>
  <si>
    <t>International journal of communication networks and information security, 2024-08, Vol.16 (2), p.117-128</t>
  </si>
  <si>
    <t>SCeFSTA: Smart Contract enabled Fair, Secure, and Transparent Auction for Healthcare Transportation</t>
  </si>
  <si>
    <t>https://catalogplus.tuwien.at/permalink/f/1m011kq/TN_cdi_ieee_primary_10553424</t>
  </si>
  <si>
    <t>2024 IEEE International Systems Conference (SysCon), 2024, p.1-8</t>
  </si>
  <si>
    <t>Smart Contract Vulnerabilities: Exploring the Technical and Economic Aspects</t>
  </si>
  <si>
    <t>https://catalogplus.tuwien.at/permalink/f/1m011kq/TN_cdi_springer_books_10_1007_978_3_031_49593_9_5</t>
  </si>
  <si>
    <t>Blockchain Transformations, 2024, p.81-91</t>
  </si>
  <si>
    <t>Adopting Artificial Intelligence to Strengthen Legal Safeguards in Blockchain Smart Contracts: A Strategy to Mitigate Fraud and Enhance Digital Transaction Security</t>
  </si>
  <si>
    <t>https://catalogplus.tuwien.at/permalink/f/1m011kq/TN_cdi_doaj_primary_oai_doaj_org_article_3dede05dab3145f2a59ea457a55178f4</t>
  </si>
  <si>
    <t>Journal of theoretical and applied electronic commerce research, 2024-09, Vol.19 (3), p.2139-2156</t>
  </si>
  <si>
    <t>A Policy Framework for Regulating External Calls in Smart Contracts</t>
  </si>
  <si>
    <t>https://catalogplus.tuwien.at/permalink/f/1m011kq/TN_cdi_springer_books_10_1007_978_3_031_77382_2_4</t>
  </si>
  <si>
    <t>Software Engineering and Formal Methods, 2025, p.52-69</t>
  </si>
  <si>
    <t>A Smart Contract-Based Algorithm for Offline UAV Task Collaboration: A New Solution for Managing Communication Interruptions</t>
  </si>
  <si>
    <t>https://catalogplus.tuwien.at/permalink/f/1m011kq/TN_cdi_doaj_primary_oai_doaj_org_article_99d1862f68794354aa590025db90953c</t>
  </si>
  <si>
    <t>Drones (Basel), 2024-12, Vol.8 (12), p.781</t>
  </si>
  <si>
    <t>Model Checking Concurrency in Smart Contracts with a Case Study of Safe Remote Purchase</t>
  </si>
  <si>
    <t>https://catalogplus.tuwien.at/permalink/f/1m011kq/TN_cdi_springer_books_10_1007_978_981_96_0617_7_22</t>
  </si>
  <si>
    <t>Formal Methods and Software Engineering, 2024, p.391-407</t>
  </si>
  <si>
    <t>Trusted Deployer: A Tool for Safe Creation and Upgrade of Ethereum Smart Contracts</t>
  </si>
  <si>
    <t>https://catalogplus.tuwien.at/permalink/f/1m011kq/TN_cdi_springer_books_10_1007_978_3_031_78116_2_12</t>
  </si>
  <si>
    <t>Formal Methods: Foundations and Applications, 2025, p.194-204</t>
  </si>
  <si>
    <t>Smart Contract-Based Blockchain Technique for Logistic Shipping Management System</t>
  </si>
  <si>
    <t>https://catalogplus.tuwien.at/permalink/f/1m011kq/TN_cdi_springer_books_10_1007_978_981_99_7137_4_21</t>
  </si>
  <si>
    <t>Proceedings of the 6th International Conference on Communications and Cyber Physical Engineering, 2024, Vol.1096, p.223-231</t>
  </si>
  <si>
    <t>Digitalizing Supply Chains: The Confluence of Blockchain, Smart Contracts, and IoT Technologies</t>
  </si>
  <si>
    <t>https://catalogplus.tuwien.at/permalink/f/1m011kq/TN_cdi_springer_books_10_1007_978_981_97_4228_8_44</t>
  </si>
  <si>
    <t>Innovative Computing and Communications, 2024, Vol.1043, p.683-695</t>
  </si>
  <si>
    <t>Cybersecurity Challenges of Blockchain and Smart Contracts Technologies in IIoT</t>
  </si>
  <si>
    <t>https://catalogplus.tuwien.at/permalink/f/1m011kq/TN_cdi_springer_books_10_1007_978_3_031_38165_2_85</t>
  </si>
  <si>
    <t>Flexible Automation and Intelligent Manufacturing: Establishing Bridges for More Sustainable Manufacturing Systems, 2023, p.729-740</t>
  </si>
  <si>
    <t>Enhancing Security in Wireless Communications Through Blockchain and Smart Contracts: A Comprehensive Study</t>
  </si>
  <si>
    <t>https://catalogplus.tuwien.at/permalink/f/1m011kq/TN_cdi_springer_books_10_1007_978_981_97_1326_4_3</t>
  </si>
  <si>
    <t>Smart Trends in Computing and Communications, 2024, Vol.947, p.25-36</t>
  </si>
  <si>
    <t>Building Secure and Decentralized EHR Systems with Blockchain and Smart Contracts</t>
  </si>
  <si>
    <t>https://catalogplus.tuwien.at/permalink/f/1m011kq/TN_cdi_springer_books_10_1007_978_981_97_1724_8_38</t>
  </si>
  <si>
    <t>Proceedings of International Conference on Recent Trends in Computing, 2024, Vol.954, p.435-449</t>
  </si>
  <si>
    <t>Improving the Resume Verification Process of Financial Professionals Using Blockchain Smart Contracts</t>
  </si>
  <si>
    <t>https://catalogplus.tuwien.at/permalink/f/1m011kq/TN_cdi_springer_books_10_1007_978_981_99_3043_2_38</t>
  </si>
  <si>
    <t>Proceedings of Eighth International Congress on Information and Communication Technology, 2023, Vol.695, p.493-501</t>
  </si>
  <si>
    <t>An Efficient Smart Contracts Event Ordering Vulnerability Detection System Based on Symbolic Execution and Fuzz Testing</t>
  </si>
  <si>
    <t>https://catalogplus.tuwien.at/permalink/f/1m011kq/TN_cdi_springer_books_10_1007_978_3_031_64766_6_28</t>
  </si>
  <si>
    <t>Innovative Mobile and Internet Services in Ubiquitous Computing, 2024, Vol.214, p.280-287</t>
  </si>
  <si>
    <t>https://catalogplus.tuwien.at/permalink/f/1m011kq/TN_cdi_springer_books_10_1007_978_981_99_9247_8_43</t>
  </si>
  <si>
    <t>Proceedings of the 13th International Conference on Computer Engineering and Networks, 2024, Vol.1127, p.436-446</t>
  </si>
  <si>
    <t>A Formal Verification Framework for Tezos Smart Contracts Based on Symbolic Execution</t>
  </si>
  <si>
    <t>https://catalogplus.tuwien.at/permalink/f/1m011kq/TN_cdi_springer_books_10_1007_978_981_97_8943_6_15</t>
  </si>
  <si>
    <t>Programming Languages and Systems, 2025, p.305-324</t>
  </si>
  <si>
    <t>Intelligent Blockchain: Use of Blockchain and Machine Learning Algorithm for Smart Contract and Smart Bidding</t>
  </si>
  <si>
    <t>https://catalogplus.tuwien.at/permalink/f/1m011kq/TN_cdi_springer_books_10_1007_978_981_99_3932_9_26</t>
  </si>
  <si>
    <t>Intelligent Systems, 2023, Vol.728, p.293-302</t>
  </si>
  <si>
    <t>https://catalogplus.tuwien.at/permalink/f/1m011kq/TN_cdi_acm_books_10_1145_3675888_3676070</t>
  </si>
  <si>
    <t>Proceedings of the 2024 Sixteenth International Conference on Contemporary Computing, 2024, p.349-356</t>
  </si>
  <si>
    <t>https://catalogplus.tuwien.at/permalink/f/1m011kq/TN_cdi_swepub_primary_oai_research_chalmers_se_55ddba07_51e0_4590_97d5_9f4e6b75d159</t>
  </si>
  <si>
    <t>IFAC-PapersOnLine, 2024, Vol.58 (1), p.282</t>
  </si>
  <si>
    <t>https://catalogplus.tuwien.at/permalink/f/1m011kq/TN_cdi_acm_books_10_1145_3689236_3689325</t>
  </si>
  <si>
    <t>Proceedings of the 2024 9th International Conference on Cyber Security and Information Engineering, 2024, p.426-433</t>
  </si>
  <si>
    <t>https://catalogplus.tuwien.at/permalink/f/1m011kq/TN_cdi_ieee_primary_10850061</t>
  </si>
  <si>
    <t>IEEE International Performance, Computing, and Communications Conference, 2024, p.1-10</t>
  </si>
  <si>
    <t>https://catalogplus.tuwien.at/permalink/f/1m011kq/TN_cdi_acm_books_10_1145_3658644_3691365</t>
  </si>
  <si>
    <t>Proceedings of the 2024 on ACM SIGSAC Conference on Computer and Communications Security, 2024, p.5072-5074</t>
  </si>
  <si>
    <t>https://catalogplus.tuwien.at/permalink/f/1m011kq/TN_cdi_acm_books_10_1145_3589334_3645640_brief</t>
  </si>
  <si>
    <t>Proceedings of the ACM Web Conference 2024, 2024, p.1847-1858</t>
  </si>
  <si>
    <t>https://catalogplus.tuwien.at/permalink/f/1m011kq/TN_cdi_acm_books_10_1145_3702359_3702361</t>
  </si>
  <si>
    <t>Proceedings of the 2024 5th International Artificial Intelligence and Blockchain Conference, 2024, p.10-15</t>
  </si>
  <si>
    <t>https://catalogplus.tuwien.at/permalink/f/1m011kq/TN_cdi_acm_books_10_1145_3700058_3700123</t>
  </si>
  <si>
    <t>Proceedings of the International Conference on Digital Economy, Blockchain and Artificial Intelligence, 2024, p.412-416</t>
  </si>
  <si>
    <t>https://catalogplus.tuwien.at/permalink/f/1m011kq/TN_cdi_acm_books_10_1145_3589335_3651562</t>
  </si>
  <si>
    <t>Companion Proceedings of the ACM Web Conference 2024, 2024, p.810-813</t>
  </si>
  <si>
    <t>https://catalogplus.tuwien.at/permalink/f/1m011kq/TN_cdi_ieee_primary_10846030</t>
  </si>
  <si>
    <t>International Conference on Signal Processing (Print), 2024, p.243-246</t>
  </si>
  <si>
    <t>https://catalogplus.tuwien.at/permalink/f/1m011kq/TN_cdi_acm_books_10_1145_3589334_3645319</t>
  </si>
  <si>
    <t>Proceedings of the ACM Web Conference 2024, 2024, p.1549-1560</t>
  </si>
  <si>
    <t>https://catalogplus.tuwien.at/permalink/f/1m011kq/TN_cdi_acm_books_10_1145_3638530_3654283_brief</t>
  </si>
  <si>
    <t>Proceedings of the Genetic and Evolutionary Computation Conference Companion, 2024, p.731-734</t>
  </si>
  <si>
    <t>https://catalogplus.tuwien.at/permalink/f/1m011kq/TN_cdi_ieee_primary_10827343</t>
  </si>
  <si>
    <t>International Conference on Information and Communication Technology Convergence (Print), 2024, p.1374-1379</t>
  </si>
  <si>
    <t>https://catalogplus.tuwien.at/permalink/f/1m011kq/TN_cdi_ieee_primary_10554916</t>
  </si>
  <si>
    <t>2024 IEEE/ACM 46th International Conference on Software Engineering: Companion Proceedings (ICSE-Companion), 2024, p.272-273</t>
  </si>
  <si>
    <t>https://catalogplus.tuwien.at/permalink/f/1m011kq/TN_cdi_acm_books_10_1145_3702636_3703442_brief</t>
  </si>
  <si>
    <t>Proceedings of the 2nd International Workshop on Middleware for Digital Twins, 2024, p.1-6</t>
  </si>
  <si>
    <t>Enhancing Security in Smart Contract Wallets : An OTP Based 2-Factor Authentication Approach</t>
  </si>
  <si>
    <t>https://catalogplus.tuwien.at/permalink/f/1m011kq/TN_cdi_acm_books_10_1145_3700838_3700868</t>
  </si>
  <si>
    <t>Proceedings of the 26th International Conference on Distributed Computing and Networking, 2025, p.211-220</t>
  </si>
  <si>
    <t>https://catalogplus.tuwien.at/permalink/f/1m011kq/TN_cdi_acm_books_10_1145_3691422_3691484</t>
  </si>
  <si>
    <t>Proceedings of the 2024 15th International Conference on E-business, Management and Economics, 2024, p.359-365</t>
  </si>
  <si>
    <t>https://catalogplus.tuwien.at/permalink/f/1m011kq/TN_cdi_acm_books_10_1145_3697355_3697396_brief</t>
  </si>
  <si>
    <t>Proceedings of the 2024 8th International Conference on Big Data and Internet of Things, 2024, p.247-251</t>
  </si>
  <si>
    <t>https://catalogplus.tuwien.at/permalink/f/1m011kq/TN_cdi_acm_books_10_1145_3697355_3697394_brief</t>
  </si>
  <si>
    <t>Proceedings of the 2024 8th International Conference on Big Data and Internet of Things, 2024, p.236-241</t>
  </si>
  <si>
    <t>Utilization of Smart Contracts and Searchable Encryption in Blockchain based for Data Query</t>
  </si>
  <si>
    <t>https://catalogplus.tuwien.at/permalink/f/1m011kq/TN_cdi_ieee_primary_10717119</t>
  </si>
  <si>
    <t>2024 10th International Conference on Advanced Computing and Communication Systems (ICACCS), 2024, Vol.1, p.2063-2068</t>
  </si>
  <si>
    <t>Smart Contract Risk Assessment How Secure is the Contract You Are Calling</t>
  </si>
  <si>
    <t>https://catalogplus.tuwien.at/permalink/f/1m011kq/TN_cdi_proquest_ebookcentralchapters_31812263_489_539</t>
  </si>
  <si>
    <t>Computational and Experimental Simulations in Engineering, 2024, Vol.173</t>
  </si>
  <si>
    <t>Privacy-preserving credential smart contracts using Zokrates</t>
  </si>
  <si>
    <t>https://catalogplus.tuwien.at/permalink/f/1m011kq/TN_cdi_gale_infotracmisc_A809659586</t>
  </si>
  <si>
    <t>KSII Transactions on Internet and Information Systems, 2024, Vol.8 (8), p.2417</t>
  </si>
  <si>
    <t>https://catalogplus.tuwien.at/permalink/f/1m011kq/TN_cdi_acm_books_10_1145_3641181_3641196_brief</t>
  </si>
  <si>
    <t>Proceedings of the 2024 10th International Conference on Computing and Data Engineering, 2024, p.89-97</t>
  </si>
  <si>
    <t>https://catalogplus.tuwien.at/permalink/f/1m011kq/TN_cdi_gale_infotracacademiconefile_A809659586</t>
  </si>
  <si>
    <t>KSII Transactions on Internet and Information Systems, 2024, Vol.18 (8), p.2417</t>
  </si>
  <si>
    <t>Smart Contracts for Enhanced Water Resource Management</t>
  </si>
  <si>
    <t>https://catalogplus.tuwien.at/permalink/f/1m011kq/TN_cdi_proquest_ebookcentralchapters_31088007_17_197</t>
  </si>
  <si>
    <t>Enhancing Performance, Efficiency, and Security Through Complex Systems Control, 2024</t>
  </si>
  <si>
    <t>https://catalogplus.tuwien.at/permalink/f/1m011kq/TN_cdi_acm_books_10_1145_3664968_3664984</t>
  </si>
  <si>
    <t>Proceedings of the 2024 6th International Conference on Management Science and Industrial Engineering, 2024, p.128-135</t>
  </si>
  <si>
    <t>Security Analysis of the Combination of Smart Contract and Artificial Intelligence</t>
  </si>
  <si>
    <t>https://catalogplus.tuwien.at/permalink/f/1m011kq/TN_cdi_proquest_ebookcentralchapters_31812263_845_905</t>
  </si>
  <si>
    <t>https://catalogplus.tuwien.at/permalink/f/1m011kq/TN_cdi_gale_infotracacademiconefile_A782089488</t>
  </si>
  <si>
    <t>Electronics (Basel), 2024, Vol.13 (3)</t>
  </si>
  <si>
    <t>https://catalogplus.tuwien.at/permalink/f/1m011kq/TN_cdi_proquest_journals_3033621025</t>
  </si>
  <si>
    <t>IEEE transactions on mobile computing, 2024-05, Vol.23 (5), p.1-16</t>
  </si>
  <si>
    <t>ISSTA23</t>
  </si>
  <si>
    <t>2, 3</t>
  </si>
  <si>
    <t>1, 2</t>
  </si>
  <si>
    <t>Range 2021-2025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</si>
</sst>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C00000"/>
      <name val="Aptos Narrow"/>
      <family val="2"/>
      <scheme val="minor"/>
    </font>
    <font>
      <sz val="11"/>
      <color rgb="FFFF0000"/>
      <name val="Aptos Narrow"/>
      <family val="2"/>
      <scheme val="minor"/>
    </font>
    <font>
      <sz val="11"/>
      <color indexed="8"/>
      <name val="Aptos Narrow"/>
      <family val="2"/>
      <scheme val="minor"/>
    </font>
    <font>
      <sz val="11"/>
      <name val="Aptos Narrow"/>
      <family val="2"/>
      <scheme val="minor"/>
    </font>
    <font>
      <sz val="11"/>
      <color theme="1"/>
      <name val="Aptos Narrow"/>
      <family val="2"/>
      <scheme val="minor"/>
    </font>
    <font>
      <b/>
      <sz val="11"/>
      <name val="Aptos Narrow"/>
      <family val="2"/>
      <scheme val="minor"/>
    </font>
    <font>
      <u/>
      <sz val="11"/>
      <name val="Aptos Narrow"/>
      <family val="2"/>
      <scheme val="minor"/>
    </font>
    <font>
      <b/>
      <i/>
      <sz val="11"/>
      <color rgb="FFFF0000"/>
      <name val="Aptos Narrow"/>
      <family val="2"/>
      <scheme val="minor"/>
    </font>
    <font>
      <sz val="8"/>
      <name val="Aptos Narrow"/>
      <family val="2"/>
      <scheme val="minor"/>
    </font>
    <font>
      <sz val="11"/>
      <color rgb="FF000000"/>
      <name val="Aptos Narrow"/>
      <family val="2"/>
      <scheme val="minor"/>
    </font>
    <font>
      <sz val="12"/>
      <color rgb="FF000000"/>
      <name val="Aptos Narrow"/>
      <family val="2"/>
      <scheme val="minor"/>
    </font>
    <font>
      <sz val="10"/>
      <color theme="1"/>
      <name val="Arial Unicode MS"/>
      <family val="2"/>
    </font>
  </fonts>
  <fills count="6">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rgb="FFFFC000"/>
        <bgColor rgb="FF000000"/>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5" fillId="0" borderId="0"/>
    <xf numFmtId="0" fontId="2" fillId="0" borderId="0" applyNumberFormat="0" applyFill="0" applyBorder="0" applyAlignment="0" applyProtection="0"/>
  </cellStyleXfs>
  <cellXfs count="118">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fill"/>
    </xf>
    <xf numFmtId="164" fontId="0" fillId="0" borderId="0" xfId="0" applyNumberFormat="1"/>
    <xf numFmtId="0" fontId="1" fillId="2" borderId="0" xfId="0" applyFont="1" applyFill="1" applyAlignment="1">
      <alignment horizontal="center"/>
    </xf>
    <xf numFmtId="2" fontId="0" fillId="0" borderId="0" xfId="0" applyNumberFormat="1"/>
    <xf numFmtId="0" fontId="5" fillId="0" borderId="0" xfId="1"/>
    <xf numFmtId="0" fontId="0" fillId="0" borderId="0" xfId="0" applyAlignment="1">
      <alignment horizontal="left"/>
    </xf>
    <xf numFmtId="0" fontId="2" fillId="0" borderId="0" xfId="2" applyBorder="1" applyAlignment="1">
      <alignment horizontal="fill"/>
    </xf>
    <xf numFmtId="164" fontId="6" fillId="0" borderId="0" xfId="0" applyNumberFormat="1" applyFont="1"/>
    <xf numFmtId="164" fontId="0" fillId="2" borderId="4" xfId="0" applyNumberFormat="1" applyFill="1" applyBorder="1"/>
    <xf numFmtId="0" fontId="1" fillId="2" borderId="5" xfId="0" applyFont="1" applyFill="1" applyBorder="1"/>
    <xf numFmtId="0" fontId="0" fillId="2" borderId="5" xfId="0" applyFill="1" applyBorder="1"/>
    <xf numFmtId="0" fontId="0" fillId="2" borderId="6" xfId="0" applyFill="1" applyBorder="1"/>
    <xf numFmtId="0" fontId="1" fillId="2" borderId="7" xfId="0" applyFont="1" applyFill="1" applyBorder="1"/>
    <xf numFmtId="0" fontId="0" fillId="2" borderId="0" xfId="0" applyFill="1"/>
    <xf numFmtId="0" fontId="0" fillId="2" borderId="8" xfId="0" applyFill="1" applyBorder="1"/>
    <xf numFmtId="164" fontId="1" fillId="2" borderId="7" xfId="0" applyNumberFormat="1" applyFont="1" applyFill="1" applyBorder="1"/>
    <xf numFmtId="0" fontId="0" fillId="2" borderId="7" xfId="0" applyFill="1" applyBorder="1"/>
    <xf numFmtId="164" fontId="0" fillId="2" borderId="7" xfId="0" applyNumberFormat="1" applyFill="1" applyBorder="1"/>
    <xf numFmtId="164" fontId="0" fillId="3" borderId="7" xfId="0" applyNumberFormat="1" applyFill="1" applyBorder="1"/>
    <xf numFmtId="0" fontId="0" fillId="2" borderId="0" xfId="0" applyFill="1" applyAlignment="1">
      <alignment horizontal="center"/>
    </xf>
    <xf numFmtId="0" fontId="0" fillId="2" borderId="0" xfId="0" applyFill="1" applyAlignment="1">
      <alignment wrapText="1"/>
    </xf>
    <xf numFmtId="0" fontId="1" fillId="2" borderId="0" xfId="0" applyFont="1" applyFill="1" applyAlignment="1">
      <alignment horizontal="left"/>
    </xf>
    <xf numFmtId="0" fontId="0" fillId="2" borderId="9" xfId="0" applyFill="1" applyBorder="1"/>
    <xf numFmtId="0" fontId="0" fillId="2" borderId="10" xfId="0" applyFill="1" applyBorder="1"/>
    <xf numFmtId="0" fontId="0" fillId="2" borderId="11" xfId="0" applyFill="1" applyBorder="1"/>
    <xf numFmtId="0" fontId="1" fillId="2" borderId="8" xfId="0" applyFont="1" applyFill="1" applyBorder="1"/>
    <xf numFmtId="0" fontId="0" fillId="2" borderId="7" xfId="0" applyFill="1" applyBorder="1" applyAlignment="1">
      <alignment horizontal="center"/>
    </xf>
    <xf numFmtId="0" fontId="0" fillId="3" borderId="8" xfId="0" applyFill="1" applyBorder="1"/>
    <xf numFmtId="0" fontId="0" fillId="3" borderId="11" xfId="0" applyFill="1" applyBorder="1"/>
    <xf numFmtId="0" fontId="1" fillId="2" borderId="9" xfId="0" applyFont="1" applyFill="1" applyBorder="1"/>
    <xf numFmtId="164" fontId="0" fillId="3" borderId="9" xfId="0" applyNumberFormat="1" applyFill="1" applyBorder="1"/>
    <xf numFmtId="0" fontId="6" fillId="2" borderId="0" xfId="0" applyFont="1" applyFill="1"/>
    <xf numFmtId="164" fontId="6" fillId="3" borderId="9" xfId="0" applyNumberFormat="1" applyFont="1" applyFill="1" applyBorder="1"/>
    <xf numFmtId="164" fontId="0" fillId="2" borderId="12" xfId="0" applyNumberFormat="1" applyFill="1" applyBorder="1"/>
    <xf numFmtId="0" fontId="0" fillId="2" borderId="13" xfId="0" applyFill="1" applyBorder="1"/>
    <xf numFmtId="0" fontId="0" fillId="2" borderId="12" xfId="0" applyFill="1" applyBorder="1"/>
    <xf numFmtId="0" fontId="1" fillId="2" borderId="10" xfId="0" applyFont="1" applyFill="1" applyBorder="1"/>
    <xf numFmtId="0" fontId="0" fillId="2" borderId="2" xfId="0" applyFill="1" applyBorder="1"/>
    <xf numFmtId="0" fontId="0" fillId="2" borderId="3" xfId="0" applyFill="1" applyBorder="1"/>
    <xf numFmtId="0" fontId="6" fillId="2" borderId="11" xfId="0" applyFont="1" applyFill="1" applyBorder="1"/>
    <xf numFmtId="0" fontId="1" fillId="4" borderId="6" xfId="0" applyFont="1" applyFill="1" applyBorder="1" applyAlignment="1">
      <alignment horizontal="center"/>
    </xf>
    <xf numFmtId="0" fontId="1" fillId="4" borderId="6" xfId="0" applyFont="1" applyFill="1" applyBorder="1"/>
    <xf numFmtId="0" fontId="1" fillId="4" borderId="8" xfId="0" applyFont="1" applyFill="1" applyBorder="1"/>
    <xf numFmtId="0" fontId="1" fillId="4" borderId="1" xfId="0" applyFont="1" applyFill="1" applyBorder="1" applyAlignment="1">
      <alignment horizontal="left"/>
    </xf>
    <xf numFmtId="0" fontId="1" fillId="4" borderId="1" xfId="0" applyFont="1" applyFill="1" applyBorder="1" applyAlignment="1">
      <alignment horizontal="center"/>
    </xf>
    <xf numFmtId="0" fontId="0" fillId="2" borderId="2" xfId="0" applyFill="1" applyBorder="1" applyAlignment="1">
      <alignment wrapText="1"/>
    </xf>
    <xf numFmtId="0" fontId="1" fillId="2" borderId="2" xfId="0" applyFont="1" applyFill="1" applyBorder="1"/>
    <xf numFmtId="0" fontId="2" fillId="0" borderId="0" xfId="2" applyBorder="1"/>
    <xf numFmtId="0" fontId="2" fillId="0" borderId="0" xfId="2" applyFill="1" applyBorder="1" applyAlignment="1">
      <alignment horizontal="fill"/>
    </xf>
    <xf numFmtId="0" fontId="10" fillId="2" borderId="15" xfId="0" applyFont="1" applyFill="1" applyBorder="1" applyAlignment="1">
      <alignment horizontal="center"/>
    </xf>
    <xf numFmtId="0" fontId="0" fillId="0" borderId="0" xfId="1" applyFont="1"/>
    <xf numFmtId="0" fontId="12" fillId="0" borderId="0" xfId="0" applyFont="1"/>
    <xf numFmtId="0" fontId="2" fillId="0" borderId="0" xfId="2" applyFill="1"/>
    <xf numFmtId="0" fontId="2" fillId="0" borderId="0" xfId="2" applyFill="1" applyAlignment="1">
      <alignment horizontal="fill"/>
    </xf>
    <xf numFmtId="0" fontId="1" fillId="3" borderId="0" xfId="0" applyFont="1" applyFill="1"/>
    <xf numFmtId="164" fontId="1" fillId="3" borderId="0" xfId="0" applyNumberFormat="1" applyFont="1" applyFill="1"/>
    <xf numFmtId="1" fontId="0" fillId="0" borderId="0" xfId="0" applyNumberFormat="1"/>
    <xf numFmtId="164" fontId="12" fillId="0" borderId="0" xfId="0" applyNumberFormat="1" applyFont="1"/>
    <xf numFmtId="0" fontId="12" fillId="5" borderId="0" xfId="0" applyFont="1" applyFill="1"/>
    <xf numFmtId="2" fontId="12" fillId="5" borderId="0" xfId="0" applyNumberFormat="1" applyFont="1" applyFill="1"/>
    <xf numFmtId="164" fontId="8" fillId="3" borderId="0" xfId="0" applyNumberFormat="1" applyFont="1" applyFill="1"/>
    <xf numFmtId="164" fontId="4" fillId="0" borderId="0" xfId="0" applyNumberFormat="1" applyFont="1"/>
    <xf numFmtId="0" fontId="8" fillId="3" borderId="0" xfId="0" applyFont="1" applyFill="1"/>
    <xf numFmtId="0" fontId="6" fillId="0" borderId="0" xfId="0" applyFont="1"/>
    <xf numFmtId="164" fontId="0" fillId="0" borderId="0" xfId="0" applyNumberFormat="1" applyAlignment="1">
      <alignment horizontal="right"/>
    </xf>
    <xf numFmtId="0" fontId="2" fillId="0" borderId="0" xfId="2" applyFill="1" applyBorder="1"/>
    <xf numFmtId="15" fontId="0" fillId="0" borderId="0" xfId="0" applyNumberFormat="1"/>
    <xf numFmtId="2" fontId="1" fillId="3" borderId="0" xfId="0" applyNumberFormat="1" applyFont="1" applyFill="1"/>
    <xf numFmtId="2" fontId="6" fillId="0" borderId="0" xfId="0" applyNumberFormat="1" applyFont="1"/>
    <xf numFmtId="2" fontId="0" fillId="0" borderId="0" xfId="0" applyNumberFormat="1" applyAlignment="1">
      <alignment horizontal="right"/>
    </xf>
    <xf numFmtId="2" fontId="13" fillId="0" borderId="0" xfId="0" applyNumberFormat="1" applyFont="1" applyAlignment="1">
      <alignment horizontal="right"/>
    </xf>
    <xf numFmtId="0" fontId="6" fillId="0" borderId="0" xfId="0" applyFont="1" applyAlignment="1">
      <alignment horizontal="right"/>
    </xf>
    <xf numFmtId="0" fontId="13" fillId="0" borderId="0" xfId="0" applyFont="1"/>
    <xf numFmtId="0" fontId="13" fillId="0" borderId="0" xfId="0" applyFont="1" applyAlignment="1">
      <alignment horizontal="left"/>
    </xf>
    <xf numFmtId="0" fontId="13" fillId="0" borderId="0" xfId="0" applyFont="1" applyAlignment="1">
      <alignment horizontal="right"/>
    </xf>
    <xf numFmtId="2" fontId="13" fillId="0" borderId="0" xfId="0" applyNumberFormat="1" applyFont="1"/>
    <xf numFmtId="164" fontId="13" fillId="0" borderId="0" xfId="0" applyNumberFormat="1" applyFont="1"/>
    <xf numFmtId="0" fontId="0" fillId="0" borderId="0" xfId="0" applyAlignment="1">
      <alignment horizontal="center" vertical="center"/>
    </xf>
    <xf numFmtId="0" fontId="12" fillId="0" borderId="0" xfId="0" applyFont="1" applyAlignment="1">
      <alignment horizontal="center" vertical="center"/>
    </xf>
    <xf numFmtId="1" fontId="0" fillId="0" borderId="0" xfId="0" applyNumberFormat="1" applyAlignment="1">
      <alignment horizontal="center" vertical="center"/>
    </xf>
    <xf numFmtId="2" fontId="12" fillId="0" borderId="0" xfId="0" applyNumberFormat="1" applyFont="1" applyAlignment="1">
      <alignment horizontal="center" vertical="center"/>
    </xf>
    <xf numFmtId="0" fontId="14" fillId="0" borderId="0" xfId="0" applyFont="1" applyAlignment="1">
      <alignment horizontal="center" vertical="center"/>
    </xf>
    <xf numFmtId="2" fontId="0" fillId="0" borderId="0" xfId="0" applyNumberFormat="1" applyAlignment="1">
      <alignment horizontal="center" vertical="center"/>
    </xf>
    <xf numFmtId="0" fontId="6" fillId="0" borderId="0" xfId="0" applyFont="1" applyAlignment="1">
      <alignment horizontal="fill"/>
    </xf>
    <xf numFmtId="0" fontId="6" fillId="0" borderId="0" xfId="1" applyFont="1"/>
    <xf numFmtId="0" fontId="6" fillId="0" borderId="0" xfId="1" applyFont="1" applyAlignment="1">
      <alignment horizontal="fill"/>
    </xf>
    <xf numFmtId="0" fontId="9" fillId="0" borderId="0" xfId="2" applyFont="1" applyFill="1" applyBorder="1" applyAlignment="1">
      <alignment horizontal="fill"/>
    </xf>
    <xf numFmtId="0" fontId="3" fillId="0" borderId="0" xfId="0" applyFont="1"/>
    <xf numFmtId="0" fontId="3" fillId="0" borderId="0" xfId="0" applyFont="1" applyAlignment="1">
      <alignment horizontal="fill"/>
    </xf>
    <xf numFmtId="0" fontId="4" fillId="0" borderId="0" xfId="0" applyFont="1" applyAlignment="1">
      <alignment horizontal="fill"/>
    </xf>
    <xf numFmtId="0" fontId="4" fillId="0" borderId="0" xfId="0" applyFont="1"/>
    <xf numFmtId="0" fontId="12" fillId="0" borderId="7" xfId="0" applyFont="1" applyBorder="1"/>
    <xf numFmtId="0" fontId="8" fillId="4" borderId="0" xfId="0" applyFont="1" applyFill="1"/>
    <xf numFmtId="0" fontId="1" fillId="4" borderId="0" xfId="0" applyFont="1" applyFill="1"/>
    <xf numFmtId="0" fontId="7" fillId="0" borderId="0" xfId="2" applyFont="1" applyFill="1" applyBorder="1" applyAlignment="1">
      <alignment horizontal="fill"/>
    </xf>
    <xf numFmtId="0" fontId="0" fillId="0" borderId="7" xfId="0" applyBorder="1"/>
    <xf numFmtId="0" fontId="4" fillId="0" borderId="0" xfId="1" applyFont="1"/>
    <xf numFmtId="2" fontId="12" fillId="0" borderId="0" xfId="0" applyNumberFormat="1" applyFont="1"/>
    <xf numFmtId="0" fontId="0" fillId="2" borderId="7" xfId="0" applyFill="1" applyBorder="1" applyAlignment="1">
      <alignment horizontal="center"/>
    </xf>
    <xf numFmtId="0" fontId="0" fillId="2" borderId="0" xfId="0" applyFill="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1" fillId="4" borderId="12" xfId="0" applyFont="1" applyFill="1" applyBorder="1" applyAlignment="1">
      <alignment horizontal="center"/>
    </xf>
    <xf numFmtId="0" fontId="1" fillId="4" borderId="13" xfId="0" applyFont="1" applyFill="1" applyBorder="1" applyAlignment="1">
      <alignment horizontal="center"/>
    </xf>
    <xf numFmtId="0" fontId="1" fillId="4" borderId="14" xfId="0" applyFont="1" applyFill="1" applyBorder="1" applyAlignment="1">
      <alignment horizontal="center"/>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0" xfId="0" applyFont="1" applyFill="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cellXfs>
  <cellStyles count="3">
    <cellStyle name="Hyperlink" xfId="2" builtinId="8"/>
    <cellStyle name="Normal" xfId="0" builtinId="0"/>
    <cellStyle name="Normale 2" xfId="1" xr:uid="{11FFE737-1330-499F-8FC0-5590B0803430}"/>
  </cellStyles>
  <dxfs count="0"/>
  <tableStyles count="0" defaultTableStyle="TableStyleMedium2" defaultPivotStyle="PivotStyleLight16"/>
  <colors>
    <mruColors>
      <color rgb="FF33CC33"/>
      <color rgb="FFEA6060"/>
      <color rgb="FF009900"/>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link.springer.com/chapter/10.1007/978-981-99-3485-0_71" TargetMode="External"/><Relationship Id="rId21" Type="http://schemas.openxmlformats.org/officeDocument/2006/relationships/hyperlink" Target="https://link.springer.com/chapter/10.1007/978-981-99-2443-1_14" TargetMode="External"/><Relationship Id="rId63" Type="http://schemas.openxmlformats.org/officeDocument/2006/relationships/hyperlink" Target="https://arxiv.org/abs/2309.02391" TargetMode="External"/><Relationship Id="rId159" Type="http://schemas.openxmlformats.org/officeDocument/2006/relationships/hyperlink" Target="https://ieeexplore.ieee.org/abstract/document/10301256" TargetMode="External"/><Relationship Id="rId170" Type="http://schemas.openxmlformats.org/officeDocument/2006/relationships/hyperlink" Target="https://arxiv.org/abs/2112.02588" TargetMode="External"/><Relationship Id="rId226" Type="http://schemas.openxmlformats.org/officeDocument/2006/relationships/hyperlink" Target="https://ieeexplore.ieee.org/abstract/document/10086472" TargetMode="External"/><Relationship Id="rId268" Type="http://schemas.openxmlformats.org/officeDocument/2006/relationships/hyperlink" Target="https://www.earticle.net/Article/A421040" TargetMode="External"/><Relationship Id="rId32" Type="http://schemas.openxmlformats.org/officeDocument/2006/relationships/hyperlink" Target="https://link.springer.com/chapter/10.1007/978-3-030-86973-1_1" TargetMode="External"/><Relationship Id="rId74" Type="http://schemas.openxmlformats.org/officeDocument/2006/relationships/hyperlink" Target="https://www.sciencedirect.com/science/article/pii/S221421262300008X?casa_token=L17-2HJTgKsAAAAA:23B-zr-DrCcMyTvK3pFKbj39IVgciQFPTp_DaQSmLk8oOziBxuzZ7HZ2uvb-4gb_A9oGJQHW" TargetMode="External"/><Relationship Id="rId128" Type="http://schemas.openxmlformats.org/officeDocument/2006/relationships/hyperlink" Target="https://arxiv.org/abs/2208.02858" TargetMode="External"/><Relationship Id="rId5" Type="http://schemas.openxmlformats.org/officeDocument/2006/relationships/hyperlink" Target="https://ieeexplore.ieee.org/stamp/stamp.jsp?tp=&amp;arnumber=9932169" TargetMode="External"/><Relationship Id="rId181" Type="http://schemas.openxmlformats.org/officeDocument/2006/relationships/hyperlink" Target="https://ietresearch.onlinelibrary.wiley.com/doi/full/10.1049/blc2.12056" TargetMode="External"/><Relationship Id="rId237" Type="http://schemas.openxmlformats.org/officeDocument/2006/relationships/hyperlink" Target="https://nur.nu.edu.kz/handle/123456789/5384" TargetMode="External"/><Relationship Id="rId279" Type="http://schemas.openxmlformats.org/officeDocument/2006/relationships/hyperlink" Target="https://turcomat.org/index.php/turkbilmat/article/view/6773" TargetMode="External"/><Relationship Id="rId43" Type="http://schemas.openxmlformats.org/officeDocument/2006/relationships/hyperlink" Target="https://ieeexplore.ieee.org/abstract/document/10111037?casa_token=QEdDIblGokYAAAAA:0B4lB52irnYXlCYtNceVkNaGiA5hElARm1S8YLbzMMQtbyF5ZRpIQp76i-3VF9gQPwTO31g" TargetMode="External"/><Relationship Id="rId139" Type="http://schemas.openxmlformats.org/officeDocument/2006/relationships/hyperlink" Target="https://www.mdpi.com/2079-9292/11/19/3091" TargetMode="External"/><Relationship Id="rId290" Type="http://schemas.openxmlformats.org/officeDocument/2006/relationships/hyperlink" Target="https://ieeexplore.ieee.org/abstract/document/9680507?casa_token=EvobFcapGO8AAAAA:77f_1k1cz7PPbn_R-F_IJdxxZf7jSADmcjNxkRh-oNewQmKb3GQK9IwdCv1A8Ikm6fWqoRE" TargetMode="External"/><Relationship Id="rId85" Type="http://schemas.openxmlformats.org/officeDocument/2006/relationships/hyperlink" Target="https://dl.acm.org/doi/full/10.1145/3548683" TargetMode="External"/><Relationship Id="rId150" Type="http://schemas.openxmlformats.org/officeDocument/2006/relationships/hyperlink" Target="https://www.sciencedirect.com/science/article/pii/S2096720922000410" TargetMode="External"/><Relationship Id="rId192" Type="http://schemas.openxmlformats.org/officeDocument/2006/relationships/hyperlink" Target="https://ieeexplore.ieee.org/abstract/document/9959980" TargetMode="External"/><Relationship Id="rId206" Type="http://schemas.openxmlformats.org/officeDocument/2006/relationships/hyperlink" Target="https://books.google.com/books?hl=it&amp;lr=&amp;id=5Ex-EAAAQBAJ&amp;oi=fnd&amp;pg=PT5&amp;dq=+(%E2%80%9Csmart+contract%E2%80%9D+OR+%E2%80%9Csmart+contracts%E2%80%9D+OR+Ethereum)+AND+(vulnerability+OR+vulnerabilities+OR+bug+OR+bugs+OR+security+OR+analysis+OR+detection+OR+tool+OR+verification)&amp;ots=riVAuaZI4b&amp;sig=Ya4XH0iHHDz-YREIYvmt7EJlLog" TargetMode="External"/><Relationship Id="rId248" Type="http://schemas.openxmlformats.org/officeDocument/2006/relationships/hyperlink" Target="https://cliplab.org/~clip/papers/victor-perez:msc.pdf" TargetMode="External"/><Relationship Id="rId269" Type="http://schemas.openxmlformats.org/officeDocument/2006/relationships/hyperlink" Target="https://scholarbank.nus.edu.sg/handle/10635/210232" TargetMode="External"/><Relationship Id="rId12" Type="http://schemas.openxmlformats.org/officeDocument/2006/relationships/hyperlink" Target="https://www.mdpi.com/2079-9292/13/1/117" TargetMode="External"/><Relationship Id="rId33" Type="http://schemas.openxmlformats.org/officeDocument/2006/relationships/hyperlink" Target="https://www.mdpi.com/2410-387X/7/3/34" TargetMode="External"/><Relationship Id="rId108" Type="http://schemas.openxmlformats.org/officeDocument/2006/relationships/hyperlink" Target="https://ieeexplore.ieee.org/abstract/document/10171380" TargetMode="External"/><Relationship Id="rId129" Type="http://schemas.openxmlformats.org/officeDocument/2006/relationships/hyperlink" Target="https://arxiv.org/abs/2308.11082" TargetMode="External"/><Relationship Id="rId280" Type="http://schemas.openxmlformats.org/officeDocument/2006/relationships/hyperlink" Target="https://arxiv.org/abs/2307.00549" TargetMode="External"/><Relationship Id="rId54" Type="http://schemas.openxmlformats.org/officeDocument/2006/relationships/hyperlink" Target="https://link.springer.com/chapter/10.1007/978-3-031-20099-1_39" TargetMode="External"/><Relationship Id="rId75" Type="http://schemas.openxmlformats.org/officeDocument/2006/relationships/hyperlink" Target="https://www.mdpi.com/2079-9292/11/19/3260" TargetMode="External"/><Relationship Id="rId96" Type="http://schemas.openxmlformats.org/officeDocument/2006/relationships/hyperlink" Target="https://www.proquest.com/openview/3fb3dbefede8061f461635b5fc687ab3/1?cbl=18750&amp;diss=y&amp;pq-origsite=gscholar&amp;parentSessionId=fy9LcjO8oXi1gTWKyV9svvgCHyN76salsyg2t8oIF%2Fs%3D" TargetMode="External"/><Relationship Id="rId140" Type="http://schemas.openxmlformats.org/officeDocument/2006/relationships/hyperlink" Target="https://www.hindawi.com/journals/js/2022/7299185/" TargetMode="External"/><Relationship Id="rId161" Type="http://schemas.openxmlformats.org/officeDocument/2006/relationships/hyperlink" Target="https://patents.google.com/patent/US11354727B2/en" TargetMode="External"/><Relationship Id="rId182" Type="http://schemas.openxmlformats.org/officeDocument/2006/relationships/hyperlink" Target="https://link.springer.com/chapter/10.1007/978-981-99-4430-9_21" TargetMode="External"/><Relationship Id="rId217" Type="http://schemas.openxmlformats.org/officeDocument/2006/relationships/hyperlink" Target="http://openaccess.iste.edu.tr/xmlui/handle/20.500.12508/2468" TargetMode="External"/><Relationship Id="rId6" Type="http://schemas.openxmlformats.org/officeDocument/2006/relationships/hyperlink" Target="https://www.sciencedirect.com/science/article/pii/S0950584923000757" TargetMode="External"/><Relationship Id="rId238" Type="http://schemas.openxmlformats.org/officeDocument/2006/relationships/hyperlink" Target="https://patents.google.com/patent/US11605124B2/en" TargetMode="External"/><Relationship Id="rId259" Type="http://schemas.openxmlformats.org/officeDocument/2006/relationships/hyperlink" Target="https://patents.google.com/patent/US20220294776A1/en" TargetMode="External"/><Relationship Id="rId23" Type="http://schemas.openxmlformats.org/officeDocument/2006/relationships/hyperlink" Target="https://drpress.org/ojs/index.php/HSET/article/view/10348" TargetMode="External"/><Relationship Id="rId119" Type="http://schemas.openxmlformats.org/officeDocument/2006/relationships/hyperlink" Target="https://www.mdpi.com/1999-5903/15/1/3" TargetMode="External"/><Relationship Id="rId270" Type="http://schemas.openxmlformats.org/officeDocument/2006/relationships/hyperlink" Target="https://www.freepatentsonline.com/11880650.html" TargetMode="External"/><Relationship Id="rId291" Type="http://schemas.openxmlformats.org/officeDocument/2006/relationships/printerSettings" Target="../printerSettings/printerSettings1.bin"/><Relationship Id="rId44" Type="http://schemas.openxmlformats.org/officeDocument/2006/relationships/hyperlink" Target="https://www.researchgate.net/publication/370644368_Research_on_smart_contract_vulnerability_detection_method_based_on_domain_features_of_solidity_contracts_and_attention_mechanism" TargetMode="External"/><Relationship Id="rId65" Type="http://schemas.openxmlformats.org/officeDocument/2006/relationships/hyperlink" Target="https://ietresearch.onlinelibrary.wiley.com/doi/full/10.1049/blc2.12043" TargetMode="External"/><Relationship Id="rId86" Type="http://schemas.openxmlformats.org/officeDocument/2006/relationships/hyperlink" Target="https://webthesis.biblio.polito.it/28450/" TargetMode="External"/><Relationship Id="rId130" Type="http://schemas.openxmlformats.org/officeDocument/2006/relationships/hyperlink" Target="https://www.mdpi.com/2079-9292/12/3/776" TargetMode="External"/><Relationship Id="rId151" Type="http://schemas.openxmlformats.org/officeDocument/2006/relationships/hyperlink" Target="https://ieeexplore.ieee.org/abstract/document/9389894" TargetMode="External"/><Relationship Id="rId172" Type="http://schemas.openxmlformats.org/officeDocument/2006/relationships/hyperlink" Target="https://link.springer.com/article/10.1007/s11219-023-09637-1" TargetMode="External"/><Relationship Id="rId193" Type="http://schemas.openxmlformats.org/officeDocument/2006/relationships/hyperlink" Target="https://ieeexplore.ieee.org/abstract/document/10115068" TargetMode="External"/><Relationship Id="rId207" Type="http://schemas.openxmlformats.org/officeDocument/2006/relationships/hyperlink" Target="https://patents.google.com/patent/US11050849B1/en" TargetMode="External"/><Relationship Id="rId228" Type="http://schemas.openxmlformats.org/officeDocument/2006/relationships/hyperlink" Target="https://discovery.ucl.ac.uk/id/eprint/10182359/" TargetMode="External"/><Relationship Id="rId249" Type="http://schemas.openxmlformats.org/officeDocument/2006/relationships/hyperlink" Target="https://patents.google.com/patent/US11301361B2/en" TargetMode="External"/><Relationship Id="rId13" Type="http://schemas.openxmlformats.org/officeDocument/2006/relationships/hyperlink" Target="https://link.springer.com/article/10.1007/s12083-021-01268-2" TargetMode="External"/><Relationship Id="rId109" Type="http://schemas.openxmlformats.org/officeDocument/2006/relationships/hyperlink" Target="https://www.sciencedirect.com/science/article/pii/S0167739X24000013" TargetMode="External"/><Relationship Id="rId260" Type="http://schemas.openxmlformats.org/officeDocument/2006/relationships/hyperlink" Target="https://journal05.magtech.org.cn/jweb_glpl/EN/abstract/abstract2205.shtml" TargetMode="External"/><Relationship Id="rId281" Type="http://schemas.openxmlformats.org/officeDocument/2006/relationships/hyperlink" Target="https://d1wqtxts1xzle7.cloudfront.net/66211551/IJARET_11_08_089-libre.pdf?1617893166=&amp;response-content-disposition=inline%3B+filename%3DSMART_CONTRACTS_VULNERABILITIES_AND_REAL.pdf&amp;Expires=1706192787&amp;Signature=QD1tsvlMNUKAMjrIFNLlZsn0pbxQkaB2YCT-cIaNDP25xHV93FgRWXB8TpIh36F7MDWcfxHNhDSubhSJ2E-sXN3LoMrYqkP7B~IntQgPStMkwSiJF-ec6lWzuRWjaHHmtVrnRXGlDnBq3h6Cq45Wo5ITGV5CntgoQDat3lMfJKsZXieH4enHjOKt6~qdX6tyukWujTs6FL2YluntLU2GwIq61INX6zrOpLvwwCUtBmDbCh2~S-X7GE5MklHssjSfiILQJdjhPqJ-iriUhsd5xFGmF-ikOq6vuDd7-Ubni6o3~JTlFfG4gSnJZlgpWc5NRiLpUPK8PkEmvKguJN8Aeg__&amp;Key-Pair-Id=APKAJLOHF5GGSLRBV4ZA" TargetMode="External"/><Relationship Id="rId34" Type="http://schemas.openxmlformats.org/officeDocument/2006/relationships/hyperlink" Target="https://www.mdpi.com/2076-3417/13/10/6027" TargetMode="External"/><Relationship Id="rId55" Type="http://schemas.openxmlformats.org/officeDocument/2006/relationships/hyperlink" Target="https://www.proquest.com/docview/2896757878?pq-origsite=gscholar&amp;fromopenview=true&amp;sourcetype=Scholarly%20Journals" TargetMode="External"/><Relationship Id="rId76" Type="http://schemas.openxmlformats.org/officeDocument/2006/relationships/hyperlink" Target="https://dr.ntu.edu.sg/handle/10356/168560" TargetMode="External"/><Relationship Id="rId97" Type="http://schemas.openxmlformats.org/officeDocument/2006/relationships/hyperlink" Target="https://cdn.techscience.cn/files/cmc/2023/TSP_CMC-76-2/TSP_CMC_38878/TSP_CMC_38878.pdf" TargetMode="External"/><Relationship Id="rId120" Type="http://schemas.openxmlformats.org/officeDocument/2006/relationships/hyperlink" Target="https://www.sciencedirect.com/science/article/pii/S240589632202403X" TargetMode="External"/><Relationship Id="rId141" Type="http://schemas.openxmlformats.org/officeDocument/2006/relationships/hyperlink" Target="https://ieeexplore.ieee.org/abstract/document/9349177" TargetMode="External"/><Relationship Id="rId7" Type="http://schemas.openxmlformats.org/officeDocument/2006/relationships/hyperlink" Target="https://link.springer.com/chapter/10.1007/978-981-99-2742-5_38" TargetMode="External"/><Relationship Id="rId162" Type="http://schemas.openxmlformats.org/officeDocument/2006/relationships/hyperlink" Target="https://www.taylorfrancis.com/chapters/edit/10.1201/9781003224075-9/introduction-blockchain-smart-contract-principles-applications-security-adarsh-singh-ananya-smirti-raghav-gupta-chamitha-de-alwis-anshuman-kalla" TargetMode="External"/><Relationship Id="rId183" Type="http://schemas.openxmlformats.org/officeDocument/2006/relationships/hyperlink" Target="https://norma.ncirl.ie/5097/1/jakemurphy.pdf" TargetMode="External"/><Relationship Id="rId218" Type="http://schemas.openxmlformats.org/officeDocument/2006/relationships/hyperlink" Target="https://dr.ntu.edu.sg/handle/10356/162925" TargetMode="External"/><Relationship Id="rId239" Type="http://schemas.openxmlformats.org/officeDocument/2006/relationships/hyperlink" Target="https://www.researchgate.net/profile/Okafor-Geraldine/publication/365039839_Blockchain_Application_in_Genomic_Data_Challenges_and_Use_of_Smart_Contracts_to_Enhance_Data_Security_Review/links/6363b6e537878b3e877bd07c/Blockchain-Application-in-Genomic-Data-Challenges-and-Use-of-Smart-Contracts-to-Enhance-Data-Security-Review.pdf" TargetMode="External"/><Relationship Id="rId250" Type="http://schemas.openxmlformats.org/officeDocument/2006/relationships/hyperlink" Target="https://dr.ntu.edu.sg/handle/10356/157055" TargetMode="External"/><Relationship Id="rId271" Type="http://schemas.openxmlformats.org/officeDocument/2006/relationships/hyperlink" Target="https://ieeexplore.ieee.org/abstract/document/10041386" TargetMode="External"/><Relationship Id="rId24" Type="http://schemas.openxmlformats.org/officeDocument/2006/relationships/hyperlink" Target="https://www.researchgate.net/profile/Abhijit-Pathak-8/publication/376787011_Blockchain-Powered_Security_and_Transparency_in_Supply_Chain_Exploring_Traceability_and_Authenticity_through_Smart_Contracts/links/6587b44f3c472d2e8e8242ac/Blockchain-Powered-Security-and-Transparency-in-Supply-Chain-Exploring-Traceability-and-Authenticity-through-Smart-Contracts.pdf" TargetMode="External"/><Relationship Id="rId45" Type="http://schemas.openxmlformats.org/officeDocument/2006/relationships/hyperlink" Target="https://link.springer.com/article/10.1007/s10664-022-10218-2" TargetMode="External"/><Relationship Id="rId66" Type="http://schemas.openxmlformats.org/officeDocument/2006/relationships/hyperlink" Target="https://ieeexplore.ieee.org/abstract/document/9825811?casa_token=F6WplxvqwtEAAAAA:6jyLbZz5SpWgtnYziT4UWJ6vn9ZidG_bSjTZORu76jHUMLDbEBUAbbWE2l3CXvtKIPej2ys" TargetMode="External"/><Relationship Id="rId87" Type="http://schemas.openxmlformats.org/officeDocument/2006/relationships/hyperlink" Target="https://www.mdpi.com/1424-8220/23/14/6641" TargetMode="External"/><Relationship Id="rId110" Type="http://schemas.openxmlformats.org/officeDocument/2006/relationships/hyperlink" Target="https://papers.ssrn.com/sol3/papers.cfm?abstract_id=4650383" TargetMode="External"/><Relationship Id="rId131" Type="http://schemas.openxmlformats.org/officeDocument/2006/relationships/hyperlink" Target="https://ieeexplore.ieee.org/abstract/document/10285844" TargetMode="External"/><Relationship Id="rId152" Type="http://schemas.openxmlformats.org/officeDocument/2006/relationships/hyperlink" Target="https://www.tandfonline.com/doi/full/10.1080/09540091.2023.2286912" TargetMode="External"/><Relationship Id="rId173" Type="http://schemas.openxmlformats.org/officeDocument/2006/relationships/hyperlink" Target="https://arxiv.org/abs/2305.15829" TargetMode="External"/><Relationship Id="rId194" Type="http://schemas.openxmlformats.org/officeDocument/2006/relationships/hyperlink" Target="https://koreascience.kr/article/JAKO202315853501251.page" TargetMode="External"/><Relationship Id="rId208" Type="http://schemas.openxmlformats.org/officeDocument/2006/relationships/hyperlink" Target="https://www.researchsquare.com/article/rs-3747878/v1" TargetMode="External"/><Relationship Id="rId229" Type="http://schemas.openxmlformats.org/officeDocument/2006/relationships/hyperlink" Target="https://www.anpec.org.br/encontro/2021/submissao/files_I/i8-0baa40fecb0cb1947c35cdc02eb3b753.pdf" TargetMode="External"/><Relationship Id="rId240" Type="http://schemas.openxmlformats.org/officeDocument/2006/relationships/hyperlink" Target="https://patents.google.com/patent/US11138597B2/en" TargetMode="External"/><Relationship Id="rId261" Type="http://schemas.openxmlformats.org/officeDocument/2006/relationships/hyperlink" Target="https://heinonline.org/HOL/LandingPage?handle=hein.journals/supami24&amp;div=111&amp;id=&amp;page=" TargetMode="External"/><Relationship Id="rId14" Type="http://schemas.openxmlformats.org/officeDocument/2006/relationships/hyperlink" Target="https://www.mdpi.com/2079-9292/12/9/2046" TargetMode="External"/><Relationship Id="rId35" Type="http://schemas.openxmlformats.org/officeDocument/2006/relationships/hyperlink" Target="https://mediatum.ub.tum.de/doc/1641114/jmaww4489686mnp3sw290kuf3.Christof%20Ferreira%20Torres.pdf" TargetMode="External"/><Relationship Id="rId56" Type="http://schemas.openxmlformats.org/officeDocument/2006/relationships/hyperlink" Target="https://www.researchgate.net/profile/Malaw-Ndiaye/publication/360624196_Security_Strengths_and_Weaknesses_of_Blockchain_Smart_Contract_System_A_Survey/links/62824c3590841d5155d7dbb7/Security-Strengths-and-Weaknesses-of-Blockchain-Smart-Contract-System-A-Survey.pdf" TargetMode="External"/><Relationship Id="rId77" Type="http://schemas.openxmlformats.org/officeDocument/2006/relationships/hyperlink" Target="https://patents.google.com/patent/US20230418951A1/en" TargetMode="External"/><Relationship Id="rId100" Type="http://schemas.openxmlformats.org/officeDocument/2006/relationships/hyperlink" Target="https://onlinelibrary.wiley.com/doi/full/10.1002/nem.2113" TargetMode="External"/><Relationship Id="rId282" Type="http://schemas.openxmlformats.org/officeDocument/2006/relationships/hyperlink" Target="https://ieeexplore.ieee.org/document/9881816" TargetMode="External"/><Relationship Id="rId8" Type="http://schemas.openxmlformats.org/officeDocument/2006/relationships/hyperlink" Target="https://www.sciencedirect.com/science/article/pii/S0736585320301787" TargetMode="External"/><Relationship Id="rId98" Type="http://schemas.openxmlformats.org/officeDocument/2006/relationships/hyperlink" Target="https://ieeexplore.ieee.org/abstract/document/9507717" TargetMode="External"/><Relationship Id="rId121" Type="http://schemas.openxmlformats.org/officeDocument/2006/relationships/hyperlink" Target="https://koreascience.kr/article/JAKO202334662410041.page" TargetMode="External"/><Relationship Id="rId142" Type="http://schemas.openxmlformats.org/officeDocument/2006/relationships/hyperlink" Target="https://www.sciencedirect.com/science/article/pii/S2096720923000283" TargetMode="External"/><Relationship Id="rId163" Type="http://schemas.openxmlformats.org/officeDocument/2006/relationships/hyperlink" Target="https://ieeexplore.ieee.org/abstract/document/10365887" TargetMode="External"/><Relationship Id="rId184" Type="http://schemas.openxmlformats.org/officeDocument/2006/relationships/hyperlink" Target="https://sciendo.com/article/10.2478/ijme-2022-0030?tab=figures-tables" TargetMode="External"/><Relationship Id="rId219" Type="http://schemas.openxmlformats.org/officeDocument/2006/relationships/hyperlink" Target="https://www.dbpia.co.kr/Journal/articleDetail?nodeId=NODE11100955" TargetMode="External"/><Relationship Id="rId230" Type="http://schemas.openxmlformats.org/officeDocument/2006/relationships/hyperlink" Target="http://www.joca.cn/EN/abstract/abstract25613.shtml" TargetMode="External"/><Relationship Id="rId251" Type="http://schemas.openxmlformats.org/officeDocument/2006/relationships/hyperlink" Target="https://policycommons.net/artifacts/11285548/exploring-dlt-and-blockchain/12170916/" TargetMode="External"/><Relationship Id="rId25" Type="http://schemas.openxmlformats.org/officeDocument/2006/relationships/hyperlink" Target="https://arxiv.org/abs/2104.12295" TargetMode="External"/><Relationship Id="rId46" Type="http://schemas.openxmlformats.org/officeDocument/2006/relationships/hyperlink" Target="https://dr.ntu.edu.sg/handle/10356/169305" TargetMode="External"/><Relationship Id="rId67" Type="http://schemas.openxmlformats.org/officeDocument/2006/relationships/hyperlink" Target="https://ieeexplore.ieee.org/abstract/document/9657040?casa_token=sxjoBMYV0BoAAAAA:fbZVMqj7ERWlHa1l9k2ULcgTb0sZ0T9F4VWN2sW8DgFQgf6Om35GWgjT_oPlkZm9QCoVeDY" TargetMode="External"/><Relationship Id="rId272" Type="http://schemas.openxmlformats.org/officeDocument/2006/relationships/hyperlink" Target="https://papers.ssrn.com/sol3/papers.cfm?abstract_id=4412215" TargetMode="External"/><Relationship Id="rId88" Type="http://schemas.openxmlformats.org/officeDocument/2006/relationships/hyperlink" Target="https://dl.acm.org/doi/abs/10.1145/3597926.3598125" TargetMode="External"/><Relationship Id="rId111" Type="http://schemas.openxmlformats.org/officeDocument/2006/relationships/hyperlink" Target="https://link.springer.com/chapter/10.1007/978-981-16-4486-3_17" TargetMode="External"/><Relationship Id="rId132" Type="http://schemas.openxmlformats.org/officeDocument/2006/relationships/hyperlink" Target="https://ieeexplore.ieee.org/abstract/document/10270857" TargetMode="External"/><Relationship Id="rId153" Type="http://schemas.openxmlformats.org/officeDocument/2006/relationships/hyperlink" Target="https://era.library.ualberta.ca/items/7f696f89-eb96-4a24-a418-da9f28a34dce" TargetMode="External"/><Relationship Id="rId174" Type="http://schemas.openxmlformats.org/officeDocument/2006/relationships/hyperlink" Target="https://link.springer.com/chapter/10.1007/978-3-031-17196-3_8" TargetMode="External"/><Relationship Id="rId195" Type="http://schemas.openxmlformats.org/officeDocument/2006/relationships/hyperlink" Target="https://cdn.techscience.cn/files/cmc/2023/TSP_CMC-77-3/TSP_CMC_40253/TSP_CMC_40253.pdf" TargetMode="External"/><Relationship Id="rId209" Type="http://schemas.openxmlformats.org/officeDocument/2006/relationships/hyperlink" Target="https://books.google.com/books?hl=it&amp;lr=&amp;id=jEqkEAAAQBAJ&amp;oi=fnd&amp;pg=PA65&amp;dq=+(%E2%80%9Csmart+contract%E2%80%9D+OR+%E2%80%9Csmart+contracts%E2%80%9D+OR+Ethereum)+AND+(vulnerability+OR+vulnerabilities+OR+bug+OR+bugs+OR+security+OR+analysis+OR+detection+OR+tool+OR+verification)&amp;ots=cthK1_9OHS&amp;sig=exUuPaVNM8sasA0tsgrRzKwY7Zw" TargetMode="External"/><Relationship Id="rId220" Type="http://schemas.openxmlformats.org/officeDocument/2006/relationships/hyperlink" Target="https://papers.ssrn.com/sol3/papers.cfm?abstract_id=3876382" TargetMode="External"/><Relationship Id="rId241" Type="http://schemas.openxmlformats.org/officeDocument/2006/relationships/hyperlink" Target="https://patents.google.com/patent/US20220405744A1/en" TargetMode="External"/><Relationship Id="rId15" Type="http://schemas.openxmlformats.org/officeDocument/2006/relationships/hyperlink" Target="https://dl.acm.org/doi/abs/10.1145/3607947.3608069" TargetMode="External"/><Relationship Id="rId36" Type="http://schemas.openxmlformats.org/officeDocument/2006/relationships/hyperlink" Target="https://arxiv.org/abs/2304.02981" TargetMode="External"/><Relationship Id="rId57" Type="http://schemas.openxmlformats.org/officeDocument/2006/relationships/hyperlink" Target="https://web.archive.org/web/20210909005434id_/https:/repositum.tuwien.at/bitstream/20.500.12708/18323/1/Rameder%20Heidelinde%20-%202021%20-%20Systematic%20Review%20of%20Ethereum%20Smart%20Contract...pdf" TargetMode="External"/><Relationship Id="rId262" Type="http://schemas.openxmlformats.org/officeDocument/2006/relationships/hyperlink" Target="https://jslxxb.cn/index.php/jslxxb/article/view/4395" TargetMode="External"/><Relationship Id="rId283" Type="http://schemas.openxmlformats.org/officeDocument/2006/relationships/hyperlink" Target="https://ieeexplore.ieee.org/abstract/document/9860122" TargetMode="External"/><Relationship Id="rId78" Type="http://schemas.openxmlformats.org/officeDocument/2006/relationships/hyperlink" Target="https://www.sciencedirect.com/science/article/pii/S0164121222001418" TargetMode="External"/><Relationship Id="rId99" Type="http://schemas.openxmlformats.org/officeDocument/2006/relationships/hyperlink" Target="https://ietresearch.onlinelibrary.wiley.com/doi/full/10.1049/blc2.12046" TargetMode="External"/><Relationship Id="rId101" Type="http://schemas.openxmlformats.org/officeDocument/2006/relationships/hyperlink" Target="https://arxiv.org/abs/2307.14773" TargetMode="External"/><Relationship Id="rId122" Type="http://schemas.openxmlformats.org/officeDocument/2006/relationships/hyperlink" Target="https://arxiv.org/abs/2201.06811" TargetMode="External"/><Relationship Id="rId143" Type="http://schemas.openxmlformats.org/officeDocument/2006/relationships/hyperlink" Target="https://link.springer.com/article/10.1007/s12083-020-01022-0" TargetMode="External"/><Relationship Id="rId164" Type="http://schemas.openxmlformats.org/officeDocument/2006/relationships/hyperlink" Target="https://link.springer.com/chapter/10.1007/978-3-031-21203-1_34" TargetMode="External"/><Relationship Id="rId185" Type="http://schemas.openxmlformats.org/officeDocument/2006/relationships/hyperlink" Target="https://ebooks.iospress.nl/doi/10.3233/FAIA230374" TargetMode="External"/><Relationship Id="rId9" Type="http://schemas.openxmlformats.org/officeDocument/2006/relationships/hyperlink" Target="https://www.tandfonline.com/doi/full/10.1080/09540091.2022.2066065" TargetMode="External"/><Relationship Id="rId210" Type="http://schemas.openxmlformats.org/officeDocument/2006/relationships/hyperlink" Target="https://eds.p.ebscohost.com/eds/detail/detail?vid=0&amp;sid=96d97792-cb53-4678-bede-db7772ab538c%40redis&amp;bdata=JkF1dGhUeXBlPWlwLHNzbyZsYW5nPWl0JnNpdGU9ZWRzLWxpdmU%3d" TargetMode="External"/><Relationship Id="rId26" Type="http://schemas.openxmlformats.org/officeDocument/2006/relationships/hyperlink" Target="https://arxiv.org/abs/2103.12607" TargetMode="External"/><Relationship Id="rId231" Type="http://schemas.openxmlformats.org/officeDocument/2006/relationships/hyperlink" Target="https://digitalcommons.kennesaw.edu/undergradsymposiumksu/fall2023/presentations/82/" TargetMode="External"/><Relationship Id="rId252" Type="http://schemas.openxmlformats.org/officeDocument/2006/relationships/hyperlink" Target="https://jmcms.s3.amazonaws.com/wp-content/uploads/2022/08/24093022/jmcms-2208001-STUDY-ON-SMART-CONTRACT-HONEYPOT-Swapna-Siddamsetti.pdf" TargetMode="External"/><Relationship Id="rId273" Type="http://schemas.openxmlformats.org/officeDocument/2006/relationships/hyperlink" Target="https://webthesis.biblio.polito.it/secure/26527/1/tesi.pdf" TargetMode="External"/><Relationship Id="rId47" Type="http://schemas.openxmlformats.org/officeDocument/2006/relationships/hyperlink" Target="https://www.sciencedirect.com/science/article/pii/S2214785321030273?casa_token=iI8eqBHd0dAAAAAA:IsrBBuibA8NSlZ2kPSsIOCioFA4YnsqFasV7Uz0FasX4NaFgid2wbeF7pHvjC-05SulB-Rii" TargetMode="External"/><Relationship Id="rId68" Type="http://schemas.openxmlformats.org/officeDocument/2006/relationships/hyperlink" Target="https://hrcak.srce.hr/clanak/414268" TargetMode="External"/><Relationship Id="rId89" Type="http://schemas.openxmlformats.org/officeDocument/2006/relationships/hyperlink" Target="https://www.tandfonline.com/doi/abs/10.1080/03772063.2023.2280672" TargetMode="External"/><Relationship Id="rId112" Type="http://schemas.openxmlformats.org/officeDocument/2006/relationships/hyperlink" Target="https://ntnuopen.ntnu.no/ntnu-xmlui/bitstream/handle/11250/3097878/no.ntnu:inspera:142737689:35422088.pdf?sequence=1" TargetMode="External"/><Relationship Id="rId133" Type="http://schemas.openxmlformats.org/officeDocument/2006/relationships/hyperlink" Target="https://www.worldscientific.com/doi/abs/10.1142/9789811205279_0006" TargetMode="External"/><Relationship Id="rId154" Type="http://schemas.openxmlformats.org/officeDocument/2006/relationships/hyperlink" Target="https://link.springer.com/chapter/10.1007/978-3-031-28124-2_36" TargetMode="External"/><Relationship Id="rId175" Type="http://schemas.openxmlformats.org/officeDocument/2006/relationships/hyperlink" Target="https://ieeexplore.ieee.org/abstract/document/9544155" TargetMode="External"/><Relationship Id="rId196" Type="http://schemas.openxmlformats.org/officeDocument/2006/relationships/hyperlink" Target="https://journal.unipdu.ac.id/index.php/register/article/download/1959/1235" TargetMode="External"/><Relationship Id="rId200" Type="http://schemas.openxmlformats.org/officeDocument/2006/relationships/hyperlink" Target="https://link.springer.com/chapter/10.1007/978-981-16-2937-2_26" TargetMode="External"/><Relationship Id="rId16" Type="http://schemas.openxmlformats.org/officeDocument/2006/relationships/hyperlink" Target="https://ieeexplore.ieee.org/abstract/document/10278055" TargetMode="External"/><Relationship Id="rId221" Type="http://schemas.openxmlformats.org/officeDocument/2006/relationships/hyperlink" Target="https://digitalcommons.dartmouth.edu/senior_theses/265/" TargetMode="External"/><Relationship Id="rId242" Type="http://schemas.openxmlformats.org/officeDocument/2006/relationships/hyperlink" Target="https://oa.upm.es/68767/" TargetMode="External"/><Relationship Id="rId263" Type="http://schemas.openxmlformats.org/officeDocument/2006/relationships/hyperlink" Target="https://patents.google.com/patent/US20230325814A1/en" TargetMode="External"/><Relationship Id="rId284" Type="http://schemas.openxmlformats.org/officeDocument/2006/relationships/hyperlink" Target="https://ijlcw.emnuvens.com.br/revista/article/view/22" TargetMode="External"/><Relationship Id="rId37" Type="http://schemas.openxmlformats.org/officeDocument/2006/relationships/hyperlink" Target="https://link.springer.com/chapter/10.1007/978-3-030-94029-4_6" TargetMode="External"/><Relationship Id="rId58" Type="http://schemas.openxmlformats.org/officeDocument/2006/relationships/hyperlink" Target="https://theses.lib.polyu.edu.hk/handle/200/11411" TargetMode="External"/><Relationship Id="rId79" Type="http://schemas.openxmlformats.org/officeDocument/2006/relationships/hyperlink" Target="https://www.sciencedirect.com/science/article/pii/S0045790623001908" TargetMode="External"/><Relationship Id="rId102" Type="http://schemas.openxmlformats.org/officeDocument/2006/relationships/hyperlink" Target="https://csitcp.com/paper/13/136csit01.pdf" TargetMode="External"/><Relationship Id="rId123" Type="http://schemas.openxmlformats.org/officeDocument/2006/relationships/hyperlink" Target="https://link.springer.com/chapter/10.1007/978-3-030-85843-8_4" TargetMode="External"/><Relationship Id="rId144" Type="http://schemas.openxmlformats.org/officeDocument/2006/relationships/hyperlink" Target="https://ieeexplore.ieee.org/abstract/document/9608826" TargetMode="External"/><Relationship Id="rId90" Type="http://schemas.openxmlformats.org/officeDocument/2006/relationships/hyperlink" Target="https://www.hindawi.com/journals/scn/2022/5307697/" TargetMode="External"/><Relationship Id="rId165" Type="http://schemas.openxmlformats.org/officeDocument/2006/relationships/hyperlink" Target="https://www.mdpi.com/2079-9292/11/4/597" TargetMode="External"/><Relationship Id="rId186" Type="http://schemas.openxmlformats.org/officeDocument/2006/relationships/hyperlink" Target="https://scholarhub.ui.ac.id/icmr/vol14/iss1/4/" TargetMode="External"/><Relationship Id="rId211" Type="http://schemas.openxmlformats.org/officeDocument/2006/relationships/hyperlink" Target="https://papers.ssrn.com/sol3/papers.cfm?abstract_id=4193273" TargetMode="External"/><Relationship Id="rId232" Type="http://schemas.openxmlformats.org/officeDocument/2006/relationships/hyperlink" Target="https://link.springer.com/chapter/10.1007/978-3-030-90513-2_16" TargetMode="External"/><Relationship Id="rId253" Type="http://schemas.openxmlformats.org/officeDocument/2006/relationships/hyperlink" Target="https://ui.adsabs.harvard.edu/abs/2023arXiv231101406K/abstract" TargetMode="External"/><Relationship Id="rId274" Type="http://schemas.openxmlformats.org/officeDocument/2006/relationships/hyperlink" Target="http://repository.uph.edu/48742/" TargetMode="External"/><Relationship Id="rId27" Type="http://schemas.openxmlformats.org/officeDocument/2006/relationships/hyperlink" Target="https://ieeexplore.ieee.org/abstract/document/10192903" TargetMode="External"/><Relationship Id="rId48" Type="http://schemas.openxmlformats.org/officeDocument/2006/relationships/hyperlink" Target="https://link.springer.com/chapter/10.1007/978-981-99-9247-8_43" TargetMode="External"/><Relationship Id="rId69" Type="http://schemas.openxmlformats.org/officeDocument/2006/relationships/hyperlink" Target="https://dro.deakin.edu.au/articles/thesis/Empirical_Studies_of_Security_and_Privacy_on_Real_World_Ethereum_Smart_Contracts/23797176/1/files/41737689.pdf" TargetMode="External"/><Relationship Id="rId113" Type="http://schemas.openxmlformats.org/officeDocument/2006/relationships/hyperlink" Target="https://patents.google.com/patent/US11526614B2/en" TargetMode="External"/><Relationship Id="rId134" Type="http://schemas.openxmlformats.org/officeDocument/2006/relationships/hyperlink" Target="https://dl.acm.org/doi/abs/10.1145/3453483.3454112" TargetMode="External"/><Relationship Id="rId80" Type="http://schemas.openxmlformats.org/officeDocument/2006/relationships/hyperlink" Target="https://link.springer.com/chapter/10.1007/978-3-031-48325-7_21" TargetMode="External"/><Relationship Id="rId155" Type="http://schemas.openxmlformats.org/officeDocument/2006/relationships/hyperlink" Target="https://link.springer.com/chapter/10.1007/978-3-030-99524-9_10" TargetMode="External"/><Relationship Id="rId176" Type="http://schemas.openxmlformats.org/officeDocument/2006/relationships/hyperlink" Target="https://arxiv.org/abs/2308.16391" TargetMode="External"/><Relationship Id="rId197" Type="http://schemas.openxmlformats.org/officeDocument/2006/relationships/hyperlink" Target="https://arxiv.org/abs/2311.01406" TargetMode="External"/><Relationship Id="rId201" Type="http://schemas.openxmlformats.org/officeDocument/2006/relationships/hyperlink" Target="https://ejournal.staiduba.ac.id/index.php/taamul/article/view/2" TargetMode="External"/><Relationship Id="rId222" Type="http://schemas.openxmlformats.org/officeDocument/2006/relationships/hyperlink" Target="http://www.joca.cn/EN/Y2022/V42/I6/1922" TargetMode="External"/><Relationship Id="rId243" Type="http://schemas.openxmlformats.org/officeDocument/2006/relationships/hyperlink" Target="https://ui.adsabs.harvard.edu/abs/2023arXiv230908474D/abstract" TargetMode="External"/><Relationship Id="rId264" Type="http://schemas.openxmlformats.org/officeDocument/2006/relationships/hyperlink" Target="https://animorepository.dlsu.edu.ph/etdb_econ/47/" TargetMode="External"/><Relationship Id="rId285" Type="http://schemas.openxmlformats.org/officeDocument/2006/relationships/hyperlink" Target="https://www.sciencedirect.com/science/article/pii/S2352220822000256" TargetMode="External"/><Relationship Id="rId17" Type="http://schemas.openxmlformats.org/officeDocument/2006/relationships/hyperlink" Target="https://repository.ubaya.ac.id/43142/" TargetMode="External"/><Relationship Id="rId38" Type="http://schemas.openxmlformats.org/officeDocument/2006/relationships/hyperlink" Target="https://www.usenix.org/conference/usenixsecurity21/presentation/perez" TargetMode="External"/><Relationship Id="rId59" Type="http://schemas.openxmlformats.org/officeDocument/2006/relationships/hyperlink" Target="https://ieeexplore.ieee.org/abstract/document/9608826?casa_token=sqe-HBwD9OoAAAAA:FEFNa_Sf5sYwrQC-C9qZF7c_mCZ4UQyaegYX0CdAIHCMqnwcp_PkyrbuUTri7vnAvrqtl1c" TargetMode="External"/><Relationship Id="rId103" Type="http://schemas.openxmlformats.org/officeDocument/2006/relationships/hyperlink" Target="https://www.sciencedirect.com/science/article/pii/S0164121223000948" TargetMode="External"/><Relationship Id="rId124" Type="http://schemas.openxmlformats.org/officeDocument/2006/relationships/hyperlink" Target="https://commons.lib.jmu.edu/masters202029/214/" TargetMode="External"/><Relationship Id="rId70" Type="http://schemas.openxmlformats.org/officeDocument/2006/relationships/hyperlink" Target="https://www.hindawi.com/journals/wcmc/2023/9212269/" TargetMode="External"/><Relationship Id="rId91" Type="http://schemas.openxmlformats.org/officeDocument/2006/relationships/hyperlink" Target="https://ieeexplore.ieee.org/abstract/document/10130487" TargetMode="External"/><Relationship Id="rId145" Type="http://schemas.openxmlformats.org/officeDocument/2006/relationships/hyperlink" Target="https://link.springer.com/chapter/10.1007/978-3-031-47549-8_26" TargetMode="External"/><Relationship Id="rId166" Type="http://schemas.openxmlformats.org/officeDocument/2006/relationships/hyperlink" Target="https://arxiv.org/abs/2203.09843" TargetMode="External"/><Relationship Id="rId187" Type="http://schemas.openxmlformats.org/officeDocument/2006/relationships/hyperlink" Target="https://www.spiedigitallibrary.org/conference-proceedings-of-spie/12636/126362Z/Three-technical-aspects-and-security-issues-of-Ethereum/10.1117/12.2675425.short" TargetMode="External"/><Relationship Id="rId1" Type="http://schemas.openxmlformats.org/officeDocument/2006/relationships/hyperlink" Target="https://www.mdpi.com/2624-800X/2/2/19" TargetMode="External"/><Relationship Id="rId212" Type="http://schemas.openxmlformats.org/officeDocument/2006/relationships/hyperlink" Target="https://www.jos.org.cn/josen/article/abstract/6603" TargetMode="External"/><Relationship Id="rId233" Type="http://schemas.openxmlformats.org/officeDocument/2006/relationships/hyperlink" Target="https://www.researchgate.net/profile/Md-Ratul-Amin/publication/349473746_CROWDFUNDING_SMART_CONTRACT_SECURITY_AND_CHALLENGES/links/603f39fca6fdcc9c780c8781/CROWDFUNDING-SMART-CONTRACT-SECURITY-AND-CHALLENGES.pdf" TargetMode="External"/><Relationship Id="rId254" Type="http://schemas.openxmlformats.org/officeDocument/2006/relationships/hyperlink" Target="https://scholarship.claremont.edu/cmc_theses/2608/" TargetMode="External"/><Relationship Id="rId28" Type="http://schemas.openxmlformats.org/officeDocument/2006/relationships/hyperlink" Target="https://uwspace.uwaterloo.ca/handle/10012/16885" TargetMode="External"/><Relationship Id="rId49" Type="http://schemas.openxmlformats.org/officeDocument/2006/relationships/hyperlink" Target="https://ieeexplore.ieee.org/abstract/document/9700296?casa_token=lmrU2K8lxAMAAAAA:w85DTIFlG9-ewMjMMCbw2QTfMA03uOAtCuwtATVBOeHYRImk5ezYIv2ZHSimPwUGi4puGMw" TargetMode="External"/><Relationship Id="rId114" Type="http://schemas.openxmlformats.org/officeDocument/2006/relationships/hyperlink" Target="https://www.usenix.org/conference/usenixsecurity23/presentation/cernera" TargetMode="External"/><Relationship Id="rId275" Type="http://schemas.openxmlformats.org/officeDocument/2006/relationships/hyperlink" Target="https://thesis.unipd.it/handle/20.500.12608/53846" TargetMode="External"/><Relationship Id="rId60" Type="http://schemas.openxmlformats.org/officeDocument/2006/relationships/hyperlink" Target="https://drpress.org/ojs/index.php/HSET/article/view/5498/5317" TargetMode="External"/><Relationship Id="rId81" Type="http://schemas.openxmlformats.org/officeDocument/2006/relationships/hyperlink" Target="https://ieeexplore.ieee.org/abstract/document/10108045" TargetMode="External"/><Relationship Id="rId135" Type="http://schemas.openxmlformats.org/officeDocument/2006/relationships/hyperlink" Target="https://cdn.techscience.cn/files/csse/2023/TSP_CSSE-47-1/TSP_CSSE_39569/TSP_CSSE_39569.pdf" TargetMode="External"/><Relationship Id="rId156" Type="http://schemas.openxmlformats.org/officeDocument/2006/relationships/hyperlink" Target="https://cdn.techscience.cn/files/cmc/2023/TSP_CMC-76-2/TSP_CMC_39381/TSP_CMC_39381.pdf" TargetMode="External"/><Relationship Id="rId177" Type="http://schemas.openxmlformats.org/officeDocument/2006/relationships/hyperlink" Target="https://ieeexplore.ieee.org/abstract/document/10174879" TargetMode="External"/><Relationship Id="rId198" Type="http://schemas.openxmlformats.org/officeDocument/2006/relationships/hyperlink" Target="https://ieeexplore.ieee.org/abstract/document/9881858" TargetMode="External"/><Relationship Id="rId202" Type="http://schemas.openxmlformats.org/officeDocument/2006/relationships/hyperlink" Target="https://ieeexplore.ieee.org/abstract/document/9565661" TargetMode="External"/><Relationship Id="rId223" Type="http://schemas.openxmlformats.org/officeDocument/2006/relationships/hyperlink" Target="https://www.igi-global.com/chapter/the-new-approach-to-the-architecture-of-smart-contracts/324648" TargetMode="External"/><Relationship Id="rId244" Type="http://schemas.openxmlformats.org/officeDocument/2006/relationships/hyperlink" Target="https://patents.google.com/patent/US11580540B2/en" TargetMode="External"/><Relationship Id="rId18" Type="http://schemas.openxmlformats.org/officeDocument/2006/relationships/hyperlink" Target="https://itcon.org/papers/2022_47-ITcon-Chung.pdf" TargetMode="External"/><Relationship Id="rId39" Type="http://schemas.openxmlformats.org/officeDocument/2006/relationships/hyperlink" Target="https://orbilu.uni.lu/handle/10993/51118" TargetMode="External"/><Relationship Id="rId265" Type="http://schemas.openxmlformats.org/officeDocument/2006/relationships/hyperlink" Target="https://repository.tudelft.nl/islandora/object/uuid:693159cd-8dee-453b-b7f6-f69dd1235b86" TargetMode="External"/><Relationship Id="rId286" Type="http://schemas.openxmlformats.org/officeDocument/2006/relationships/hyperlink" Target="https://link.springer.com/article/10.1007/s11704-020-9284-9" TargetMode="External"/><Relationship Id="rId50" Type="http://schemas.openxmlformats.org/officeDocument/2006/relationships/hyperlink" Target="https://ieeexplore.ieee.org/abstract/document/10371421?casa_token=mSO-2-SQH6wAAAAA:TxW1DRrUmpfyKVVIY9sJfnUq6o24yaXucDPJ7Q-RuH778THgkvPEOJ9lbptgqemmDqQ1M-s" TargetMode="External"/><Relationship Id="rId104" Type="http://schemas.openxmlformats.org/officeDocument/2006/relationships/hyperlink" Target="https://cccisa.ccisa.org.tw/article/view/2532" TargetMode="External"/><Relationship Id="rId125" Type="http://schemas.openxmlformats.org/officeDocument/2006/relationships/hyperlink" Target="https://ieeexplore.ieee.org/abstract/document/9881605" TargetMode="External"/><Relationship Id="rId146" Type="http://schemas.openxmlformats.org/officeDocument/2006/relationships/hyperlink" Target="https://ijisae.org/index.php/IJISAE/article/view/3471" TargetMode="External"/><Relationship Id="rId167" Type="http://schemas.openxmlformats.org/officeDocument/2006/relationships/hyperlink" Target="https://ieeexplore.ieee.org/abstract/document/9817198" TargetMode="External"/><Relationship Id="rId188" Type="http://schemas.openxmlformats.org/officeDocument/2006/relationships/hyperlink" Target="https://www.researchgate.net/profile/Sabri-Ahmad-Hisham/publication/377486941_An_interpretable_ensemble_model_framework_for_real-time_anomaly_detection_and_prediction_of_Ethereum_blockchain_transactions/links/65a92111a59bf45fc9d52ad7/An-interpretable-ensemble-model-framework-for-real-time-anomaly-detection-and-prediction-of-Ethereum-blockchain-transactions.pdf" TargetMode="External"/><Relationship Id="rId71" Type="http://schemas.openxmlformats.org/officeDocument/2006/relationships/hyperlink" Target="https://www.sciencedirect.com/science/article/pii/S016412122300314X?casa_token=ya4gUTqe5o8AAAAA:IT9sZYUq2FC5Po8TLXJ7PoTcvnGVSfU1w0AAnKmtwnkGWehJmtrSvcaYCMgWlk25ROquMz2U" TargetMode="External"/><Relationship Id="rId92" Type="http://schemas.openxmlformats.org/officeDocument/2006/relationships/hyperlink" Target="http://ais.khpi.edu.ua/article/view/292286" TargetMode="External"/><Relationship Id="rId213" Type="http://schemas.openxmlformats.org/officeDocument/2006/relationships/hyperlink" Target="https://heinonline.org/HOL/LandingPage?handle=hein.journals/lwsfkhv2022&amp;div=81&amp;id=&amp;page=" TargetMode="External"/><Relationship Id="rId234" Type="http://schemas.openxmlformats.org/officeDocument/2006/relationships/hyperlink" Target="https://heinonline.org/HOL/LandingPage?handle=hein.journals/injlolw6&amp;div=68&amp;id=&amp;page=" TargetMode="External"/><Relationship Id="rId2" Type="http://schemas.openxmlformats.org/officeDocument/2006/relationships/hyperlink" Target="https://onlinelibrary.wiley.com/doi/epdf/10.1002/spe.3156" TargetMode="External"/><Relationship Id="rId29" Type="http://schemas.openxmlformats.org/officeDocument/2006/relationships/hyperlink" Target="https://www.sciencedirect.com/science/article/pii/S0306457320309547?casa_token=ybb9-luq2bgAAAAA:6FevXDqgpHUgt_lhlVNhGtNRnQxOhwJvJdxYR4FCqQa-2FK4XmDC-_uRJXHVswNcPbo-PI7l" TargetMode="External"/><Relationship Id="rId255" Type="http://schemas.openxmlformats.org/officeDocument/2006/relationships/hyperlink" Target="https://ederjohn.com/files/theses/MAP-D-Demeter-L-Muhamad.pdf" TargetMode="External"/><Relationship Id="rId276" Type="http://schemas.openxmlformats.org/officeDocument/2006/relationships/hyperlink" Target="https://dialnet.unirioja.es/servlet/articulo?codigo=9206663" TargetMode="External"/><Relationship Id="rId40" Type="http://schemas.openxmlformats.org/officeDocument/2006/relationships/hyperlink" Target="https://ieeexplore.ieee.org/abstract/document/9932169" TargetMode="External"/><Relationship Id="rId115" Type="http://schemas.openxmlformats.org/officeDocument/2006/relationships/hyperlink" Target="https://arxiv.org/abs/2309.08474" TargetMode="External"/><Relationship Id="rId136" Type="http://schemas.openxmlformats.org/officeDocument/2006/relationships/hyperlink" Target="https://www.researchgate.net/profile/Vishalkumar-Langaliya/publication/355045586_A_Comparative_and_Comprehensive_Analysis_of_Smart_Contract_Enabled_Blockchain_Applications_Smart_Contract_Enabled_Blockchain_Applications/links/62ff8097e3c7de4c3469f5e1/A-Comparative-and-Comprehensive-Analysis-of-Smart-Contract-Enabled-Blockchain-Applications-Smart-Contract-Enabled-Blockchain-Applications.pdf" TargetMode="External"/><Relationship Id="rId157" Type="http://schemas.openxmlformats.org/officeDocument/2006/relationships/hyperlink" Target="https://link.springer.com/chapter/10.1007/978-3-030-99584-3_18" TargetMode="External"/><Relationship Id="rId178" Type="http://schemas.openxmlformats.org/officeDocument/2006/relationships/hyperlink" Target="https://ieeexplore.ieee.org/abstract/document/10279381" TargetMode="External"/><Relationship Id="rId61" Type="http://schemas.openxmlformats.org/officeDocument/2006/relationships/hyperlink" Target="https://synthical.com/article/ed404388-ffad-11ed-9b54-72eb57fa10b3" TargetMode="External"/><Relationship Id="rId82" Type="http://schemas.openxmlformats.org/officeDocument/2006/relationships/hyperlink" Target="https://dl.acm.org/doi/abs/10.1145/3628797.3628945" TargetMode="External"/><Relationship Id="rId199" Type="http://schemas.openxmlformats.org/officeDocument/2006/relationships/hyperlink" Target="https://ieeexplore.ieee.org/abstract/document/9914429" TargetMode="External"/><Relationship Id="rId203" Type="http://schemas.openxmlformats.org/officeDocument/2006/relationships/hyperlink" Target="https://link.springer.com/chapter/10.1007/978-981-99-4402-6_18" TargetMode="External"/><Relationship Id="rId19" Type="http://schemas.openxmlformats.org/officeDocument/2006/relationships/hyperlink" Target="https://ieeexplore.ieee.org/abstract/document/10293363" TargetMode="External"/><Relationship Id="rId224" Type="http://schemas.openxmlformats.org/officeDocument/2006/relationships/hyperlink" Target="https://patents.google.com/patent/US11036614B1/en" TargetMode="External"/><Relationship Id="rId245" Type="http://schemas.openxmlformats.org/officeDocument/2006/relationships/hyperlink" Target="https://patents.google.com/patent/US11411947B2/en" TargetMode="External"/><Relationship Id="rId266" Type="http://schemas.openxmlformats.org/officeDocument/2006/relationships/hyperlink" Target="https://www.sid.ir/paper/1060154/en" TargetMode="External"/><Relationship Id="rId287" Type="http://schemas.openxmlformats.org/officeDocument/2006/relationships/hyperlink" Target="https://www.informatics-europe.org/images/ECSS/ECSS2022/members-spotlight/Proceedings-Early-Career-Researchers-Workshop-ECSS2021.pdf" TargetMode="External"/><Relationship Id="rId30" Type="http://schemas.openxmlformats.org/officeDocument/2006/relationships/hyperlink" Target="https://flore.unifi.it/handle/2158/1272428" TargetMode="External"/><Relationship Id="rId105" Type="http://schemas.openxmlformats.org/officeDocument/2006/relationships/hyperlink" Target="https://books.google.com/books?hl=it&amp;lr=&amp;id=4x3nEAAAQBAJ&amp;oi=fnd&amp;pg=PA276&amp;dq=+(%E2%80%9Csmart+contract%E2%80%9D+OR+%E2%80%9Csmart+contracts%E2%80%9D+OR+Ethereum)+AND+(vulnerability+OR+vulnerabilities+OR+bug+OR+bugs+OR+security+OR+analysis+OR+detection+OR+tool+OR+verification)&amp;ots=QS1SRii5yW&amp;sig=ab-mjqZulvTgEXTwBKQRY-m47d4" TargetMode="External"/><Relationship Id="rId126" Type="http://schemas.openxmlformats.org/officeDocument/2006/relationships/hyperlink" Target="https://ieeexplore.ieee.org/abstract/document/9824581" TargetMode="External"/><Relationship Id="rId147" Type="http://schemas.openxmlformats.org/officeDocument/2006/relationships/hyperlink" Target="https://link.springer.com/chapter/10.1007/978-3-031-23340-1_5" TargetMode="External"/><Relationship Id="rId168" Type="http://schemas.openxmlformats.org/officeDocument/2006/relationships/hyperlink" Target="https://www.igi-global.com/chapter/twitter-sentiment-data-analysis-of-user-behavior-on-cryptocurrencies/264943" TargetMode="External"/><Relationship Id="rId51" Type="http://schemas.openxmlformats.org/officeDocument/2006/relationships/hyperlink" Target="https://dl.acm.org/doi/abs/10.1145/3530019.3531342?casa_token=9DDoe2yjtboAAAAA:XJBEeeUxKl4FQ5M9dzsWBcfQJJhXOsKbHdV21CQxSRYh7UoLEX-URQe_gtQH97nBe3eIIk_XO5U" TargetMode="External"/><Relationship Id="rId72" Type="http://schemas.openxmlformats.org/officeDocument/2006/relationships/hyperlink" Target="https://unbscholar.lib.unb.ca/items/a16c685b-381d-4f5c-89f4-008b338dd114" TargetMode="External"/><Relationship Id="rId93" Type="http://schemas.openxmlformats.org/officeDocument/2006/relationships/hyperlink" Target="https://cdn.techscience.cn/ueditor/files/csse/TSP_CSSE-38-1/TSP_CSSE_15547/TSP_CSSE_15547.pdf" TargetMode="External"/><Relationship Id="rId189" Type="http://schemas.openxmlformats.org/officeDocument/2006/relationships/hyperlink" Target="https://ieeexplore.ieee.org/abstract/document/9346270" TargetMode="External"/><Relationship Id="rId3" Type="http://schemas.openxmlformats.org/officeDocument/2006/relationships/hyperlink" Target="http://dspace.op.edu.ua/jspui/bitstream/123456789/13894/1/157-%d0%a2%d0%b5%d0%ba%d1%81%d1%82%20%d1%81%d1%82%d0%b0%d1%82%d1%82%d1%96-199-2-10-20230420.pdf" TargetMode="External"/><Relationship Id="rId214" Type="http://schemas.openxmlformats.org/officeDocument/2006/relationships/hyperlink" Target="https://www.atlantis-press.com/proceedings/msea-22/125982679" TargetMode="External"/><Relationship Id="rId235" Type="http://schemas.openxmlformats.org/officeDocument/2006/relationships/hyperlink" Target="https://www.graphen.ai/course/bigdata/reports/202212-22.pdf" TargetMode="External"/><Relationship Id="rId256" Type="http://schemas.openxmlformats.org/officeDocument/2006/relationships/hyperlink" Target="https://patents.google.com/patent/US20210365555A1/en" TargetMode="External"/><Relationship Id="rId277" Type="http://schemas.openxmlformats.org/officeDocument/2006/relationships/hyperlink" Target="https://www.jatit.org/volumes/Vol101No21/22Vol101No21.pdf" TargetMode="External"/><Relationship Id="rId116" Type="http://schemas.openxmlformats.org/officeDocument/2006/relationships/hyperlink" Target="https://ieeexplore.ieee.org/abstract/document/10305867" TargetMode="External"/><Relationship Id="rId137" Type="http://schemas.openxmlformats.org/officeDocument/2006/relationships/hyperlink" Target="https://link.springer.com/article/10.1007/s12083-023-01598-3" TargetMode="External"/><Relationship Id="rId158" Type="http://schemas.openxmlformats.org/officeDocument/2006/relationships/hyperlink" Target="https://d1wqtxts1xzle7.cloudfront.net/67889801/ijeter21972021-libre.pdf?1625557204=&amp;response-content-disposition=inline%3B+filename%3DCyber_Security_Intelligence_and_Ethereum.pdf&amp;Expires=1706267310&amp;Signature=SbiwhXbhSffZdoL-2IU9X2heBvs~DAPywwo~N7L~jZG5P~tLYVFZUMnqHZ8Sp31IpLW8PzIbyvHYPFwo2iEKGYzoSZNr91I8294p4hVG5f1j2uFHCYiuVXDC~ERjU2cjryopFYweGcUsuTH~qoKnRkfHLkID4ah-CTCsDGsabA-QhmxcCwnTyoPNMNiBs4jeCgb8YUSSE64X-WfKaIGa9VpIlwKBcug6MTtB-0Qoozu30Bx~vnI-MkQ8Ync~by1I7ngboVAgfNur5CA2oECXqXoO0t-pltrlVf3Zh6iUAa5n42x0MocTTiyL5eGw6hwnzW7agD9kcQT1k9oB9wRv8Q__&amp;Key-Pair-Id=APKAJLOHF5GGSLRBV4ZA" TargetMode="External"/><Relationship Id="rId20" Type="http://schemas.openxmlformats.org/officeDocument/2006/relationships/hyperlink" Target="https://arxiv.org/abs/2302.08496" TargetMode="External"/><Relationship Id="rId41" Type="http://schemas.openxmlformats.org/officeDocument/2006/relationships/hyperlink" Target="https://link.springer.com/article/10.1007/s10618-023-00981-1" TargetMode="External"/><Relationship Id="rId62" Type="http://schemas.openxmlformats.org/officeDocument/2006/relationships/hyperlink" Target="https://www.mdpi.com/2227-7390/11/2/418" TargetMode="External"/><Relationship Id="rId83" Type="http://schemas.openxmlformats.org/officeDocument/2006/relationships/hyperlink" Target="https://www.politesi.polimi.it/handle/10589/215678" TargetMode="External"/><Relationship Id="rId179" Type="http://schemas.openxmlformats.org/officeDocument/2006/relationships/hyperlink" Target="https://ieeexplore.ieee.org/abstract/document/10080177" TargetMode="External"/><Relationship Id="rId190" Type="http://schemas.openxmlformats.org/officeDocument/2006/relationships/hyperlink" Target="https://www.sciencedirect.com/science/article/abs/pii/B9780323961462000280" TargetMode="External"/><Relationship Id="rId204" Type="http://schemas.openxmlformats.org/officeDocument/2006/relationships/hyperlink" Target="https://arxiv.org/abs/2207.04459" TargetMode="External"/><Relationship Id="rId225" Type="http://schemas.openxmlformats.org/officeDocument/2006/relationships/hyperlink" Target="https://pubs.aip.org/aip/acp/article/2383/1/070010/2820348/Smart-contracts-functionality-analysis-and-game" TargetMode="External"/><Relationship Id="rId246" Type="http://schemas.openxmlformats.org/officeDocument/2006/relationships/hyperlink" Target="https://patents.google.com/patent/US20210152369A1/en" TargetMode="External"/><Relationship Id="rId267" Type="http://schemas.openxmlformats.org/officeDocument/2006/relationships/hyperlink" Target="https://www.earticle.net/Article/A430800" TargetMode="External"/><Relationship Id="rId288" Type="http://schemas.openxmlformats.org/officeDocument/2006/relationships/hyperlink" Target="https://www.research-collection.ethz.ch/handle/20.500.11850/523134" TargetMode="External"/><Relationship Id="rId106" Type="http://schemas.openxmlformats.org/officeDocument/2006/relationships/hyperlink" Target="https://eds.p.ebscohost.com/eds/detail/detail?vid=0&amp;sid=2fd0b3bd-f636-468a-b6e7-55289a0f2a54%40redis&amp;bdata=JkF1dGhUeXBlPWlwLHNzbyZsYW5nPWl0JnNpdGU9ZWRzLWxpdmU%3d" TargetMode="External"/><Relationship Id="rId127" Type="http://schemas.openxmlformats.org/officeDocument/2006/relationships/hyperlink" Target="https://dl.acm.org/doi/abs/10.1145/3586102.3586135" TargetMode="External"/><Relationship Id="rId10" Type="http://schemas.openxmlformats.org/officeDocument/2006/relationships/hyperlink" Target="https://dl.acm.org/doi/abs/10.1145/3464421" TargetMode="External"/><Relationship Id="rId31" Type="http://schemas.openxmlformats.org/officeDocument/2006/relationships/hyperlink" Target="https://link.springer.com/article/10.1007/s11276-023-03587-z" TargetMode="External"/><Relationship Id="rId52" Type="http://schemas.openxmlformats.org/officeDocument/2006/relationships/hyperlink" Target="https://www.mdpi.com/1424-8220/22/9/3581" TargetMode="External"/><Relationship Id="rId73" Type="http://schemas.openxmlformats.org/officeDocument/2006/relationships/hyperlink" Target="https://www.sciencedirect.com/science/article/pii/S2096720922000616" TargetMode="External"/><Relationship Id="rId94" Type="http://schemas.openxmlformats.org/officeDocument/2006/relationships/hyperlink" Target="https://www.sciencedirect.com/science/article/pii/S0164121223001000" TargetMode="External"/><Relationship Id="rId148" Type="http://schemas.openxmlformats.org/officeDocument/2006/relationships/hyperlink" Target="https://ieeexplore.ieee.org/abstract/document/9825824" TargetMode="External"/><Relationship Id="rId169" Type="http://schemas.openxmlformats.org/officeDocument/2006/relationships/hyperlink" Target="https://link.springer.com/article/10.1007/s11227-023-05517-4" TargetMode="External"/><Relationship Id="rId4" Type="http://schemas.openxmlformats.org/officeDocument/2006/relationships/hyperlink" Target="https://www.degruyter.com/document/doi/10.1515/jisys-2023-0038/html" TargetMode="External"/><Relationship Id="rId180" Type="http://schemas.openxmlformats.org/officeDocument/2006/relationships/hyperlink" Target="https://peerj.com/articles/cs-815/" TargetMode="External"/><Relationship Id="rId215" Type="http://schemas.openxmlformats.org/officeDocument/2006/relationships/hyperlink" Target="https://www.atlantis-press.com/proceedings/msea-22/125982733" TargetMode="External"/><Relationship Id="rId236" Type="http://schemas.openxmlformats.org/officeDocument/2006/relationships/hyperlink" Target="https://nijocet.fud.edu.ng/wp-content/uploads/2023/09/NIJOCET-VOL2-ID006.pdf" TargetMode="External"/><Relationship Id="rId257" Type="http://schemas.openxmlformats.org/officeDocument/2006/relationships/hyperlink" Target="https://repository.tudelft.nl/islandora/object/uuid:dbf548c7-849f-4aad-b4b7-455ba4a1835d" TargetMode="External"/><Relationship Id="rId278" Type="http://schemas.openxmlformats.org/officeDocument/2006/relationships/hyperlink" Target="https://ieeexplore.ieee.org/abstract/document/9591750" TargetMode="External"/><Relationship Id="rId42" Type="http://schemas.openxmlformats.org/officeDocument/2006/relationships/hyperlink" Target="https://www.mdpi.com/2076-3417/13/3/1733" TargetMode="External"/><Relationship Id="rId84" Type="http://schemas.openxmlformats.org/officeDocument/2006/relationships/hyperlink" Target="https://ieeexplore.ieee.org/abstract/document/10319764" TargetMode="External"/><Relationship Id="rId138" Type="http://schemas.openxmlformats.org/officeDocument/2006/relationships/hyperlink" Target="https://www.sciencedirect.com/science/article/pii/S0167739X23004351" TargetMode="External"/><Relationship Id="rId191" Type="http://schemas.openxmlformats.org/officeDocument/2006/relationships/hyperlink" Target="https://link.springer.com/chapter/10.1007/978-981-19-8338-2_28" TargetMode="External"/><Relationship Id="rId205" Type="http://schemas.openxmlformats.org/officeDocument/2006/relationships/hyperlink" Target="https://patents.google.com/patent/US11494764B2/en" TargetMode="External"/><Relationship Id="rId247" Type="http://schemas.openxmlformats.org/officeDocument/2006/relationships/hyperlink" Target="https://www.politesi.polimi.it/handle/10589/173329" TargetMode="External"/><Relationship Id="rId107" Type="http://schemas.openxmlformats.org/officeDocument/2006/relationships/hyperlink" Target="https://cccisa.ccisa.org.tw/article/view/2858" TargetMode="External"/><Relationship Id="rId289" Type="http://schemas.openxmlformats.org/officeDocument/2006/relationships/hyperlink" Target="https://ieeexplore.ieee.org/abstract/document/9409120" TargetMode="External"/><Relationship Id="rId11" Type="http://schemas.openxmlformats.org/officeDocument/2006/relationships/hyperlink" Target="https://ojs.wiserpub.com/index.php/CCDS/article/view/3271/1593" TargetMode="External"/><Relationship Id="rId53" Type="http://schemas.openxmlformats.org/officeDocument/2006/relationships/hyperlink" Target="https://www.mdpi.com/1424-8220/23/16/7246" TargetMode="External"/><Relationship Id="rId149" Type="http://schemas.openxmlformats.org/officeDocument/2006/relationships/hyperlink" Target="https://www.researchgate.net/profile/Ranadeep-Reddy-Palle/publication/377302689_Enhancing_Cloud-Based_Smart_Contract_Security_A_Hybrid_AI_and_Optimization_Approach_for_Vulnerability_Prediction_in_FinTech/links/659f51bbaf617b0d873bcb2a/Enhancing-Cloud-Based-Smart-Contract-Security-A-Hybrid-AI-and-Optimization-Approach-for-Vulnerability-Prediction-in-FinTech.pdf" TargetMode="External"/><Relationship Id="rId95" Type="http://schemas.openxmlformats.org/officeDocument/2006/relationships/hyperlink" Target="https://www.mdpi.com/2227-7390/11/23/4823" TargetMode="External"/><Relationship Id="rId160" Type="http://schemas.openxmlformats.org/officeDocument/2006/relationships/hyperlink" Target="https://ieeexplore.ieee.org/abstract/document/9461142&#249;" TargetMode="External"/><Relationship Id="rId216" Type="http://schemas.openxmlformats.org/officeDocument/2006/relationships/hyperlink" Target="https://ieeexplore.ieee.org/abstract/document/9724726" TargetMode="External"/><Relationship Id="rId258" Type="http://schemas.openxmlformats.org/officeDocument/2006/relationships/hyperlink" Target="https://papers.ssrn.com/sol3/papers.cfm?abstract_id=4545214" TargetMode="External"/><Relationship Id="rId22" Type="http://schemas.openxmlformats.org/officeDocument/2006/relationships/hyperlink" Target="https://www.igi-global.com/gateway/article/full-text-pdf/304048&amp;riu=true" TargetMode="External"/><Relationship Id="rId64" Type="http://schemas.openxmlformats.org/officeDocument/2006/relationships/hyperlink" Target="https://ijisae.org/index.php/IJISAE/article/view/2405" TargetMode="External"/><Relationship Id="rId118" Type="http://schemas.openxmlformats.org/officeDocument/2006/relationships/hyperlink" Target="https://link.springer.com/chapter/10.1007/978-981-16-0598-7_10" TargetMode="External"/><Relationship Id="rId171" Type="http://schemas.openxmlformats.org/officeDocument/2006/relationships/hyperlink" Target="https://ieeexplore.ieee.org/abstract/document/9374640" TargetMode="External"/><Relationship Id="rId227" Type="http://schemas.openxmlformats.org/officeDocument/2006/relationships/hyperlink" Target="https://books.google.com/books?hl=it&amp;lr=&amp;id=ajZIEAAAQBAJ&amp;oi=fnd&amp;pg=PT286&amp;dq=+(%E2%80%9Csmart+contract%E2%80%9D+OR+%E2%80%9Csmart+contracts%E2%80%9D+OR+Ethereum)+AND+(vulnerability+OR+vulnerabilities+OR+bug+OR+bugs+OR+security+OR+analysis+OR+detection+OR+tool+OR+verification)&amp;ots=Guv8z9bcwJ&amp;sig=-Qs-GaQ61ERpbDYG-nLRrQey7Wc"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l.acm.org/doi/10.1145/3569951.3597566" TargetMode="External"/><Relationship Id="rId21" Type="http://schemas.openxmlformats.org/officeDocument/2006/relationships/hyperlink" Target="https://dl.acm.org/doi/10.1109/ICSE43902.2021.00127" TargetMode="External"/><Relationship Id="rId42" Type="http://schemas.openxmlformats.org/officeDocument/2006/relationships/hyperlink" Target="https://dl.acm.org/doi/10.1145/3324884.3416626" TargetMode="External"/><Relationship Id="rId63" Type="http://schemas.openxmlformats.org/officeDocument/2006/relationships/hyperlink" Target="https://dl.acm.org/doi/pdf/10.1145/3485540" TargetMode="External"/><Relationship Id="rId84" Type="http://schemas.openxmlformats.org/officeDocument/2006/relationships/hyperlink" Target="https://dl.acm.org/doi/10.1145/3587828.3587846" TargetMode="External"/><Relationship Id="rId138" Type="http://schemas.openxmlformats.org/officeDocument/2006/relationships/hyperlink" Target="https://dl.acm.org/doi/10.1145/3446434.3446450" TargetMode="External"/><Relationship Id="rId159" Type="http://schemas.openxmlformats.org/officeDocument/2006/relationships/hyperlink" Target="https://dl.acm.org/doi/10.1145/3548606.3560622" TargetMode="External"/><Relationship Id="rId107" Type="http://schemas.openxmlformats.org/officeDocument/2006/relationships/hyperlink" Target="https://dl.acm.org/doi/10.1145/3584376.3584558" TargetMode="External"/><Relationship Id="rId11" Type="http://schemas.openxmlformats.org/officeDocument/2006/relationships/hyperlink" Target="https://dl.acm.org/doi/10.1109/ICSE48619.2023.00087" TargetMode="External"/><Relationship Id="rId32" Type="http://schemas.openxmlformats.org/officeDocument/2006/relationships/hyperlink" Target="https://dl.acm.org/doi/10.1145/3520313.3534660" TargetMode="External"/><Relationship Id="rId53" Type="http://schemas.openxmlformats.org/officeDocument/2006/relationships/hyperlink" Target="https://dl.acm.org/doi/10.1109/ASE51524.2021.9678597" TargetMode="External"/><Relationship Id="rId74" Type="http://schemas.openxmlformats.org/officeDocument/2006/relationships/hyperlink" Target="https://dl.acm.org/doi/10.1145/3622829" TargetMode="External"/><Relationship Id="rId128" Type="http://schemas.openxmlformats.org/officeDocument/2006/relationships/hyperlink" Target="https://dl.acm.org/doi/10.1145/3445815.3445821" TargetMode="External"/><Relationship Id="rId149" Type="http://schemas.openxmlformats.org/officeDocument/2006/relationships/hyperlink" Target="https://dl.acm.org/doi/10.1145/3524458.3547251" TargetMode="External"/><Relationship Id="rId5" Type="http://schemas.openxmlformats.org/officeDocument/2006/relationships/hyperlink" Target="https://dl.acm.org/doi/10.1145/3588340.3588369" TargetMode="External"/><Relationship Id="rId95" Type="http://schemas.openxmlformats.org/officeDocument/2006/relationships/hyperlink" Target="https://dl.acm.org/doi/10.1145/3548606.3559384" TargetMode="External"/><Relationship Id="rId160" Type="http://schemas.openxmlformats.org/officeDocument/2006/relationships/hyperlink" Target="https://dl.acm.org/doi/10.1145/3550355.3552407" TargetMode="External"/><Relationship Id="rId22" Type="http://schemas.openxmlformats.org/officeDocument/2006/relationships/hyperlink" Target="https://dl.acm.org/doi/10.1145/3444370.3444617" TargetMode="External"/><Relationship Id="rId43" Type="http://schemas.openxmlformats.org/officeDocument/2006/relationships/hyperlink" Target="https://dl.acm.org/doi/10.1145/3437992.3439934" TargetMode="External"/><Relationship Id="rId64" Type="http://schemas.openxmlformats.org/officeDocument/2006/relationships/hyperlink" Target="https://dl.acm.org/doi/10.1145/3465481.3470058" TargetMode="External"/><Relationship Id="rId118" Type="http://schemas.openxmlformats.org/officeDocument/2006/relationships/hyperlink" Target="https://dl.acm.org/doi/10.1145/3563308" TargetMode="External"/><Relationship Id="rId139" Type="http://schemas.openxmlformats.org/officeDocument/2006/relationships/hyperlink" Target="https://dl.acm.org/doi/10.1145/3511430.3511448" TargetMode="External"/><Relationship Id="rId85" Type="http://schemas.openxmlformats.org/officeDocument/2006/relationships/hyperlink" Target="https://dl.acm.org/doi/10.1145/3528226.3528374" TargetMode="External"/><Relationship Id="rId150" Type="http://schemas.openxmlformats.org/officeDocument/2006/relationships/hyperlink" Target="https://dl.acm.org/doi/10.1145/3426020.3426078" TargetMode="External"/><Relationship Id="rId12" Type="http://schemas.openxmlformats.org/officeDocument/2006/relationships/hyperlink" Target="https://dl.acm.org/doi/10.1109/ICSE48619.2023.00061" TargetMode="External"/><Relationship Id="rId17" Type="http://schemas.openxmlformats.org/officeDocument/2006/relationships/hyperlink" Target="https://dl.acm.org/doi/10.1145/3477314.3507309" TargetMode="External"/><Relationship Id="rId33" Type="http://schemas.openxmlformats.org/officeDocument/2006/relationships/hyperlink" Target="https://dl.acm.org/doi/10.1145/3423166" TargetMode="External"/><Relationship Id="rId38" Type="http://schemas.openxmlformats.org/officeDocument/2006/relationships/hyperlink" Target="https://dl.acm.org/doi/10.1145/3324884.3418918" TargetMode="External"/><Relationship Id="rId59" Type="http://schemas.openxmlformats.org/officeDocument/2006/relationships/hyperlink" Target="https://dl.acm.org/doi/10.1145/3616023" TargetMode="External"/><Relationship Id="rId103" Type="http://schemas.openxmlformats.org/officeDocument/2006/relationships/hyperlink" Target="https://dl.acm.org/doi/10.1145/3510487.3510497" TargetMode="External"/><Relationship Id="rId108" Type="http://schemas.openxmlformats.org/officeDocument/2006/relationships/hyperlink" Target="https://dl.acm.org/doi/10.1109/ASE51524.2021.9678932" TargetMode="External"/><Relationship Id="rId124" Type="http://schemas.openxmlformats.org/officeDocument/2006/relationships/hyperlink" Target="https://dl.acm.org/doi/10.1145/3422337.3450319" TargetMode="External"/><Relationship Id="rId129" Type="http://schemas.openxmlformats.org/officeDocument/2006/relationships/hyperlink" Target="https://dl.acm.org/doi/10.1145/3508072.3508117" TargetMode="External"/><Relationship Id="rId54" Type="http://schemas.openxmlformats.org/officeDocument/2006/relationships/hyperlink" Target="https://dl.acm.org/doi/10.1145/3611643.3616281" TargetMode="External"/><Relationship Id="rId70" Type="http://schemas.openxmlformats.org/officeDocument/2006/relationships/hyperlink" Target="https://dl.acm.org/doi/10.1145/3510457.3513076" TargetMode="External"/><Relationship Id="rId75" Type="http://schemas.openxmlformats.org/officeDocument/2006/relationships/hyperlink" Target="https://dl.acm.org/doi/10.1145/3551349.3559512" TargetMode="External"/><Relationship Id="rId91" Type="http://schemas.openxmlformats.org/officeDocument/2006/relationships/hyperlink" Target="https://dl.acm.org/doi/10.1145/3456415.3457223" TargetMode="External"/><Relationship Id="rId96" Type="http://schemas.openxmlformats.org/officeDocument/2006/relationships/hyperlink" Target="https://dl.acm.org/doi/10.1145/3597926.3598091" TargetMode="External"/><Relationship Id="rId140" Type="http://schemas.openxmlformats.org/officeDocument/2006/relationships/hyperlink" Target="https://dl.acm.org/doi/10.1145/3628797.3628870" TargetMode="External"/><Relationship Id="rId145" Type="http://schemas.openxmlformats.org/officeDocument/2006/relationships/hyperlink" Target="https://dl.acm.org/doi/10.1145/3512353.3512381" TargetMode="External"/><Relationship Id="rId161" Type="http://schemas.openxmlformats.org/officeDocument/2006/relationships/hyperlink" Target="https://dl.acm.org/doi/10.1145/3510454.3516869" TargetMode="External"/><Relationship Id="rId166" Type="http://schemas.openxmlformats.org/officeDocument/2006/relationships/hyperlink" Target="https://doi.org/10.1145/3641846" TargetMode="External"/><Relationship Id="rId1" Type="http://schemas.openxmlformats.org/officeDocument/2006/relationships/hyperlink" Target="https://dl.acm.org/doi/10.1109/ICSE-Companion58688.2023.00019" TargetMode="External"/><Relationship Id="rId6" Type="http://schemas.openxmlformats.org/officeDocument/2006/relationships/hyperlink" Target="https://dl.acm.org/doi/10.1145/3533767.3534378" TargetMode="External"/><Relationship Id="rId23" Type="http://schemas.openxmlformats.org/officeDocument/2006/relationships/hyperlink" Target="https://dl.acm.org/doi/10.1145/3564699" TargetMode="External"/><Relationship Id="rId28" Type="http://schemas.openxmlformats.org/officeDocument/2006/relationships/hyperlink" Target="https://dl.acm.org/doi/10.1145/3475716.3475779" TargetMode="External"/><Relationship Id="rId49" Type="http://schemas.openxmlformats.org/officeDocument/2006/relationships/hyperlink" Target="https://dl.acm.org/doi/10.1145/3597926.3598059" TargetMode="External"/><Relationship Id="rId114" Type="http://schemas.openxmlformats.org/officeDocument/2006/relationships/hyperlink" Target="https://dl.acm.org/doi/10.1145/3597206" TargetMode="External"/><Relationship Id="rId119" Type="http://schemas.openxmlformats.org/officeDocument/2006/relationships/hyperlink" Target="https://dl.acm.org/doi/10.5555/3615924.3615938" TargetMode="External"/><Relationship Id="rId44" Type="http://schemas.openxmlformats.org/officeDocument/2006/relationships/hyperlink" Target="https://dl.acm.org/doi/10.1145/3643567" TargetMode="External"/><Relationship Id="rId60" Type="http://schemas.openxmlformats.org/officeDocument/2006/relationships/hyperlink" Target="https://dl.acm.org/doi/10.1145/3579895.3579943" TargetMode="External"/><Relationship Id="rId65" Type="http://schemas.openxmlformats.org/officeDocument/2006/relationships/hyperlink" Target="https://dl.acm.org/doi/10.1145/3551349.3556963" TargetMode="External"/><Relationship Id="rId81" Type="http://schemas.openxmlformats.org/officeDocument/2006/relationships/hyperlink" Target="https://dl.acm.org/doi/10.1145/3465480.3466924" TargetMode="External"/><Relationship Id="rId86" Type="http://schemas.openxmlformats.org/officeDocument/2006/relationships/hyperlink" Target="https://dl.acm.org/doi/10.1145/3559795.3559796" TargetMode="External"/><Relationship Id="rId130" Type="http://schemas.openxmlformats.org/officeDocument/2006/relationships/hyperlink" Target="https://dl.acm.org/doi/10.1145/3584376.3584557" TargetMode="External"/><Relationship Id="rId135" Type="http://schemas.openxmlformats.org/officeDocument/2006/relationships/hyperlink" Target="https://dl.acm.org/doi/10.1145/3441000.3441014" TargetMode="External"/><Relationship Id="rId151" Type="http://schemas.openxmlformats.org/officeDocument/2006/relationships/hyperlink" Target="https://dl.acm.org/doi/10.1145/3477911.3477920" TargetMode="External"/><Relationship Id="rId156" Type="http://schemas.openxmlformats.org/officeDocument/2006/relationships/hyperlink" Target="https://dl.acm.org/doi/10.1145/3494106.3528683" TargetMode="External"/><Relationship Id="rId13" Type="http://schemas.openxmlformats.org/officeDocument/2006/relationships/hyperlink" Target="https://dl.acm.org/doi/10.1145/3576915.3624366" TargetMode="External"/><Relationship Id="rId18" Type="http://schemas.openxmlformats.org/officeDocument/2006/relationships/hyperlink" Target="https://dl.acm.org/doi/10.1145/3543507.3583367" TargetMode="External"/><Relationship Id="rId39" Type="http://schemas.openxmlformats.org/officeDocument/2006/relationships/hyperlink" Target="https://dl.acm.org/doi/10.1145/3527321" TargetMode="External"/><Relationship Id="rId109" Type="http://schemas.openxmlformats.org/officeDocument/2006/relationships/hyperlink" Target="https://dl.acm.org/doi/10.1145/3465481.3465765" TargetMode="External"/><Relationship Id="rId34" Type="http://schemas.openxmlformats.org/officeDocument/2006/relationships/hyperlink" Target="https://dl.acm.org/doi/10.1145/3578527.3578538" TargetMode="External"/><Relationship Id="rId50" Type="http://schemas.openxmlformats.org/officeDocument/2006/relationships/hyperlink" Target="https://dl.acm.org/doi/10.1145/3597926.3598132" TargetMode="External"/><Relationship Id="rId55" Type="http://schemas.openxmlformats.org/officeDocument/2006/relationships/hyperlink" Target="https://dl.acm.org/doi/10.1145/3576915.3623204" TargetMode="External"/><Relationship Id="rId76" Type="http://schemas.openxmlformats.org/officeDocument/2006/relationships/hyperlink" Target="https://dl.acm.org/doi/10.1145/3459960.3459975" TargetMode="External"/><Relationship Id="rId97" Type="http://schemas.openxmlformats.org/officeDocument/2006/relationships/hyperlink" Target="https://dl.acm.org/doi/10.1145/3594556.3594620" TargetMode="External"/><Relationship Id="rId104" Type="http://schemas.openxmlformats.org/officeDocument/2006/relationships/hyperlink" Target="https://dl.acm.org/doi/10.1145/3555776.3577677" TargetMode="External"/><Relationship Id="rId120" Type="http://schemas.openxmlformats.org/officeDocument/2006/relationships/hyperlink" Target="https://dl.acm.org/doi/10.1145/3569219.3569300" TargetMode="External"/><Relationship Id="rId125" Type="http://schemas.openxmlformats.org/officeDocument/2006/relationships/hyperlink" Target="https://dl.acm.org/doi/10.1145/3411764.3445525" TargetMode="External"/><Relationship Id="rId141" Type="http://schemas.openxmlformats.org/officeDocument/2006/relationships/hyperlink" Target="https://dl.acm.org/doi/10.1145/3484399.3484402" TargetMode="External"/><Relationship Id="rId146" Type="http://schemas.openxmlformats.org/officeDocument/2006/relationships/hyperlink" Target="https://dl.acm.org/doi/10.1145/3608251.3608265" TargetMode="External"/><Relationship Id="rId167" Type="http://schemas.openxmlformats.org/officeDocument/2006/relationships/hyperlink" Target="https://dl.acm.org/doi/abs/10.1145/3597926.3598125" TargetMode="External"/><Relationship Id="rId7" Type="http://schemas.openxmlformats.org/officeDocument/2006/relationships/hyperlink" Target="https://dl.acm.org/doi/10.1145/3533767.3534218" TargetMode="External"/><Relationship Id="rId71" Type="http://schemas.openxmlformats.org/officeDocument/2006/relationships/hyperlink" Target="https://dl.acm.org/doi/10.1145/3532640.3532653" TargetMode="External"/><Relationship Id="rId92" Type="http://schemas.openxmlformats.org/officeDocument/2006/relationships/hyperlink" Target="https://dl.acm.org/doi/10.5555/3615924.3623631" TargetMode="External"/><Relationship Id="rId162" Type="http://schemas.openxmlformats.org/officeDocument/2006/relationships/hyperlink" Target="https://dl.acm.org/doi/10.5555/3507788.3507820" TargetMode="External"/><Relationship Id="rId2" Type="http://schemas.openxmlformats.org/officeDocument/2006/relationships/hyperlink" Target="https://dl.acm.org/doi/10.1145/3457913.3457920" TargetMode="External"/><Relationship Id="rId29" Type="http://schemas.openxmlformats.org/officeDocument/2006/relationships/hyperlink" Target="https://dl.acm.org/doi/10.1145/3528226.3528370" TargetMode="External"/><Relationship Id="rId24" Type="http://schemas.openxmlformats.org/officeDocument/2006/relationships/hyperlink" Target="https://dl.acm.org/doi/10.1145/3540250.3549121" TargetMode="External"/><Relationship Id="rId40" Type="http://schemas.openxmlformats.org/officeDocument/2006/relationships/hyperlink" Target="https://dl.acm.org/doi/10.1145/3551349.3560429" TargetMode="External"/><Relationship Id="rId45" Type="http://schemas.openxmlformats.org/officeDocument/2006/relationships/hyperlink" Target="https://dl.acm.org/doi/10.1145/3468264.3473929" TargetMode="External"/><Relationship Id="rId66" Type="http://schemas.openxmlformats.org/officeDocument/2006/relationships/hyperlink" Target="https://dl.acm.org/doi/10.1109/ICSE48619.2023.00035" TargetMode="External"/><Relationship Id="rId87" Type="http://schemas.openxmlformats.org/officeDocument/2006/relationships/hyperlink" Target="https://dl.acm.org/doi/10.1145/3617572.3617880" TargetMode="External"/><Relationship Id="rId110" Type="http://schemas.openxmlformats.org/officeDocument/2006/relationships/hyperlink" Target="https://dl.acm.org/doi/10.1145/3564746.3587016" TargetMode="External"/><Relationship Id="rId115" Type="http://schemas.openxmlformats.org/officeDocument/2006/relationships/hyperlink" Target="https://dl.acm.org/doi/10.1145/3611643.3616270" TargetMode="External"/><Relationship Id="rId131" Type="http://schemas.openxmlformats.org/officeDocument/2006/relationships/hyperlink" Target="https://dl.acm.org/doi/10.1145/3508072.3508225" TargetMode="External"/><Relationship Id="rId136" Type="http://schemas.openxmlformats.org/officeDocument/2006/relationships/hyperlink" Target="https://dl.acm.org/doi/10.1145/3412841.3442076" TargetMode="External"/><Relationship Id="rId157" Type="http://schemas.openxmlformats.org/officeDocument/2006/relationships/hyperlink" Target="https://dl.acm.org/doi/10.1145/3548606.3563545" TargetMode="External"/><Relationship Id="rId61" Type="http://schemas.openxmlformats.org/officeDocument/2006/relationships/hyperlink" Target="https://dl.acm.org/doi/10.1145/3524610.3527894" TargetMode="External"/><Relationship Id="rId82" Type="http://schemas.openxmlformats.org/officeDocument/2006/relationships/hyperlink" Target="https://dl.acm.org/doi/10.1145/3594556.3594610" TargetMode="External"/><Relationship Id="rId152" Type="http://schemas.openxmlformats.org/officeDocument/2006/relationships/hyperlink" Target="https://dl.acm.org/doi/10.1145/3460537.3460551" TargetMode="External"/><Relationship Id="rId19" Type="http://schemas.openxmlformats.org/officeDocument/2006/relationships/hyperlink" Target="https://dl.acm.org/doi/10.1145/3533767.3534395" TargetMode="External"/><Relationship Id="rId14" Type="http://schemas.openxmlformats.org/officeDocument/2006/relationships/hyperlink" Target="https://dl.acm.org/doi/10.1145/3597926.3598111" TargetMode="External"/><Relationship Id="rId30" Type="http://schemas.openxmlformats.org/officeDocument/2006/relationships/hyperlink" Target="https://dl.acm.org/doi/10.1145/3611643.3616341" TargetMode="External"/><Relationship Id="rId35" Type="http://schemas.openxmlformats.org/officeDocument/2006/relationships/hyperlink" Target="https://dl.acm.org/doi/10.1145/3545948.3545975" TargetMode="External"/><Relationship Id="rId56" Type="http://schemas.openxmlformats.org/officeDocument/2006/relationships/hyperlink" Target="https://dl.acm.org/doi/10.1145/3453475" TargetMode="External"/><Relationship Id="rId77" Type="http://schemas.openxmlformats.org/officeDocument/2006/relationships/hyperlink" Target="https://dl.acm.org/doi/10.1145/3631310.3633492" TargetMode="External"/><Relationship Id="rId100" Type="http://schemas.openxmlformats.org/officeDocument/2006/relationships/hyperlink" Target="https://dl.acm.org/doi/10.1145/3404892" TargetMode="External"/><Relationship Id="rId105" Type="http://schemas.openxmlformats.org/officeDocument/2006/relationships/hyperlink" Target="https://dl.acm.org/doi/10.1145/3474624.3477068" TargetMode="External"/><Relationship Id="rId126" Type="http://schemas.openxmlformats.org/officeDocument/2006/relationships/hyperlink" Target="https://dl.acm.org/doi/10.1145/3638045" TargetMode="External"/><Relationship Id="rId147" Type="http://schemas.openxmlformats.org/officeDocument/2006/relationships/hyperlink" Target="https://dl.acm.org/doi/10.1145/3524610.3529157" TargetMode="External"/><Relationship Id="rId8" Type="http://schemas.openxmlformats.org/officeDocument/2006/relationships/hyperlink" Target="https://dl.acm.org/doi/10.1145/3463274.3463351" TargetMode="External"/><Relationship Id="rId51" Type="http://schemas.openxmlformats.org/officeDocument/2006/relationships/hyperlink" Target="https://dl.acm.org/doi/10.1145/3628354.3629532" TargetMode="External"/><Relationship Id="rId72" Type="http://schemas.openxmlformats.org/officeDocument/2006/relationships/hyperlink" Target="https://dl.acm.org/doi/10.1145/3563768.3564116" TargetMode="External"/><Relationship Id="rId93" Type="http://schemas.openxmlformats.org/officeDocument/2006/relationships/hyperlink" Target="https://dl.acm.org/doi/10.1145/3456126.3456131" TargetMode="External"/><Relationship Id="rId98" Type="http://schemas.openxmlformats.org/officeDocument/2006/relationships/hyperlink" Target="https://dl.acm.org/doi/10.1145/3433210.3453085" TargetMode="External"/><Relationship Id="rId121" Type="http://schemas.openxmlformats.org/officeDocument/2006/relationships/hyperlink" Target="https://dl.acm.org/doi/10.1145/3582515.3609522" TargetMode="External"/><Relationship Id="rId142" Type="http://schemas.openxmlformats.org/officeDocument/2006/relationships/hyperlink" Target="https://dl.acm.org/doi/10.1145/3555776.3577833" TargetMode="External"/><Relationship Id="rId163" Type="http://schemas.openxmlformats.org/officeDocument/2006/relationships/hyperlink" Target="https://dl.acm.org/doi/10.5555/3586210.3586307" TargetMode="External"/><Relationship Id="rId3" Type="http://schemas.openxmlformats.org/officeDocument/2006/relationships/hyperlink" Target="https://dl.acm.org/doi/10.1145/3551349.3559567" TargetMode="External"/><Relationship Id="rId25" Type="http://schemas.openxmlformats.org/officeDocument/2006/relationships/hyperlink" Target="https://dl.acm.org/doi/10.1145/3503921.3503923" TargetMode="External"/><Relationship Id="rId46" Type="http://schemas.openxmlformats.org/officeDocument/2006/relationships/hyperlink" Target="https://dl.acm.org/doi/10.1145/3563822.3568011" TargetMode="External"/><Relationship Id="rId67" Type="http://schemas.openxmlformats.org/officeDocument/2006/relationships/hyperlink" Target="https://dl.acm.org/doi/10.1145/3485832.3488015" TargetMode="External"/><Relationship Id="rId116" Type="http://schemas.openxmlformats.org/officeDocument/2006/relationships/hyperlink" Target="https://dl.acm.org/doi/10.1145/3563312" TargetMode="External"/><Relationship Id="rId137" Type="http://schemas.openxmlformats.org/officeDocument/2006/relationships/hyperlink" Target="https://dl.acm.org/doi/10.1145/3587696" TargetMode="External"/><Relationship Id="rId158" Type="http://schemas.openxmlformats.org/officeDocument/2006/relationships/hyperlink" Target="https://dl.acm.org/doi/10.1145/3510454.3516855" TargetMode="External"/><Relationship Id="rId20" Type="http://schemas.openxmlformats.org/officeDocument/2006/relationships/hyperlink" Target="https://dl.acm.org/doi/10.1145/3494106.3528672" TargetMode="External"/><Relationship Id="rId41" Type="http://schemas.openxmlformats.org/officeDocument/2006/relationships/hyperlink" Target="https://dl.acm.org/doi/10.1145/3511808.3557454" TargetMode="External"/><Relationship Id="rId62" Type="http://schemas.openxmlformats.org/officeDocument/2006/relationships/hyperlink" Target="https://dl.acm.org/doi/10.1145/3324884.3418923" TargetMode="External"/><Relationship Id="rId83" Type="http://schemas.openxmlformats.org/officeDocument/2006/relationships/hyperlink" Target="https://dl.acm.org/doi/10.1145/3465481.3469192" TargetMode="External"/><Relationship Id="rId88" Type="http://schemas.openxmlformats.org/officeDocument/2006/relationships/hyperlink" Target="https://dl.acm.org/doi/10.1109/ASE51524.2021.9678552" TargetMode="External"/><Relationship Id="rId111" Type="http://schemas.openxmlformats.org/officeDocument/2006/relationships/hyperlink" Target="https://dl.acm.org/doi/10.1145/3524481.3527228" TargetMode="External"/><Relationship Id="rId132" Type="http://schemas.openxmlformats.org/officeDocument/2006/relationships/hyperlink" Target="https://dl.acm.org/doi/10.1145/3579371.3589067" TargetMode="External"/><Relationship Id="rId153" Type="http://schemas.openxmlformats.org/officeDocument/2006/relationships/hyperlink" Target="https://dl.acm.org/doi/10.1145/3641103" TargetMode="External"/><Relationship Id="rId15" Type="http://schemas.openxmlformats.org/officeDocument/2006/relationships/hyperlink" Target="https://dl.acm.org/doi/10.1145/3560905.3568175" TargetMode="External"/><Relationship Id="rId36" Type="http://schemas.openxmlformats.org/officeDocument/2006/relationships/hyperlink" Target="https://dl.acm.org/doi/10.1145/3607947.3607973" TargetMode="External"/><Relationship Id="rId57" Type="http://schemas.openxmlformats.org/officeDocument/2006/relationships/hyperlink" Target="https://dl.acm.org/doi/10.1145/3609437.3609455" TargetMode="External"/><Relationship Id="rId106" Type="http://schemas.openxmlformats.org/officeDocument/2006/relationships/hyperlink" Target="https://dl.acm.org/doi/10.1145/3560263" TargetMode="External"/><Relationship Id="rId127" Type="http://schemas.openxmlformats.org/officeDocument/2006/relationships/hyperlink" Target="https://dl.acm.org/doi/10.1145/3488245" TargetMode="External"/><Relationship Id="rId10" Type="http://schemas.openxmlformats.org/officeDocument/2006/relationships/hyperlink" Target="https://dl.acm.org/doi/10.1145/3324884.3416553" TargetMode="External"/><Relationship Id="rId31" Type="http://schemas.openxmlformats.org/officeDocument/2006/relationships/hyperlink" Target="https://dl.acm.org/doi/10.1145/3474374.3486916" TargetMode="External"/><Relationship Id="rId52" Type="http://schemas.openxmlformats.org/officeDocument/2006/relationships/hyperlink" Target="https://dl.acm.org/doi/10.1145/3597926.3598133" TargetMode="External"/><Relationship Id="rId73" Type="http://schemas.openxmlformats.org/officeDocument/2006/relationships/hyperlink" Target="https://dl.acm.org/doi/10.1145/3491053" TargetMode="External"/><Relationship Id="rId78" Type="http://schemas.openxmlformats.org/officeDocument/2006/relationships/hyperlink" Target="https://dl.acm.org/doi/10.1145/3563328" TargetMode="External"/><Relationship Id="rId94" Type="http://schemas.openxmlformats.org/officeDocument/2006/relationships/hyperlink" Target="https://dl.acm.org/doi/10.1145/3630168" TargetMode="External"/><Relationship Id="rId99" Type="http://schemas.openxmlformats.org/officeDocument/2006/relationships/hyperlink" Target="https://dl.acm.org/doi/10.1109/ICSE48619.2023.00036" TargetMode="External"/><Relationship Id="rId101" Type="http://schemas.openxmlformats.org/officeDocument/2006/relationships/hyperlink" Target="https://dl.acm.org/doi/10.1145/3594739.3610674" TargetMode="External"/><Relationship Id="rId122" Type="http://schemas.openxmlformats.org/officeDocument/2006/relationships/hyperlink" Target="https://dl.acm.org/doi/10.1145/3637229" TargetMode="External"/><Relationship Id="rId143" Type="http://schemas.openxmlformats.org/officeDocument/2006/relationships/hyperlink" Target="https://dl.acm.org/doi/10.1145/3555776.3577676" TargetMode="External"/><Relationship Id="rId148" Type="http://schemas.openxmlformats.org/officeDocument/2006/relationships/hyperlink" Target="https://dl.acm.org/doi/10.1145/3560905.3568180" TargetMode="External"/><Relationship Id="rId164" Type="http://schemas.openxmlformats.org/officeDocument/2006/relationships/hyperlink" Target="https://dl.acm.org/doi/10.1145/3447865.3457965" TargetMode="External"/><Relationship Id="rId4" Type="http://schemas.openxmlformats.org/officeDocument/2006/relationships/hyperlink" Target="https://dl.acm.org/doi/10.1145/3607947.3608069" TargetMode="External"/><Relationship Id="rId9" Type="http://schemas.openxmlformats.org/officeDocument/2006/relationships/hyperlink" Target="https://dl.acm.org/doi/10.1145/3594556.3594615" TargetMode="External"/><Relationship Id="rId26" Type="http://schemas.openxmlformats.org/officeDocument/2006/relationships/hyperlink" Target="https://dl.acm.org/doi/10.1145/3485523" TargetMode="External"/><Relationship Id="rId47" Type="http://schemas.openxmlformats.org/officeDocument/2006/relationships/hyperlink" Target="https://dl.acm.org/doi/10.1145/3550355.3552462" TargetMode="External"/><Relationship Id="rId68" Type="http://schemas.openxmlformats.org/officeDocument/2006/relationships/hyperlink" Target="https://dl.acm.org/doi/10.1145/3450569.3463574" TargetMode="External"/><Relationship Id="rId89" Type="http://schemas.openxmlformats.org/officeDocument/2006/relationships/hyperlink" Target="https://dl.acm.org/doi/10.1145/3607196" TargetMode="External"/><Relationship Id="rId112" Type="http://schemas.openxmlformats.org/officeDocument/2006/relationships/hyperlink" Target="https://dl.acm.org/doi/10.1145/3579731.3579804" TargetMode="External"/><Relationship Id="rId133" Type="http://schemas.openxmlformats.org/officeDocument/2006/relationships/hyperlink" Target="https://dl.acm.org/doi/10.1145/3468264.3468568" TargetMode="External"/><Relationship Id="rId154" Type="http://schemas.openxmlformats.org/officeDocument/2006/relationships/hyperlink" Target="https://dl.acm.org/doi/10.1145/3324884.3415298" TargetMode="External"/><Relationship Id="rId16" Type="http://schemas.openxmlformats.org/officeDocument/2006/relationships/hyperlink" Target="https://dl.acm.org/doi/10.1145/3594556.3594618" TargetMode="External"/><Relationship Id="rId37" Type="http://schemas.openxmlformats.org/officeDocument/2006/relationships/hyperlink" Target="https://dl.acm.org/doi/10.1145/3506800" TargetMode="External"/><Relationship Id="rId58" Type="http://schemas.openxmlformats.org/officeDocument/2006/relationships/hyperlink" Target="https://dl.acm.org/doi/10.1145/3324884.3416646" TargetMode="External"/><Relationship Id="rId79" Type="http://schemas.openxmlformats.org/officeDocument/2006/relationships/hyperlink" Target="https://dl.acm.org/doi/10.1145/3491003.3491014" TargetMode="External"/><Relationship Id="rId102" Type="http://schemas.openxmlformats.org/officeDocument/2006/relationships/hyperlink" Target="https://dl.acm.org/doi/10.1145/3598469.3598509" TargetMode="External"/><Relationship Id="rId123" Type="http://schemas.openxmlformats.org/officeDocument/2006/relationships/hyperlink" Target="https://dl.acm.org/doi/10.1145/3595298" TargetMode="External"/><Relationship Id="rId144" Type="http://schemas.openxmlformats.org/officeDocument/2006/relationships/hyperlink" Target="https://dl.acm.org/doi/10.1145/3510003.3510086" TargetMode="External"/><Relationship Id="rId90" Type="http://schemas.openxmlformats.org/officeDocument/2006/relationships/hyperlink" Target="https://dl.acm.org/doi/10.1145/3460093" TargetMode="External"/><Relationship Id="rId165" Type="http://schemas.openxmlformats.org/officeDocument/2006/relationships/hyperlink" Target="https://dl.acm.org/doi/10.1145/3431726" TargetMode="External"/><Relationship Id="rId27" Type="http://schemas.openxmlformats.org/officeDocument/2006/relationships/hyperlink" Target="https://dl.acm.org/doi/10.1145/3533767.3534372" TargetMode="External"/><Relationship Id="rId48" Type="http://schemas.openxmlformats.org/officeDocument/2006/relationships/hyperlink" Target="https://dl.acm.org/doi/10.1145/3576915.3623178" TargetMode="External"/><Relationship Id="rId69" Type="http://schemas.openxmlformats.org/officeDocument/2006/relationships/hyperlink" Target="https://dl.acm.org/doi/10.1145/3581971.3581981" TargetMode="External"/><Relationship Id="rId113" Type="http://schemas.openxmlformats.org/officeDocument/2006/relationships/hyperlink" Target="https://dl.acm.org/doi/10.1145/3446983.3446994" TargetMode="External"/><Relationship Id="rId134" Type="http://schemas.openxmlformats.org/officeDocument/2006/relationships/hyperlink" Target="https://dl.acm.org/doi/10.1145/3608298.3608322" TargetMode="External"/><Relationship Id="rId80" Type="http://schemas.openxmlformats.org/officeDocument/2006/relationships/hyperlink" Target="https://dl.acm.org/doi/10.1145/3548606.3560552" TargetMode="External"/><Relationship Id="rId155" Type="http://schemas.openxmlformats.org/officeDocument/2006/relationships/hyperlink" Target="https://dl.acm.org/doi/10.1145/3587828.3587867"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ieeexplore.ieee.org/stamp/stamp.jsp?arnumber=10530740" TargetMode="External"/><Relationship Id="rId2" Type="http://schemas.openxmlformats.org/officeDocument/2006/relationships/hyperlink" Target="https://ieeexplore.ieee.org/document/9935776" TargetMode="External"/><Relationship Id="rId1" Type="http://schemas.openxmlformats.org/officeDocument/2006/relationships/hyperlink" Target="https://ieeexplore.ieee.org/document/9551934" TargetMode="External"/><Relationship Id="rId6" Type="http://schemas.openxmlformats.org/officeDocument/2006/relationships/hyperlink" Target="https://ieeexplore.ieee.org/stamp/stamp.jsp?arnumber=10025570" TargetMode="External"/><Relationship Id="rId5" Type="http://schemas.openxmlformats.org/officeDocument/2006/relationships/hyperlink" Target="https://ieeexplore.ieee.org/stamp/stamp.jsp?arnumber=10616574" TargetMode="External"/><Relationship Id="rId4" Type="http://schemas.openxmlformats.org/officeDocument/2006/relationships/hyperlink" Target="https://ieeexplore.ieee.org/stamp/stamp.jsp?arnumber=10564203"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ciencedirect.com/science/article/pii/S1389128621001080" TargetMode="External"/><Relationship Id="rId21" Type="http://schemas.openxmlformats.org/officeDocument/2006/relationships/hyperlink" Target="https://www.sciencedirect.com/science/article/pii/S209672092300043X" TargetMode="External"/><Relationship Id="rId42" Type="http://schemas.openxmlformats.org/officeDocument/2006/relationships/hyperlink" Target="https://www.sciencedirect.com/science/article/pii/S0950584921000276" TargetMode="External"/><Relationship Id="rId63" Type="http://schemas.openxmlformats.org/officeDocument/2006/relationships/hyperlink" Target="https://www.sciencedirect.com/science/article/pii/S0164121221000200" TargetMode="External"/><Relationship Id="rId84" Type="http://schemas.openxmlformats.org/officeDocument/2006/relationships/hyperlink" Target="https://www.sciencedirect.com/science/article/pii/S2213138823002758" TargetMode="External"/><Relationship Id="rId138" Type="http://schemas.openxmlformats.org/officeDocument/2006/relationships/hyperlink" Target="https://www.sciencedirect.com/science/article/pii/S1389128623005789" TargetMode="External"/><Relationship Id="rId159" Type="http://schemas.openxmlformats.org/officeDocument/2006/relationships/hyperlink" Target="https://www.sciencedirect.com/science/article/pii/S0950705121010406" TargetMode="External"/><Relationship Id="rId170" Type="http://schemas.openxmlformats.org/officeDocument/2006/relationships/hyperlink" Target="https://www.sciencedirect.com/science/article/pii/S0736585320301787" TargetMode="External"/><Relationship Id="rId191" Type="http://schemas.openxmlformats.org/officeDocument/2006/relationships/hyperlink" Target="https://www.sciencedirect.com/science/article/pii/S1877050923021336" TargetMode="External"/><Relationship Id="rId205" Type="http://schemas.openxmlformats.org/officeDocument/2006/relationships/hyperlink" Target="https://www.sciencedirect.com/science/article/pii/B978012824054000006X" TargetMode="External"/><Relationship Id="rId226" Type="http://schemas.openxmlformats.org/officeDocument/2006/relationships/hyperlink" Target="https://www.sciencedirect.com/science/article/pii/S0167642323001181" TargetMode="External"/><Relationship Id="rId107" Type="http://schemas.openxmlformats.org/officeDocument/2006/relationships/hyperlink" Target="https://www.sciencedirect.com/science/article/pii/S0140366422004303" TargetMode="External"/><Relationship Id="rId11" Type="http://schemas.openxmlformats.org/officeDocument/2006/relationships/hyperlink" Target="https://www.sciencedirect.com/science/article/pii/S0164121223001826" TargetMode="External"/><Relationship Id="rId32" Type="http://schemas.openxmlformats.org/officeDocument/2006/relationships/hyperlink" Target="https://www.sciencedirect.com/science/article/pii/S0890838923001270" TargetMode="External"/><Relationship Id="rId53" Type="http://schemas.openxmlformats.org/officeDocument/2006/relationships/hyperlink" Target="https://www.sciencedirect.com/science/article/pii/S138912862300498X" TargetMode="External"/><Relationship Id="rId74" Type="http://schemas.openxmlformats.org/officeDocument/2006/relationships/hyperlink" Target="https://www.sciencedirect.com/science/article/pii/S2666281723000847" TargetMode="External"/><Relationship Id="rId128" Type="http://schemas.openxmlformats.org/officeDocument/2006/relationships/hyperlink" Target="https://www.sciencedirect.com/science/article/pii/S2096720923000106" TargetMode="External"/><Relationship Id="rId149" Type="http://schemas.openxmlformats.org/officeDocument/2006/relationships/hyperlink" Target="https://www.sciencedirect.com/science/article/pii/S0926580523001061" TargetMode="External"/><Relationship Id="rId5" Type="http://schemas.openxmlformats.org/officeDocument/2006/relationships/hyperlink" Target="https://www.sciencedirect.com/science/article/pii/S2096720923000465" TargetMode="External"/><Relationship Id="rId95" Type="http://schemas.openxmlformats.org/officeDocument/2006/relationships/hyperlink" Target="https://www.sciencedirect.com/science/article/pii/S2667295223000028" TargetMode="External"/><Relationship Id="rId160" Type="http://schemas.openxmlformats.org/officeDocument/2006/relationships/hyperlink" Target="https://www.sciencedirect.com/science/article/pii/S0140366421001250" TargetMode="External"/><Relationship Id="rId181" Type="http://schemas.openxmlformats.org/officeDocument/2006/relationships/hyperlink" Target="https://www.sciencedirect.com/science/article/pii/S2542660521000640" TargetMode="External"/><Relationship Id="rId216" Type="http://schemas.openxmlformats.org/officeDocument/2006/relationships/hyperlink" Target="https://www.sciencedirect.com/science/article/pii/S0148296323000048" TargetMode="External"/><Relationship Id="rId237" Type="http://schemas.openxmlformats.org/officeDocument/2006/relationships/hyperlink" Target="https://www.sciencedirect.com/science/article/pii/S2096720923000465" TargetMode="External"/><Relationship Id="rId22" Type="http://schemas.openxmlformats.org/officeDocument/2006/relationships/hyperlink" Target="https://www.sciencedirect.com/science/article/pii/S0959652623006674" TargetMode="External"/><Relationship Id="rId43" Type="http://schemas.openxmlformats.org/officeDocument/2006/relationships/hyperlink" Target="https://www.sciencedirect.com/science/article/pii/S0957417422015172" TargetMode="External"/><Relationship Id="rId64" Type="http://schemas.openxmlformats.org/officeDocument/2006/relationships/hyperlink" Target="https://www.sciencedirect.com/science/article/pii/S0306437920300946" TargetMode="External"/><Relationship Id="rId118" Type="http://schemas.openxmlformats.org/officeDocument/2006/relationships/hyperlink" Target="https://www.sciencedirect.com/science/article/pii/S1877050923011109" TargetMode="External"/><Relationship Id="rId139" Type="http://schemas.openxmlformats.org/officeDocument/2006/relationships/hyperlink" Target="https://www.sciencedirect.com/science/article/pii/S0045790623000320" TargetMode="External"/><Relationship Id="rId85" Type="http://schemas.openxmlformats.org/officeDocument/2006/relationships/hyperlink" Target="https://www.sciencedirect.com/science/article/pii/S1319157822003251" TargetMode="External"/><Relationship Id="rId150" Type="http://schemas.openxmlformats.org/officeDocument/2006/relationships/hyperlink" Target="https://www.sciencedirect.com/science/article/pii/S095219762301206X" TargetMode="External"/><Relationship Id="rId171" Type="http://schemas.openxmlformats.org/officeDocument/2006/relationships/hyperlink" Target="https://www.sciencedirect.com/science/article/pii/S1029313223001045" TargetMode="External"/><Relationship Id="rId192" Type="http://schemas.openxmlformats.org/officeDocument/2006/relationships/hyperlink" Target="https://www.sciencedirect.com/science/article/pii/S2352467722001060" TargetMode="External"/><Relationship Id="rId206" Type="http://schemas.openxmlformats.org/officeDocument/2006/relationships/hyperlink" Target="https://www.sciencedirect.com/science/article/pii/S0065245823000517" TargetMode="External"/><Relationship Id="rId227" Type="http://schemas.openxmlformats.org/officeDocument/2006/relationships/hyperlink" Target="https://www.sciencedirect.com/science/article/pii/S1364032121012764" TargetMode="External"/><Relationship Id="rId12" Type="http://schemas.openxmlformats.org/officeDocument/2006/relationships/hyperlink" Target="https://www.sciencedirect.com/science/article/pii/S2352864823001347" TargetMode="External"/><Relationship Id="rId33" Type="http://schemas.openxmlformats.org/officeDocument/2006/relationships/hyperlink" Target="https://www.sciencedirect.com/science/article/pii/S1877050923020446" TargetMode="External"/><Relationship Id="rId108" Type="http://schemas.openxmlformats.org/officeDocument/2006/relationships/hyperlink" Target="https://www.sciencedirect.com/science/article/pii/S1389128621001079" TargetMode="External"/><Relationship Id="rId129" Type="http://schemas.openxmlformats.org/officeDocument/2006/relationships/hyperlink" Target="https://www.sciencedirect.com/science/article/pii/S016740482100167X" TargetMode="External"/><Relationship Id="rId54" Type="http://schemas.openxmlformats.org/officeDocument/2006/relationships/hyperlink" Target="https://www.sciencedirect.com/science/article/pii/S0020025523001639" TargetMode="External"/><Relationship Id="rId75" Type="http://schemas.openxmlformats.org/officeDocument/2006/relationships/hyperlink" Target="https://www.sciencedirect.com/science/article/pii/S240584402400389X" TargetMode="External"/><Relationship Id="rId96" Type="http://schemas.openxmlformats.org/officeDocument/2006/relationships/hyperlink" Target="https://www.sciencedirect.com/science/article/pii/S2667295222000484" TargetMode="External"/><Relationship Id="rId140" Type="http://schemas.openxmlformats.org/officeDocument/2006/relationships/hyperlink" Target="https://www.sciencedirect.com/science/article/pii/S001905782300188X" TargetMode="External"/><Relationship Id="rId161" Type="http://schemas.openxmlformats.org/officeDocument/2006/relationships/hyperlink" Target="https://www.sciencedirect.com/science/article/pii/S0950584924000107" TargetMode="External"/><Relationship Id="rId182" Type="http://schemas.openxmlformats.org/officeDocument/2006/relationships/hyperlink" Target="https://www.sciencedirect.com/science/article/pii/S0747563222003685" TargetMode="External"/><Relationship Id="rId217" Type="http://schemas.openxmlformats.org/officeDocument/2006/relationships/hyperlink" Target="https://www.sciencedirect.com/science/article/pii/S0010482523011678" TargetMode="External"/><Relationship Id="rId6" Type="http://schemas.openxmlformats.org/officeDocument/2006/relationships/hyperlink" Target="https://www.sciencedirect.com/science/article/pii/S1877050923021634" TargetMode="External"/><Relationship Id="rId238" Type="http://schemas.openxmlformats.org/officeDocument/2006/relationships/hyperlink" Target="https://www.sciencedirect.com/science/article/pii/S1084804524000353" TargetMode="External"/><Relationship Id="rId23" Type="http://schemas.openxmlformats.org/officeDocument/2006/relationships/hyperlink" Target="https://www.sciencedirect.com/science/article/pii/S138912862300213X" TargetMode="External"/><Relationship Id="rId119" Type="http://schemas.openxmlformats.org/officeDocument/2006/relationships/hyperlink" Target="https://www.sciencedirect.com/science/article/pii/S1877050922021263" TargetMode="External"/><Relationship Id="rId44" Type="http://schemas.openxmlformats.org/officeDocument/2006/relationships/hyperlink" Target="https://www.sciencedirect.com/science/article/pii/S2214212621002064" TargetMode="External"/><Relationship Id="rId65" Type="http://schemas.openxmlformats.org/officeDocument/2006/relationships/hyperlink" Target="https://www.sciencedirect.com/science/article/pii/S2214212621000144" TargetMode="External"/><Relationship Id="rId86" Type="http://schemas.openxmlformats.org/officeDocument/2006/relationships/hyperlink" Target="https://www.sciencedirect.com/science/article/pii/S2352864823001128" TargetMode="External"/><Relationship Id="rId130" Type="http://schemas.openxmlformats.org/officeDocument/2006/relationships/hyperlink" Target="https://www.sciencedirect.com/science/article/pii/S221421262300008X" TargetMode="External"/><Relationship Id="rId151" Type="http://schemas.openxmlformats.org/officeDocument/2006/relationships/hyperlink" Target="https://www.sciencedirect.com/science/article/pii/S0360835222000651" TargetMode="External"/><Relationship Id="rId172" Type="http://schemas.openxmlformats.org/officeDocument/2006/relationships/hyperlink" Target="https://www.sciencedirect.com/science/article/pii/S1568494623005604" TargetMode="External"/><Relationship Id="rId193" Type="http://schemas.openxmlformats.org/officeDocument/2006/relationships/hyperlink" Target="https://www.sciencedirect.com/science/article/pii/S0020025523009982" TargetMode="External"/><Relationship Id="rId207" Type="http://schemas.openxmlformats.org/officeDocument/2006/relationships/hyperlink" Target="https://www.sciencedirect.com/science/article/pii/S0169260723000469" TargetMode="External"/><Relationship Id="rId228" Type="http://schemas.openxmlformats.org/officeDocument/2006/relationships/hyperlink" Target="https://www.sciencedirect.com/science/article/pii/S0020025521001092" TargetMode="External"/><Relationship Id="rId13" Type="http://schemas.openxmlformats.org/officeDocument/2006/relationships/hyperlink" Target="https://www.sciencedirect.com/science/article/pii/S0045790623001908" TargetMode="External"/><Relationship Id="rId109" Type="http://schemas.openxmlformats.org/officeDocument/2006/relationships/hyperlink" Target="https://www.sciencedirect.com/science/article/pii/S254266052300104X" TargetMode="External"/><Relationship Id="rId34" Type="http://schemas.openxmlformats.org/officeDocument/2006/relationships/hyperlink" Target="https://www.sciencedirect.com/science/article/pii/S1877050922005804" TargetMode="External"/><Relationship Id="rId55" Type="http://schemas.openxmlformats.org/officeDocument/2006/relationships/hyperlink" Target="https://www.sciencedirect.com/science/article/pii/S147403462200249X" TargetMode="External"/><Relationship Id="rId76" Type="http://schemas.openxmlformats.org/officeDocument/2006/relationships/hyperlink" Target="https://www.sciencedirect.com/science/article/pii/S0167739X21004313" TargetMode="External"/><Relationship Id="rId97" Type="http://schemas.openxmlformats.org/officeDocument/2006/relationships/hyperlink" Target="https://www.sciencedirect.com/science/article/pii/S2949948824000015" TargetMode="External"/><Relationship Id="rId120" Type="http://schemas.openxmlformats.org/officeDocument/2006/relationships/hyperlink" Target="https://www.sciencedirect.com/science/article/pii/S2352467724000018" TargetMode="External"/><Relationship Id="rId141" Type="http://schemas.openxmlformats.org/officeDocument/2006/relationships/hyperlink" Target="https://www.sciencedirect.com/science/article/pii/S002002552300138X" TargetMode="External"/><Relationship Id="rId7" Type="http://schemas.openxmlformats.org/officeDocument/2006/relationships/hyperlink" Target="https://www.sciencedirect.com/science/article/abs/pii/S2214212623000686" TargetMode="External"/><Relationship Id="rId162" Type="http://schemas.openxmlformats.org/officeDocument/2006/relationships/hyperlink" Target="https://www.sciencedirect.com/science/article/pii/S1389128621005661" TargetMode="External"/><Relationship Id="rId183" Type="http://schemas.openxmlformats.org/officeDocument/2006/relationships/hyperlink" Target="https://www.sciencedirect.com/science/article/pii/S2352220822000256" TargetMode="External"/><Relationship Id="rId218" Type="http://schemas.openxmlformats.org/officeDocument/2006/relationships/hyperlink" Target="https://www.sciencedirect.com/science/article/pii/S2667295223000508" TargetMode="External"/><Relationship Id="rId239" Type="http://schemas.openxmlformats.org/officeDocument/2006/relationships/printerSettings" Target="../printerSettings/printerSettings2.bin"/><Relationship Id="rId24" Type="http://schemas.openxmlformats.org/officeDocument/2006/relationships/hyperlink" Target="https://www.sciencedirect.com/science/article/pii/S0360835223004163" TargetMode="External"/><Relationship Id="rId45" Type="http://schemas.openxmlformats.org/officeDocument/2006/relationships/hyperlink" Target="https://www.sciencedirect.com/science/article/pii/S0360835222000377" TargetMode="External"/><Relationship Id="rId66" Type="http://schemas.openxmlformats.org/officeDocument/2006/relationships/hyperlink" Target="https://www.sciencedirect.com/science/article/pii/S108480452300125X" TargetMode="External"/><Relationship Id="rId87" Type="http://schemas.openxmlformats.org/officeDocument/2006/relationships/hyperlink" Target="https://www.sciencedirect.com/science/article/pii/S2352146523004519" TargetMode="External"/><Relationship Id="rId110" Type="http://schemas.openxmlformats.org/officeDocument/2006/relationships/hyperlink" Target="https://www.sciencedirect.com/science/article/pii/S2352864823001748" TargetMode="External"/><Relationship Id="rId131" Type="http://schemas.openxmlformats.org/officeDocument/2006/relationships/hyperlink" Target="https://www.sciencedirect.com/science/article/pii/S1319157822003792" TargetMode="External"/><Relationship Id="rId152" Type="http://schemas.openxmlformats.org/officeDocument/2006/relationships/hyperlink" Target="https://www.sciencedirect.com/science/article/pii/S014036642200370X" TargetMode="External"/><Relationship Id="rId173" Type="http://schemas.openxmlformats.org/officeDocument/2006/relationships/hyperlink" Target="https://www.sciencedirect.com/science/article/pii/S0167739X21003319" TargetMode="External"/><Relationship Id="rId194" Type="http://schemas.openxmlformats.org/officeDocument/2006/relationships/hyperlink" Target="https://www.sciencedirect.com/science/article/pii/S0308597X23004256" TargetMode="External"/><Relationship Id="rId208" Type="http://schemas.openxmlformats.org/officeDocument/2006/relationships/hyperlink" Target="https://www.sciencedirect.com/science/article/pii/S2665917423002398" TargetMode="External"/><Relationship Id="rId229" Type="http://schemas.openxmlformats.org/officeDocument/2006/relationships/hyperlink" Target="https://www.sciencedirect.com/science/article/pii/S0306457321000200" TargetMode="External"/><Relationship Id="rId14" Type="http://schemas.openxmlformats.org/officeDocument/2006/relationships/hyperlink" Target="https://www.sciencedirect.com/science/article/pii/S0306457321000674" TargetMode="External"/><Relationship Id="rId35" Type="http://schemas.openxmlformats.org/officeDocument/2006/relationships/hyperlink" Target="https://www.sciencedirect.com/science/article/pii/S235246772300005X" TargetMode="External"/><Relationship Id="rId56" Type="http://schemas.openxmlformats.org/officeDocument/2006/relationships/hyperlink" Target="https://www.sciencedirect.com/science/article/pii/S1389128622004364" TargetMode="External"/><Relationship Id="rId77" Type="http://schemas.openxmlformats.org/officeDocument/2006/relationships/hyperlink" Target="https://www.sciencedirect.com/science/article/pii/S2096720922000021" TargetMode="External"/><Relationship Id="rId100" Type="http://schemas.openxmlformats.org/officeDocument/2006/relationships/hyperlink" Target="https://www.sciencedirect.com/science/article/pii/S1474034623003701" TargetMode="External"/><Relationship Id="rId8" Type="http://schemas.openxmlformats.org/officeDocument/2006/relationships/hyperlink" Target="https://www.sciencedirect.com/science/article/pii/S240589632202403X" TargetMode="External"/><Relationship Id="rId98" Type="http://schemas.openxmlformats.org/officeDocument/2006/relationships/hyperlink" Target="https://www.sciencedirect.com/science/article/pii/S0360835222007252" TargetMode="External"/><Relationship Id="rId121" Type="http://schemas.openxmlformats.org/officeDocument/2006/relationships/hyperlink" Target="https://www.sciencedirect.com/science/article/pii/S2214785321030273" TargetMode="External"/><Relationship Id="rId142" Type="http://schemas.openxmlformats.org/officeDocument/2006/relationships/hyperlink" Target="https://www.sciencedirect.com/science/article/pii/S2352864822002759" TargetMode="External"/><Relationship Id="rId163" Type="http://schemas.openxmlformats.org/officeDocument/2006/relationships/hyperlink" Target="https://www.sciencedirect.com/science/article/pii/S1383762120301752" TargetMode="External"/><Relationship Id="rId184" Type="http://schemas.openxmlformats.org/officeDocument/2006/relationships/hyperlink" Target="https://www.sciencedirect.com/science/article/pii/S2542660523002822" TargetMode="External"/><Relationship Id="rId219" Type="http://schemas.openxmlformats.org/officeDocument/2006/relationships/hyperlink" Target="https://www.sciencedirect.com/science/article/pii/S0957417422016037" TargetMode="External"/><Relationship Id="rId230" Type="http://schemas.openxmlformats.org/officeDocument/2006/relationships/hyperlink" Target="https://www.sciencedirect.com/science/article/pii/S0957417422016165" TargetMode="External"/><Relationship Id="rId25" Type="http://schemas.openxmlformats.org/officeDocument/2006/relationships/hyperlink" Target="https://www.sciencedirect.com/science/article/pii/S0140988323006515" TargetMode="External"/><Relationship Id="rId46" Type="http://schemas.openxmlformats.org/officeDocument/2006/relationships/hyperlink" Target="https://www.sciencedirect.com/science/article/pii/S2212827123007692" TargetMode="External"/><Relationship Id="rId67" Type="http://schemas.openxmlformats.org/officeDocument/2006/relationships/hyperlink" Target="https://www.sciencedirect.com/science/article/pii/S0957417421013762" TargetMode="External"/><Relationship Id="rId88" Type="http://schemas.openxmlformats.org/officeDocument/2006/relationships/hyperlink" Target="https://www.sciencedirect.com/science/article/pii/S0045790623000198" TargetMode="External"/><Relationship Id="rId111" Type="http://schemas.openxmlformats.org/officeDocument/2006/relationships/hyperlink" Target="https://www.sciencedirect.com/science/article/pii/S1877050923020951" TargetMode="External"/><Relationship Id="rId132" Type="http://schemas.openxmlformats.org/officeDocument/2006/relationships/hyperlink" Target="https://www.sciencedirect.com/science/article/pii/S0020025523012185" TargetMode="External"/><Relationship Id="rId153" Type="http://schemas.openxmlformats.org/officeDocument/2006/relationships/hyperlink" Target="https://www.sciencedirect.com/science/article/pii/S2096720922000616" TargetMode="External"/><Relationship Id="rId174" Type="http://schemas.openxmlformats.org/officeDocument/2006/relationships/hyperlink" Target="https://www.sciencedirect.com/science/article/pii/S2452414X2300064X" TargetMode="External"/><Relationship Id="rId195" Type="http://schemas.openxmlformats.org/officeDocument/2006/relationships/hyperlink" Target="https://www.sciencedirect.com/science/article/pii/S0160791X21000816" TargetMode="External"/><Relationship Id="rId209" Type="http://schemas.openxmlformats.org/officeDocument/2006/relationships/hyperlink" Target="https://www.sciencedirect.com/science/article/pii/S1574013722000314" TargetMode="External"/><Relationship Id="rId190" Type="http://schemas.openxmlformats.org/officeDocument/2006/relationships/hyperlink" Target="https://www.sciencedirect.com/science/article/pii/S0045790622005961" TargetMode="External"/><Relationship Id="rId204" Type="http://schemas.openxmlformats.org/officeDocument/2006/relationships/hyperlink" Target="https://www.sciencedirect.com/science/article/pii/S0030402622013353" TargetMode="External"/><Relationship Id="rId220" Type="http://schemas.openxmlformats.org/officeDocument/2006/relationships/hyperlink" Target="https://www.sciencedirect.com/science/article/pii/S0167739X22000292" TargetMode="External"/><Relationship Id="rId225" Type="http://schemas.openxmlformats.org/officeDocument/2006/relationships/hyperlink" Target="https://www.sciencedirect.com/science/article/pii/S1389128621004382" TargetMode="External"/><Relationship Id="rId15" Type="http://schemas.openxmlformats.org/officeDocument/2006/relationships/hyperlink" Target="https://www.sciencedirect.com/science/article/pii/S0957417423032207" TargetMode="External"/><Relationship Id="rId36" Type="http://schemas.openxmlformats.org/officeDocument/2006/relationships/hyperlink" Target="https://www.sciencedirect.com/science/article/pii/S0045790623000423" TargetMode="External"/><Relationship Id="rId57" Type="http://schemas.openxmlformats.org/officeDocument/2006/relationships/hyperlink" Target="https://www.sciencedirect.com/science/article/pii/S1389128623002451" TargetMode="External"/><Relationship Id="rId106" Type="http://schemas.openxmlformats.org/officeDocument/2006/relationships/hyperlink" Target="https://www.sciencedirect.com/science/article/pii/S2214209623000888" TargetMode="External"/><Relationship Id="rId127" Type="http://schemas.openxmlformats.org/officeDocument/2006/relationships/hyperlink" Target="https://www.sciencedirect.com/science/article/pii/S0140366422004820" TargetMode="External"/><Relationship Id="rId10" Type="http://schemas.openxmlformats.org/officeDocument/2006/relationships/hyperlink" Target="https://www.sciencedirect.com/science/article/pii/S2214212623001394" TargetMode="External"/><Relationship Id="rId31" Type="http://schemas.openxmlformats.org/officeDocument/2006/relationships/hyperlink" Target="https://www.sciencedirect.com/science/article/pii/S1389128623004851" TargetMode="External"/><Relationship Id="rId52" Type="http://schemas.openxmlformats.org/officeDocument/2006/relationships/hyperlink" Target="https://www.sciencedirect.com/science/article/pii/S2352484723011356" TargetMode="External"/><Relationship Id="rId73" Type="http://schemas.openxmlformats.org/officeDocument/2006/relationships/hyperlink" Target="https://www.sciencedirect.com/science/article/pii/S2214212622000643" TargetMode="External"/><Relationship Id="rId78" Type="http://schemas.openxmlformats.org/officeDocument/2006/relationships/hyperlink" Target="https://www.sciencedirect.com/science/article/pii/S2352484722003924" TargetMode="External"/><Relationship Id="rId94" Type="http://schemas.openxmlformats.org/officeDocument/2006/relationships/hyperlink" Target="https://www.sciencedirect.com/science/article/pii/S1389128623001718" TargetMode="External"/><Relationship Id="rId99" Type="http://schemas.openxmlformats.org/officeDocument/2006/relationships/hyperlink" Target="https://www.sciencedirect.com/science/article/pii/S2096720923000039" TargetMode="External"/><Relationship Id="rId101" Type="http://schemas.openxmlformats.org/officeDocument/2006/relationships/hyperlink" Target="https://www.sciencedirect.com/science/article/pii/S2096720923000313" TargetMode="External"/><Relationship Id="rId122" Type="http://schemas.openxmlformats.org/officeDocument/2006/relationships/hyperlink" Target="https://www.sciencedirect.com/science/article/pii/S2096720922000070" TargetMode="External"/><Relationship Id="rId143" Type="http://schemas.openxmlformats.org/officeDocument/2006/relationships/hyperlink" Target="https://www.sciencedirect.com/science/article/pii/S0045790623001714" TargetMode="External"/><Relationship Id="rId148" Type="http://schemas.openxmlformats.org/officeDocument/2006/relationships/hyperlink" Target="https://www.sciencedirect.com/science/article/pii/S2096720923000507" TargetMode="External"/><Relationship Id="rId164" Type="http://schemas.openxmlformats.org/officeDocument/2006/relationships/hyperlink" Target="https://www.sciencedirect.com/science/article/pii/S2214212623000601" TargetMode="External"/><Relationship Id="rId169" Type="http://schemas.openxmlformats.org/officeDocument/2006/relationships/hyperlink" Target="https://www.sciencedirect.com/science/article/pii/S2352914822002623" TargetMode="External"/><Relationship Id="rId185" Type="http://schemas.openxmlformats.org/officeDocument/2006/relationships/hyperlink" Target="https://www.sciencedirect.com/science/article/pii/S1319157822002221" TargetMode="External"/><Relationship Id="rId4" Type="http://schemas.openxmlformats.org/officeDocument/2006/relationships/hyperlink" Target="https://www.sciencedirect.com/science/article/abs/pii/S1389128622003437" TargetMode="External"/><Relationship Id="rId9" Type="http://schemas.openxmlformats.org/officeDocument/2006/relationships/hyperlink" Target="https://www.sciencedirect.com/science/article/pii/S0167642323001582" TargetMode="External"/><Relationship Id="rId180" Type="http://schemas.openxmlformats.org/officeDocument/2006/relationships/hyperlink" Target="https://www.sciencedirect.com/science/article/pii/S131915782300397X" TargetMode="External"/><Relationship Id="rId210" Type="http://schemas.openxmlformats.org/officeDocument/2006/relationships/hyperlink" Target="https://www.sciencedirect.com/science/article/pii/S2352864823001694" TargetMode="External"/><Relationship Id="rId215" Type="http://schemas.openxmlformats.org/officeDocument/2006/relationships/hyperlink" Target="https://www.sciencedirect.com/science/article/pii/S1084804523001376" TargetMode="External"/><Relationship Id="rId236" Type="http://schemas.openxmlformats.org/officeDocument/2006/relationships/hyperlink" Target="https://www.sciencedirect.com/science/article/pii/S2096720924000666" TargetMode="External"/><Relationship Id="rId26" Type="http://schemas.openxmlformats.org/officeDocument/2006/relationships/hyperlink" Target="https://www.sciencedirect.com/science/article/pii/S1383762123000139" TargetMode="External"/><Relationship Id="rId231" Type="http://schemas.openxmlformats.org/officeDocument/2006/relationships/hyperlink" Target="https://www.sciencedirect.com/science/article/pii/S0360835223005454" TargetMode="External"/><Relationship Id="rId47" Type="http://schemas.openxmlformats.org/officeDocument/2006/relationships/hyperlink" Target="https://www.sciencedirect.com/science/article/pii/S2666990023000241" TargetMode="External"/><Relationship Id="rId68" Type="http://schemas.openxmlformats.org/officeDocument/2006/relationships/hyperlink" Target="https://www.sciencedirect.com/science/article/pii/S1877050923005951" TargetMode="External"/><Relationship Id="rId89" Type="http://schemas.openxmlformats.org/officeDocument/2006/relationships/hyperlink" Target="https://www.sciencedirect.com/science/article/pii/S2667295221000386" TargetMode="External"/><Relationship Id="rId112" Type="http://schemas.openxmlformats.org/officeDocument/2006/relationships/hyperlink" Target="https://www.sciencedirect.com/science/article/pii/S2352864821000456" TargetMode="External"/><Relationship Id="rId133" Type="http://schemas.openxmlformats.org/officeDocument/2006/relationships/hyperlink" Target="https://www.sciencedirect.com/science/article/pii/B9780323961462000243" TargetMode="External"/><Relationship Id="rId154" Type="http://schemas.openxmlformats.org/officeDocument/2006/relationships/hyperlink" Target="https://www.sciencedirect.com/science/article/pii/S2096720922000537" TargetMode="External"/><Relationship Id="rId175" Type="http://schemas.openxmlformats.org/officeDocument/2006/relationships/hyperlink" Target="https://www.sciencedirect.com/science/article/pii/S2214212621000028" TargetMode="External"/><Relationship Id="rId196" Type="http://schemas.openxmlformats.org/officeDocument/2006/relationships/hyperlink" Target="https://www.sciencedirect.com/science/article/pii/S2772671123000992" TargetMode="External"/><Relationship Id="rId200" Type="http://schemas.openxmlformats.org/officeDocument/2006/relationships/hyperlink" Target="https://www.sciencedirect.com/science/article/pii/S1877050922020762" TargetMode="External"/><Relationship Id="rId16" Type="http://schemas.openxmlformats.org/officeDocument/2006/relationships/hyperlink" Target="https://www.sciencedirect.com/science/article/pii/S0950584923000678" TargetMode="External"/><Relationship Id="rId221" Type="http://schemas.openxmlformats.org/officeDocument/2006/relationships/hyperlink" Target="https://www.sciencedirect.com/science/article/pii/S2772528621000303" TargetMode="External"/><Relationship Id="rId37" Type="http://schemas.openxmlformats.org/officeDocument/2006/relationships/hyperlink" Target="https://www.sciencedirect.com/science/article/pii/S2214212622000096" TargetMode="External"/><Relationship Id="rId58" Type="http://schemas.openxmlformats.org/officeDocument/2006/relationships/hyperlink" Target="https://www.sciencedirect.com/science/article/pii/S1084804520304045" TargetMode="External"/><Relationship Id="rId79" Type="http://schemas.openxmlformats.org/officeDocument/2006/relationships/hyperlink" Target="https://www.sciencedirect.com/science/article/pii/S0045790623001271" TargetMode="External"/><Relationship Id="rId102" Type="http://schemas.openxmlformats.org/officeDocument/2006/relationships/hyperlink" Target="https://www.sciencedirect.com/science/article/pii/S0950584921002081" TargetMode="External"/><Relationship Id="rId123" Type="http://schemas.openxmlformats.org/officeDocument/2006/relationships/hyperlink" Target="https://www.sciencedirect.com/science/article/pii/S0164121220302818" TargetMode="External"/><Relationship Id="rId144" Type="http://schemas.openxmlformats.org/officeDocument/2006/relationships/hyperlink" Target="https://www.sciencedirect.com/science/article/pii/S0167739X24000013" TargetMode="External"/><Relationship Id="rId90" Type="http://schemas.openxmlformats.org/officeDocument/2006/relationships/hyperlink" Target="https://www.sciencedirect.com/science/article/pii/S1319157822004347" TargetMode="External"/><Relationship Id="rId165" Type="http://schemas.openxmlformats.org/officeDocument/2006/relationships/hyperlink" Target="https://www.sciencedirect.com/science/article/pii/S1383762123002126" TargetMode="External"/><Relationship Id="rId186" Type="http://schemas.openxmlformats.org/officeDocument/2006/relationships/hyperlink" Target="https://www.sciencedirect.com/science/article/pii/S235286481930330X" TargetMode="External"/><Relationship Id="rId211" Type="http://schemas.openxmlformats.org/officeDocument/2006/relationships/hyperlink" Target="https://www.sciencedirect.com/science/article/pii/S2405844023051654" TargetMode="External"/><Relationship Id="rId232" Type="http://schemas.openxmlformats.org/officeDocument/2006/relationships/hyperlink" Target="https://www.sciencedirect.com/science/article/pii/S0950705121005748" TargetMode="External"/><Relationship Id="rId27" Type="http://schemas.openxmlformats.org/officeDocument/2006/relationships/hyperlink" Target="https://www.sciencedirect.com/science/article/pii/S1319157819309000" TargetMode="External"/><Relationship Id="rId48" Type="http://schemas.openxmlformats.org/officeDocument/2006/relationships/hyperlink" Target="https://www.sciencedirect.com/science/article/pii/S0957417421009805" TargetMode="External"/><Relationship Id="rId69" Type="http://schemas.openxmlformats.org/officeDocument/2006/relationships/hyperlink" Target="https://www.sciencedirect.com/science/article/pii/S1877050923005434" TargetMode="External"/><Relationship Id="rId113" Type="http://schemas.openxmlformats.org/officeDocument/2006/relationships/hyperlink" Target="https://www.sciencedirect.com/science/article/pii/S1877050921007389" TargetMode="External"/><Relationship Id="rId134" Type="http://schemas.openxmlformats.org/officeDocument/2006/relationships/hyperlink" Target="https://www.sciencedirect.com/science/article/pii/S2667295222000538" TargetMode="External"/><Relationship Id="rId80" Type="http://schemas.openxmlformats.org/officeDocument/2006/relationships/hyperlink" Target="https://www.sciencedirect.com/science/article/pii/S0360319923045305" TargetMode="External"/><Relationship Id="rId155" Type="http://schemas.openxmlformats.org/officeDocument/2006/relationships/hyperlink" Target="https://www.sciencedirect.com/science/article/pii/S2542660523003499" TargetMode="External"/><Relationship Id="rId176" Type="http://schemas.openxmlformats.org/officeDocument/2006/relationships/hyperlink" Target="https://www.sciencedirect.com/science/article/pii/S0168169922008523" TargetMode="External"/><Relationship Id="rId197" Type="http://schemas.openxmlformats.org/officeDocument/2006/relationships/hyperlink" Target="https://www.sciencedirect.com/science/article/pii/B9780323961462000231" TargetMode="External"/><Relationship Id="rId201" Type="http://schemas.openxmlformats.org/officeDocument/2006/relationships/hyperlink" Target="https://www.sciencedirect.com/science/article/pii/S1574013721000873" TargetMode="External"/><Relationship Id="rId222" Type="http://schemas.openxmlformats.org/officeDocument/2006/relationships/hyperlink" Target="https://www.sciencedirect.com/science/article/pii/S0926580523001607" TargetMode="External"/><Relationship Id="rId17" Type="http://schemas.openxmlformats.org/officeDocument/2006/relationships/hyperlink" Target="https://www.sciencedirect.com/science/article/pii/S1084804523000772" TargetMode="External"/><Relationship Id="rId38" Type="http://schemas.openxmlformats.org/officeDocument/2006/relationships/hyperlink" Target="https://www.sciencedirect.com/science/article/pii/S1383762122003058" TargetMode="External"/><Relationship Id="rId59" Type="http://schemas.openxmlformats.org/officeDocument/2006/relationships/hyperlink" Target="https://www.sciencedirect.com/science/article/pii/S014206152100051X" TargetMode="External"/><Relationship Id="rId103" Type="http://schemas.openxmlformats.org/officeDocument/2006/relationships/hyperlink" Target="https://www.sciencedirect.com/science/article/pii/B9780443131776000072" TargetMode="External"/><Relationship Id="rId124" Type="http://schemas.openxmlformats.org/officeDocument/2006/relationships/hyperlink" Target="https://www.sciencedirect.com/science/article/pii/S0020025521007994" TargetMode="External"/><Relationship Id="rId70" Type="http://schemas.openxmlformats.org/officeDocument/2006/relationships/hyperlink" Target="https://www.sciencedirect.com/science/article/pii/S2665963823000313" TargetMode="External"/><Relationship Id="rId91" Type="http://schemas.openxmlformats.org/officeDocument/2006/relationships/hyperlink" Target="https://www.sciencedirect.com/science/article/pii/S0920548922000757" TargetMode="External"/><Relationship Id="rId145" Type="http://schemas.openxmlformats.org/officeDocument/2006/relationships/hyperlink" Target="https://www.sciencedirect.com/science/article/pii/S2667305323000029" TargetMode="External"/><Relationship Id="rId166" Type="http://schemas.openxmlformats.org/officeDocument/2006/relationships/hyperlink" Target="https://www.sciencedirect.com/science/article/pii/S1319157823000885" TargetMode="External"/><Relationship Id="rId187" Type="http://schemas.openxmlformats.org/officeDocument/2006/relationships/hyperlink" Target="https://www.sciencedirect.com/science/article/pii/S0020025523008162" TargetMode="External"/><Relationship Id="rId1" Type="http://schemas.openxmlformats.org/officeDocument/2006/relationships/hyperlink" Target="https://www.sciencedirect.com/science/article/abs/pii/S0950584923000757" TargetMode="External"/><Relationship Id="rId212" Type="http://schemas.openxmlformats.org/officeDocument/2006/relationships/hyperlink" Target="https://www.sciencedirect.com/science/article/pii/S2214212622001909" TargetMode="External"/><Relationship Id="rId233" Type="http://schemas.openxmlformats.org/officeDocument/2006/relationships/hyperlink" Target="https://www.sciencedirect.com/science/article/pii/S0030402622015273" TargetMode="External"/><Relationship Id="rId28" Type="http://schemas.openxmlformats.org/officeDocument/2006/relationships/hyperlink" Target="https://www.sciencedirect.com/science/article/pii/S0140366422001700" TargetMode="External"/><Relationship Id="rId49" Type="http://schemas.openxmlformats.org/officeDocument/2006/relationships/hyperlink" Target="https://www.sciencedirect.com/science/article/pii/S235248472301541X" TargetMode="External"/><Relationship Id="rId114" Type="http://schemas.openxmlformats.org/officeDocument/2006/relationships/hyperlink" Target="https://www.sciencedirect.com/science/article/pii/S0920548922000459" TargetMode="External"/><Relationship Id="rId60" Type="http://schemas.openxmlformats.org/officeDocument/2006/relationships/hyperlink" Target="https://www.sciencedirect.com/science/article/pii/S2665963823001239" TargetMode="External"/><Relationship Id="rId81" Type="http://schemas.openxmlformats.org/officeDocument/2006/relationships/hyperlink" Target="https://www.sciencedirect.com/science/article/pii/S092658052200293X" TargetMode="External"/><Relationship Id="rId135" Type="http://schemas.openxmlformats.org/officeDocument/2006/relationships/hyperlink" Target="https://www.sciencedirect.com/science/article/pii/S004579062100519X" TargetMode="External"/><Relationship Id="rId156" Type="http://schemas.openxmlformats.org/officeDocument/2006/relationships/hyperlink" Target="https://www.sciencedirect.com/science/article/pii/S0167739X23004478" TargetMode="External"/><Relationship Id="rId177" Type="http://schemas.openxmlformats.org/officeDocument/2006/relationships/hyperlink" Target="https://www.sciencedirect.com/science/article/pii/S1084804521000758" TargetMode="External"/><Relationship Id="rId198" Type="http://schemas.openxmlformats.org/officeDocument/2006/relationships/hyperlink" Target="https://www.sciencedirect.com/science/article/pii/S0957417422005000" TargetMode="External"/><Relationship Id="rId202" Type="http://schemas.openxmlformats.org/officeDocument/2006/relationships/hyperlink" Target="https://www.sciencedirect.com/science/article/pii/S0098135423003484" TargetMode="External"/><Relationship Id="rId223" Type="http://schemas.openxmlformats.org/officeDocument/2006/relationships/hyperlink" Target="https://www.sciencedirect.com/science/article/pii/S0045790621004742" TargetMode="External"/><Relationship Id="rId18" Type="http://schemas.openxmlformats.org/officeDocument/2006/relationships/hyperlink" Target="https://www.sciencedirect.com/science/article/pii/S0020025523004565" TargetMode="External"/><Relationship Id="rId39" Type="http://schemas.openxmlformats.org/officeDocument/2006/relationships/hyperlink" Target="https://www.sciencedirect.com/science/article/pii/S2096720921000440" TargetMode="External"/><Relationship Id="rId50" Type="http://schemas.openxmlformats.org/officeDocument/2006/relationships/hyperlink" Target="https://www.sciencedirect.com/science/article/pii/S2214212621001885" TargetMode="External"/><Relationship Id="rId104" Type="http://schemas.openxmlformats.org/officeDocument/2006/relationships/hyperlink" Target="https://www.sciencedirect.com/science/article/pii/S0167739X23001516" TargetMode="External"/><Relationship Id="rId125" Type="http://schemas.openxmlformats.org/officeDocument/2006/relationships/hyperlink" Target="https://www.sciencedirect.com/science/article/pii/S2405959523001650" TargetMode="External"/><Relationship Id="rId146" Type="http://schemas.openxmlformats.org/officeDocument/2006/relationships/hyperlink" Target="https://www.sciencedirect.com/science/article/pii/S1383762123001042" TargetMode="External"/><Relationship Id="rId167" Type="http://schemas.openxmlformats.org/officeDocument/2006/relationships/hyperlink" Target="https://www.sciencedirect.com/science/article/pii/S0140366423002098" TargetMode="External"/><Relationship Id="rId188" Type="http://schemas.openxmlformats.org/officeDocument/2006/relationships/hyperlink" Target="https://www.sciencedirect.com/science/article/pii/B9780323961462000280" TargetMode="External"/><Relationship Id="rId71" Type="http://schemas.openxmlformats.org/officeDocument/2006/relationships/hyperlink" Target="https://www.sciencedirect.com/science/article/pii/S0920548922000095" TargetMode="External"/><Relationship Id="rId92" Type="http://schemas.openxmlformats.org/officeDocument/2006/relationships/hyperlink" Target="https://www.sciencedirect.com/science/article/pii/S2214212622000102" TargetMode="External"/><Relationship Id="rId213" Type="http://schemas.openxmlformats.org/officeDocument/2006/relationships/hyperlink" Target="https://www.sciencedirect.com/science/article/pii/S0167739X23001280" TargetMode="External"/><Relationship Id="rId234" Type="http://schemas.openxmlformats.org/officeDocument/2006/relationships/hyperlink" Target="https://www.sciencedirect.com/science/article/pii/S0167642323001338" TargetMode="External"/><Relationship Id="rId2" Type="http://schemas.openxmlformats.org/officeDocument/2006/relationships/hyperlink" Target="https://www.sciencedirect.com/science/article/pii/S0164121223000481" TargetMode="External"/><Relationship Id="rId29" Type="http://schemas.openxmlformats.org/officeDocument/2006/relationships/hyperlink" Target="https://www.sciencedirect.com/science/article/pii/S0959652622031973" TargetMode="External"/><Relationship Id="rId40" Type="http://schemas.openxmlformats.org/officeDocument/2006/relationships/hyperlink" Target="https://www.sciencedirect.com/science/article/pii/S2405844023023873" TargetMode="External"/><Relationship Id="rId115" Type="http://schemas.openxmlformats.org/officeDocument/2006/relationships/hyperlink" Target="https://www.sciencedirect.com/science/article/pii/S0926580521004520" TargetMode="External"/><Relationship Id="rId136" Type="http://schemas.openxmlformats.org/officeDocument/2006/relationships/hyperlink" Target="https://www.sciencedirect.com/science/article/pii/S2666389920302439" TargetMode="External"/><Relationship Id="rId157" Type="http://schemas.openxmlformats.org/officeDocument/2006/relationships/hyperlink" Target="https://www.sciencedirect.com/science/article/pii/S0140366423001470" TargetMode="External"/><Relationship Id="rId178" Type="http://schemas.openxmlformats.org/officeDocument/2006/relationships/hyperlink" Target="https://www.sciencedirect.com/science/article/pii/S0045790622003792" TargetMode="External"/><Relationship Id="rId61" Type="http://schemas.openxmlformats.org/officeDocument/2006/relationships/hyperlink" Target="https://www.sciencedirect.com/science/article/pii/B9780323994811000080" TargetMode="External"/><Relationship Id="rId82" Type="http://schemas.openxmlformats.org/officeDocument/2006/relationships/hyperlink" Target="https://www.sciencedirect.com/science/article/pii/S0160791X22000823" TargetMode="External"/><Relationship Id="rId199" Type="http://schemas.openxmlformats.org/officeDocument/2006/relationships/hyperlink" Target="https://www.sciencedirect.com/science/article/pii/S2352864822001742" TargetMode="External"/><Relationship Id="rId203" Type="http://schemas.openxmlformats.org/officeDocument/2006/relationships/hyperlink" Target="https://www.sciencedirect.com/science/article/pii/S138912862100116X" TargetMode="External"/><Relationship Id="rId19" Type="http://schemas.openxmlformats.org/officeDocument/2006/relationships/hyperlink" Target="https://www.sciencedirect.com/science/article/pii/S1319157822003111" TargetMode="External"/><Relationship Id="rId224" Type="http://schemas.openxmlformats.org/officeDocument/2006/relationships/hyperlink" Target="https://www.sciencedirect.com/science/article/pii/S2199853122009581" TargetMode="External"/><Relationship Id="rId30" Type="http://schemas.openxmlformats.org/officeDocument/2006/relationships/hyperlink" Target="https://www.sciencedirect.com/science/article/pii/S2352864823000263" TargetMode="External"/><Relationship Id="rId105" Type="http://schemas.openxmlformats.org/officeDocument/2006/relationships/hyperlink" Target="https://www.sciencedirect.com/science/article/pii/S0140988323004292" TargetMode="External"/><Relationship Id="rId126" Type="http://schemas.openxmlformats.org/officeDocument/2006/relationships/hyperlink" Target="https://www.sciencedirect.com/science/article/pii/S0306457320309547" TargetMode="External"/><Relationship Id="rId147" Type="http://schemas.openxmlformats.org/officeDocument/2006/relationships/hyperlink" Target="https://www.sciencedirect.com/science/article/pii/S1877050923020252" TargetMode="External"/><Relationship Id="rId168" Type="http://schemas.openxmlformats.org/officeDocument/2006/relationships/hyperlink" Target="https://www.sciencedirect.com/science/article/pii/S2214212623000881" TargetMode="External"/><Relationship Id="rId51" Type="http://schemas.openxmlformats.org/officeDocument/2006/relationships/hyperlink" Target="https://www.sciencedirect.com/science/article/pii/S0275531922001593" TargetMode="External"/><Relationship Id="rId72" Type="http://schemas.openxmlformats.org/officeDocument/2006/relationships/hyperlink" Target="https://www.sciencedirect.com/science/article/pii/S1319157822002427" TargetMode="External"/><Relationship Id="rId93" Type="http://schemas.openxmlformats.org/officeDocument/2006/relationships/hyperlink" Target="https://www.sciencedirect.com/science/article/pii/S0926580521004064" TargetMode="External"/><Relationship Id="rId189" Type="http://schemas.openxmlformats.org/officeDocument/2006/relationships/hyperlink" Target="https://www.sciencedirect.com/science/article/pii/S1319157823004512" TargetMode="External"/><Relationship Id="rId3" Type="http://schemas.openxmlformats.org/officeDocument/2006/relationships/hyperlink" Target="https://www.sciencedirect.com/science/article/abs/pii/S016412122300170X" TargetMode="External"/><Relationship Id="rId214" Type="http://schemas.openxmlformats.org/officeDocument/2006/relationships/hyperlink" Target="https://www.sciencedirect.com/science/article/pii/S0926580522002631" TargetMode="External"/><Relationship Id="rId235" Type="http://schemas.openxmlformats.org/officeDocument/2006/relationships/hyperlink" Target="https://www.sciencedirect.com/science/article/pii/S1084804525000396" TargetMode="External"/><Relationship Id="rId116" Type="http://schemas.openxmlformats.org/officeDocument/2006/relationships/hyperlink" Target="https://www.sciencedirect.com/science/article/pii/S2096720921000191" TargetMode="External"/><Relationship Id="rId137" Type="http://schemas.openxmlformats.org/officeDocument/2006/relationships/hyperlink" Target="https://www.sciencedirect.com/science/article/pii/S2096720921000233" TargetMode="External"/><Relationship Id="rId158" Type="http://schemas.openxmlformats.org/officeDocument/2006/relationships/hyperlink" Target="https://www.sciencedirect.com/science/article/pii/S2772442523000874" TargetMode="External"/><Relationship Id="rId20" Type="http://schemas.openxmlformats.org/officeDocument/2006/relationships/hyperlink" Target="https://www.sciencedirect.com/science/article/pii/S2214212623001990" TargetMode="External"/><Relationship Id="rId41" Type="http://schemas.openxmlformats.org/officeDocument/2006/relationships/hyperlink" Target="https://www.sciencedirect.com/science/article/pii/S0142061521007547" TargetMode="External"/><Relationship Id="rId62" Type="http://schemas.openxmlformats.org/officeDocument/2006/relationships/hyperlink" Target="https://www.sciencedirect.com/science/article/pii/S2665917422002549" TargetMode="External"/><Relationship Id="rId83" Type="http://schemas.openxmlformats.org/officeDocument/2006/relationships/hyperlink" Target="https://www.sciencedirect.com/science/article/pii/S2214212622001144" TargetMode="External"/><Relationship Id="rId179" Type="http://schemas.openxmlformats.org/officeDocument/2006/relationships/hyperlink" Target="https://www.sciencedirect.com/science/article/pii/S0167739X22003764"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catalogplus.tuwien.at/permalink/f/1m011kq/TN_cdi_proquest_journals_3165908009" TargetMode="External"/><Relationship Id="rId299" Type="http://schemas.openxmlformats.org/officeDocument/2006/relationships/hyperlink" Target="https://catalogplus.tuwien.at/permalink/f/1m011kq/TN_cdi_springer_books_10_1007_978_981_99_8101_4_16" TargetMode="External"/><Relationship Id="rId21" Type="http://schemas.openxmlformats.org/officeDocument/2006/relationships/hyperlink" Target="https://catalogplus.tuwien.at/permalink/f/1m011kq/TN_cdi_proquest_journals_2703098840" TargetMode="External"/><Relationship Id="rId63" Type="http://schemas.openxmlformats.org/officeDocument/2006/relationships/hyperlink" Target="https://catalogplus.tuwien.at/permalink/f/1m011kq/TN_cdi_openaire_primary_doi_1f3d8682850d9b7d169a250618cc79e0" TargetMode="External"/><Relationship Id="rId159" Type="http://schemas.openxmlformats.org/officeDocument/2006/relationships/hyperlink" Target="https://catalogplus.tuwien.at/permalink/f/1m011kq/TN_cdi_crossref_primary_10_1016_j_jss_2025_112361" TargetMode="External"/><Relationship Id="rId324" Type="http://schemas.openxmlformats.org/officeDocument/2006/relationships/hyperlink" Target="https://catalogplus.tuwien.at/permalink/f/1m011kq/TN_cdi_proquest_journals_3129925307" TargetMode="External"/><Relationship Id="rId366" Type="http://schemas.openxmlformats.org/officeDocument/2006/relationships/hyperlink" Target="https://catalogplus.tuwien.at/permalink/f/1m011kq/TN_cdi_doaj_primary_oai_doaj_org_article_b76c5f044f184c2c8abc9ee9e07f9af4" TargetMode="External"/><Relationship Id="rId170" Type="http://schemas.openxmlformats.org/officeDocument/2006/relationships/hyperlink" Target="https://catalogplus.tuwien.at/permalink/f/1m011kq/TN_cdi_proquest_journals_3147505056" TargetMode="External"/><Relationship Id="rId226" Type="http://schemas.openxmlformats.org/officeDocument/2006/relationships/hyperlink" Target="https://catalogplus.tuwien.at/permalink/f/1m011kq/TN_cdi_proquest_journals_3110456813" TargetMode="External"/><Relationship Id="rId433" Type="http://schemas.openxmlformats.org/officeDocument/2006/relationships/hyperlink" Target="https://catalogplus.tuwien.at/permalink/f/1m011kq/TN_cdi_acm_books_10_1145_3689236_3689325" TargetMode="External"/><Relationship Id="rId268" Type="http://schemas.openxmlformats.org/officeDocument/2006/relationships/hyperlink" Target="https://catalogplus.tuwien.at/permalink/f/1m011kq/TN_cdi_doaj_primary_oai_doaj_org_article_11eaaa32ce7b4e9fa13ab85a9501bc03" TargetMode="External"/><Relationship Id="rId32" Type="http://schemas.openxmlformats.org/officeDocument/2006/relationships/hyperlink" Target="https://catalogplus.tuwien.at/permalink/f/1m011kq/TN_cdi_webofscience_primary_000616307600013" TargetMode="External"/><Relationship Id="rId74" Type="http://schemas.openxmlformats.org/officeDocument/2006/relationships/hyperlink" Target="https://catalogplus.tuwien.at/permalink/f/1m011kq/TN_cdi_springer_books_10_1007_978_3_031_47637_2_5" TargetMode="External"/><Relationship Id="rId128" Type="http://schemas.openxmlformats.org/officeDocument/2006/relationships/hyperlink" Target="https://catalogplus.tuwien.at/permalink/f/1m011kq/TN_cdi_proquest_journals_2918030176" TargetMode="External"/><Relationship Id="rId335" Type="http://schemas.openxmlformats.org/officeDocument/2006/relationships/hyperlink" Target="https://catalogplus.tuwien.at/permalink/f/1m011kq/TN_cdi_acm_books_10_1145_3634737_3661142" TargetMode="External"/><Relationship Id="rId377" Type="http://schemas.openxmlformats.org/officeDocument/2006/relationships/hyperlink" Target="https://catalogplus.tuwien.at/permalink/f/1m011kq/TN_cdi_doaj_primary_oai_doaj_org_article_e3c174e4188a4410a54028135aa6e5c6" TargetMode="External"/><Relationship Id="rId5" Type="http://schemas.openxmlformats.org/officeDocument/2006/relationships/hyperlink" Target="https://catalogplus.tuwien.at/permalink/f/1m011kq/TN_cdi_unpaywall_primary_10_1145_3464421" TargetMode="External"/><Relationship Id="rId181" Type="http://schemas.openxmlformats.org/officeDocument/2006/relationships/hyperlink" Target="https://catalogplus.tuwien.at/permalink/f/1m011kq/TN_cdi_ieee_primary_10764946" TargetMode="External"/><Relationship Id="rId237" Type="http://schemas.openxmlformats.org/officeDocument/2006/relationships/hyperlink" Target="https://catalogplus.tuwien.at/permalink/f/1m011kq/TN_cdi_ieee_primary_10763577" TargetMode="External"/><Relationship Id="rId402" Type="http://schemas.openxmlformats.org/officeDocument/2006/relationships/hyperlink" Target="https://catalogplus.tuwien.at/permalink/f/1m011kq/TN_cdi_ieee_primary_10810726" TargetMode="External"/><Relationship Id="rId279" Type="http://schemas.openxmlformats.org/officeDocument/2006/relationships/hyperlink" Target="https://catalogplus.tuwien.at/permalink/f/1m011kq/TN_cdi_springer_books_10_1007_978_981_99_8104_5_4" TargetMode="External"/><Relationship Id="rId444" Type="http://schemas.openxmlformats.org/officeDocument/2006/relationships/hyperlink" Target="https://catalogplus.tuwien.at/permalink/f/1m011kq/TN_cdi_ieee_primary_10554916" TargetMode="External"/><Relationship Id="rId43" Type="http://schemas.openxmlformats.org/officeDocument/2006/relationships/hyperlink" Target="https://catalogplus.tuwien.at/permalink/f/1m011kq/TN_cdi_unpaywall_primary_10_1109_tifs_2023_3237370" TargetMode="External"/><Relationship Id="rId139" Type="http://schemas.openxmlformats.org/officeDocument/2006/relationships/hyperlink" Target="https://catalogplus.tuwien.at/permalink/f/1m011kq/TN_cdi_ieee_primary_10319764" TargetMode="External"/><Relationship Id="rId290" Type="http://schemas.openxmlformats.org/officeDocument/2006/relationships/hyperlink" Target="https://catalogplus.tuwien.at/permalink/f/1m011kq/TN_cdi_crossref_primary_10_1145_3689711" TargetMode="External"/><Relationship Id="rId304" Type="http://schemas.openxmlformats.org/officeDocument/2006/relationships/hyperlink" Target="https://catalogplus.tuwien.at/permalink/f/1m011kq/TN_cdi_springer_books_10_1007_978_981_99_8104_5_1" TargetMode="External"/><Relationship Id="rId346" Type="http://schemas.openxmlformats.org/officeDocument/2006/relationships/hyperlink" Target="https://catalogplus.tuwien.at/permalink/f/1m011kq/TN_cdi_crossref_primary_10_1093_jigpal_jzae016" TargetMode="External"/><Relationship Id="rId388" Type="http://schemas.openxmlformats.org/officeDocument/2006/relationships/hyperlink" Target="https://catalogplus.tuwien.at/permalink/f/1m011kq/TN_cdi_acm_books_10_1145_3654522_3654577_brief" TargetMode="External"/><Relationship Id="rId85" Type="http://schemas.openxmlformats.org/officeDocument/2006/relationships/hyperlink" Target="https://catalogplus.tuwien.at/permalink/f/1m011kq/TN_cdi_doaj_primary_oai_doaj_org_article_83944d1895ad427784acedab4ef8136e" TargetMode="External"/><Relationship Id="rId150" Type="http://schemas.openxmlformats.org/officeDocument/2006/relationships/hyperlink" Target="https://catalogplus.tuwien.at/permalink/f/1m011kq/TN_cdi_proquest_journals_3055262296" TargetMode="External"/><Relationship Id="rId192" Type="http://schemas.openxmlformats.org/officeDocument/2006/relationships/hyperlink" Target="https://catalogplus.tuwien.at/permalink/f/1m011kq/TN_cdi_proquest_journals_2995142058" TargetMode="External"/><Relationship Id="rId206" Type="http://schemas.openxmlformats.org/officeDocument/2006/relationships/hyperlink" Target="https://catalogplus.tuwien.at/permalink/f/1m011kq/TN_cdi_proquest_journals_3071630660" TargetMode="External"/><Relationship Id="rId413" Type="http://schemas.openxmlformats.org/officeDocument/2006/relationships/hyperlink" Target="https://catalogplus.tuwien.at/permalink/f/1m011kq/TN_cdi_proquest_journals_3108817517" TargetMode="External"/><Relationship Id="rId248" Type="http://schemas.openxmlformats.org/officeDocument/2006/relationships/hyperlink" Target="https://catalogplus.tuwien.at/permalink/f/1m011kq/TN_cdi_proquest_journals_2916502045" TargetMode="External"/><Relationship Id="rId455" Type="http://schemas.openxmlformats.org/officeDocument/2006/relationships/hyperlink" Target="https://catalogplus.tuwien.at/permalink/f/1m011kq/TN_cdi_proquest_ebookcentralchapters_31088007_17_197" TargetMode="External"/><Relationship Id="rId12" Type="http://schemas.openxmlformats.org/officeDocument/2006/relationships/hyperlink" Target="https://catalogplus.tuwien.at/permalink/f/1m011kq/TN_cdi_ieee_primary_9402082" TargetMode="External"/><Relationship Id="rId108" Type="http://schemas.openxmlformats.org/officeDocument/2006/relationships/hyperlink" Target="https://catalogplus.tuwien.at/permalink/f/1m011kq/TN_cdi_openaire_primary_doi_1025c33146aa1deed1abcbb68cde615d" TargetMode="External"/><Relationship Id="rId315" Type="http://schemas.openxmlformats.org/officeDocument/2006/relationships/hyperlink" Target="https://catalogplus.tuwien.at/permalink/f/1m011kq/TN_cdi_springer_books_10_1007_978_3_031_68606_1_13" TargetMode="External"/><Relationship Id="rId357" Type="http://schemas.openxmlformats.org/officeDocument/2006/relationships/hyperlink" Target="https://catalogplus.tuwien.at/permalink/f/1m011kq/TN_cdi_doaj_primary_oai_doaj_org_article_bbc3429e2b804d81a9f07101fe2f1876" TargetMode="External"/><Relationship Id="rId54" Type="http://schemas.openxmlformats.org/officeDocument/2006/relationships/hyperlink" Target="https://catalogplus.tuwien.at/permalink/f/1m011kq/TN_cdi_proquest_journals_2760977800" TargetMode="External"/><Relationship Id="rId96" Type="http://schemas.openxmlformats.org/officeDocument/2006/relationships/hyperlink" Target="https://catalogplus.tuwien.at/permalink/f/1m011kq/TN_cdi_springer_books_10_1007_978_981_99_0838_7_65" TargetMode="External"/><Relationship Id="rId161" Type="http://schemas.openxmlformats.org/officeDocument/2006/relationships/hyperlink" Target="https://catalogplus.tuwien.at/permalink/f/1m011kq/TN_cdi_proquest_journals_3056262622" TargetMode="External"/><Relationship Id="rId217" Type="http://schemas.openxmlformats.org/officeDocument/2006/relationships/hyperlink" Target="https://catalogplus.tuwien.at/permalink/f/1m011kq/TN_cdi_proquest_journals_3107679379" TargetMode="External"/><Relationship Id="rId399" Type="http://schemas.openxmlformats.org/officeDocument/2006/relationships/hyperlink" Target="https://catalogplus.tuwien.at/permalink/f/1m011kq/TN_cdi_crossref_primary_10_1109_TNSE_2023_3349192" TargetMode="External"/><Relationship Id="rId259" Type="http://schemas.openxmlformats.org/officeDocument/2006/relationships/hyperlink" Target="https://catalogplus.tuwien.at/permalink/f/1m011kq/TN_cdi_proquest_journals_3114563742" TargetMode="External"/><Relationship Id="rId424" Type="http://schemas.openxmlformats.org/officeDocument/2006/relationships/hyperlink" Target="https://catalogplus.tuwien.at/permalink/f/1m011kq/TN_cdi_springer_books_10_1007_978_981_97_1326_4_3" TargetMode="External"/><Relationship Id="rId23" Type="http://schemas.openxmlformats.org/officeDocument/2006/relationships/hyperlink" Target="https://catalogplus.tuwien.at/permalink/f/1m011kq/TN_cdi_openaire_primary_doi_85d6937277960ab13c3bc62c3ecbcd67" TargetMode="External"/><Relationship Id="rId119" Type="http://schemas.openxmlformats.org/officeDocument/2006/relationships/hyperlink" Target="https://catalogplus.tuwien.at/permalink/f/1m011kq/TN_cdi_crossref_primary_10_1109_TSE_2025_3534567" TargetMode="External"/><Relationship Id="rId270" Type="http://schemas.openxmlformats.org/officeDocument/2006/relationships/hyperlink" Target="https://catalogplus.tuwien.at/permalink/f/1m011kq/TN_cdi_proquest_journals_2925772438" TargetMode="External"/><Relationship Id="rId326" Type="http://schemas.openxmlformats.org/officeDocument/2006/relationships/hyperlink" Target="https://catalogplus.tuwien.at/permalink/f/1m011kq/TN_cdi_springer_books_10_1007_978_3_031_61231_2_3" TargetMode="External"/><Relationship Id="rId65" Type="http://schemas.openxmlformats.org/officeDocument/2006/relationships/hyperlink" Target="https://catalogplus.tuwien.at/permalink/f/1m011kq/TN_cdi_igi_journals_fficient_Code_Embedding_B10_4018_IJDWM_32047319" TargetMode="External"/><Relationship Id="rId130" Type="http://schemas.openxmlformats.org/officeDocument/2006/relationships/hyperlink" Target="https://catalogplus.tuwien.at/permalink/f/1m011kq/TN_cdi_proquest_journals_3142697751" TargetMode="External"/><Relationship Id="rId368" Type="http://schemas.openxmlformats.org/officeDocument/2006/relationships/hyperlink" Target="https://catalogplus.tuwien.at/permalink/f/1m011kq/TN_cdi_proquest_journals_3104146370" TargetMode="External"/><Relationship Id="rId172" Type="http://schemas.openxmlformats.org/officeDocument/2006/relationships/hyperlink" Target="https://catalogplus.tuwien.at/permalink/f/1m011kq/TN_cdi_doaj_primary_oai_doaj_org_article_903c6ca7839d4c46b1d27ff21256ac56" TargetMode="External"/><Relationship Id="rId228" Type="http://schemas.openxmlformats.org/officeDocument/2006/relationships/hyperlink" Target="https://catalogplus.tuwien.at/permalink/f/1m011kq/TN_cdi_crossref_primary_10_1109_TBDATA_2024_3403376" TargetMode="External"/><Relationship Id="rId435" Type="http://schemas.openxmlformats.org/officeDocument/2006/relationships/hyperlink" Target="https://catalogplus.tuwien.at/permalink/f/1m011kq/TN_cdi_acm_books_10_1145_3658644_3691365" TargetMode="External"/><Relationship Id="rId281" Type="http://schemas.openxmlformats.org/officeDocument/2006/relationships/hyperlink" Target="https://catalogplus.tuwien.at/permalink/f/1m011kq/TN_cdi_crossref_primary_10_1016_j_iot_2024_101429" TargetMode="External"/><Relationship Id="rId337" Type="http://schemas.openxmlformats.org/officeDocument/2006/relationships/hyperlink" Target="https://catalogplus.tuwien.at/permalink/f/1m011kq/TN_cdi_acm_books_10_1145_3663533_3664039" TargetMode="External"/><Relationship Id="rId34" Type="http://schemas.openxmlformats.org/officeDocument/2006/relationships/hyperlink" Target="https://catalogplus.tuwien.at/permalink/f/1m011kq/TN_cdi_proquest_journals_2918030176" TargetMode="External"/><Relationship Id="rId76" Type="http://schemas.openxmlformats.org/officeDocument/2006/relationships/hyperlink" Target="https://catalogplus.tuwien.at/permalink/f/1m011kq/TN_cdi_openaire_primary_doi_032e04a66d271eb6397a2f9b7855da1a" TargetMode="External"/><Relationship Id="rId141" Type="http://schemas.openxmlformats.org/officeDocument/2006/relationships/hyperlink" Target="https://catalogplus.tuwien.at/permalink/f/1m011kq/TN_cdi_crossref_primary_10_1016_j_comnet_2024_110238" TargetMode="External"/><Relationship Id="rId379" Type="http://schemas.openxmlformats.org/officeDocument/2006/relationships/hyperlink" Target="https://catalogplus.tuwien.at/permalink/f/1m011kq/TN_cdi_ieee_primary_10571927" TargetMode="External"/><Relationship Id="rId7" Type="http://schemas.openxmlformats.org/officeDocument/2006/relationships/hyperlink" Target="https://catalogplus.tuwien.at/permalink/f/1m011kq/TN_cdi_openaire_primary_doi_dedup_bc169163780df3ad5ed32cb890de6924" TargetMode="External"/><Relationship Id="rId183" Type="http://schemas.openxmlformats.org/officeDocument/2006/relationships/hyperlink" Target="https://catalogplus.tuwien.at/permalink/f/1m011kq/TN_cdi_proquest_journals_2915105866" TargetMode="External"/><Relationship Id="rId239" Type="http://schemas.openxmlformats.org/officeDocument/2006/relationships/hyperlink" Target="https://catalogplus.tuwien.at/permalink/f/1m011kq/TN_cdi_proquest_journals_3160315818" TargetMode="External"/><Relationship Id="rId390" Type="http://schemas.openxmlformats.org/officeDocument/2006/relationships/hyperlink" Target="https://catalogplus.tuwien.at/permalink/f/1m011kq/TN_cdi_doaj_primary_oai_doaj_org_article_a0e9f322c34e4ca0a5ae34f88f443c5a" TargetMode="External"/><Relationship Id="rId404" Type="http://schemas.openxmlformats.org/officeDocument/2006/relationships/hyperlink" Target="https://catalogplus.tuwien.at/permalink/f/1m011kq/TN_cdi_crossref_primary_10_1145_3704741" TargetMode="External"/><Relationship Id="rId446" Type="http://schemas.openxmlformats.org/officeDocument/2006/relationships/hyperlink" Target="https://catalogplus.tuwien.at/permalink/f/1m011kq/TN_cdi_acm_books_10_1145_3700838_3700868" TargetMode="External"/><Relationship Id="rId250" Type="http://schemas.openxmlformats.org/officeDocument/2006/relationships/hyperlink" Target="https://catalogplus.tuwien.at/permalink/f/1m011kq/TN_cdi_crossref_primary_10_32604_cmc_2024_052887" TargetMode="External"/><Relationship Id="rId292" Type="http://schemas.openxmlformats.org/officeDocument/2006/relationships/hyperlink" Target="https://catalogplus.tuwien.at/permalink/f/1m011kq/TN_cdi_springer_books_10_1007_978_3_031_63790_2_13" TargetMode="External"/><Relationship Id="rId306" Type="http://schemas.openxmlformats.org/officeDocument/2006/relationships/hyperlink" Target="https://catalogplus.tuwien.at/permalink/f/1m011kq/TN_cdi_proquest_journals_3155894759" TargetMode="External"/><Relationship Id="rId45" Type="http://schemas.openxmlformats.org/officeDocument/2006/relationships/hyperlink" Target="https://catalogplus.tuwien.at/permalink/f/1m011kq/TN_cdi_ieee_primary_9678888" TargetMode="External"/><Relationship Id="rId87" Type="http://schemas.openxmlformats.org/officeDocument/2006/relationships/hyperlink" Target="https://catalogplus.tuwien.at/permalink/f/1m011kq/TN_cdi_doaj_primary_oai_doaj_org_article_071c5a69d1f742d1a67fb08162fa2bba" TargetMode="External"/><Relationship Id="rId110" Type="http://schemas.openxmlformats.org/officeDocument/2006/relationships/hyperlink" Target="https://catalogplus.tuwien.at/permalink/f/1m011kq/TN_cdi_crossref_primary_10_1016_j_scs_2024_105717" TargetMode="External"/><Relationship Id="rId348" Type="http://schemas.openxmlformats.org/officeDocument/2006/relationships/hyperlink" Target="https://catalogplus.tuwien.at/permalink/f/1m011kq/TN_cdi_doaj_primary_oai_doaj_org_article_c23a80bf2c17465c8ae9cd9db4a73327" TargetMode="External"/><Relationship Id="rId152" Type="http://schemas.openxmlformats.org/officeDocument/2006/relationships/hyperlink" Target="https://catalogplus.tuwien.at/permalink/f/1m011kq/TN_cdi_crossref_primary_10_1016_j_comcom_2024_03_016" TargetMode="External"/><Relationship Id="rId194" Type="http://schemas.openxmlformats.org/officeDocument/2006/relationships/hyperlink" Target="https://catalogplus.tuwien.at/permalink/f/1m011kq/TN_cdi_proquest_journals_3087442783" TargetMode="External"/><Relationship Id="rId208" Type="http://schemas.openxmlformats.org/officeDocument/2006/relationships/hyperlink" Target="https://catalogplus.tuwien.at/permalink/f/1m011kq/TN_cdi_proquest_journals_3065335906" TargetMode="External"/><Relationship Id="rId415" Type="http://schemas.openxmlformats.org/officeDocument/2006/relationships/hyperlink" Target="https://catalogplus.tuwien.at/permalink/f/1m011kq/TN_cdi_springer_books_10_1007_978_3_031_49593_9_5" TargetMode="External"/><Relationship Id="rId457" Type="http://schemas.openxmlformats.org/officeDocument/2006/relationships/hyperlink" Target="https://catalogplus.tuwien.at/permalink/f/1m011kq/TN_cdi_proquest_ebookcentralchapters_31812263_845_905" TargetMode="External"/><Relationship Id="rId261" Type="http://schemas.openxmlformats.org/officeDocument/2006/relationships/hyperlink" Target="https://catalogplus.tuwien.at/permalink/f/1m011kq/TN_cdi_proquest_journals_3142734683" TargetMode="External"/><Relationship Id="rId14" Type="http://schemas.openxmlformats.org/officeDocument/2006/relationships/hyperlink" Target="https://catalogplus.tuwien.at/permalink/f/1m011kq/TN_cdi_crossref_primary_10_1109_TSE_2021_3123170" TargetMode="External"/><Relationship Id="rId56" Type="http://schemas.openxmlformats.org/officeDocument/2006/relationships/hyperlink" Target="https://catalogplus.tuwien.at/permalink/f/1m011kq/TN_cdi_openaire_primary_doi_906ad9d7b2920dce9e57a18d055112a4" TargetMode="External"/><Relationship Id="rId317" Type="http://schemas.openxmlformats.org/officeDocument/2006/relationships/hyperlink" Target="https://catalogplus.tuwien.at/permalink/f/1m011kq/TN_cdi_springer_books_10_1007_978_981_97_0808_6_17" TargetMode="External"/><Relationship Id="rId359" Type="http://schemas.openxmlformats.org/officeDocument/2006/relationships/hyperlink" Target="https://catalogplus.tuwien.at/permalink/f/1m011kq/TN_cdi_proquest_journals_3149521046" TargetMode="External"/><Relationship Id="rId98" Type="http://schemas.openxmlformats.org/officeDocument/2006/relationships/hyperlink" Target="https://catalogplus.tuwien.at/permalink/f/1m011kq/TN_cdi_openaire_primary_doi_d36d50b5f596f5b9124fcea60b4de972" TargetMode="External"/><Relationship Id="rId121" Type="http://schemas.openxmlformats.org/officeDocument/2006/relationships/hyperlink" Target="https://catalogplus.tuwien.at/permalink/f/1m011kq/TN_cdi_crossref_primary_10_1016_j_eswa_2025_126479" TargetMode="External"/><Relationship Id="rId163" Type="http://schemas.openxmlformats.org/officeDocument/2006/relationships/hyperlink" Target="https://catalogplus.tuwien.at/permalink/f/1m011kq/TN_cdi_crossref_primary_10_1109_ACCESS_2024_3386751" TargetMode="External"/><Relationship Id="rId219" Type="http://schemas.openxmlformats.org/officeDocument/2006/relationships/hyperlink" Target="https://catalogplus.tuwien.at/permalink/f/1m011kq/TN_cdi_crossref_primary_10_1109_ACCESS_2024_3482389" TargetMode="External"/><Relationship Id="rId370" Type="http://schemas.openxmlformats.org/officeDocument/2006/relationships/hyperlink" Target="https://catalogplus.tuwien.at/permalink/f/1m011kq/TN_cdi_ieee_primary_10171121" TargetMode="External"/><Relationship Id="rId426" Type="http://schemas.openxmlformats.org/officeDocument/2006/relationships/hyperlink" Target="https://catalogplus.tuwien.at/permalink/f/1m011kq/TN_cdi_springer_books_10_1007_978_981_99_3043_2_38" TargetMode="External"/><Relationship Id="rId230" Type="http://schemas.openxmlformats.org/officeDocument/2006/relationships/hyperlink" Target="https://catalogplus.tuwien.at/permalink/f/1m011kq/TN_cdi_proquest_journals_2917414645" TargetMode="External"/><Relationship Id="rId25" Type="http://schemas.openxmlformats.org/officeDocument/2006/relationships/hyperlink" Target="https://catalogplus.tuwien.at/permalink/f/1m011kq/TN_cdi_crossref_primary_10_1002_cpe_7961" TargetMode="External"/><Relationship Id="rId67" Type="http://schemas.openxmlformats.org/officeDocument/2006/relationships/hyperlink" Target="https://catalogplus.tuwien.at/permalink/f/1m011kq/TN_cdi_ieee_primary_10301241" TargetMode="External"/><Relationship Id="rId272" Type="http://schemas.openxmlformats.org/officeDocument/2006/relationships/hyperlink" Target="https://catalogplus.tuwien.at/permalink/f/1m011kq/TN_cdi_ieee_primary_10597778" TargetMode="External"/><Relationship Id="rId328" Type="http://schemas.openxmlformats.org/officeDocument/2006/relationships/hyperlink" Target="https://catalogplus.tuwien.at/permalink/f/1m011kq/TN_cdi_crossref_primary_10_1109_TCE_2024_3357115" TargetMode="External"/><Relationship Id="rId132" Type="http://schemas.openxmlformats.org/officeDocument/2006/relationships/hyperlink" Target="https://catalogplus.tuwien.at/permalink/f/1m011kq/TN_cdi_proquest_journals_3127756441" TargetMode="External"/><Relationship Id="rId174" Type="http://schemas.openxmlformats.org/officeDocument/2006/relationships/hyperlink" Target="https://catalogplus.tuwien.at/permalink/f/1m011kq/TN_cdi_ieee_primary_10646637" TargetMode="External"/><Relationship Id="rId381" Type="http://schemas.openxmlformats.org/officeDocument/2006/relationships/hyperlink" Target="https://catalogplus.tuwien.at/permalink/f/1m011kq/TN_cdi_doaj_primary_oai_doaj_org_article_a737c665847a4252b815e70609fb4c42" TargetMode="External"/><Relationship Id="rId241" Type="http://schemas.openxmlformats.org/officeDocument/2006/relationships/hyperlink" Target="https://catalogplus.tuwien.at/permalink/f/1m011kq/TN_cdi_crossref_primary_10_1016_j_compeleceng_2025_110084" TargetMode="External"/><Relationship Id="rId437" Type="http://schemas.openxmlformats.org/officeDocument/2006/relationships/hyperlink" Target="https://catalogplus.tuwien.at/permalink/f/1m011kq/TN_cdi_acm_books_10_1145_3702359_3702361" TargetMode="External"/><Relationship Id="rId36" Type="http://schemas.openxmlformats.org/officeDocument/2006/relationships/hyperlink" Target="https://catalogplus.tuwien.at/permalink/f/1m011kq/TN_cdi_pubmedcentral_primary_oai_pubmedcentral_nih_gov_8659597" TargetMode="External"/><Relationship Id="rId283" Type="http://schemas.openxmlformats.org/officeDocument/2006/relationships/hyperlink" Target="https://catalogplus.tuwien.at/permalink/f/1m011kq/TN_cdi_springer_books_10_1007_978_3_031_53082_1_9" TargetMode="External"/><Relationship Id="rId339" Type="http://schemas.openxmlformats.org/officeDocument/2006/relationships/hyperlink" Target="https://catalogplus.tuwien.at/permalink/f/1m011kq/TN_cdi_crossref_primary_10_1145_3643895" TargetMode="External"/><Relationship Id="rId78" Type="http://schemas.openxmlformats.org/officeDocument/2006/relationships/hyperlink" Target="https://catalogplus.tuwien.at/permalink/f/1m011kq/TN_cdi_openaire_primary_doi_11c134ac1bb9fabc8a63729afb76d9a0" TargetMode="External"/><Relationship Id="rId101" Type="http://schemas.openxmlformats.org/officeDocument/2006/relationships/hyperlink" Target="https://catalogplus.tuwien.at/permalink/f/1m011kq/TN_cdi_crossref_primary_10_1007_s11042_023_17308_3" TargetMode="External"/><Relationship Id="rId143" Type="http://schemas.openxmlformats.org/officeDocument/2006/relationships/hyperlink" Target="https://catalogplus.tuwien.at/permalink/f/1m011kq/TN_cdi_informaworld_taylorfrancis_310_1080_09540091_2024_2313853" TargetMode="External"/><Relationship Id="rId185" Type="http://schemas.openxmlformats.org/officeDocument/2006/relationships/hyperlink" Target="https://catalogplus.tuwien.at/permalink/f/1m011kq/TN_cdi_proquest_journals_3078635699" TargetMode="External"/><Relationship Id="rId350" Type="http://schemas.openxmlformats.org/officeDocument/2006/relationships/hyperlink" Target="https://catalogplus.tuwien.at/permalink/f/1m011kq/TN_cdi_acm_books_10_1145_3677525_3678692" TargetMode="External"/><Relationship Id="rId406" Type="http://schemas.openxmlformats.org/officeDocument/2006/relationships/hyperlink" Target="https://catalogplus.tuwien.at/permalink/f/1m011kq/TN_cdi_acm_books_10_1145_3677525_3678664" TargetMode="External"/><Relationship Id="rId9" Type="http://schemas.openxmlformats.org/officeDocument/2006/relationships/hyperlink" Target="https://catalogplus.tuwien.at/permalink/f/1m011kq/TN_cdi_unpaywall_primary_10_1109_tnse_2020_2968505" TargetMode="External"/><Relationship Id="rId210" Type="http://schemas.openxmlformats.org/officeDocument/2006/relationships/hyperlink" Target="https://catalogplus.tuwien.at/permalink/f/1m011kq/TN_cdi_doaj_primary_oai_doaj_org_article_9e9b6988d8e94d75ab609917f8825406" TargetMode="External"/><Relationship Id="rId392" Type="http://schemas.openxmlformats.org/officeDocument/2006/relationships/hyperlink" Target="https://catalogplus.tuwien.at/permalink/f/1m011kq/TN_cdi_proquest_ebookcentralchapters_31862055_350_327" TargetMode="External"/><Relationship Id="rId448" Type="http://schemas.openxmlformats.org/officeDocument/2006/relationships/hyperlink" Target="https://catalogplus.tuwien.at/permalink/f/1m011kq/TN_cdi_acm_books_10_1145_3697355_3697396_brief" TargetMode="External"/><Relationship Id="rId252" Type="http://schemas.openxmlformats.org/officeDocument/2006/relationships/hyperlink" Target="https://catalogplus.tuwien.at/permalink/f/1m011kq/TN_cdi_doaj_primary_oai_doaj_org_article_0e79a8920c30489ca9145e3cee463c6b" TargetMode="External"/><Relationship Id="rId294" Type="http://schemas.openxmlformats.org/officeDocument/2006/relationships/hyperlink" Target="https://catalogplus.tuwien.at/permalink/f/1m011kq/TN_cdi_springer_books_10_1007_978_3_031_54204_6_21" TargetMode="External"/><Relationship Id="rId308" Type="http://schemas.openxmlformats.org/officeDocument/2006/relationships/hyperlink" Target="https://catalogplus.tuwien.at/permalink/f/1m011kq/TN_cdi_proquest_journals_3127436519" TargetMode="External"/><Relationship Id="rId47" Type="http://schemas.openxmlformats.org/officeDocument/2006/relationships/hyperlink" Target="https://catalogplus.tuwien.at/permalink/f/1m011kq/TN_cdi_webofscience_primary_000620922100020CitationCount" TargetMode="External"/><Relationship Id="rId89" Type="http://schemas.openxmlformats.org/officeDocument/2006/relationships/hyperlink" Target="https://catalogplus.tuwien.at/permalink/f/1m011kq/TN_cdi_ieee_primary_10174104" TargetMode="External"/><Relationship Id="rId112" Type="http://schemas.openxmlformats.org/officeDocument/2006/relationships/hyperlink" Target="https://catalogplus.tuwien.at/permalink/f/2ccb9r/UTW_alma51152917160003336" TargetMode="External"/><Relationship Id="rId154" Type="http://schemas.openxmlformats.org/officeDocument/2006/relationships/hyperlink" Target="https://catalogplus.tuwien.at/permalink/f/1m011kq/TN_cdi_crossref_primary_10_1145_3702973" TargetMode="External"/><Relationship Id="rId361" Type="http://schemas.openxmlformats.org/officeDocument/2006/relationships/hyperlink" Target="https://catalogplus.tuwien.at/permalink/f/1m011kq/TN_cdi_ieee_primary_10795093" TargetMode="External"/><Relationship Id="rId196" Type="http://schemas.openxmlformats.org/officeDocument/2006/relationships/hyperlink" Target="https://catalogplus.tuwien.at/permalink/f/1m011kq/TN_cdi_proquest_journals_3069349024" TargetMode="External"/><Relationship Id="rId417" Type="http://schemas.openxmlformats.org/officeDocument/2006/relationships/hyperlink" Target="https://catalogplus.tuwien.at/permalink/f/1m011kq/TN_cdi_springer_books_10_1007_978_3_031_77382_2_4" TargetMode="External"/><Relationship Id="rId459" Type="http://schemas.openxmlformats.org/officeDocument/2006/relationships/hyperlink" Target="https://catalogplus.tuwien.at/permalink/f/1m011kq/TN_cdi_proquest_journals_3033621025" TargetMode="External"/><Relationship Id="rId16" Type="http://schemas.openxmlformats.org/officeDocument/2006/relationships/hyperlink" Target="https://catalogplus.tuwien.at/permalink/f/1m011kq/TN_cdi_webofscience_primary_000672462600013" TargetMode="External"/><Relationship Id="rId221" Type="http://schemas.openxmlformats.org/officeDocument/2006/relationships/hyperlink" Target="https://catalogplus.tuwien.at/permalink/f/1m011kq/TN_cdi_crossref_primary_10_1145_3689796" TargetMode="External"/><Relationship Id="rId263" Type="http://schemas.openxmlformats.org/officeDocument/2006/relationships/hyperlink" Target="https://catalogplus.tuwien.at/permalink/f/1m011kq/TN_cdi_doaj_primary_oai_doaj_org_article_761d7c9426bf412d8c09ac4982b229f6" TargetMode="External"/><Relationship Id="rId319" Type="http://schemas.openxmlformats.org/officeDocument/2006/relationships/hyperlink" Target="https://catalogplus.tuwien.at/permalink/f/1m011kq/TN_cdi_springer_books_10_1007_978_981_99_9640_7_29" TargetMode="External"/><Relationship Id="rId58" Type="http://schemas.openxmlformats.org/officeDocument/2006/relationships/hyperlink" Target="https://catalogplus.tuwien.at/permalink/f/1m011kq/TN_cdi_openaire_primary_doi_d3de720fdfede7f356c7e8d4704a54d8" TargetMode="External"/><Relationship Id="rId123" Type="http://schemas.openxmlformats.org/officeDocument/2006/relationships/hyperlink" Target="https://catalogplus.tuwien.at/permalink/f/1m011kq/TN_cdi_ieee_primary_10548754" TargetMode="External"/><Relationship Id="rId330" Type="http://schemas.openxmlformats.org/officeDocument/2006/relationships/hyperlink" Target="https://catalogplus.tuwien.at/permalink/f/1m011kq/TN_cdi_ieee_primary_10508747" TargetMode="External"/><Relationship Id="rId165" Type="http://schemas.openxmlformats.org/officeDocument/2006/relationships/hyperlink" Target="https://catalogplus.tuwien.at/permalink/f/1m011kq/TN_cdi_crossref_primary_10_1016_j_future_2024_02_015" TargetMode="External"/><Relationship Id="rId372" Type="http://schemas.openxmlformats.org/officeDocument/2006/relationships/hyperlink" Target="https://catalogplus.tuwien.at/permalink/f/1m011kq/TN_cdi_pubmedcentral_primary_oai_pubmedcentral_nih_gov_11590135" TargetMode="External"/><Relationship Id="rId428" Type="http://schemas.openxmlformats.org/officeDocument/2006/relationships/hyperlink" Target="https://catalogplus.tuwien.at/permalink/f/1m011kq/TN_cdi_springer_books_10_1007_978_981_99_9247_8_43" TargetMode="External"/><Relationship Id="rId232" Type="http://schemas.openxmlformats.org/officeDocument/2006/relationships/hyperlink" Target="https://catalogplus.tuwien.at/permalink/f/1m011kq/TN_cdi_ieee_primary_10637655" TargetMode="External"/><Relationship Id="rId274" Type="http://schemas.openxmlformats.org/officeDocument/2006/relationships/hyperlink" Target="https://catalogplus.tuwien.at/permalink/f/1m011kq/TN_cdi_proquest_journals_3079024475" TargetMode="External"/><Relationship Id="rId27" Type="http://schemas.openxmlformats.org/officeDocument/2006/relationships/hyperlink" Target="https://catalogplus.tuwien.at/permalink/f/1m011kq/TN_cdi_crossref_primary_10_1109_JIOT_2023_3241544" TargetMode="External"/><Relationship Id="rId69" Type="http://schemas.openxmlformats.org/officeDocument/2006/relationships/hyperlink" Target="https://catalogplus.tuwien.at/permalink/f/1m011kq/TN_cdi_openaire_primary_doi_f5f862ffdd092dfde7e7df200a6dc668" TargetMode="External"/><Relationship Id="rId134" Type="http://schemas.openxmlformats.org/officeDocument/2006/relationships/hyperlink" Target="https://catalogplus.tuwien.at/permalink/f/1m011kq/TN_cdi_proquest_journals_3127709676" TargetMode="External"/><Relationship Id="rId80" Type="http://schemas.openxmlformats.org/officeDocument/2006/relationships/hyperlink" Target="https://catalogplus.tuwien.at/permalink/f/1m011kq/TN_cdi_openaire_primary_doi_14deda6ad4a82cc079e65c306cd01c25" TargetMode="External"/><Relationship Id="rId176" Type="http://schemas.openxmlformats.org/officeDocument/2006/relationships/hyperlink" Target="https://catalogplus.tuwien.at/permalink/f/1m011kq/TN_cdi_proquest_journals_2923905345" TargetMode="External"/><Relationship Id="rId341" Type="http://schemas.openxmlformats.org/officeDocument/2006/relationships/hyperlink" Target="https://catalogplus.tuwien.at/permalink/f/1m011kq/TN_cdi_doaj_primary_oai_doaj_org_article_be1d18b3585a43ab8c06173818c135c4" TargetMode="External"/><Relationship Id="rId383" Type="http://schemas.openxmlformats.org/officeDocument/2006/relationships/hyperlink" Target="https://catalogplus.tuwien.at/permalink/f/1m011kq/TN_cdi_springer_books_10_1007_978_981_96_0576_7_12" TargetMode="External"/><Relationship Id="rId439" Type="http://schemas.openxmlformats.org/officeDocument/2006/relationships/hyperlink" Target="https://catalogplus.tuwien.at/permalink/f/1m011kq/TN_cdi_acm_books_10_1145_3589335_3651562" TargetMode="External"/><Relationship Id="rId201" Type="http://schemas.openxmlformats.org/officeDocument/2006/relationships/hyperlink" Target="https://catalogplus.tuwien.at/permalink/f/1m011kq/TN_cdi_proquest_journals_2933657674" TargetMode="External"/><Relationship Id="rId243" Type="http://schemas.openxmlformats.org/officeDocument/2006/relationships/hyperlink" Target="https://catalogplus.tuwien.at/permalink/f/1m011kq/TN_cdi_ieee_primary_10549623" TargetMode="External"/><Relationship Id="rId285" Type="http://schemas.openxmlformats.org/officeDocument/2006/relationships/hyperlink" Target="https://catalogplus.tuwien.at/permalink/f/1m011kq/TN_cdi_acm_books_10_1145_3597503_3639152_brief" TargetMode="External"/><Relationship Id="rId450" Type="http://schemas.openxmlformats.org/officeDocument/2006/relationships/hyperlink" Target="https://catalogplus.tuwien.at/permalink/f/1m011kq/TN_cdi_ieee_primary_10717119" TargetMode="External"/><Relationship Id="rId38" Type="http://schemas.openxmlformats.org/officeDocument/2006/relationships/hyperlink" Target="https://catalogplus.tuwien.at/permalink/f/1m011kq/TN_cdi_openaire_primary_doi_6e863d030005af7abb3f803c8e8b24e4" TargetMode="External"/><Relationship Id="rId103" Type="http://schemas.openxmlformats.org/officeDocument/2006/relationships/hyperlink" Target="https://catalogplus.tuwien.at/permalink/f/1m011kq/TN_cdi_proquest_journals_2747608811" TargetMode="External"/><Relationship Id="rId310" Type="http://schemas.openxmlformats.org/officeDocument/2006/relationships/hyperlink" Target="https://catalogplus.tuwien.at/permalink/f/1m011kq/TN_cdi_springer_books_10_1007_978_3_031_66456_4_9" TargetMode="External"/><Relationship Id="rId91" Type="http://schemas.openxmlformats.org/officeDocument/2006/relationships/hyperlink" Target="https://catalogplus.tuwien.at/permalink/f/1m011kq/TN_cdi_ieee_primary_10025570" TargetMode="External"/><Relationship Id="rId145" Type="http://schemas.openxmlformats.org/officeDocument/2006/relationships/hyperlink" Target="https://catalogplus.tuwien.at/permalink/f/1m011kq/TN_cdi_crossref_primary_10_1016_j_comnet_2024_110959" TargetMode="External"/><Relationship Id="rId187" Type="http://schemas.openxmlformats.org/officeDocument/2006/relationships/hyperlink" Target="https://catalogplus.tuwien.at/permalink/f/1m011kq/TN_cdi_ieee_primary_10198760" TargetMode="External"/><Relationship Id="rId352" Type="http://schemas.openxmlformats.org/officeDocument/2006/relationships/hyperlink" Target="https://catalogplus.tuwien.at/permalink/f/1m011kq/TN_cdi_proquest_journals_3075962367" TargetMode="External"/><Relationship Id="rId394" Type="http://schemas.openxmlformats.org/officeDocument/2006/relationships/hyperlink" Target="https://catalogplus.tuwien.at/permalink/f/1m011kq/TN_cdi_ieee_primary_10538921" TargetMode="External"/><Relationship Id="rId408" Type="http://schemas.openxmlformats.org/officeDocument/2006/relationships/hyperlink" Target="https://catalogplus.tuwien.at/permalink/f/1m011kq/TN_cdi_doaj_primary_oai_doaj_org_article_093e19eceade45c28ea6ea8f9ee41cf3" TargetMode="External"/><Relationship Id="rId212" Type="http://schemas.openxmlformats.org/officeDocument/2006/relationships/hyperlink" Target="https://catalogplus.tuwien.at/permalink/f/1m011kq/TN_cdi_proquest_journals_3050230916" TargetMode="External"/><Relationship Id="rId254" Type="http://schemas.openxmlformats.org/officeDocument/2006/relationships/hyperlink" Target="https://catalogplus.tuwien.at/permalink/f/1m011kq/TN_cdi_crossref_primary_10_1145_3687251_3687253" TargetMode="External"/><Relationship Id="rId49" Type="http://schemas.openxmlformats.org/officeDocument/2006/relationships/hyperlink" Target="https://catalogplus.tuwien.at/permalink/f/1m011kq/TN_cdi_unpaywall_primary_10_1155_2022_1565007" TargetMode="External"/><Relationship Id="rId114" Type="http://schemas.openxmlformats.org/officeDocument/2006/relationships/hyperlink" Target="https://catalogplus.tuwien.at/permalink/f/2ccb9r/UTW_alma71152940770003336" TargetMode="External"/><Relationship Id="rId296" Type="http://schemas.openxmlformats.org/officeDocument/2006/relationships/hyperlink" Target="https://catalogplus.tuwien.at/permalink/f/1m011kq/TN_cdi_doaj_primary_oai_doaj_org_article_34b1d2e88f004bc9801e21c989bcf76a" TargetMode="External"/><Relationship Id="rId60" Type="http://schemas.openxmlformats.org/officeDocument/2006/relationships/hyperlink" Target="https://catalogplus.tuwien.at/permalink/f/1m011kq/TN_cdi_doaj_primary_oai_doaj_org_article_a436c161efd54a3e948a344f0b4d7015" TargetMode="External"/><Relationship Id="rId156" Type="http://schemas.openxmlformats.org/officeDocument/2006/relationships/hyperlink" Target="https://catalogplus.tuwien.at/permalink/f/1m011kq/TN_cdi_proquest_journals_3031419442" TargetMode="External"/><Relationship Id="rId198" Type="http://schemas.openxmlformats.org/officeDocument/2006/relationships/hyperlink" Target="https://catalogplus.tuwien.at/permalink/f/1m011kq/TN_cdi_ieee_primary_10646603" TargetMode="External"/><Relationship Id="rId321" Type="http://schemas.openxmlformats.org/officeDocument/2006/relationships/hyperlink" Target="https://catalogplus.tuwien.at/permalink/f/1m011kq/TN_cdi_springer_books_10_1007_978_3_031_48879_5_8" TargetMode="External"/><Relationship Id="rId363" Type="http://schemas.openxmlformats.org/officeDocument/2006/relationships/hyperlink" Target="https://catalogplus.tuwien.at/permalink/f/1m011kq/TN_cdi_proquest_journals_3151264753" TargetMode="External"/><Relationship Id="rId419" Type="http://schemas.openxmlformats.org/officeDocument/2006/relationships/hyperlink" Target="https://catalogplus.tuwien.at/permalink/f/1m011kq/TN_cdi_springer_books_10_1007_978_981_96_0617_7_22" TargetMode="External"/><Relationship Id="rId223" Type="http://schemas.openxmlformats.org/officeDocument/2006/relationships/hyperlink" Target="https://catalogplus.tuwien.at/permalink/f/1m011kq/TN_cdi_ieee_primary_10764925" TargetMode="External"/><Relationship Id="rId430" Type="http://schemas.openxmlformats.org/officeDocument/2006/relationships/hyperlink" Target="https://catalogplus.tuwien.at/permalink/f/1m011kq/TN_cdi_springer_books_10_1007_978_981_99_3932_9_26" TargetMode="External"/><Relationship Id="rId18" Type="http://schemas.openxmlformats.org/officeDocument/2006/relationships/hyperlink" Target="https://catalogplus.tuwien.at/permalink/f/1m011kq/TN_cdi_proquest_journals_2544304023" TargetMode="External"/><Relationship Id="rId265" Type="http://schemas.openxmlformats.org/officeDocument/2006/relationships/hyperlink" Target="https://catalogplus.tuwien.at/permalink/f/1m011kq/TN_cdi_crossref_primary_10_1109_ACCESS_2024_3451186" TargetMode="External"/><Relationship Id="rId125" Type="http://schemas.openxmlformats.org/officeDocument/2006/relationships/hyperlink" Target="https://catalogplus.tuwien.at/permalink/f/1m011kq/TN_cdi_proquest_journals_3039061246" TargetMode="External"/><Relationship Id="rId167" Type="http://schemas.openxmlformats.org/officeDocument/2006/relationships/hyperlink" Target="https://catalogplus.tuwien.at/permalink/f/1m011kq/TN_cdi_crossref_primary_10_1016_j_jnca_2024_103882" TargetMode="External"/><Relationship Id="rId332" Type="http://schemas.openxmlformats.org/officeDocument/2006/relationships/hyperlink" Target="https://catalogplus.tuwien.at/permalink/f/1m011kq/TN_cdi_doaj_primary_oai_doaj_org_article_6eaaf900b5ba484d9a236582e2645e56" TargetMode="External"/><Relationship Id="rId374" Type="http://schemas.openxmlformats.org/officeDocument/2006/relationships/hyperlink" Target="https://catalogplus.tuwien.at/permalink/f/1m011kq/TN_cdi_proquest_journals_3094516749" TargetMode="External"/><Relationship Id="rId71" Type="http://schemas.openxmlformats.org/officeDocument/2006/relationships/hyperlink" Target="https://catalogplus.tuwien.at/permalink/f/1m011kq/TN_cdi_openaire_primary_doi_7e163be86d481eeaf6e380b9fd633290" TargetMode="External"/><Relationship Id="rId234" Type="http://schemas.openxmlformats.org/officeDocument/2006/relationships/hyperlink" Target="https://catalogplus.tuwien.at/permalink/f/1m011kq/TN_cdi_ieee_primary_10843205" TargetMode="External"/><Relationship Id="rId2" Type="http://schemas.openxmlformats.org/officeDocument/2006/relationships/hyperlink" Target="https://catalogplus.tuwien.at/permalink/f/1m011kq/TN_cdi_ieee_primary_9072659" TargetMode="External"/><Relationship Id="rId29" Type="http://schemas.openxmlformats.org/officeDocument/2006/relationships/hyperlink" Target="https://catalogplus.tuwien.at/permalink/f/1m011kq/TN_cdi_crossref_primary_10_1109_JIOT_2021_3050676" TargetMode="External"/><Relationship Id="rId255" Type="http://schemas.openxmlformats.org/officeDocument/2006/relationships/hyperlink" Target="https://catalogplus.tuwien.at/permalink/f/1m011kq/TN_cdi_proquest_journals_3060206350" TargetMode="External"/><Relationship Id="rId276" Type="http://schemas.openxmlformats.org/officeDocument/2006/relationships/hyperlink" Target="https://catalogplus.tuwien.at/permalink/f/1m011kq/TN_cdi_springer_books_10_1007_978_981_97_5588_2_29" TargetMode="External"/><Relationship Id="rId297" Type="http://schemas.openxmlformats.org/officeDocument/2006/relationships/hyperlink" Target="https://catalogplus.tuwien.at/permalink/f/1m011kq/TN_cdi_springer_books_10_1007_978_3_031_48806_1_28" TargetMode="External"/><Relationship Id="rId441" Type="http://schemas.openxmlformats.org/officeDocument/2006/relationships/hyperlink" Target="https://catalogplus.tuwien.at/permalink/f/1m011kq/TN_cdi_acm_books_10_1145_3589334_3645319" TargetMode="External"/><Relationship Id="rId40" Type="http://schemas.openxmlformats.org/officeDocument/2006/relationships/hyperlink" Target="https://catalogplus.tuwien.at/permalink/f/1m011kq/TN_cdi_crossref_primary_10_1109_TPDS_2022_3232548" TargetMode="External"/><Relationship Id="rId115" Type="http://schemas.openxmlformats.org/officeDocument/2006/relationships/hyperlink" Target="https://catalogplus.tuwien.at/permalink/f/1m011kq/TN_cdi_ieee_primary_10430147" TargetMode="External"/><Relationship Id="rId136" Type="http://schemas.openxmlformats.org/officeDocument/2006/relationships/hyperlink" Target="https://catalogplus.tuwien.at/permalink/f/1m011kq/TN_cdi_ieee_primary_10810462" TargetMode="External"/><Relationship Id="rId157" Type="http://schemas.openxmlformats.org/officeDocument/2006/relationships/hyperlink" Target="https://catalogplus.tuwien.at/permalink/f/1m011kq/TN_cdi_proquest_journals_3153911384" TargetMode="External"/><Relationship Id="rId178" Type="http://schemas.openxmlformats.org/officeDocument/2006/relationships/hyperlink" Target="https://catalogplus.tuwien.at/permalink/f/1m011kq/TN_cdi_crossref_primary_10_1016_j_procs_2024_03_139" TargetMode="External"/><Relationship Id="rId301" Type="http://schemas.openxmlformats.org/officeDocument/2006/relationships/hyperlink" Target="https://catalogplus.tuwien.at/permalink/f/1m011kq/TN_cdi_springer_books_10_1007_978_3_031_61231_2_8" TargetMode="External"/><Relationship Id="rId322" Type="http://schemas.openxmlformats.org/officeDocument/2006/relationships/hyperlink" Target="https://catalogplus.tuwien.at/permalink/f/1m011kq/TN_cdi_proquest_journals_3072003354" TargetMode="External"/><Relationship Id="rId343" Type="http://schemas.openxmlformats.org/officeDocument/2006/relationships/hyperlink" Target="https://catalogplus.tuwien.at/permalink/f/1m011kq/TN_cdi_crossref_primary_10_1016_j_compeleceng_2024_109682" TargetMode="External"/><Relationship Id="rId364" Type="http://schemas.openxmlformats.org/officeDocument/2006/relationships/hyperlink" Target="https://catalogplus.tuwien.at/permalink/f/1m011kq/TN_cdi_crossref_primary_10_1145_3703462" TargetMode="External"/><Relationship Id="rId61" Type="http://schemas.openxmlformats.org/officeDocument/2006/relationships/hyperlink" Target="https://catalogplus.tuwien.at/permalink/f/1m011kq/TN_cdi_doaj_primary_oai_doaj_org_article_8d0de5bbfe0640e6b2b896cb364dca35" TargetMode="External"/><Relationship Id="rId82" Type="http://schemas.openxmlformats.org/officeDocument/2006/relationships/hyperlink" Target="https://catalogplus.tuwien.at/permalink/f/1m011kq/TN_cdi_doaj_primary_oai_doaj_org_article_040ca2e2762c4fed9f705272910ece1d" TargetMode="External"/><Relationship Id="rId199" Type="http://schemas.openxmlformats.org/officeDocument/2006/relationships/hyperlink" Target="https://catalogplus.tuwien.at/permalink/f/1m011kq/TN_cdi_doaj_primary_oai_doaj_org_article_d5d65704a6aa4cc3894e5ef5c24dae47" TargetMode="External"/><Relationship Id="rId203" Type="http://schemas.openxmlformats.org/officeDocument/2006/relationships/hyperlink" Target="https://catalogplus.tuwien.at/permalink/f/1m011kq/TN_cdi_ieee_primary_10646883" TargetMode="External"/><Relationship Id="rId385" Type="http://schemas.openxmlformats.org/officeDocument/2006/relationships/hyperlink" Target="https://catalogplus.tuwien.at/permalink/f/1m011kq/TN_cdi_springer_books_10_1007_978_981_97_6588_1_32" TargetMode="External"/><Relationship Id="rId19" Type="http://schemas.openxmlformats.org/officeDocument/2006/relationships/hyperlink" Target="https://catalogplus.tuwien.at/permalink/f/1m011kq/TN_cdi_openaire_primary_doi_dd96bbb9c11248a218afd10a7b6ee8f0" TargetMode="External"/><Relationship Id="rId224" Type="http://schemas.openxmlformats.org/officeDocument/2006/relationships/hyperlink" Target="https://catalogplus.tuwien.at/permalink/f/1m011kq/TN_cdi_proquest_journals_3081510867" TargetMode="External"/><Relationship Id="rId245" Type="http://schemas.openxmlformats.org/officeDocument/2006/relationships/hyperlink" Target="https://catalogplus.tuwien.at/permalink/f/1m011kq/TN_cdi_crossref_primary_10_1002_spy2_393" TargetMode="External"/><Relationship Id="rId266" Type="http://schemas.openxmlformats.org/officeDocument/2006/relationships/hyperlink" Target="https://catalogplus.tuwien.at/permalink/f/1m011kq/TN_cdi_proquest_journals_3112229035" TargetMode="External"/><Relationship Id="rId287" Type="http://schemas.openxmlformats.org/officeDocument/2006/relationships/hyperlink" Target="https://catalogplus.tuwien.at/permalink/f/1m011kq/TN_cdi_springer_books_10_1007_978_981_97_0859_8_3" TargetMode="External"/><Relationship Id="rId410" Type="http://schemas.openxmlformats.org/officeDocument/2006/relationships/hyperlink" Target="https://catalogplus.tuwien.at/permalink/f/1m011kq/TN_cdi_ieee_primary_10577852" TargetMode="External"/><Relationship Id="rId431" Type="http://schemas.openxmlformats.org/officeDocument/2006/relationships/hyperlink" Target="https://catalogplus.tuwien.at/permalink/f/1m011kq/TN_cdi_acm_books_10_1145_3675888_3676070" TargetMode="External"/><Relationship Id="rId452" Type="http://schemas.openxmlformats.org/officeDocument/2006/relationships/hyperlink" Target="https://catalogplus.tuwien.at/permalink/f/1m011kq/TN_cdi_gale_infotracmisc_A809659586" TargetMode="External"/><Relationship Id="rId30" Type="http://schemas.openxmlformats.org/officeDocument/2006/relationships/hyperlink" Target="https://catalogplus.tuwien.at/permalink/f/1m011kq/TN_cdi_crossref_primary_10_1002_ett_4112" TargetMode="External"/><Relationship Id="rId105" Type="http://schemas.openxmlformats.org/officeDocument/2006/relationships/hyperlink" Target="https://catalogplus.tuwien.at/permalink/f/1m011kq/TN_cdi_proquest_journals_2731242481" TargetMode="External"/><Relationship Id="rId126" Type="http://schemas.openxmlformats.org/officeDocument/2006/relationships/hyperlink" Target="https://catalogplus.tuwien.at/permalink/f/1m011kq/TN_cdi_proquest_journals_3126253956" TargetMode="External"/><Relationship Id="rId147" Type="http://schemas.openxmlformats.org/officeDocument/2006/relationships/hyperlink" Target="https://catalogplus.tuwien.at/permalink/f/1m011kq/TN_cdi_crossref_primary_10_1016_j_scico_2025_103267" TargetMode="External"/><Relationship Id="rId168" Type="http://schemas.openxmlformats.org/officeDocument/2006/relationships/hyperlink" Target="https://catalogplus.tuwien.at/permalink/f/1m011kq/TN_cdi_proquest_journals_3080004280" TargetMode="External"/><Relationship Id="rId312" Type="http://schemas.openxmlformats.org/officeDocument/2006/relationships/hyperlink" Target="https://catalogplus.tuwien.at/permalink/f/1m011kq/TN_cdi_springer_books_10_1007_978_3_031_71261_6_7" TargetMode="External"/><Relationship Id="rId333" Type="http://schemas.openxmlformats.org/officeDocument/2006/relationships/hyperlink" Target="https://catalogplus.tuwien.at/permalink/f/1m011kq/TN_cdi_doaj_primary_oai_doaj_org_article_c9a09d0071a24acaa979d94a0f9ae698" TargetMode="External"/><Relationship Id="rId354" Type="http://schemas.openxmlformats.org/officeDocument/2006/relationships/hyperlink" Target="https://catalogplus.tuwien.at/permalink/f/1m011kq/TN_cdi_acm_books_10_1145_3643916_3644406" TargetMode="External"/><Relationship Id="rId51" Type="http://schemas.openxmlformats.org/officeDocument/2006/relationships/hyperlink" Target="https://catalogplus.tuwien.at/permalink/f/1m011kq/TN_cdi_doaj_primary_oai_doaj_org_article_26f7d0c2205244a1ab1cad1d909d4dd7" TargetMode="External"/><Relationship Id="rId72" Type="http://schemas.openxmlformats.org/officeDocument/2006/relationships/hyperlink" Target="https://catalogplus.tuwien.at/permalink/f/1m011kq/TN_cdi_ieee_primary_10301240" TargetMode="External"/><Relationship Id="rId93" Type="http://schemas.openxmlformats.org/officeDocument/2006/relationships/hyperlink" Target="https://catalogplus.tuwien.at/permalink/f/1m011kq/TN_cdi_proquest_ebookcentralchapters_30726179_851_878" TargetMode="External"/><Relationship Id="rId189" Type="http://schemas.openxmlformats.org/officeDocument/2006/relationships/hyperlink" Target="https://catalogplus.tuwien.at/permalink/f/1m011kq/TN_cdi_proquest_journals_3100625702" TargetMode="External"/><Relationship Id="rId375" Type="http://schemas.openxmlformats.org/officeDocument/2006/relationships/hyperlink" Target="https://catalogplus.tuwien.at/permalink/f/1m011kq/TN_cdi_spie_proceedings_10_1117_12_3033128" TargetMode="External"/><Relationship Id="rId396" Type="http://schemas.openxmlformats.org/officeDocument/2006/relationships/hyperlink" Target="https://catalogplus.tuwien.at/permalink/f/1m011kq/TN_cdi_doaj_primary_oai_doaj_org_article_c624d13f68e04c0b9e1ed97a4a37d216" TargetMode="External"/><Relationship Id="rId3" Type="http://schemas.openxmlformats.org/officeDocument/2006/relationships/hyperlink" Target="https://catalogplus.tuwien.at/permalink/f/1m011kq/TN_cdi_crossref_primary_10_1016_j_ipm_2020_102462" TargetMode="External"/><Relationship Id="rId214" Type="http://schemas.openxmlformats.org/officeDocument/2006/relationships/hyperlink" Target="https://catalogplus.tuwien.at/permalink/f/1m011kq/TN_cdi_ieee_primary_10548356" TargetMode="External"/><Relationship Id="rId235" Type="http://schemas.openxmlformats.org/officeDocument/2006/relationships/hyperlink" Target="https://catalogplus.tuwien.at/permalink/f/1m011kq/TN_cdi_doaj_primary_oai_doaj_org_article_4745a1d552444aea973763cc7a06ce55" TargetMode="External"/><Relationship Id="rId256" Type="http://schemas.openxmlformats.org/officeDocument/2006/relationships/hyperlink" Target="https://catalogplus.tuwien.at/permalink/f/1m011kq/TN_cdi_proquest_journals_3152182968" TargetMode="External"/><Relationship Id="rId277" Type="http://schemas.openxmlformats.org/officeDocument/2006/relationships/hyperlink" Target="https://catalogplus.tuwien.at/permalink/f/1m011kq/TN_cdi_proquest_journals_3065768903" TargetMode="External"/><Relationship Id="rId298" Type="http://schemas.openxmlformats.org/officeDocument/2006/relationships/hyperlink" Target="https://catalogplus.tuwien.at/permalink/f/1m011kq/TN_cdi_doaj_primary_oai_doaj_org_article_679f5fd347c94c718375e80de903808a" TargetMode="External"/><Relationship Id="rId400" Type="http://schemas.openxmlformats.org/officeDocument/2006/relationships/hyperlink" Target="https://catalogplus.tuwien.at/permalink/f/1m011kq/TN_cdi_crossref_primary_10_1145_3653679" TargetMode="External"/><Relationship Id="rId421" Type="http://schemas.openxmlformats.org/officeDocument/2006/relationships/hyperlink" Target="https://catalogplus.tuwien.at/permalink/f/1m011kq/TN_cdi_springer_books_10_1007_978_981_99_7137_4_21" TargetMode="External"/><Relationship Id="rId442" Type="http://schemas.openxmlformats.org/officeDocument/2006/relationships/hyperlink" Target="https://catalogplus.tuwien.at/permalink/f/1m011kq/TN_cdi_acm_books_10_1145_3638530_3654283_brief" TargetMode="External"/><Relationship Id="rId116" Type="http://schemas.openxmlformats.org/officeDocument/2006/relationships/hyperlink" Target="https://catalogplus.tuwien.at/permalink/f/1m011kq/TN_cdi_doaj_primary_oai_doaj_org_article_ab751f4b516e42d9bade464fcdfdd159" TargetMode="External"/><Relationship Id="rId137" Type="http://schemas.openxmlformats.org/officeDocument/2006/relationships/hyperlink" Target="https://catalogplus.tuwien.at/permalink/f/1m011kq/TN_cdi_doaj_primary_oai_doaj_org_article_7bc1166c8bc04f6ea05d16b122bf980f" TargetMode="External"/><Relationship Id="rId158" Type="http://schemas.openxmlformats.org/officeDocument/2006/relationships/hyperlink" Target="https://catalogplus.tuwien.at/permalink/f/1m011kq/TN_cdi_proquest_journals_3068177377" TargetMode="External"/><Relationship Id="rId302" Type="http://schemas.openxmlformats.org/officeDocument/2006/relationships/hyperlink" Target="https://catalogplus.tuwien.at/permalink/f/1m011kq/TN_cdi_springer_books_10_1007_978_981_97_4522_7_19" TargetMode="External"/><Relationship Id="rId323" Type="http://schemas.openxmlformats.org/officeDocument/2006/relationships/hyperlink" Target="https://catalogplus.tuwien.at/permalink/f/1m011kq/TN_cdi_springer_books_10_1007_978_981_99_8101_4_14" TargetMode="External"/><Relationship Id="rId344" Type="http://schemas.openxmlformats.org/officeDocument/2006/relationships/hyperlink" Target="https://catalogplus.tuwien.at/permalink/f/1m011kq/TN_cdi_scitation_primary_10_1063_5_0250552" TargetMode="External"/><Relationship Id="rId20" Type="http://schemas.openxmlformats.org/officeDocument/2006/relationships/hyperlink" Target="https://catalogplus.tuwien.at/permalink/f/1m011kq/TN_cdi_proquest_journals_2866480708" TargetMode="External"/><Relationship Id="rId41" Type="http://schemas.openxmlformats.org/officeDocument/2006/relationships/hyperlink" Target="https://catalogplus.tuwien.at/permalink/f/1m011kq/TN_cdi_openaire_primary_doi_f829c14cd232c76e16ec3b8700fc1047" TargetMode="External"/><Relationship Id="rId62" Type="http://schemas.openxmlformats.org/officeDocument/2006/relationships/hyperlink" Target="https://catalogplus.tuwien.at/permalink/f/1m011kq/TN_cdi_ieee_primary_10190630" TargetMode="External"/><Relationship Id="rId83" Type="http://schemas.openxmlformats.org/officeDocument/2006/relationships/hyperlink" Target="https://catalogplus.tuwien.at/permalink/f/1m011kq/TN_cdi_openaire_primary_doi_16749d61a881ccfd7e0041b3de04ea79" TargetMode="External"/><Relationship Id="rId179" Type="http://schemas.openxmlformats.org/officeDocument/2006/relationships/hyperlink" Target="https://catalogplus.tuwien.at/permalink/f/1m011kq/TN_cdi_acm_books_10_1145_3597503_3639173" TargetMode="External"/><Relationship Id="rId365" Type="http://schemas.openxmlformats.org/officeDocument/2006/relationships/hyperlink" Target="https://catalogplus.tuwien.at/permalink/f/1m011kq/TN_cdi_crossref_primary_10_1016_j_compeleceng_2025_110096" TargetMode="External"/><Relationship Id="rId386" Type="http://schemas.openxmlformats.org/officeDocument/2006/relationships/hyperlink" Target="https://catalogplus.tuwien.at/permalink/f/1m011kq/TN_cdi_springer_books_10_1007_978_3_031_77382_2_10" TargetMode="External"/><Relationship Id="rId190" Type="http://schemas.openxmlformats.org/officeDocument/2006/relationships/hyperlink" Target="https://catalogplus.tuwien.at/permalink/f/1m011kq/TN_cdi_crossref_primary_10_32604_cmes_2024_046758" TargetMode="External"/><Relationship Id="rId204" Type="http://schemas.openxmlformats.org/officeDocument/2006/relationships/hyperlink" Target="https://catalogplus.tuwien.at/permalink/f/1m011kq/TN_cdi_ieee_primary_10646885" TargetMode="External"/><Relationship Id="rId225" Type="http://schemas.openxmlformats.org/officeDocument/2006/relationships/hyperlink" Target="https://catalogplus.tuwien.at/permalink/f/1m011kq/TN_cdi_ieee_primary_10833642" TargetMode="External"/><Relationship Id="rId246" Type="http://schemas.openxmlformats.org/officeDocument/2006/relationships/hyperlink" Target="https://catalogplus.tuwien.at/permalink/f/1m011kq/TN_cdi_acm_books_10_1145_3597503_3639140_brief" TargetMode="External"/><Relationship Id="rId267" Type="http://schemas.openxmlformats.org/officeDocument/2006/relationships/hyperlink" Target="https://catalogplus.tuwien.at/permalink/f/1m011kq/TN_cdi_doaj_primary_oai_doaj_org_article_04e261473f4042608590b0c00ad7f65d" TargetMode="External"/><Relationship Id="rId288" Type="http://schemas.openxmlformats.org/officeDocument/2006/relationships/hyperlink" Target="https://catalogplus.tuwien.at/permalink/f/1m011kq/TN_cdi_doaj_primary_oai_doaj_org_article_2a0cdbf9dbc64a5b854872bce36e950a" TargetMode="External"/><Relationship Id="rId411" Type="http://schemas.openxmlformats.org/officeDocument/2006/relationships/hyperlink" Target="https://catalogplus.tuwien.at/permalink/f/1m011kq/TN_cdi_doaj_primary_oai_doaj_org_article_137161bd5852442ca547d55359ec53f3" TargetMode="External"/><Relationship Id="rId432" Type="http://schemas.openxmlformats.org/officeDocument/2006/relationships/hyperlink" Target="https://catalogplus.tuwien.at/permalink/f/1m011kq/TN_cdi_swepub_primary_oai_research_chalmers_se_55ddba07_51e0_4590_97d5_9f4e6b75d159" TargetMode="External"/><Relationship Id="rId453" Type="http://schemas.openxmlformats.org/officeDocument/2006/relationships/hyperlink" Target="https://catalogplus.tuwien.at/permalink/f/1m011kq/TN_cdi_acm_books_10_1145_3641181_3641196_brief" TargetMode="External"/><Relationship Id="rId106" Type="http://schemas.openxmlformats.org/officeDocument/2006/relationships/hyperlink" Target="https://catalogplus.tuwien.at/permalink/f/1m011kq/TN_cdi_doaj_primary_oai_doaj_org_article_afa52d7ee2564be89522734e8c601f5d" TargetMode="External"/><Relationship Id="rId127" Type="http://schemas.openxmlformats.org/officeDocument/2006/relationships/hyperlink" Target="https://catalogplus.tuwien.at/permalink/f/1m011kq/TN_cdi_crossref_primary_10_1016_j_ins_2024_120861" TargetMode="External"/><Relationship Id="rId313" Type="http://schemas.openxmlformats.org/officeDocument/2006/relationships/hyperlink" Target="https://catalogplus.tuwien.at/permalink/f/1m011kq/TN_cdi_proquest_journals_3110134408" TargetMode="External"/><Relationship Id="rId10" Type="http://schemas.openxmlformats.org/officeDocument/2006/relationships/hyperlink" Target="https://catalogplus.tuwien.at/permalink/f/1m011kq/TN_cdi_pubmed_primary_33897937" TargetMode="External"/><Relationship Id="rId31" Type="http://schemas.openxmlformats.org/officeDocument/2006/relationships/hyperlink" Target="https://catalogplus.tuwien.at/permalink/f/1m011kq/TN_cdi_crossref_primary_10_1109_JIOT_2021_3074544" TargetMode="External"/><Relationship Id="rId52" Type="http://schemas.openxmlformats.org/officeDocument/2006/relationships/hyperlink" Target="https://catalogplus.tuwien.at/permalink/f/1m011kq/TN_cdi_webofscience_primary_000484100100001CitationCount" TargetMode="External"/><Relationship Id="rId73" Type="http://schemas.openxmlformats.org/officeDocument/2006/relationships/hyperlink" Target="https://catalogplus.tuwien.at/permalink/f/1m011kq/TN_cdi_springer_books_10_1007_978_3_031_44216_2_20" TargetMode="External"/><Relationship Id="rId94" Type="http://schemas.openxmlformats.org/officeDocument/2006/relationships/hyperlink" Target="https://catalogplus.tuwien.at/permalink/f/1m011kq/TN_cdi_openaire_primary_doi_dedup_98e75c49e07c5a0eab2b3183f1647f16" TargetMode="External"/><Relationship Id="rId148" Type="http://schemas.openxmlformats.org/officeDocument/2006/relationships/hyperlink" Target="https://catalogplus.tuwien.at/permalink/f/1m011kq/TN_cdi_proquest_journals_3166914612" TargetMode="External"/><Relationship Id="rId169" Type="http://schemas.openxmlformats.org/officeDocument/2006/relationships/hyperlink" Target="https://catalogplus.tuwien.at/permalink/f/1m011kq/TN_cdi_ieee_primary_10025570" TargetMode="External"/><Relationship Id="rId334" Type="http://schemas.openxmlformats.org/officeDocument/2006/relationships/hyperlink" Target="https://catalogplus.tuwien.at/permalink/f/1m011kq/TN_cdi_acm_books_10_1145_3664476_3664507" TargetMode="External"/><Relationship Id="rId355" Type="http://schemas.openxmlformats.org/officeDocument/2006/relationships/hyperlink" Target="https://catalogplus.tuwien.at/permalink/f/1m011kq/TN_cdi_acm_books_10_1145_3605098_3636040" TargetMode="External"/><Relationship Id="rId376" Type="http://schemas.openxmlformats.org/officeDocument/2006/relationships/hyperlink" Target="https://catalogplus.tuwien.at/permalink/f/1m011kq/TN_cdi_ieee_primary_10508637" TargetMode="External"/><Relationship Id="rId397" Type="http://schemas.openxmlformats.org/officeDocument/2006/relationships/hyperlink" Target="https://catalogplus.tuwien.at/permalink/f/1m011kq/TN_cdi_ieee_primary_10879031" TargetMode="External"/><Relationship Id="rId4" Type="http://schemas.openxmlformats.org/officeDocument/2006/relationships/hyperlink" Target="https://catalogplus.tuwien.at/permalink/f/1m011kq/TN_cdi_crossref_primary_10_1109_TSE_2021_3054928" TargetMode="External"/><Relationship Id="rId180" Type="http://schemas.openxmlformats.org/officeDocument/2006/relationships/hyperlink" Target="https://catalogplus.tuwien.at/permalink/f/1m011kq/TN_cdi_proquest_journals_2938244533" TargetMode="External"/><Relationship Id="rId215" Type="http://schemas.openxmlformats.org/officeDocument/2006/relationships/hyperlink" Target="https://catalogplus.tuwien.at/permalink/f/1m011kq/TN_cdi_doaj_primary_oai_doaj_org_article_fd7eff5a27004c14aa9c7898a28eac5f" TargetMode="External"/><Relationship Id="rId236" Type="http://schemas.openxmlformats.org/officeDocument/2006/relationships/hyperlink" Target="https://catalogplus.tuwien.at/permalink/f/1m011kq/TN_cdi_proquest_journals_3147298560" TargetMode="External"/><Relationship Id="rId257" Type="http://schemas.openxmlformats.org/officeDocument/2006/relationships/hyperlink" Target="https://catalogplus.tuwien.at/permalink/f/1m011kq/TN_cdi_doaj_primary_oai_doaj_org_article_b5efcd0eeddb4fe09c9afbf409f90ea0" TargetMode="External"/><Relationship Id="rId278" Type="http://schemas.openxmlformats.org/officeDocument/2006/relationships/hyperlink" Target="https://catalogplus.tuwien.at/permalink/f/1m011kq/TN_cdi_proquest_journals_3097929545" TargetMode="External"/><Relationship Id="rId401" Type="http://schemas.openxmlformats.org/officeDocument/2006/relationships/hyperlink" Target="https://catalogplus.tuwien.at/permalink/f/1m011kq/TN_cdi_acm_books_10_1145_3605098_3636187_brief" TargetMode="External"/><Relationship Id="rId422" Type="http://schemas.openxmlformats.org/officeDocument/2006/relationships/hyperlink" Target="https://catalogplus.tuwien.at/permalink/f/1m011kq/TN_cdi_springer_books_10_1007_978_981_97_4228_8_44" TargetMode="External"/><Relationship Id="rId443" Type="http://schemas.openxmlformats.org/officeDocument/2006/relationships/hyperlink" Target="https://catalogplus.tuwien.at/permalink/f/1m011kq/TN_cdi_ieee_primary_10827343" TargetMode="External"/><Relationship Id="rId303" Type="http://schemas.openxmlformats.org/officeDocument/2006/relationships/hyperlink" Target="https://catalogplus.tuwien.at/permalink/f/1m011kq/TN_cdi_springer_books_10_1007_978_981_97_5588_2_27" TargetMode="External"/><Relationship Id="rId42" Type="http://schemas.openxmlformats.org/officeDocument/2006/relationships/hyperlink" Target="https://catalogplus.tuwien.at/permalink/f/1m011kq/TN_cdi_openaire_primary_doi_b02601087181d05142e2df72c5ef6f12" TargetMode="External"/><Relationship Id="rId84" Type="http://schemas.openxmlformats.org/officeDocument/2006/relationships/hyperlink" Target="https://catalogplus.tuwien.at/permalink/f/1m011kq/TN_cdi_doaj_primary_oai_doaj_org_article_674a4b27177045848022dc9387fb8a5f" TargetMode="External"/><Relationship Id="rId138" Type="http://schemas.openxmlformats.org/officeDocument/2006/relationships/hyperlink" Target="https://catalogplus.tuwien.at/permalink/f/1m011kq/TN_cdi_crossref_primary_10_1016_j_jnca_2024_103984" TargetMode="External"/><Relationship Id="rId345" Type="http://schemas.openxmlformats.org/officeDocument/2006/relationships/hyperlink" Target="https://catalogplus.tuwien.at/permalink/f/1m011kq/TN_cdi_ieee_primary_10454763" TargetMode="External"/><Relationship Id="rId387" Type="http://schemas.openxmlformats.org/officeDocument/2006/relationships/hyperlink" Target="https://catalogplus.tuwien.at/permalink/f/1m011kq/TN_cdi_doaj_primary_oai_doaj_org_article_734dd972622a42d98512ac657657238c" TargetMode="External"/><Relationship Id="rId191" Type="http://schemas.openxmlformats.org/officeDocument/2006/relationships/hyperlink" Target="https://catalogplus.tuwien.at/permalink/f/1m011kq/TN_cdi_proquest_journals_3084594030" TargetMode="External"/><Relationship Id="rId205" Type="http://schemas.openxmlformats.org/officeDocument/2006/relationships/hyperlink" Target="https://catalogplus.tuwien.at/permalink/f/1m011kq/TN_cdi_ieee_primary_10764825" TargetMode="External"/><Relationship Id="rId247" Type="http://schemas.openxmlformats.org/officeDocument/2006/relationships/hyperlink" Target="https://catalogplus.tuwien.at/permalink/f/1m011kq/TN_cdi_proquest_journals_3129202038" TargetMode="External"/><Relationship Id="rId412" Type="http://schemas.openxmlformats.org/officeDocument/2006/relationships/hyperlink" Target="https://catalogplus.tuwien.at/permalink/f/1m011kq/TN_cdi_ieee_primary_10619818" TargetMode="External"/><Relationship Id="rId107" Type="http://schemas.openxmlformats.org/officeDocument/2006/relationships/hyperlink" Target="https://catalogplus.tuwien.at/permalink/f/1m011kq/TN_cdi_openaire_primary_doi_d8deefdf3c99e0e7eae62fac115c95ce" TargetMode="External"/><Relationship Id="rId289" Type="http://schemas.openxmlformats.org/officeDocument/2006/relationships/hyperlink" Target="https://catalogplus.tuwien.at/permalink/f/1m011kq/TN_cdi_proquest_journals_2995548078" TargetMode="External"/><Relationship Id="rId454" Type="http://schemas.openxmlformats.org/officeDocument/2006/relationships/hyperlink" Target="https://catalogplus.tuwien.at/permalink/f/1m011kq/TN_cdi_gale_infotracacademiconefile_A809659586" TargetMode="External"/><Relationship Id="rId11" Type="http://schemas.openxmlformats.org/officeDocument/2006/relationships/hyperlink" Target="https://catalogplus.tuwien.at/permalink/f/1m011kq/TN_cdi_proquest_journals_2918720961" TargetMode="External"/><Relationship Id="rId53" Type="http://schemas.openxmlformats.org/officeDocument/2006/relationships/hyperlink" Target="https://catalogplus.tuwien.at/permalink/f/1m011kq/TN_cdi_openaire_primary_doi_16ead8da3425bccb9531a128177db014" TargetMode="External"/><Relationship Id="rId149" Type="http://schemas.openxmlformats.org/officeDocument/2006/relationships/hyperlink" Target="https://catalogplus.tuwien.at/permalink/f/1m011kq/TN_cdi_proquest_journals_3128502213" TargetMode="External"/><Relationship Id="rId314" Type="http://schemas.openxmlformats.org/officeDocument/2006/relationships/hyperlink" Target="https://catalogplus.tuwien.at/permalink/f/1m011kq/TN_cdi_springer_books_10_1007_978_3_031_71115_2_4" TargetMode="External"/><Relationship Id="rId356" Type="http://schemas.openxmlformats.org/officeDocument/2006/relationships/hyperlink" Target="https://catalogplus.tuwien.at/permalink/f/1m011kq/TN_cdi_doaj_primary_oai_doaj_org_article_e0e0c1d5e01442ae99b0e6843f7cd1a8" TargetMode="External"/><Relationship Id="rId398" Type="http://schemas.openxmlformats.org/officeDocument/2006/relationships/hyperlink" Target="https://catalogplus.tuwien.at/permalink/f/1m011kq/TN_cdi_proquest_ebookcentralchapters_31750331_374_306" TargetMode="External"/><Relationship Id="rId95" Type="http://schemas.openxmlformats.org/officeDocument/2006/relationships/hyperlink" Target="https://catalogplus.tuwien.at/permalink/f/1m011kq/TN_cdi_openaire_primary_doi_b961a07a9f4fa43cd0fea9628b5d08f7" TargetMode="External"/><Relationship Id="rId160" Type="http://schemas.openxmlformats.org/officeDocument/2006/relationships/hyperlink" Target="https://catalogplus.tuwien.at/permalink/f/1m011kq/TN_cdi_crossref_primary_10_1109_TR_2024_3480010" TargetMode="External"/><Relationship Id="rId216" Type="http://schemas.openxmlformats.org/officeDocument/2006/relationships/hyperlink" Target="https://catalogplus.tuwien.at/permalink/f/1m011kq/TN_cdi_crossref_primary_10_1109_JIOT_2023_3328190" TargetMode="External"/><Relationship Id="rId423" Type="http://schemas.openxmlformats.org/officeDocument/2006/relationships/hyperlink" Target="https://catalogplus.tuwien.at/permalink/f/1m011kq/TN_cdi_springer_books_10_1007_978_3_031_38165_2_85" TargetMode="External"/><Relationship Id="rId258" Type="http://schemas.openxmlformats.org/officeDocument/2006/relationships/hyperlink" Target="https://catalogplus.tuwien.at/permalink/f/1m011kq/TN_cdi_springer_books_10_1007_978_3_031_57537_2_5" TargetMode="External"/><Relationship Id="rId22" Type="http://schemas.openxmlformats.org/officeDocument/2006/relationships/hyperlink" Target="https://catalogplus.tuwien.at/permalink/f/1m011kq/TN_cdi_openaire_primary_doi_e67b36f02e9b858fee4cdedf0342bc7c" TargetMode="External"/><Relationship Id="rId64" Type="http://schemas.openxmlformats.org/officeDocument/2006/relationships/hyperlink" Target="https://catalogplus.tuwien.at/permalink/f/1m011kq/TN_cdi_doaj_primary_oai_doaj_org_article_0b32826abb82405f805a12db304ff336" TargetMode="External"/><Relationship Id="rId118" Type="http://schemas.openxmlformats.org/officeDocument/2006/relationships/hyperlink" Target="https://catalogplus.tuwien.at/permalink/f/1m011kq/TN_cdi_crossref_primary_10_1016_j_jss_2024_112160" TargetMode="External"/><Relationship Id="rId325" Type="http://schemas.openxmlformats.org/officeDocument/2006/relationships/hyperlink" Target="https://catalogplus.tuwien.at/permalink/f/1m011kq/TN_cdi_springer_books_10_1007_978_3_031_51643_6_24" TargetMode="External"/><Relationship Id="rId367" Type="http://schemas.openxmlformats.org/officeDocument/2006/relationships/hyperlink" Target="https://catalogplus.tuwien.at/permalink/f/1m011kq/TN_cdi_proquest_journals_3123905929" TargetMode="External"/><Relationship Id="rId171" Type="http://schemas.openxmlformats.org/officeDocument/2006/relationships/hyperlink" Target="https://catalogplus.tuwien.at/permalink/f/1m011kq/TN_cdi_proquest_journals_3050579123" TargetMode="External"/><Relationship Id="rId227" Type="http://schemas.openxmlformats.org/officeDocument/2006/relationships/hyperlink" Target="https://catalogplus.tuwien.at/permalink/f/1m011kq/TN_cdi_proquest_journals_3112677093" TargetMode="External"/><Relationship Id="rId269" Type="http://schemas.openxmlformats.org/officeDocument/2006/relationships/hyperlink" Target="https://catalogplus.tuwien.at/permalink/f/1m011kq/TN_cdi_doaj_primary_oai_doaj_org_article_a78e734268804a768f284481f4f025c5" TargetMode="External"/><Relationship Id="rId434" Type="http://schemas.openxmlformats.org/officeDocument/2006/relationships/hyperlink" Target="https://catalogplus.tuwien.at/permalink/f/1m011kq/TN_cdi_ieee_primary_10850061" TargetMode="External"/><Relationship Id="rId33" Type="http://schemas.openxmlformats.org/officeDocument/2006/relationships/hyperlink" Target="https://catalogplus.tuwien.at/permalink/f/1m011kq/TN_cdi_elsevier_sciencedirect_doi_10_1016_j_autcon_2021_103926" TargetMode="External"/><Relationship Id="rId129" Type="http://schemas.openxmlformats.org/officeDocument/2006/relationships/hyperlink" Target="https://catalogplus.tuwien.at/permalink/f/1m011kq/TN_cdi_proquest_journals_3163361440" TargetMode="External"/><Relationship Id="rId280" Type="http://schemas.openxmlformats.org/officeDocument/2006/relationships/hyperlink" Target="https://catalogplus.tuwien.at/permalink/f/1m011kq/TN_cdi_ieee_primary_10742628" TargetMode="External"/><Relationship Id="rId336" Type="http://schemas.openxmlformats.org/officeDocument/2006/relationships/hyperlink" Target="https://catalogplus.tuwien.at/permalink/f/1m011kq/TN_cdi_doaj_primary_oai_doaj_org_article_46b4622ec9f04b0782931b4f31deb4f0" TargetMode="External"/><Relationship Id="rId75" Type="http://schemas.openxmlformats.org/officeDocument/2006/relationships/hyperlink" Target="https://catalogplus.tuwien.at/permalink/f/1m011kq/TN_cdi_openaire_primary_doi_68e9182439a05c660c3e769535d0d1e0" TargetMode="External"/><Relationship Id="rId140" Type="http://schemas.openxmlformats.org/officeDocument/2006/relationships/hyperlink" Target="https://catalogplus.tuwien.at/permalink/f/1m011kq/TN_cdi_acm_books_10_1145_3597503_3639117" TargetMode="External"/><Relationship Id="rId182" Type="http://schemas.openxmlformats.org/officeDocument/2006/relationships/hyperlink" Target="https://catalogplus.tuwien.at/permalink/f/1m011kq/TN_cdi_ieee_primary_10816245" TargetMode="External"/><Relationship Id="rId378" Type="http://schemas.openxmlformats.org/officeDocument/2006/relationships/hyperlink" Target="https://catalogplus.tuwien.at/permalink/f/1m011kq/TN_cdi_spie_proceedings_10_1117_12_3035052" TargetMode="External"/><Relationship Id="rId403" Type="http://schemas.openxmlformats.org/officeDocument/2006/relationships/hyperlink" Target="https://catalogplus.tuwien.at/permalink/f/1m011kq/TN_cdi_doaj_primary_oai_doaj_org_article_1b3c2b1f41be40a6a33750e847312e52" TargetMode="External"/><Relationship Id="rId6" Type="http://schemas.openxmlformats.org/officeDocument/2006/relationships/hyperlink" Target="https://catalogplus.tuwien.at/permalink/f/1m011kq/TN_cdi_webofscience_primary_000618081600003" TargetMode="External"/><Relationship Id="rId238" Type="http://schemas.openxmlformats.org/officeDocument/2006/relationships/hyperlink" Target="https://catalogplus.tuwien.at/permalink/f/1m011kq/TN_cdi_ieee_primary_10647037" TargetMode="External"/><Relationship Id="rId445" Type="http://schemas.openxmlformats.org/officeDocument/2006/relationships/hyperlink" Target="https://catalogplus.tuwien.at/permalink/f/1m011kq/TN_cdi_acm_books_10_1145_3702636_3703442_brief" TargetMode="External"/><Relationship Id="rId291" Type="http://schemas.openxmlformats.org/officeDocument/2006/relationships/hyperlink" Target="https://catalogplus.tuwien.at/permalink/f/1m011kq/TN_cdi_springer_books_10_1007_978_981_97_5101_3_23" TargetMode="External"/><Relationship Id="rId305" Type="http://schemas.openxmlformats.org/officeDocument/2006/relationships/hyperlink" Target="https://catalogplus.tuwien.at/permalink/f/1m011kq/TN_cdi_springer_books_10_1007_978_981_97_5603_2_30" TargetMode="External"/><Relationship Id="rId347" Type="http://schemas.openxmlformats.org/officeDocument/2006/relationships/hyperlink" Target="https://catalogplus.tuwien.at/permalink/f/1m011kq/TN_cdi_ieee_primary_10538581" TargetMode="External"/><Relationship Id="rId44" Type="http://schemas.openxmlformats.org/officeDocument/2006/relationships/hyperlink" Target="https://catalogplus.tuwien.at/permalink/f/1m011kq/TN_cdi_ieee_primary_10172700" TargetMode="External"/><Relationship Id="rId86" Type="http://schemas.openxmlformats.org/officeDocument/2006/relationships/hyperlink" Target="https://catalogplus.tuwien.at/permalink/f/1m011kq/TN_cdi_doaj_primary_oai_doaj_org_article_2442ec0779674df285bef30338fb9494" TargetMode="External"/><Relationship Id="rId151" Type="http://schemas.openxmlformats.org/officeDocument/2006/relationships/hyperlink" Target="https://catalogplus.tuwien.at/permalink/f/1m011kq/TN_cdi_crossref_primary_10_1587_transinf_2024EDL8079" TargetMode="External"/><Relationship Id="rId389" Type="http://schemas.openxmlformats.org/officeDocument/2006/relationships/hyperlink" Target="https://catalogplus.tuwien.at/permalink/f/1m011kq/TN_cdi_proquest_journals_3040055615" TargetMode="External"/><Relationship Id="rId193" Type="http://schemas.openxmlformats.org/officeDocument/2006/relationships/hyperlink" Target="https://catalogplus.tuwien.at/permalink/f/1m011kq/TN_cdi_doaj_primary_oai_doaj_org_article_26a9590d378a4f18bba5054e77629390" TargetMode="External"/><Relationship Id="rId207" Type="http://schemas.openxmlformats.org/officeDocument/2006/relationships/hyperlink" Target="https://catalogplus.tuwien.at/permalink/f/1m011kq/TN_cdi_proquest_journals_3144086240" TargetMode="External"/><Relationship Id="rId249" Type="http://schemas.openxmlformats.org/officeDocument/2006/relationships/hyperlink" Target="https://catalogplus.tuwien.at/permalink/f/1m011kq/TN_cdi_crossref_primary_10_1109_JIOT_2025_3541256" TargetMode="External"/><Relationship Id="rId414" Type="http://schemas.openxmlformats.org/officeDocument/2006/relationships/hyperlink" Target="https://catalogplus.tuwien.at/permalink/f/1m011kq/TN_cdi_ieee_primary_10553424" TargetMode="External"/><Relationship Id="rId456" Type="http://schemas.openxmlformats.org/officeDocument/2006/relationships/hyperlink" Target="https://catalogplus.tuwien.at/permalink/f/1m011kq/TN_cdi_acm_books_10_1145_3664968_3664984" TargetMode="External"/><Relationship Id="rId13" Type="http://schemas.openxmlformats.org/officeDocument/2006/relationships/hyperlink" Target="https://catalogplus.tuwien.at/permalink/f/1m011kq/TN_cdi_proquest_journals_2562651614" TargetMode="External"/><Relationship Id="rId109" Type="http://schemas.openxmlformats.org/officeDocument/2006/relationships/hyperlink" Target="https://catalogplus.tuwien.at/permalink/f/1m011kq/TN_cdi_crossref_primary_10_1109_ACCESS_2022_3169902" TargetMode="External"/><Relationship Id="rId260" Type="http://schemas.openxmlformats.org/officeDocument/2006/relationships/hyperlink" Target="https://catalogplus.tuwien.at/permalink/f/1m011kq/TN_cdi_proquest_journals_2933609815" TargetMode="External"/><Relationship Id="rId316" Type="http://schemas.openxmlformats.org/officeDocument/2006/relationships/hyperlink" Target="https://catalogplus.tuwien.at/permalink/f/1m011kq/TN_cdi_osti_scitechconnect_2474752" TargetMode="External"/><Relationship Id="rId55" Type="http://schemas.openxmlformats.org/officeDocument/2006/relationships/hyperlink" Target="https://catalogplus.tuwien.at/permalink/f/1m011kq/TN_cdi_crossref_primary_10_1002_smr_2633" TargetMode="External"/><Relationship Id="rId97" Type="http://schemas.openxmlformats.org/officeDocument/2006/relationships/hyperlink" Target="https://catalogplus.tuwien.at/permalink/f/1m011kq/TN_cdi_openaire_primary_doi_034114cc62e0345cbd3085edaaf50393" TargetMode="External"/><Relationship Id="rId120" Type="http://schemas.openxmlformats.org/officeDocument/2006/relationships/hyperlink" Target="https://catalogplus.tuwien.at/permalink/f/1m011kq/TN_cdi_crossref_primary_10_1016_j_eswa_2024_126353" TargetMode="External"/><Relationship Id="rId358" Type="http://schemas.openxmlformats.org/officeDocument/2006/relationships/hyperlink" Target="https://catalogplus.tuwien.at/permalink/f/1m011kq/TN_cdi_doaj_primary_oai_doaj_org_article_198a64797e35485c8749c677e531cd83" TargetMode="External"/><Relationship Id="rId162" Type="http://schemas.openxmlformats.org/officeDocument/2006/relationships/hyperlink" Target="https://catalogplus.tuwien.at/permalink/f/1m011kq/TN_cdi_ieee_primary_10752786" TargetMode="External"/><Relationship Id="rId218" Type="http://schemas.openxmlformats.org/officeDocument/2006/relationships/hyperlink" Target="https://catalogplus.tuwien.at/permalink/f/1m011kq/TN_cdi_doaj_primary_oai_doaj_org_article_00313402373a43a487539a5a365b5881" TargetMode="External"/><Relationship Id="rId425" Type="http://schemas.openxmlformats.org/officeDocument/2006/relationships/hyperlink" Target="https://catalogplus.tuwien.at/permalink/f/1m011kq/TN_cdi_springer_books_10_1007_978_981_97_1724_8_38" TargetMode="External"/><Relationship Id="rId271" Type="http://schemas.openxmlformats.org/officeDocument/2006/relationships/hyperlink" Target="https://catalogplus.tuwien.at/permalink/f/1m011kq/TN_cdi_acm_books_10_1145_3691620_3695361_brief" TargetMode="External"/><Relationship Id="rId24" Type="http://schemas.openxmlformats.org/officeDocument/2006/relationships/hyperlink" Target="https://catalogplus.tuwien.at/permalink/f/1m011kq/TN_cdi_crossref_primary_10_1016_j_jss_2022_111550" TargetMode="External"/><Relationship Id="rId66" Type="http://schemas.openxmlformats.org/officeDocument/2006/relationships/hyperlink" Target="https://catalogplus.tuwien.at/permalink/f/1m011kq/TN_cdi_ieee_primary_10301244" TargetMode="External"/><Relationship Id="rId131" Type="http://schemas.openxmlformats.org/officeDocument/2006/relationships/hyperlink" Target="https://catalogplus.tuwien.at/permalink/f/1m011kq/TN_cdi_crossref_primary_10_1016_j_scico_2023_103076" TargetMode="External"/><Relationship Id="rId327" Type="http://schemas.openxmlformats.org/officeDocument/2006/relationships/hyperlink" Target="https://catalogplus.tuwien.at/permalink/f/1m011kq/TN_cdi_spie_proceedings_10_1117_12_3025032" TargetMode="External"/><Relationship Id="rId369" Type="http://schemas.openxmlformats.org/officeDocument/2006/relationships/hyperlink" Target="https://catalogplus.tuwien.at/permalink/f/1m011kq/TN_cdi_acm_books_10_1145_3605098_3636003_brief" TargetMode="External"/><Relationship Id="rId173" Type="http://schemas.openxmlformats.org/officeDocument/2006/relationships/hyperlink" Target="https://catalogplus.tuwien.at/permalink/f/1m011kq/TN_cdi_acm_books_10_1145_3597503_3639128" TargetMode="External"/><Relationship Id="rId229" Type="http://schemas.openxmlformats.org/officeDocument/2006/relationships/hyperlink" Target="https://catalogplus.tuwien.at/permalink/f/1m011kq/TN_cdi_acm_books_10_1145_3691620_3695482" TargetMode="External"/><Relationship Id="rId380" Type="http://schemas.openxmlformats.org/officeDocument/2006/relationships/hyperlink" Target="https://catalogplus.tuwien.at/permalink/f/1m011kq/TN_cdi_doaj_primary_oai_doaj_org_article_83c22c649da5415cb5b128c576cb29f0" TargetMode="External"/><Relationship Id="rId436" Type="http://schemas.openxmlformats.org/officeDocument/2006/relationships/hyperlink" Target="https://catalogplus.tuwien.at/permalink/f/1m011kq/TN_cdi_acm_books_10_1145_3589334_3645640_brief" TargetMode="External"/><Relationship Id="rId240" Type="http://schemas.openxmlformats.org/officeDocument/2006/relationships/hyperlink" Target="https://catalogplus.tuwien.at/permalink/f/1m011kq/TN_cdi_doaj_primary_oai_doaj_org_article_19c1760854204b7097d62c77791f6c57" TargetMode="External"/><Relationship Id="rId35" Type="http://schemas.openxmlformats.org/officeDocument/2006/relationships/hyperlink" Target="https://catalogplus.tuwien.at/permalink/f/1m011kq/TN_cdi_elsevier_sciencedirect_doi_10_1016_j_ins_2020_07_032" TargetMode="External"/><Relationship Id="rId77" Type="http://schemas.openxmlformats.org/officeDocument/2006/relationships/hyperlink" Target="https://catalogplus.tuwien.at/permalink/f/1m011kq/TN_cdi_openaire_primary_doi_726d9c9144fd6e5571dc969651f803b8" TargetMode="External"/><Relationship Id="rId100" Type="http://schemas.openxmlformats.org/officeDocument/2006/relationships/hyperlink" Target="https://catalogplus.tuwien.at/permalink/f/1m011kq/TN_cdi_ieee_primary_9833721" TargetMode="External"/><Relationship Id="rId282" Type="http://schemas.openxmlformats.org/officeDocument/2006/relationships/hyperlink" Target="https://catalogplus.tuwien.at/permalink/f/1m011kq/TN_cdi_springer_books_10_1007_978_981_99_8132_8_1" TargetMode="External"/><Relationship Id="rId338" Type="http://schemas.openxmlformats.org/officeDocument/2006/relationships/hyperlink" Target="https://catalogplus.tuwien.at/permalink/f/1m011kq/TN_cdi_crossref_primary_10_1109_TVT_2024_3432807" TargetMode="External"/><Relationship Id="rId8" Type="http://schemas.openxmlformats.org/officeDocument/2006/relationships/hyperlink" Target="https://catalogplus.tuwien.at/permalink/f/1m011kq/TN_cdi_crossref_primary_10_1109_TKDE_2021_3095196" TargetMode="External"/><Relationship Id="rId142" Type="http://schemas.openxmlformats.org/officeDocument/2006/relationships/hyperlink" Target="https://catalogplus.tuwien.at/permalink/f/1m011kq/TN_cdi_crossref_primary_10_1109_TSC_2024_3463394" TargetMode="External"/><Relationship Id="rId184" Type="http://schemas.openxmlformats.org/officeDocument/2006/relationships/hyperlink" Target="https://catalogplus.tuwien.at/permalink/f/1m011kq/TN_cdi_crossref_primary_10_1016_j_comnet_2023_110133" TargetMode="External"/><Relationship Id="rId391" Type="http://schemas.openxmlformats.org/officeDocument/2006/relationships/hyperlink" Target="https://catalogplus.tuwien.at/permalink/f/1m011kq/TN_cdi_crossref_primary_10_1109_TNSE_2024_3447025" TargetMode="External"/><Relationship Id="rId405" Type="http://schemas.openxmlformats.org/officeDocument/2006/relationships/hyperlink" Target="https://catalogplus.tuwien.at/permalink/f/1m011kq/TN_cdi_doaj_primary_oai_doaj_org_article_1f4ed51e0f444094a6d38108e5c34359" TargetMode="External"/><Relationship Id="rId447" Type="http://schemas.openxmlformats.org/officeDocument/2006/relationships/hyperlink" Target="https://catalogplus.tuwien.at/permalink/f/1m011kq/TN_cdi_acm_books_10_1145_3691422_3691484" TargetMode="External"/><Relationship Id="rId251" Type="http://schemas.openxmlformats.org/officeDocument/2006/relationships/hyperlink" Target="https://catalogplus.tuwien.at/permalink/f/1m011kq/TN_cdi_crossref_primary_10_1109_JIOT_2024_3371504" TargetMode="External"/><Relationship Id="rId46" Type="http://schemas.openxmlformats.org/officeDocument/2006/relationships/hyperlink" Target="https://catalogplus.tuwien.at/permalink/f/1m011kq/TN_cdi_openaire_primary_doi_a4e2d7b5f7827dc3fae0714d8a3b41c7" TargetMode="External"/><Relationship Id="rId293" Type="http://schemas.openxmlformats.org/officeDocument/2006/relationships/hyperlink" Target="https://catalogplus.tuwien.at/permalink/f/1m011kq/TN_cdi_doaj_primary_oai_doaj_org_article_ea658d9629aa4210bfa78036d31b89fc" TargetMode="External"/><Relationship Id="rId307" Type="http://schemas.openxmlformats.org/officeDocument/2006/relationships/hyperlink" Target="https://catalogplus.tuwien.at/permalink/f/1m011kq/TN_cdi_springer_books_10_1007_978_981_99_8101_4_4" TargetMode="External"/><Relationship Id="rId349" Type="http://schemas.openxmlformats.org/officeDocument/2006/relationships/hyperlink" Target="https://catalogplus.tuwien.at/permalink/f/1m011kq/TN_cdi_crossref_primary_10_1109_ACCESS_2025_3532326" TargetMode="External"/><Relationship Id="rId88" Type="http://schemas.openxmlformats.org/officeDocument/2006/relationships/hyperlink" Target="https://catalogplus.tuwien.at/permalink/f/1m011kq/TN_cdi_doaj_primary_oai_doaj_org_article_c7ded3a6c51b4ab1a48d46e2412dc3d6" TargetMode="External"/><Relationship Id="rId111" Type="http://schemas.openxmlformats.org/officeDocument/2006/relationships/hyperlink" Target="https://catalogplus.tuwien.at/permalink/f/2ccb9r/UTW_alma51146727470003336" TargetMode="External"/><Relationship Id="rId153" Type="http://schemas.openxmlformats.org/officeDocument/2006/relationships/hyperlink" Target="https://catalogplus.tuwien.at/permalink/f/1m011kq/TN_cdi_crossref_primary_10_1016_j_procs_2023_12_151" TargetMode="External"/><Relationship Id="rId195" Type="http://schemas.openxmlformats.org/officeDocument/2006/relationships/hyperlink" Target="https://catalogplus.tuwien.at/permalink/f/1m011kq/TN_cdi_proquest_journals_3056262656" TargetMode="External"/><Relationship Id="rId209" Type="http://schemas.openxmlformats.org/officeDocument/2006/relationships/hyperlink" Target="https://catalogplus.tuwien.at/permalink/f/1m011kq/TN_cdi_crossref_primary_10_1093_comjnl_bxac183" TargetMode="External"/><Relationship Id="rId360" Type="http://schemas.openxmlformats.org/officeDocument/2006/relationships/hyperlink" Target="https://catalogplus.tuwien.at/permalink/f/1m011kq/TN_cdi_ieee_primary_10700860" TargetMode="External"/><Relationship Id="rId416" Type="http://schemas.openxmlformats.org/officeDocument/2006/relationships/hyperlink" Target="https://catalogplus.tuwien.at/permalink/f/1m011kq/TN_cdi_doaj_primary_oai_doaj_org_article_3dede05dab3145f2a59ea457a55178f4" TargetMode="External"/><Relationship Id="rId220" Type="http://schemas.openxmlformats.org/officeDocument/2006/relationships/hyperlink" Target="https://catalogplus.tuwien.at/permalink/f/1m011kq/TN_cdi_acm_books_10_1145_3691620_3695601_brief" TargetMode="External"/><Relationship Id="rId458" Type="http://schemas.openxmlformats.org/officeDocument/2006/relationships/hyperlink" Target="https://catalogplus.tuwien.at/permalink/f/1m011kq/TN_cdi_gale_infotracacademiconefile_A782089488" TargetMode="External"/><Relationship Id="rId15" Type="http://schemas.openxmlformats.org/officeDocument/2006/relationships/hyperlink" Target="https://catalogplus.tuwien.at/permalink/f/1m011kq/TN_cdi_openaire_primary_doi_c9c0ec5d027d34e45a2c63115dbeceef" TargetMode="External"/><Relationship Id="rId57" Type="http://schemas.openxmlformats.org/officeDocument/2006/relationships/hyperlink" Target="https://catalogplus.tuwien.at/permalink/f/1m011kq/TN_cdi_proquest_journals_2917414619" TargetMode="External"/><Relationship Id="rId262" Type="http://schemas.openxmlformats.org/officeDocument/2006/relationships/hyperlink" Target="https://catalogplus.tuwien.at/permalink/f/1m011kq/TN_cdi_ieee_primary_10763613" TargetMode="External"/><Relationship Id="rId318" Type="http://schemas.openxmlformats.org/officeDocument/2006/relationships/hyperlink" Target="https://catalogplus.tuwien.at/permalink/f/1m011kq/TN_cdi_doaj_primary_oai_doaj_org_article_8b43a444d15c41f79be1d748000ba1d2" TargetMode="External"/><Relationship Id="rId99" Type="http://schemas.openxmlformats.org/officeDocument/2006/relationships/hyperlink" Target="https://catalogplus.tuwien.at/permalink/f/1m011kq/TN_cdi_ieee_primary_10075325" TargetMode="External"/><Relationship Id="rId122" Type="http://schemas.openxmlformats.org/officeDocument/2006/relationships/hyperlink" Target="https://catalogplus.tuwien.at/permalink/f/1m011kq/TN_cdi_ieee_primary_10531111" TargetMode="External"/><Relationship Id="rId164" Type="http://schemas.openxmlformats.org/officeDocument/2006/relationships/hyperlink" Target="https://catalogplus.tuwien.at/permalink/f/1m011kq/TN_cdi_proquest_journals_3119814540" TargetMode="External"/><Relationship Id="rId371" Type="http://schemas.openxmlformats.org/officeDocument/2006/relationships/hyperlink" Target="https://catalogplus.tuwien.at/permalink/f/1m011kq/TN_cdi_acm_books_10_1145_3634737_3659435_brief" TargetMode="External"/><Relationship Id="rId427" Type="http://schemas.openxmlformats.org/officeDocument/2006/relationships/hyperlink" Target="https://catalogplus.tuwien.at/permalink/f/1m011kq/TN_cdi_springer_books_10_1007_978_3_031_64766_6_28" TargetMode="External"/><Relationship Id="rId26" Type="http://schemas.openxmlformats.org/officeDocument/2006/relationships/hyperlink" Target="https://catalogplus.tuwien.at/permalink/f/1m011kq/TN_cdi_unpaywall_primary_10_1109_tse_2021_3116808" TargetMode="External"/><Relationship Id="rId231" Type="http://schemas.openxmlformats.org/officeDocument/2006/relationships/hyperlink" Target="https://catalogplus.tuwien.at/permalink/f/1m011kq/TN_cdi_acm_books_10_1145_3691620_3695292_brief" TargetMode="External"/><Relationship Id="rId273" Type="http://schemas.openxmlformats.org/officeDocument/2006/relationships/hyperlink" Target="https://catalogplus.tuwien.at/permalink/f/1m011kq/TN_cdi_proquest_journals_3112677089" TargetMode="External"/><Relationship Id="rId329" Type="http://schemas.openxmlformats.org/officeDocument/2006/relationships/hyperlink" Target="https://catalogplus.tuwien.at/permalink/f/1m011kq/TN_cdi_crossref_primary_10_1016_j_bcra_2024_100253" TargetMode="External"/><Relationship Id="rId68" Type="http://schemas.openxmlformats.org/officeDocument/2006/relationships/hyperlink" Target="https://catalogplus.tuwien.at/permalink/f/1m011kq/TN_cdi_ieee_primary_10298326" TargetMode="External"/><Relationship Id="rId133" Type="http://schemas.openxmlformats.org/officeDocument/2006/relationships/hyperlink" Target="https://catalogplus.tuwien.at/permalink/f/1m011kq/TN_cdi_proquest_journals_2972997592" TargetMode="External"/><Relationship Id="rId175" Type="http://schemas.openxmlformats.org/officeDocument/2006/relationships/hyperlink" Target="https://catalogplus.tuwien.at/permalink/f/1m011kq/TN_cdi_crossref_primary_10_1145_3656416" TargetMode="External"/><Relationship Id="rId340" Type="http://schemas.openxmlformats.org/officeDocument/2006/relationships/hyperlink" Target="https://catalogplus.tuwien.at/permalink/f/1m011kq/TN_cdi_proquest_journals_3120737503" TargetMode="External"/><Relationship Id="rId200" Type="http://schemas.openxmlformats.org/officeDocument/2006/relationships/hyperlink" Target="https://catalogplus.tuwien.at/permalink/f/1m011kq/TN_cdi_proquest_journals_2917414619" TargetMode="External"/><Relationship Id="rId382" Type="http://schemas.openxmlformats.org/officeDocument/2006/relationships/hyperlink" Target="https://catalogplus.tuwien.at/permalink/f/1m011kq/TN_cdi_springer_books_10_1007_978_981_99_9811_1_44" TargetMode="External"/><Relationship Id="rId438" Type="http://schemas.openxmlformats.org/officeDocument/2006/relationships/hyperlink" Target="https://catalogplus.tuwien.at/permalink/f/1m011kq/TN_cdi_acm_books_10_1145_3700058_3700123" TargetMode="External"/><Relationship Id="rId242" Type="http://schemas.openxmlformats.org/officeDocument/2006/relationships/hyperlink" Target="https://catalogplus.tuwien.at/permalink/f/1m011kq/TN_cdi_doaj_primary_oai_doaj_org_article_b6369fc973dc4a6eb5c368dd2afdc9b7" TargetMode="External"/><Relationship Id="rId284" Type="http://schemas.openxmlformats.org/officeDocument/2006/relationships/hyperlink" Target="https://catalogplus.tuwien.at/permalink/f/1m011kq/TN_cdi_hal_primary_oai_HAL_hal_04782953v1" TargetMode="External"/><Relationship Id="rId37" Type="http://schemas.openxmlformats.org/officeDocument/2006/relationships/hyperlink" Target="https://catalogplus.tuwien.at/permalink/f/1m011kq/TN_cdi_crossref_primary_10_1016_j_scico_2023_103076" TargetMode="External"/><Relationship Id="rId79" Type="http://schemas.openxmlformats.org/officeDocument/2006/relationships/hyperlink" Target="https://catalogplus.tuwien.at/permalink/f/1m011kq/TN_cdi_openaire_primary_doi_3b02a4375497bd87061bb63b298c6d7f" TargetMode="External"/><Relationship Id="rId102" Type="http://schemas.openxmlformats.org/officeDocument/2006/relationships/hyperlink" Target="https://catalogplus.tuwien.at/permalink/f/1m011kq/TN_cdi_openaire_primary_doi_68a8d6db1eef5feb5fa2632cb54f82ee" TargetMode="External"/><Relationship Id="rId144" Type="http://schemas.openxmlformats.org/officeDocument/2006/relationships/hyperlink" Target="https://catalogplus.tuwien.at/permalink/f/1m011kq/TN_cdi_proquest_journals_3069403316" TargetMode="External"/><Relationship Id="rId90" Type="http://schemas.openxmlformats.org/officeDocument/2006/relationships/hyperlink" Target="https://catalogplus.tuwien.at/permalink/f/1m011kq/TN_cdi_iop_journals_10_1088_1742_6596_2289_1_012010" TargetMode="External"/><Relationship Id="rId186" Type="http://schemas.openxmlformats.org/officeDocument/2006/relationships/hyperlink" Target="https://catalogplus.tuwien.at/permalink/f/1m011kq/TN_cdi_crossref_primary_10_1016_j_future_2024_107655" TargetMode="External"/><Relationship Id="rId351" Type="http://schemas.openxmlformats.org/officeDocument/2006/relationships/hyperlink" Target="https://catalogplus.tuwien.at/permalink/f/1m011kq/TN_cdi_proquest_journals_3094531562" TargetMode="External"/><Relationship Id="rId393" Type="http://schemas.openxmlformats.org/officeDocument/2006/relationships/hyperlink" Target="https://catalogplus.tuwien.at/permalink/f/1m011kq/TN_cdi_crossref_primary_10_1145_3686167" TargetMode="External"/><Relationship Id="rId407" Type="http://schemas.openxmlformats.org/officeDocument/2006/relationships/hyperlink" Target="https://catalogplus.tuwien.at/permalink/f/1m011kq/TN_cdi_crossref_primary_10_1145_3688812" TargetMode="External"/><Relationship Id="rId449" Type="http://schemas.openxmlformats.org/officeDocument/2006/relationships/hyperlink" Target="https://catalogplus.tuwien.at/permalink/f/1m011kq/TN_cdi_acm_books_10_1145_3697355_3697394_brief" TargetMode="External"/><Relationship Id="rId211" Type="http://schemas.openxmlformats.org/officeDocument/2006/relationships/hyperlink" Target="https://catalogplus.tuwien.at/permalink/f/1m011kq/TN_cdi_proquest_journals_3093957408" TargetMode="External"/><Relationship Id="rId253" Type="http://schemas.openxmlformats.org/officeDocument/2006/relationships/hyperlink" Target="https://catalogplus.tuwien.at/permalink/f/1m011kq/TN_cdi_crossref_primary_10_1109_TCC_2023_3337848" TargetMode="External"/><Relationship Id="rId295" Type="http://schemas.openxmlformats.org/officeDocument/2006/relationships/hyperlink" Target="https://catalogplus.tuwien.at/permalink/f/1m011kq/TN_cdi_crossref_primary_10_1109_ACCESS_2024_3486605" TargetMode="External"/><Relationship Id="rId309" Type="http://schemas.openxmlformats.org/officeDocument/2006/relationships/hyperlink" Target="https://catalogplus.tuwien.at/permalink/f/1m011kq/TN_cdi_springer_books_10_1007_978_981_97_5101_3_3" TargetMode="External"/><Relationship Id="rId460" Type="http://schemas.openxmlformats.org/officeDocument/2006/relationships/printerSettings" Target="../printerSettings/printerSettings3.bin"/><Relationship Id="rId48" Type="http://schemas.openxmlformats.org/officeDocument/2006/relationships/hyperlink" Target="https://catalogplus.tuwien.at/permalink/f/1m011kq/TN_cdi_unpaywall_primary_10_1145_3593293" TargetMode="External"/><Relationship Id="rId113" Type="http://schemas.openxmlformats.org/officeDocument/2006/relationships/hyperlink" Target="https://catalogplus.tuwien.at/permalink/f/2ccb9r/UTW_alma71154579720003336" TargetMode="External"/><Relationship Id="rId320" Type="http://schemas.openxmlformats.org/officeDocument/2006/relationships/hyperlink" Target="https://catalogplus.tuwien.at/permalink/f/1m011kq/TN_cdi_springer_books_10_1007_978_981_99_8104_5_2" TargetMode="External"/><Relationship Id="rId155" Type="http://schemas.openxmlformats.org/officeDocument/2006/relationships/hyperlink" Target="https://catalogplus.tuwien.at/permalink/f/1m011kq/TN_cdi_crossref_primary_10_1016_j_jss_2023_111919" TargetMode="External"/><Relationship Id="rId197" Type="http://schemas.openxmlformats.org/officeDocument/2006/relationships/hyperlink" Target="https://catalogplus.tuwien.at/permalink/f/1m011kq/TN_cdi_crossref_primary_10_1145_3637229" TargetMode="External"/><Relationship Id="rId362" Type="http://schemas.openxmlformats.org/officeDocument/2006/relationships/hyperlink" Target="https://catalogplus.tuwien.at/permalink/f/1m011kq/TN_cdi_ieee_primary_10623044" TargetMode="External"/><Relationship Id="rId418" Type="http://schemas.openxmlformats.org/officeDocument/2006/relationships/hyperlink" Target="https://catalogplus.tuwien.at/permalink/f/1m011kq/TN_cdi_doaj_primary_oai_doaj_org_article_99d1862f68794354aa590025db90953c" TargetMode="External"/><Relationship Id="rId222" Type="http://schemas.openxmlformats.org/officeDocument/2006/relationships/hyperlink" Target="https://catalogplus.tuwien.at/permalink/f/1m011kq/TN_cdi_acm_books_10_1145_3597503_3639225_brief" TargetMode="External"/><Relationship Id="rId264" Type="http://schemas.openxmlformats.org/officeDocument/2006/relationships/hyperlink" Target="https://catalogplus.tuwien.at/permalink/f/1m011kq/TN_cdi_crossref_primary_10_1109_TCC_2024_3452324" TargetMode="External"/><Relationship Id="rId17" Type="http://schemas.openxmlformats.org/officeDocument/2006/relationships/hyperlink" Target="https://catalogplus.tuwien.at/permalink/f/1m011kq/TN_cdi_openaire_primary_doi_68466c10b072ac5fc7e34784f8aa05e4" TargetMode="External"/><Relationship Id="rId59" Type="http://schemas.openxmlformats.org/officeDocument/2006/relationships/hyperlink" Target="https://catalogplus.tuwien.at/permalink/f/1m011kq/TN_cdi_crossref_primary_10_1109_JIOT_2023_3294496" TargetMode="External"/><Relationship Id="rId124" Type="http://schemas.openxmlformats.org/officeDocument/2006/relationships/hyperlink" Target="https://catalogplus.tuwien.at/permalink/f/1m011kq/TN_cdi_crossref_primary_10_1145_3641846" TargetMode="External"/><Relationship Id="rId70" Type="http://schemas.openxmlformats.org/officeDocument/2006/relationships/hyperlink" Target="https://catalogplus.tuwien.at/permalink/f/1m011kq/TN_cdi_openaire_primary_doi_164943d64dc64a9d4e5e92cf992ad5d5" TargetMode="External"/><Relationship Id="rId166" Type="http://schemas.openxmlformats.org/officeDocument/2006/relationships/hyperlink" Target="https://catalogplus.tuwien.at/permalink/f/1m011kq/TN_cdi_crossref_primary_10_1109_TPDS_2024_3389153" TargetMode="External"/><Relationship Id="rId331" Type="http://schemas.openxmlformats.org/officeDocument/2006/relationships/hyperlink" Target="https://catalogplus.tuwien.at/permalink/f/1m011kq/TN_cdi_proquest_journals_2923126092" TargetMode="External"/><Relationship Id="rId373" Type="http://schemas.openxmlformats.org/officeDocument/2006/relationships/hyperlink" Target="https://catalogplus.tuwien.at/permalink/f/1m011kq/TN_cdi_doaj_primary_oai_doaj_org_article_27baf1d96f8b4a51b177ec25ba21ab99" TargetMode="External"/><Relationship Id="rId429" Type="http://schemas.openxmlformats.org/officeDocument/2006/relationships/hyperlink" Target="https://catalogplus.tuwien.at/permalink/f/1m011kq/TN_cdi_springer_books_10_1007_978_981_97_8943_6_15" TargetMode="External"/><Relationship Id="rId1" Type="http://schemas.openxmlformats.org/officeDocument/2006/relationships/hyperlink" Target="https://catalogplus.tuwien.at/permalink/f/1m011kq/TN_cdi_crossref_primary_10_1109_TSE_2020_2971482" TargetMode="External"/><Relationship Id="rId233" Type="http://schemas.openxmlformats.org/officeDocument/2006/relationships/hyperlink" Target="https://catalogplus.tuwien.at/permalink/f/1m011kq/TN_cdi_proquest_journals_3133855061" TargetMode="External"/><Relationship Id="rId440" Type="http://schemas.openxmlformats.org/officeDocument/2006/relationships/hyperlink" Target="https://catalogplus.tuwien.at/permalink/f/1m011kq/TN_cdi_ieee_primary_10846030" TargetMode="External"/><Relationship Id="rId28" Type="http://schemas.openxmlformats.org/officeDocument/2006/relationships/hyperlink" Target="https://catalogplus.tuwien.at/permalink/f/1m011kq/TN_cdi_crossref_primary_10_3390_s21124093" TargetMode="External"/><Relationship Id="rId275" Type="http://schemas.openxmlformats.org/officeDocument/2006/relationships/hyperlink" Target="https://catalogplus.tuwien.at/permalink/f/1m011kq/TN_cdi_proquest_journals_2986722381" TargetMode="External"/><Relationship Id="rId300" Type="http://schemas.openxmlformats.org/officeDocument/2006/relationships/hyperlink" Target="https://catalogplus.tuwien.at/permalink/f/1m011kq/TN_cdi_proquest_journals_3084409310" TargetMode="External"/><Relationship Id="rId81" Type="http://schemas.openxmlformats.org/officeDocument/2006/relationships/hyperlink" Target="https://catalogplus.tuwien.at/permalink/f/1m011kq/TN_cdi_openaire_primary_doi_e7ab939c7cf9aba1a7947c8e8bc59d13" TargetMode="External"/><Relationship Id="rId135" Type="http://schemas.openxmlformats.org/officeDocument/2006/relationships/hyperlink" Target="https://catalogplus.tuwien.at/permalink/f/1m011kq/TN_cdi_crossref_primary_10_1016_j_scico_2024_103172" TargetMode="External"/><Relationship Id="rId177" Type="http://schemas.openxmlformats.org/officeDocument/2006/relationships/hyperlink" Target="https://catalogplus.tuwien.at/permalink/f/1m011kq/TN_cdi_crossref_primary_10_1016_j_asoc_2024_111556" TargetMode="External"/><Relationship Id="rId342" Type="http://schemas.openxmlformats.org/officeDocument/2006/relationships/hyperlink" Target="https://catalogplus.tuwien.at/permalink/f/1m011kq/TN_cdi_spie_proceedings_10_1117_12_3036907" TargetMode="External"/><Relationship Id="rId384" Type="http://schemas.openxmlformats.org/officeDocument/2006/relationships/hyperlink" Target="https://catalogplus.tuwien.at/permalink/f/1m011kq/TN_cdi_doaj_primary_oai_doaj_org_article_c3b47ea143724da3a6d8e38d7a5006b0" TargetMode="External"/><Relationship Id="rId202" Type="http://schemas.openxmlformats.org/officeDocument/2006/relationships/hyperlink" Target="https://catalogplus.tuwien.at/permalink/f/1m011kq/TN_cdi_proquest_journals_3116607345" TargetMode="External"/><Relationship Id="rId244" Type="http://schemas.openxmlformats.org/officeDocument/2006/relationships/hyperlink" Target="https://catalogplus.tuwien.at/permalink/f/1m011kq/TN_cdi_springer_books_10_1007_978_981_99_8101_4_13" TargetMode="External"/><Relationship Id="rId39" Type="http://schemas.openxmlformats.org/officeDocument/2006/relationships/hyperlink" Target="https://catalogplus.tuwien.at/permalink/f/1m011kq/TN_cdi_ieee_primary_9256983" TargetMode="External"/><Relationship Id="rId286" Type="http://schemas.openxmlformats.org/officeDocument/2006/relationships/hyperlink" Target="https://catalogplus.tuwien.at/permalink/f/1m011kq/TN_cdi_proquest_journals_3150567402" TargetMode="External"/><Relationship Id="rId451" Type="http://schemas.openxmlformats.org/officeDocument/2006/relationships/hyperlink" Target="https://catalogplus.tuwien.at/permalink/f/1m011kq/TN_cdi_proquest_ebookcentralchapters_31812263_489_539" TargetMode="External"/><Relationship Id="rId50" Type="http://schemas.openxmlformats.org/officeDocument/2006/relationships/hyperlink" Target="https://catalogplus.tuwien.at/permalink/f/1m011kq/TN_cdi_proquest_journals_2864595129" TargetMode="External"/><Relationship Id="rId104" Type="http://schemas.openxmlformats.org/officeDocument/2006/relationships/hyperlink" Target="https://catalogplus.tuwien.at/permalink/f/1m011kq/TN_cdi_openaire_primary_doi_93bad6e88e4ad009f79d28a102800d97" TargetMode="External"/><Relationship Id="rId146" Type="http://schemas.openxmlformats.org/officeDocument/2006/relationships/hyperlink" Target="https://catalogplus.tuwien.at/permalink/f/1m011kq/TN_cdi_askewsholts_vlebooks_9783031507335" TargetMode="External"/><Relationship Id="rId188" Type="http://schemas.openxmlformats.org/officeDocument/2006/relationships/hyperlink" Target="https://catalogplus.tuwien.at/permalink/f/1m011kq/TN_cdi_proquest_journals_3120642514" TargetMode="External"/><Relationship Id="rId311" Type="http://schemas.openxmlformats.org/officeDocument/2006/relationships/hyperlink" Target="https://catalogplus.tuwien.at/permalink/f/1m011kq/TN_cdi_springer_books_10_1007_978_3_031_51674_0_6" TargetMode="External"/><Relationship Id="rId353" Type="http://schemas.openxmlformats.org/officeDocument/2006/relationships/hyperlink" Target="https://catalogplus.tuwien.at/permalink/f/1m011kq/TN_cdi_ieee_primary_10556443" TargetMode="External"/><Relationship Id="rId395" Type="http://schemas.openxmlformats.org/officeDocument/2006/relationships/hyperlink" Target="https://catalogplus.tuwien.at/permalink/f/1m011kq/TN_cdi_doaj_primary_oai_doaj_org_article_d82fe2ace75e447da87cc38c13e1510d" TargetMode="External"/><Relationship Id="rId409" Type="http://schemas.openxmlformats.org/officeDocument/2006/relationships/hyperlink" Target="https://catalogplus.tuwien.at/permalink/f/1m011kq/TN_cdi_springer_books_10_1007_978_981_96_0602_3_9" TargetMode="External"/><Relationship Id="rId92" Type="http://schemas.openxmlformats.org/officeDocument/2006/relationships/hyperlink" Target="https://catalogplus.tuwien.at/permalink/f/1m011kq/TN_cdi_crossref_primary_10_1109_TNSE_2023_3324942" TargetMode="External"/><Relationship Id="rId213" Type="http://schemas.openxmlformats.org/officeDocument/2006/relationships/hyperlink" Target="https://catalogplus.tuwien.at/permalink/f/1m011kq/TN_cdi_proquest_journals_3072317710" TargetMode="External"/><Relationship Id="rId420" Type="http://schemas.openxmlformats.org/officeDocument/2006/relationships/hyperlink" Target="https://catalogplus.tuwien.at/permalink/f/1m011kq/TN_cdi_springer_books_10_1007_978_3_031_78116_2_12"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ieeexplore.ieee.org/document/9724842" TargetMode="External"/><Relationship Id="rId21" Type="http://schemas.openxmlformats.org/officeDocument/2006/relationships/hyperlink" Target="https://ieeexplore.ieee.org/document/9667768" TargetMode="External"/><Relationship Id="rId42" Type="http://schemas.openxmlformats.org/officeDocument/2006/relationships/hyperlink" Target="https://link.springer.com/chapter/10.1007/978-981-99-8132-8_1" TargetMode="External"/><Relationship Id="rId47" Type="http://schemas.openxmlformats.org/officeDocument/2006/relationships/hyperlink" Target="https://ieeexplore.ieee.org/document/9519444" TargetMode="External"/><Relationship Id="rId63" Type="http://schemas.openxmlformats.org/officeDocument/2006/relationships/hyperlink" Target="https://arxiv.org/abs/2401.05680" TargetMode="External"/><Relationship Id="rId68" Type="http://schemas.openxmlformats.org/officeDocument/2006/relationships/hyperlink" Target="https://iopscience.iop.org/article/10.1088/1742-6596/1820/1/012004" TargetMode="External"/><Relationship Id="rId84" Type="http://schemas.openxmlformats.org/officeDocument/2006/relationships/hyperlink" Target="https://ieeexplore.ieee.org/document/9700296" TargetMode="External"/><Relationship Id="rId16" Type="http://schemas.openxmlformats.org/officeDocument/2006/relationships/hyperlink" Target="https://ieeexplore.ieee.org/document/9461050" TargetMode="External"/><Relationship Id="rId11" Type="http://schemas.openxmlformats.org/officeDocument/2006/relationships/hyperlink" Target="https://ieeexplore.ieee.org/document/9609227" TargetMode="External"/><Relationship Id="rId32" Type="http://schemas.openxmlformats.org/officeDocument/2006/relationships/hyperlink" Target="https://ieeexplore.ieee.org/document/9477066" TargetMode="External"/><Relationship Id="rId37" Type="http://schemas.openxmlformats.org/officeDocument/2006/relationships/hyperlink" Target="https://ieeexplore.ieee.org/document/9402512" TargetMode="External"/><Relationship Id="rId53" Type="http://schemas.openxmlformats.org/officeDocument/2006/relationships/hyperlink" Target="https://dl.acm.org/doi/10.1145/3463274.3463348" TargetMode="External"/><Relationship Id="rId58" Type="http://schemas.openxmlformats.org/officeDocument/2006/relationships/hyperlink" Target="https://www.sciencedirect.com/science/article/pii/S1574013721000873" TargetMode="External"/><Relationship Id="rId74" Type="http://schemas.openxmlformats.org/officeDocument/2006/relationships/hyperlink" Target="https://arxiv.org/abs/2112.14771" TargetMode="External"/><Relationship Id="rId79" Type="http://schemas.openxmlformats.org/officeDocument/2006/relationships/hyperlink" Target="https://dl.acm.org/doi/full/10.1145/3512345" TargetMode="External"/><Relationship Id="rId5" Type="http://schemas.openxmlformats.org/officeDocument/2006/relationships/hyperlink" Target="https://soar.suny.edu/handle/20.500.12648/8620" TargetMode="External"/><Relationship Id="rId19" Type="http://schemas.openxmlformats.org/officeDocument/2006/relationships/hyperlink" Target="https://ieeexplore.ieee.org/document/9534324" TargetMode="External"/><Relationship Id="rId14" Type="http://schemas.openxmlformats.org/officeDocument/2006/relationships/hyperlink" Target="https://www.sciencedirect.com/science/article/pii/S0140366421001043?via%3Dihub" TargetMode="External"/><Relationship Id="rId22" Type="http://schemas.openxmlformats.org/officeDocument/2006/relationships/hyperlink" Target="https://ieeexplore.ieee.org/document/9724805" TargetMode="External"/><Relationship Id="rId27" Type="http://schemas.openxmlformats.org/officeDocument/2006/relationships/hyperlink" Target="https://ieeexplore.ieee.org/document/9628229" TargetMode="External"/><Relationship Id="rId30" Type="http://schemas.openxmlformats.org/officeDocument/2006/relationships/hyperlink" Target="https://dl.acm.org/doi/10.1145/3460319.3469078" TargetMode="External"/><Relationship Id="rId35" Type="http://schemas.openxmlformats.org/officeDocument/2006/relationships/hyperlink" Target="https://ieeexplore.ieee.org/document/9524336" TargetMode="External"/><Relationship Id="rId43" Type="http://schemas.openxmlformats.org/officeDocument/2006/relationships/hyperlink" Target="https://arxiv.org/abs/2301.06079" TargetMode="External"/><Relationship Id="rId48" Type="http://schemas.openxmlformats.org/officeDocument/2006/relationships/hyperlink" Target="https://www.sciencedirect.com/science/article/pii/S0164121222002266" TargetMode="External"/><Relationship Id="rId56" Type="http://schemas.openxmlformats.org/officeDocument/2006/relationships/hyperlink" Target="https://ieeexplore.ieee.org/document/9724855" TargetMode="External"/><Relationship Id="rId64" Type="http://schemas.openxmlformats.org/officeDocument/2006/relationships/hyperlink" Target="https://link.springer.com/article/10.1007/s10207-023-00741-8" TargetMode="External"/><Relationship Id="rId69" Type="http://schemas.openxmlformats.org/officeDocument/2006/relationships/hyperlink" Target="https://ieeexplore.ieee.org/document/9680540" TargetMode="External"/><Relationship Id="rId77" Type="http://schemas.openxmlformats.org/officeDocument/2006/relationships/hyperlink" Target="https://link.springer.com/article/10.1007/s11227-024-05954-9" TargetMode="External"/><Relationship Id="rId8" Type="http://schemas.openxmlformats.org/officeDocument/2006/relationships/hyperlink" Target="https://link.springer.com/article/10.1007/s10664-023-10398-5" TargetMode="External"/><Relationship Id="rId51" Type="http://schemas.openxmlformats.org/officeDocument/2006/relationships/hyperlink" Target="https://www.sciencedirect.com/science/article/pii/S0164121222001236" TargetMode="External"/><Relationship Id="rId72" Type="http://schemas.openxmlformats.org/officeDocument/2006/relationships/hyperlink" Target="https://www.usenix.org/system/files/sec21-so.pdf" TargetMode="External"/><Relationship Id="rId80" Type="http://schemas.openxmlformats.org/officeDocument/2006/relationships/hyperlink" Target="https://www.sciencedirect.com/science/article/pii/S221421262200179X" TargetMode="External"/><Relationship Id="rId85" Type="http://schemas.openxmlformats.org/officeDocument/2006/relationships/printerSettings" Target="../printerSettings/printerSettings4.bin"/><Relationship Id="rId3" Type="http://schemas.openxmlformats.org/officeDocument/2006/relationships/hyperlink" Target="https://dl.acm.org/doi/10.1145/3437378.3437879" TargetMode="External"/><Relationship Id="rId12" Type="http://schemas.openxmlformats.org/officeDocument/2006/relationships/hyperlink" Target="https://ieeexplore.ieee.org/document/9712091" TargetMode="External"/><Relationship Id="rId17" Type="http://schemas.openxmlformats.org/officeDocument/2006/relationships/hyperlink" Target="https://dl.acm.org/doi/10.1145/3457337.3457841" TargetMode="External"/><Relationship Id="rId25" Type="http://schemas.openxmlformats.org/officeDocument/2006/relationships/hyperlink" Target="https://ieeexplore.ieee.org/document/9425913" TargetMode="External"/><Relationship Id="rId33" Type="http://schemas.openxmlformats.org/officeDocument/2006/relationships/hyperlink" Target="https://www.ijcai.org/proceedings/2021/379" TargetMode="External"/><Relationship Id="rId38" Type="http://schemas.openxmlformats.org/officeDocument/2006/relationships/hyperlink" Target="https://ieeexplore.ieee.org/document/9581164" TargetMode="External"/><Relationship Id="rId46" Type="http://schemas.openxmlformats.org/officeDocument/2006/relationships/hyperlink" Target="https://ieeexplore.ieee.org/abstract/document/9591399" TargetMode="External"/><Relationship Id="rId59" Type="http://schemas.openxmlformats.org/officeDocument/2006/relationships/hyperlink" Target="https://www.spiedigitallibrary.org/conference-proceedings-of-spie/12117/121170C/A-survey-on-ethereum-smart-contract-vulnerability-detection-using-machine/10.1117/12.2618899.short" TargetMode="External"/><Relationship Id="rId67" Type="http://schemas.openxmlformats.org/officeDocument/2006/relationships/hyperlink" Target="https://dl.acm.org/doi/10.1145/3551349.3559539" TargetMode="External"/><Relationship Id="rId20" Type="http://schemas.openxmlformats.org/officeDocument/2006/relationships/hyperlink" Target="https://ieeexplore.ieee.org/document/9462980" TargetMode="External"/><Relationship Id="rId41" Type="http://schemas.openxmlformats.org/officeDocument/2006/relationships/hyperlink" Target="https://ieeexplore.ieee.org/document/9337195" TargetMode="External"/><Relationship Id="rId54" Type="http://schemas.openxmlformats.org/officeDocument/2006/relationships/hyperlink" Target="https://link.springer.com/chapter/10.1007/978-981-16-7476-1_13" TargetMode="External"/><Relationship Id="rId62" Type="http://schemas.openxmlformats.org/officeDocument/2006/relationships/hyperlink" Target="https://www.mdpi.com/2079-9292/13/3/489" TargetMode="External"/><Relationship Id="rId70" Type="http://schemas.openxmlformats.org/officeDocument/2006/relationships/hyperlink" Target="https://www.hindawi.com/journals/scn/2021/5798033/" TargetMode="External"/><Relationship Id="rId75" Type="http://schemas.openxmlformats.org/officeDocument/2006/relationships/hyperlink" Target="https://www.mdpi.com/2079-9292/12/9/2046" TargetMode="External"/><Relationship Id="rId83" Type="http://schemas.openxmlformats.org/officeDocument/2006/relationships/hyperlink" Target="https://www.sciencedirect.com/science/article/pii/S0020025523004565" TargetMode="External"/><Relationship Id="rId1" Type="http://schemas.openxmlformats.org/officeDocument/2006/relationships/hyperlink" Target="https://ethereum.github.io/yellowpaper/paper.pdf" TargetMode="External"/><Relationship Id="rId6" Type="http://schemas.openxmlformats.org/officeDocument/2006/relationships/hyperlink" Target="https://link.springer.com/chapter/10.1007/978-3-031-30122-3_19" TargetMode="External"/><Relationship Id="rId15" Type="http://schemas.openxmlformats.org/officeDocument/2006/relationships/hyperlink" Target="https://ieeexplore.ieee.org/document/9463047" TargetMode="External"/><Relationship Id="rId23" Type="http://schemas.openxmlformats.org/officeDocument/2006/relationships/hyperlink" Target="https://ieeexplore.ieee.org/document/9730357" TargetMode="External"/><Relationship Id="rId28" Type="http://schemas.openxmlformats.org/officeDocument/2006/relationships/hyperlink" Target="https://ieeexplore.ieee.org/document/9495892" TargetMode="External"/><Relationship Id="rId36" Type="http://schemas.openxmlformats.org/officeDocument/2006/relationships/hyperlink" Target="https://arxiv.org/abs/2104.15068" TargetMode="External"/><Relationship Id="rId49" Type="http://schemas.openxmlformats.org/officeDocument/2006/relationships/hyperlink" Target="https://www.mdpi.com/1424-8220/22/5/1829" TargetMode="External"/><Relationship Id="rId57" Type="http://schemas.openxmlformats.org/officeDocument/2006/relationships/hyperlink" Target="https://www.sciencedirect.com/science/article/pii/S0164121220302818" TargetMode="External"/><Relationship Id="rId10" Type="http://schemas.openxmlformats.org/officeDocument/2006/relationships/hyperlink" Target="https://ieeexplore.ieee.org/abstract/document/9667515" TargetMode="External"/><Relationship Id="rId31" Type="http://schemas.openxmlformats.org/officeDocument/2006/relationships/hyperlink" Target="https://www.sciencedirect.com/science/article/pii/S2214785321030273?via%3Dihub" TargetMode="External"/><Relationship Id="rId44" Type="http://schemas.openxmlformats.org/officeDocument/2006/relationships/hyperlink" Target="https://link.springer.com/chapter/10.1007/978-3-031-37105-9_39" TargetMode="External"/><Relationship Id="rId52" Type="http://schemas.openxmlformats.org/officeDocument/2006/relationships/hyperlink" Target="https://ieeexplore.ieee.org/document/9740682" TargetMode="External"/><Relationship Id="rId60" Type="http://schemas.openxmlformats.org/officeDocument/2006/relationships/hyperlink" Target="https://blr.flaw.uniba.sk/index.php/BLR/article/view/511" TargetMode="External"/><Relationship Id="rId65" Type="http://schemas.openxmlformats.org/officeDocument/2006/relationships/hyperlink" Target="https://www.mdpi.com/1996-1073/16/18/6432" TargetMode="External"/><Relationship Id="rId73" Type="http://schemas.openxmlformats.org/officeDocument/2006/relationships/hyperlink" Target="https://arxiv.org/pdf/2111.12423.pdf" TargetMode="External"/><Relationship Id="rId78" Type="http://schemas.openxmlformats.org/officeDocument/2006/relationships/hyperlink" Target="https://www.sciencedirect.com/science/article/pii/S221421262200148X" TargetMode="External"/><Relationship Id="rId81" Type="http://schemas.openxmlformats.org/officeDocument/2006/relationships/hyperlink" Target="https://dl.acm.org/doi/10.1007/s10515-024-00418-z" TargetMode="External"/><Relationship Id="rId4" Type="http://schemas.openxmlformats.org/officeDocument/2006/relationships/hyperlink" Target="https://www.sciencedirect.com/science/article/pii/S0736585320301787?via%3Dihub" TargetMode="External"/><Relationship Id="rId9" Type="http://schemas.openxmlformats.org/officeDocument/2006/relationships/hyperlink" Target="https://ieeexplore.ieee.org/abstract/document/9868084" TargetMode="External"/><Relationship Id="rId13" Type="http://schemas.openxmlformats.org/officeDocument/2006/relationships/hyperlink" Target="https://dl.acm.org/doi/10.1145/3412841.3442051" TargetMode="External"/><Relationship Id="rId18" Type="http://schemas.openxmlformats.org/officeDocument/2006/relationships/hyperlink" Target="https://www.sciencedirect.com/science/article/pii/S0306457321000674?via%3Dihub" TargetMode="External"/><Relationship Id="rId39" Type="http://schemas.openxmlformats.org/officeDocument/2006/relationships/hyperlink" Target="https://dl.acm.org/doi/10.1145/3460319.3464837" TargetMode="External"/><Relationship Id="rId34" Type="http://schemas.openxmlformats.org/officeDocument/2006/relationships/hyperlink" Target="https://www.degruyter.com/document/doi/10.21078/JSSI-2021-205-34/html" TargetMode="External"/><Relationship Id="rId50" Type="http://schemas.openxmlformats.org/officeDocument/2006/relationships/hyperlink" Target="https://www.mdpi.com/1999-5903/14/11/326" TargetMode="External"/><Relationship Id="rId55" Type="http://schemas.openxmlformats.org/officeDocument/2006/relationships/hyperlink" Target="https://ieeexplore.ieee.org/document/9751549" TargetMode="External"/><Relationship Id="rId76" Type="http://schemas.openxmlformats.org/officeDocument/2006/relationships/hyperlink" Target="https://link.springer.com/chapter/10.1007/978-3-662-64322-8_2" TargetMode="External"/><Relationship Id="rId7" Type="http://schemas.openxmlformats.org/officeDocument/2006/relationships/hyperlink" Target="https://dl.acm.org/doi/abs/10.1145/3538969.3538984" TargetMode="External"/><Relationship Id="rId71" Type="http://schemas.openxmlformats.org/officeDocument/2006/relationships/hyperlink" Target="https://ieeexplore.ieee.org/document/9842713" TargetMode="External"/><Relationship Id="rId2" Type="http://schemas.openxmlformats.org/officeDocument/2006/relationships/hyperlink" Target="https://dl.acm.org/doi/10.1145/3460319.3469076" TargetMode="External"/><Relationship Id="rId29" Type="http://schemas.openxmlformats.org/officeDocument/2006/relationships/hyperlink" Target="https://ieeexplore.ieee.org/document/9474789" TargetMode="External"/><Relationship Id="rId24" Type="http://schemas.openxmlformats.org/officeDocument/2006/relationships/hyperlink" Target="https://ieeexplore.ieee.org/document/8979435" TargetMode="External"/><Relationship Id="rId40" Type="http://schemas.openxmlformats.org/officeDocument/2006/relationships/hyperlink" Target="https://www.sciencedirect.com/science/article/pii/S2666389920302439?via%3Dihub" TargetMode="External"/><Relationship Id="rId45" Type="http://schemas.openxmlformats.org/officeDocument/2006/relationships/hyperlink" Target="https://ieeexplore.ieee.org/abstract/document/10261219" TargetMode="External"/><Relationship Id="rId66" Type="http://schemas.openxmlformats.org/officeDocument/2006/relationships/hyperlink" Target="https://ieeexplore.ieee.org/document/9762279" TargetMode="External"/><Relationship Id="rId61" Type="http://schemas.openxmlformats.org/officeDocument/2006/relationships/hyperlink" Target="https://cyberleninka.ru/article/n/smart-contracts-and-international-trade-european-legal-strategies-for-managing-challenges" TargetMode="External"/><Relationship Id="rId82" Type="http://schemas.openxmlformats.org/officeDocument/2006/relationships/hyperlink" Target="https://ieeexplore.ieee.org/document/10454763"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conf.researchr.org/program/icse-2024/program-icse-2024/" TargetMode="External"/><Relationship Id="rId18" Type="http://schemas.openxmlformats.org/officeDocument/2006/relationships/hyperlink" Target="https://2024.esec-fse.org/program/program-fse-2024/" TargetMode="External"/><Relationship Id="rId26" Type="http://schemas.openxmlformats.org/officeDocument/2006/relationships/hyperlink" Target="https://link.springer.com/article/10.1007/s10515-024-00471-8" TargetMode="External"/><Relationship Id="rId3" Type="http://schemas.openxmlformats.org/officeDocument/2006/relationships/hyperlink" Target="https://ieeexplore.ieee.org/document/8979435" TargetMode="External"/><Relationship Id="rId21" Type="http://schemas.openxmlformats.org/officeDocument/2006/relationships/hyperlink" Target="https://conf.researchr.org/program/icst-2024/program-icst-2024/" TargetMode="External"/><Relationship Id="rId7" Type="http://schemas.openxmlformats.org/officeDocument/2006/relationships/hyperlink" Target="https://dl.acm.org/doi/abs/10.1145/3551349.3560428" TargetMode="External"/><Relationship Id="rId12" Type="http://schemas.openxmlformats.org/officeDocument/2006/relationships/hyperlink" Target="https://conf.researchr.org/program/icse-2024/program-icse-2024/" TargetMode="External"/><Relationship Id="rId17" Type="http://schemas.openxmlformats.org/officeDocument/2006/relationships/hyperlink" Target="https://conf.researchr.org/program/ase-2024/program-ase-2024/" TargetMode="External"/><Relationship Id="rId25" Type="http://schemas.openxmlformats.org/officeDocument/2006/relationships/hyperlink" Target="https://link.springer.com/article/10.1007/s10664-024-10446-8" TargetMode="External"/><Relationship Id="rId33" Type="http://schemas.openxmlformats.org/officeDocument/2006/relationships/hyperlink" Target="https://dl.acm.org/doi/pdf/10.1145/3650212.3680391" TargetMode="External"/><Relationship Id="rId2" Type="http://schemas.openxmlformats.org/officeDocument/2006/relationships/hyperlink" Target="https://ieeexplore.ieee.org/document/10132226" TargetMode="External"/><Relationship Id="rId16" Type="http://schemas.openxmlformats.org/officeDocument/2006/relationships/hyperlink" Target="https://dl.acm.org/doi/pdf/10.1145/3597503.3639173" TargetMode="External"/><Relationship Id="rId20" Type="http://schemas.openxmlformats.org/officeDocument/2006/relationships/hyperlink" Target="https://2024.esec-fse.org/program/program-fse-2024/" TargetMode="External"/><Relationship Id="rId29" Type="http://schemas.openxmlformats.org/officeDocument/2006/relationships/hyperlink" Target="https://ieeexplore.ieee.org/abstract/document/10190543" TargetMode="External"/><Relationship Id="rId1" Type="http://schemas.openxmlformats.org/officeDocument/2006/relationships/hyperlink" Target="https://dl.acm.org/doi/10.1145/3533767.3534222" TargetMode="External"/><Relationship Id="rId6" Type="http://schemas.openxmlformats.org/officeDocument/2006/relationships/hyperlink" Target="https://ieeexplore.ieee.org/document/9678888" TargetMode="External"/><Relationship Id="rId11" Type="http://schemas.openxmlformats.org/officeDocument/2006/relationships/hyperlink" Target="https://conf.researchr.org/program/icse-2024/program-icse-2024/" TargetMode="External"/><Relationship Id="rId24" Type="http://schemas.openxmlformats.org/officeDocument/2006/relationships/hyperlink" Target="https://ieeexplore.ieee.org/document/10470681/" TargetMode="External"/><Relationship Id="rId32" Type="http://schemas.openxmlformats.org/officeDocument/2006/relationships/hyperlink" Target="https://dl.acm.org/doi/pdf/10.1145/3650212.3680303" TargetMode="External"/><Relationship Id="rId5" Type="http://schemas.openxmlformats.org/officeDocument/2006/relationships/hyperlink" Target="https://dl.acm.org/doi/10.1145/3540250.3558927" TargetMode="External"/><Relationship Id="rId15" Type="http://schemas.openxmlformats.org/officeDocument/2006/relationships/hyperlink" Target="https://conf.researchr.org/program/icse-2024/program-icse-2024/" TargetMode="External"/><Relationship Id="rId23" Type="http://schemas.openxmlformats.org/officeDocument/2006/relationships/hyperlink" Target="https://dl.acm.org/doi/10.1145/3597206" TargetMode="External"/><Relationship Id="rId28" Type="http://schemas.openxmlformats.org/officeDocument/2006/relationships/hyperlink" Target="https://link.springer.com/article/10.1007/s41870-024-01909-8" TargetMode="External"/><Relationship Id="rId10" Type="http://schemas.openxmlformats.org/officeDocument/2006/relationships/hyperlink" Target="https://conf.researchr.org/program/icse-2024/program-icse-2024/" TargetMode="External"/><Relationship Id="rId19" Type="http://schemas.openxmlformats.org/officeDocument/2006/relationships/hyperlink" Target="https://2024.esec-fse.org/program/program-fse-2024/" TargetMode="External"/><Relationship Id="rId31" Type="http://schemas.openxmlformats.org/officeDocument/2006/relationships/hyperlink" Target="https://dl.acm.org/doi/abs/10.1145/3597503.3639140" TargetMode="External"/><Relationship Id="rId4" Type="http://schemas.openxmlformats.org/officeDocument/2006/relationships/hyperlink" Target="https://dl.acm.org/doi/10.1145/3468264.3473929" TargetMode="External"/><Relationship Id="rId9" Type="http://schemas.openxmlformats.org/officeDocument/2006/relationships/hyperlink" Target="https://dl.acm.org/doi/abs/10.1145/3597926.3598059" TargetMode="External"/><Relationship Id="rId14" Type="http://schemas.openxmlformats.org/officeDocument/2006/relationships/hyperlink" Target="https://conf.researchr.org/program/icse-2024/program-icse-2024/" TargetMode="External"/><Relationship Id="rId22" Type="http://schemas.openxmlformats.org/officeDocument/2006/relationships/hyperlink" Target="https://dl.acm.org/doi/10.1145/3674725" TargetMode="External"/><Relationship Id="rId27" Type="http://schemas.openxmlformats.org/officeDocument/2006/relationships/hyperlink" Target="https://link.springer.com/article/10.1007/s10515-024-00483-4" TargetMode="External"/><Relationship Id="rId30" Type="http://schemas.openxmlformats.org/officeDocument/2006/relationships/hyperlink" Target="https://dl.acm.org/doi/pdf/10.1145/3597503.3639152" TargetMode="External"/><Relationship Id="rId8" Type="http://schemas.openxmlformats.org/officeDocument/2006/relationships/hyperlink" Target="https://dl.acm.org/doi/abs/10.1145/3460319.3469078"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rxiv.org/abs/2311.00270" TargetMode="External"/><Relationship Id="rId13" Type="http://schemas.openxmlformats.org/officeDocument/2006/relationships/hyperlink" Target="https://arxiv.org/abs/2312.16533" TargetMode="External"/><Relationship Id="rId18" Type="http://schemas.openxmlformats.org/officeDocument/2006/relationships/hyperlink" Target="https://link.springer.com/article/10.1007/s10664-023-10414-8" TargetMode="External"/><Relationship Id="rId3" Type="http://schemas.openxmlformats.org/officeDocument/2006/relationships/hyperlink" Target="https://digikogu.taltech.ee/et/Download/1c564244-622c-4b84-9af1-743b67f5400e/Nutilepingutehaavatavustetuvastamisetriistade.pdf" TargetMode="External"/><Relationship Id="rId7" Type="http://schemas.openxmlformats.org/officeDocument/2006/relationships/hyperlink" Target="https://arxiv.org/abs/2309.13805" TargetMode="External"/><Relationship Id="rId12" Type="http://schemas.openxmlformats.org/officeDocument/2006/relationships/hyperlink" Target="https://www.tandfonline.com/doi/epdf/10.1080/17445760.2023.2272777?needAccess=true" TargetMode="External"/><Relationship Id="rId17" Type="http://schemas.openxmlformats.org/officeDocument/2006/relationships/hyperlink" Target="https://link.springer.com/chapter/10.1007/978-3-031-48806-1_28" TargetMode="External"/><Relationship Id="rId2" Type="http://schemas.openxmlformats.org/officeDocument/2006/relationships/hyperlink" Target="https://arxiv.org/abs/2301.06079" TargetMode="External"/><Relationship Id="rId16" Type="http://schemas.openxmlformats.org/officeDocument/2006/relationships/hyperlink" Target="https://arxiv.org/abs/2303.14523" TargetMode="External"/><Relationship Id="rId1" Type="http://schemas.openxmlformats.org/officeDocument/2006/relationships/hyperlink" Target="https://ieeexplore.ieee.org/abstract/document/10062423?casa_token=IUQZ9sL6XdsAAAAA:nv5iR-GG1yMX9b5sPkmki5272YADOyNY_DecZjHn9n8XLKuXB1RXqriUstDfLR4vvHOj8zzzqw" TargetMode="External"/><Relationship Id="rId6" Type="http://schemas.openxmlformats.org/officeDocument/2006/relationships/hyperlink" Target="https://ieeexplore.ieee.org/abstract/document/9919583?casa_token=e_vnpFRyJfsAAAAA:1Ey6Buck_X9tD6OH0b2dpa9QtimZTfG08u16ESGTVMAutqSVAb3VtIBujySWl0hJHo_Y20Oo" TargetMode="External"/><Relationship Id="rId11" Type="http://schemas.openxmlformats.org/officeDocument/2006/relationships/hyperlink" Target="https://thesis.unipd.it/retrieve/ab1f171d-c2d9-4b78-9189-e3fe877ede47/Cattai_Christian.pdf" TargetMode="External"/><Relationship Id="rId5" Type="http://schemas.openxmlformats.org/officeDocument/2006/relationships/hyperlink" Target="https://files.osf.io/v1/resources/fk3r7/providers/osfstorage/626e12c1a0966f1d763b9915?action=download&amp;direct&amp;version=1" TargetMode="External"/><Relationship Id="rId15" Type="http://schemas.openxmlformats.org/officeDocument/2006/relationships/hyperlink" Target="https://www.mdpi.com/2078-2489/14/10/533" TargetMode="External"/><Relationship Id="rId10" Type="http://schemas.openxmlformats.org/officeDocument/2006/relationships/hyperlink" Target="https://www.mdpi.com/2673-7116/3/4/33" TargetMode="External"/><Relationship Id="rId4" Type="http://schemas.openxmlformats.org/officeDocument/2006/relationships/hyperlink" Target="https://ti.tuwien.ac.at/institute/teaching/ti-research-presentations/proposal_loz_2023-1.pdf" TargetMode="External"/><Relationship Id="rId9" Type="http://schemas.openxmlformats.org/officeDocument/2006/relationships/hyperlink" Target="https://arxiv.org/abs/2403.07458" TargetMode="External"/><Relationship Id="rId14" Type="http://schemas.openxmlformats.org/officeDocument/2006/relationships/hyperlink" Target="https://ieeexplore.ieee.org/abstract/document/10206682/author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E526C-191D-43C4-BCAF-7B9D5F49C497}">
  <dimension ref="A1:T532"/>
  <sheetViews>
    <sheetView zoomScale="125" zoomScaleNormal="70" workbookViewId="0">
      <selection activeCell="K1" sqref="K1:K1048576"/>
    </sheetView>
  </sheetViews>
  <sheetFormatPr baseColWidth="10" defaultColWidth="8.83203125" defaultRowHeight="15" x14ac:dyDescent="0.2"/>
  <cols>
    <col min="1" max="1" width="72.6640625" customWidth="1"/>
    <col min="2" max="2" width="24.6640625" style="4" customWidth="1"/>
    <col min="3" max="3" width="17.1640625" bestFit="1" customWidth="1"/>
    <col min="4" max="10" width="3.6640625" bestFit="1" customWidth="1"/>
    <col min="11" max="11" width="7" customWidth="1"/>
    <col min="12" max="12" width="7.33203125" customWidth="1"/>
    <col min="13" max="13" width="17.33203125" bestFit="1" customWidth="1"/>
    <col min="14" max="14" width="13.83203125" customWidth="1"/>
    <col min="15" max="15" width="4.6640625" style="11" bestFit="1" customWidth="1"/>
    <col min="16" max="16" width="5" style="7" bestFit="1" customWidth="1"/>
    <col min="17" max="17" width="4.6640625" style="7" bestFit="1" customWidth="1"/>
    <col min="18" max="18" width="8.33203125" bestFit="1" customWidth="1"/>
  </cols>
  <sheetData>
    <row r="1" spans="1:20" x14ac:dyDescent="0.2">
      <c r="A1" s="58" t="s">
        <v>0</v>
      </c>
      <c r="B1" s="58" t="s">
        <v>1</v>
      </c>
      <c r="C1" s="58" t="s">
        <v>2</v>
      </c>
      <c r="D1" s="58" t="s">
        <v>3</v>
      </c>
      <c r="E1" s="58" t="s">
        <v>4</v>
      </c>
      <c r="F1" s="58" t="s">
        <v>5</v>
      </c>
      <c r="G1" s="58" t="s">
        <v>6</v>
      </c>
      <c r="H1" s="58" t="s">
        <v>7</v>
      </c>
      <c r="I1" s="58" t="s">
        <v>8</v>
      </c>
      <c r="J1" s="58" t="s">
        <v>9</v>
      </c>
      <c r="K1" s="58" t="s">
        <v>10</v>
      </c>
      <c r="L1" s="58" t="s">
        <v>11</v>
      </c>
      <c r="M1" s="58" t="s">
        <v>12</v>
      </c>
      <c r="N1" s="58" t="s">
        <v>13</v>
      </c>
      <c r="O1" s="64" t="s">
        <v>14</v>
      </c>
      <c r="P1" s="58" t="s">
        <v>15</v>
      </c>
      <c r="Q1" s="58" t="s">
        <v>16</v>
      </c>
      <c r="R1" s="58" t="s">
        <v>17</v>
      </c>
      <c r="T1" s="1"/>
    </row>
    <row r="2" spans="1:20" x14ac:dyDescent="0.2">
      <c r="A2" t="s">
        <v>75</v>
      </c>
      <c r="B2" s="10" t="s">
        <v>76</v>
      </c>
      <c r="C2" t="s">
        <v>20</v>
      </c>
      <c r="D2" s="5">
        <f>Info!$B$51</f>
        <v>0</v>
      </c>
      <c r="E2" s="5">
        <f>Info!$B$53</f>
        <v>1</v>
      </c>
      <c r="F2" s="5"/>
      <c r="G2" s="5"/>
      <c r="H2" s="5"/>
      <c r="I2" s="5"/>
      <c r="J2" s="5"/>
      <c r="L2">
        <v>2</v>
      </c>
      <c r="M2" t="s">
        <v>21</v>
      </c>
      <c r="N2" t="s">
        <v>77</v>
      </c>
      <c r="O2" s="11">
        <v>1</v>
      </c>
      <c r="P2" s="7">
        <f>(D2+E2)/2</f>
        <v>0.5</v>
      </c>
      <c r="Q2" s="7">
        <f t="shared" ref="Q2:Q65" si="0">(O2+P2)/2</f>
        <v>0.75</v>
      </c>
      <c r="R2">
        <f t="shared" ref="R2:R65" si="1">IF(_xlfn.BITAND(P2&gt;0.4999, Q2&gt;0.4999)=1,1,0)</f>
        <v>1</v>
      </c>
    </row>
    <row r="3" spans="1:20" x14ac:dyDescent="0.2">
      <c r="A3" t="s">
        <v>153</v>
      </c>
      <c r="B3" s="10" t="s">
        <v>154</v>
      </c>
      <c r="C3" t="s">
        <v>20</v>
      </c>
      <c r="D3" s="5">
        <f>Info!$B$16</f>
        <v>1</v>
      </c>
      <c r="E3" s="5">
        <f>Info!$B$53</f>
        <v>1</v>
      </c>
      <c r="F3" s="5"/>
      <c r="G3" s="5"/>
      <c r="H3" s="5"/>
      <c r="I3" s="5"/>
      <c r="J3" s="5"/>
      <c r="L3">
        <v>1</v>
      </c>
      <c r="M3" t="s">
        <v>21</v>
      </c>
      <c r="N3" t="s">
        <v>74</v>
      </c>
      <c r="O3" s="11">
        <v>0.8</v>
      </c>
      <c r="P3" s="7">
        <f>(D3+E3)/2</f>
        <v>1</v>
      </c>
      <c r="Q3" s="7">
        <f t="shared" si="0"/>
        <v>0.9</v>
      </c>
      <c r="R3">
        <f t="shared" si="1"/>
        <v>1</v>
      </c>
    </row>
    <row r="4" spans="1:20" x14ac:dyDescent="0.2">
      <c r="A4" t="s">
        <v>234</v>
      </c>
      <c r="B4" s="10" t="s">
        <v>235</v>
      </c>
      <c r="C4" t="s">
        <v>201</v>
      </c>
      <c r="D4" s="5">
        <f>Info!$B$16</f>
        <v>1</v>
      </c>
      <c r="E4" s="5">
        <f>Info!$B$19</f>
        <v>1</v>
      </c>
      <c r="F4" s="5">
        <f>Info!$B$25</f>
        <v>0.6</v>
      </c>
      <c r="G4" s="5">
        <f>Info!$B$31</f>
        <v>0.3</v>
      </c>
      <c r="H4" s="5">
        <f>Info!$B$37</f>
        <v>0</v>
      </c>
      <c r="I4" s="5">
        <f>Info!$B$40</f>
        <v>0</v>
      </c>
      <c r="J4" s="5">
        <f>Info!$B$42</f>
        <v>1</v>
      </c>
      <c r="L4">
        <v>1</v>
      </c>
      <c r="M4" t="s">
        <v>21</v>
      </c>
      <c r="N4" t="s">
        <v>236</v>
      </c>
      <c r="O4" s="11">
        <v>1</v>
      </c>
      <c r="P4" s="7">
        <f>(D4+E4+F4+G4+H4+I4+J4)/6</f>
        <v>0.65</v>
      </c>
      <c r="Q4" s="7">
        <f t="shared" si="0"/>
        <v>0.82499999999999996</v>
      </c>
      <c r="R4">
        <f t="shared" si="1"/>
        <v>1</v>
      </c>
    </row>
    <row r="5" spans="1:20" x14ac:dyDescent="0.2">
      <c r="A5" t="s">
        <v>182</v>
      </c>
      <c r="B5" s="10" t="s">
        <v>183</v>
      </c>
      <c r="C5" t="s">
        <v>184</v>
      </c>
      <c r="D5" s="5">
        <f>Info!$B$16</f>
        <v>1</v>
      </c>
      <c r="E5" s="5">
        <f>Info!$B$19</f>
        <v>1</v>
      </c>
      <c r="F5" s="5">
        <f>Info!$B$24</f>
        <v>1</v>
      </c>
      <c r="G5" s="5">
        <f>Info!$B$29</f>
        <v>1</v>
      </c>
      <c r="H5" s="5">
        <f>Info!$B$35</f>
        <v>0.6</v>
      </c>
      <c r="I5" s="5">
        <f>Info!$B$40</f>
        <v>0</v>
      </c>
      <c r="J5" s="5">
        <f>Info!$B$42</f>
        <v>1</v>
      </c>
      <c r="L5" s="2" t="s">
        <v>185</v>
      </c>
      <c r="M5" t="s">
        <v>21</v>
      </c>
      <c r="N5" s="9" t="s">
        <v>186</v>
      </c>
      <c r="O5" s="11">
        <v>0.8</v>
      </c>
      <c r="P5" s="7">
        <f>(D5+E5+F5+G5+H5+I5+J5)/6</f>
        <v>0.93333333333333324</v>
      </c>
      <c r="Q5" s="7">
        <f t="shared" si="0"/>
        <v>0.8666666666666667</v>
      </c>
      <c r="R5">
        <f t="shared" si="1"/>
        <v>1</v>
      </c>
    </row>
    <row r="6" spans="1:20" x14ac:dyDescent="0.2">
      <c r="A6" t="s">
        <v>84</v>
      </c>
      <c r="B6" s="10" t="s">
        <v>85</v>
      </c>
      <c r="C6" t="s">
        <v>20</v>
      </c>
      <c r="D6" s="5">
        <f>Info!$B$49</f>
        <v>0.6</v>
      </c>
      <c r="E6" s="5">
        <f>Info!$B$53</f>
        <v>1</v>
      </c>
      <c r="F6" s="5"/>
      <c r="G6" s="5"/>
      <c r="H6" s="5"/>
      <c r="I6" s="5"/>
      <c r="J6" s="5"/>
      <c r="L6" s="2" t="s">
        <v>25</v>
      </c>
      <c r="M6" t="s">
        <v>21</v>
      </c>
      <c r="N6" t="s">
        <v>86</v>
      </c>
      <c r="O6" s="11">
        <v>1</v>
      </c>
      <c r="P6" s="7">
        <f t="shared" ref="P6:P12" si="2">(D6+E6)/2</f>
        <v>0.8</v>
      </c>
      <c r="Q6" s="7">
        <f t="shared" si="0"/>
        <v>0.9</v>
      </c>
      <c r="R6">
        <f t="shared" si="1"/>
        <v>1</v>
      </c>
    </row>
    <row r="7" spans="1:20" x14ac:dyDescent="0.2">
      <c r="A7" t="s">
        <v>130</v>
      </c>
      <c r="B7" s="10" t="s">
        <v>131</v>
      </c>
      <c r="C7" t="s">
        <v>20</v>
      </c>
      <c r="D7" s="5">
        <f>Info!$B$51</f>
        <v>0</v>
      </c>
      <c r="E7" s="5">
        <f>Info!$B$53</f>
        <v>1</v>
      </c>
      <c r="F7" s="5"/>
      <c r="G7" s="5"/>
      <c r="H7" s="5"/>
      <c r="I7" s="5"/>
      <c r="J7" s="5"/>
      <c r="L7">
        <v>2</v>
      </c>
      <c r="M7" t="s">
        <v>21</v>
      </c>
      <c r="N7" t="s">
        <v>132</v>
      </c>
      <c r="O7" s="11">
        <v>0.5</v>
      </c>
      <c r="P7" s="7">
        <f t="shared" si="2"/>
        <v>0.5</v>
      </c>
      <c r="Q7" s="7">
        <f t="shared" si="0"/>
        <v>0.5</v>
      </c>
      <c r="R7">
        <f t="shared" si="1"/>
        <v>1</v>
      </c>
    </row>
    <row r="8" spans="1:20" x14ac:dyDescent="0.2">
      <c r="A8" t="s">
        <v>23</v>
      </c>
      <c r="B8" s="10" t="s">
        <v>24</v>
      </c>
      <c r="C8" t="s">
        <v>20</v>
      </c>
      <c r="D8" s="5">
        <f>Info!$B$48</f>
        <v>1</v>
      </c>
      <c r="E8" s="5">
        <f>Info!$B$54</f>
        <v>0</v>
      </c>
      <c r="F8" s="5"/>
      <c r="G8" s="5"/>
      <c r="H8" s="5"/>
      <c r="I8" s="5"/>
      <c r="J8" s="5"/>
      <c r="L8" s="2" t="s">
        <v>25</v>
      </c>
      <c r="M8" t="s">
        <v>21</v>
      </c>
      <c r="N8" t="s">
        <v>26</v>
      </c>
      <c r="O8" s="11">
        <v>0.8</v>
      </c>
      <c r="P8" s="7">
        <f t="shared" si="2"/>
        <v>0.5</v>
      </c>
      <c r="Q8" s="7">
        <f t="shared" si="0"/>
        <v>0.65</v>
      </c>
      <c r="R8">
        <f t="shared" si="1"/>
        <v>1</v>
      </c>
    </row>
    <row r="9" spans="1:20" x14ac:dyDescent="0.2">
      <c r="A9" t="s">
        <v>110</v>
      </c>
      <c r="B9" s="10" t="s">
        <v>111</v>
      </c>
      <c r="C9" t="s">
        <v>20</v>
      </c>
      <c r="D9" s="5">
        <f>Info!$B$51</f>
        <v>0</v>
      </c>
      <c r="E9" s="5">
        <f>Info!$B$53</f>
        <v>1</v>
      </c>
      <c r="F9" s="5"/>
      <c r="G9" s="5"/>
      <c r="H9" s="5"/>
      <c r="I9" s="5"/>
      <c r="J9" s="5"/>
      <c r="L9">
        <v>2</v>
      </c>
      <c r="M9" t="s">
        <v>32</v>
      </c>
      <c r="N9" t="s">
        <v>112</v>
      </c>
      <c r="O9" s="11">
        <v>0.5</v>
      </c>
      <c r="P9" s="7">
        <f t="shared" si="2"/>
        <v>0.5</v>
      </c>
      <c r="Q9" s="7">
        <f t="shared" si="0"/>
        <v>0.5</v>
      </c>
      <c r="R9">
        <f t="shared" si="1"/>
        <v>1</v>
      </c>
    </row>
    <row r="10" spans="1:20" x14ac:dyDescent="0.2">
      <c r="A10" t="s">
        <v>104</v>
      </c>
      <c r="B10" s="10" t="s">
        <v>105</v>
      </c>
      <c r="C10" t="s">
        <v>20</v>
      </c>
      <c r="D10" s="5">
        <f>Info!$B$51</f>
        <v>0</v>
      </c>
      <c r="E10" s="5">
        <f>Info!$B$53</f>
        <v>1</v>
      </c>
      <c r="F10" s="5"/>
      <c r="G10" s="5"/>
      <c r="H10" s="5"/>
      <c r="I10" s="5"/>
      <c r="J10" s="5"/>
      <c r="L10">
        <v>2</v>
      </c>
      <c r="M10" t="s">
        <v>32</v>
      </c>
      <c r="N10" t="s">
        <v>106</v>
      </c>
      <c r="O10" s="11">
        <v>1</v>
      </c>
      <c r="P10" s="7">
        <f t="shared" si="2"/>
        <v>0.5</v>
      </c>
      <c r="Q10" s="7">
        <f t="shared" si="0"/>
        <v>0.75</v>
      </c>
      <c r="R10">
        <f t="shared" si="1"/>
        <v>1</v>
      </c>
    </row>
    <row r="11" spans="1:20" x14ac:dyDescent="0.2">
      <c r="A11" t="s">
        <v>144</v>
      </c>
      <c r="B11" s="10" t="s">
        <v>145</v>
      </c>
      <c r="C11" t="s">
        <v>20</v>
      </c>
      <c r="D11" s="5">
        <f>Info!$B$50</f>
        <v>0.3</v>
      </c>
      <c r="E11" s="5">
        <f>Info!$B$53</f>
        <v>1</v>
      </c>
      <c r="F11" s="5"/>
      <c r="G11" s="5"/>
      <c r="H11" s="5"/>
      <c r="I11" s="5"/>
      <c r="J11" s="5"/>
      <c r="L11">
        <v>1</v>
      </c>
      <c r="M11" t="s">
        <v>21</v>
      </c>
      <c r="N11" t="s">
        <v>146</v>
      </c>
      <c r="O11" s="11">
        <v>1</v>
      </c>
      <c r="P11" s="7">
        <f t="shared" si="2"/>
        <v>0.65</v>
      </c>
      <c r="Q11" s="7">
        <f t="shared" si="0"/>
        <v>0.82499999999999996</v>
      </c>
      <c r="R11">
        <f t="shared" si="1"/>
        <v>1</v>
      </c>
    </row>
    <row r="12" spans="1:20" x14ac:dyDescent="0.2">
      <c r="A12" t="s">
        <v>18</v>
      </c>
      <c r="B12" s="10" t="s">
        <v>19</v>
      </c>
      <c r="C12" t="s">
        <v>20</v>
      </c>
      <c r="D12" s="5">
        <f>Info!$B$51</f>
        <v>0</v>
      </c>
      <c r="E12" s="5">
        <f>Info!$B$53</f>
        <v>1</v>
      </c>
      <c r="F12" s="5"/>
      <c r="G12" s="5"/>
      <c r="H12" s="5"/>
      <c r="I12" s="5"/>
      <c r="J12" s="5"/>
      <c r="L12" s="2">
        <v>1.2</v>
      </c>
      <c r="M12" t="s">
        <v>21</v>
      </c>
      <c r="N12" t="s">
        <v>22</v>
      </c>
      <c r="O12" s="11">
        <v>1</v>
      </c>
      <c r="P12" s="7">
        <f t="shared" si="2"/>
        <v>0.5</v>
      </c>
      <c r="Q12" s="7">
        <f t="shared" si="0"/>
        <v>0.75</v>
      </c>
      <c r="R12">
        <f t="shared" si="1"/>
        <v>1</v>
      </c>
    </row>
    <row r="13" spans="1:20" x14ac:dyDescent="0.2">
      <c r="A13" t="s">
        <v>196</v>
      </c>
      <c r="B13" s="10" t="s">
        <v>197</v>
      </c>
      <c r="C13" t="s">
        <v>184</v>
      </c>
      <c r="D13" s="5">
        <f>Info!$B$16</f>
        <v>1</v>
      </c>
      <c r="E13" s="5">
        <f>Info!$B$21</f>
        <v>0.3</v>
      </c>
      <c r="F13" s="5">
        <f>Info!$B$26</f>
        <v>0.3</v>
      </c>
      <c r="G13" s="5">
        <f>Info!$B$29</f>
        <v>1</v>
      </c>
      <c r="H13" s="5">
        <f>Info!$B$34</f>
        <v>1</v>
      </c>
      <c r="I13" s="5">
        <f>Info!$B$39</f>
        <v>1</v>
      </c>
      <c r="J13" s="5">
        <f>Info!$B$43</f>
        <v>0.5</v>
      </c>
      <c r="L13">
        <v>1.2</v>
      </c>
      <c r="M13" t="s">
        <v>21</v>
      </c>
      <c r="N13" t="s">
        <v>198</v>
      </c>
      <c r="O13" s="11">
        <v>0.8</v>
      </c>
      <c r="P13" s="7">
        <f>(D13+E13+F13+G13+H13+I13+J13)/7</f>
        <v>0.72857142857142854</v>
      </c>
      <c r="Q13" s="7">
        <f t="shared" si="0"/>
        <v>0.76428571428571423</v>
      </c>
      <c r="R13">
        <f t="shared" si="1"/>
        <v>1</v>
      </c>
    </row>
    <row r="14" spans="1:20" x14ac:dyDescent="0.2">
      <c r="A14" t="s">
        <v>81</v>
      </c>
      <c r="B14" s="10" t="s">
        <v>82</v>
      </c>
      <c r="C14" t="s">
        <v>20</v>
      </c>
      <c r="D14" s="5">
        <f>Info!$B$51</f>
        <v>0</v>
      </c>
      <c r="E14" s="5">
        <f>Info!$B$53</f>
        <v>1</v>
      </c>
      <c r="F14" s="5"/>
      <c r="G14" s="5"/>
      <c r="H14" s="5"/>
      <c r="I14" s="5"/>
      <c r="J14" s="5"/>
      <c r="L14" s="2" t="s">
        <v>25</v>
      </c>
      <c r="M14" t="s">
        <v>21</v>
      </c>
      <c r="N14" t="s">
        <v>83</v>
      </c>
      <c r="O14" s="11">
        <v>1</v>
      </c>
      <c r="P14" s="7">
        <f>(D14+E14)/2</f>
        <v>0.5</v>
      </c>
      <c r="Q14" s="7">
        <f t="shared" si="0"/>
        <v>0.75</v>
      </c>
      <c r="R14">
        <f t="shared" si="1"/>
        <v>1</v>
      </c>
    </row>
    <row r="15" spans="1:20" x14ac:dyDescent="0.2">
      <c r="A15" t="s">
        <v>304</v>
      </c>
      <c r="B15" s="10" t="s">
        <v>305</v>
      </c>
      <c r="C15" t="s">
        <v>201</v>
      </c>
      <c r="D15" s="5">
        <f>Info!$B$17</f>
        <v>0</v>
      </c>
      <c r="E15" s="5">
        <f>Info!$B$19</f>
        <v>1</v>
      </c>
      <c r="F15" s="5">
        <f>Info!$B$25</f>
        <v>0.6</v>
      </c>
      <c r="G15" s="5">
        <f>Info!$B$29</f>
        <v>1</v>
      </c>
      <c r="H15" s="5">
        <f>Info!$B$34</f>
        <v>1</v>
      </c>
      <c r="I15" s="5">
        <f>Info!$B$39</f>
        <v>1</v>
      </c>
      <c r="J15" s="5">
        <f>Info!$B$42</f>
        <v>1</v>
      </c>
      <c r="L15">
        <v>1.3</v>
      </c>
      <c r="M15" t="s">
        <v>80</v>
      </c>
      <c r="O15" s="11">
        <v>0.2</v>
      </c>
      <c r="P15" s="7">
        <f>(D15+E15+F15+G15+H15+I15+J15)/7</f>
        <v>0.79999999999999993</v>
      </c>
      <c r="Q15" s="7">
        <f t="shared" si="0"/>
        <v>0.5</v>
      </c>
      <c r="R15">
        <f t="shared" si="1"/>
        <v>1</v>
      </c>
    </row>
    <row r="16" spans="1:20" x14ac:dyDescent="0.2">
      <c r="A16" t="s">
        <v>240</v>
      </c>
      <c r="B16" s="10" t="s">
        <v>241</v>
      </c>
      <c r="C16" t="s">
        <v>201</v>
      </c>
      <c r="D16" s="5">
        <f>Info!$B$17</f>
        <v>0</v>
      </c>
      <c r="E16" s="5">
        <f>Info!$B$20</f>
        <v>0.6</v>
      </c>
      <c r="F16" s="5">
        <f>Info!$B$26</f>
        <v>0.3</v>
      </c>
      <c r="G16" s="5">
        <f>Info!$B$30</f>
        <v>0.6</v>
      </c>
      <c r="H16" s="5">
        <f>Info!$B$35</f>
        <v>0.6</v>
      </c>
      <c r="I16" s="5">
        <f>Info!$B$40</f>
        <v>0</v>
      </c>
      <c r="J16" s="5">
        <f>Info!$B$42</f>
        <v>1</v>
      </c>
      <c r="L16">
        <v>1</v>
      </c>
      <c r="M16" t="s">
        <v>21</v>
      </c>
      <c r="N16" t="s">
        <v>242</v>
      </c>
      <c r="O16" s="11">
        <v>0.8</v>
      </c>
      <c r="P16" s="7">
        <f>(D16+E16+F16+G16+H16+I16+J16)/6</f>
        <v>0.51666666666666672</v>
      </c>
      <c r="Q16" s="7">
        <f t="shared" si="0"/>
        <v>0.65833333333333344</v>
      </c>
      <c r="R16">
        <f t="shared" si="1"/>
        <v>1</v>
      </c>
    </row>
    <row r="17" spans="1:18" x14ac:dyDescent="0.2">
      <c r="A17" t="s">
        <v>302</v>
      </c>
      <c r="B17" s="10" t="s">
        <v>303</v>
      </c>
      <c r="C17" t="s">
        <v>20</v>
      </c>
      <c r="D17" s="5">
        <v>1</v>
      </c>
      <c r="E17" s="5">
        <v>1</v>
      </c>
      <c r="F17" s="5"/>
      <c r="G17" s="5"/>
      <c r="H17" s="5"/>
      <c r="I17" s="5"/>
      <c r="J17" s="5"/>
      <c r="L17">
        <v>2</v>
      </c>
      <c r="M17" t="s">
        <v>80</v>
      </c>
      <c r="O17" s="11">
        <v>0.2</v>
      </c>
      <c r="P17" s="7">
        <f>(D17+E17)/2</f>
        <v>1</v>
      </c>
      <c r="Q17" s="7">
        <f t="shared" si="0"/>
        <v>0.6</v>
      </c>
      <c r="R17">
        <f t="shared" si="1"/>
        <v>1</v>
      </c>
    </row>
    <row r="18" spans="1:18" x14ac:dyDescent="0.2">
      <c r="A18" t="s">
        <v>176</v>
      </c>
      <c r="B18" s="10" t="s">
        <v>177</v>
      </c>
      <c r="C18" t="s">
        <v>20</v>
      </c>
      <c r="D18" s="5">
        <f>Info!$B$49</f>
        <v>0.6</v>
      </c>
      <c r="E18" s="5">
        <f>Info!$B$53</f>
        <v>1</v>
      </c>
      <c r="F18" s="5"/>
      <c r="G18" s="5"/>
      <c r="H18" s="5"/>
      <c r="I18" s="5"/>
      <c r="J18" s="5"/>
      <c r="L18">
        <v>1</v>
      </c>
      <c r="M18" t="s">
        <v>32</v>
      </c>
      <c r="N18" t="s">
        <v>178</v>
      </c>
      <c r="O18" s="11">
        <v>0.2</v>
      </c>
      <c r="P18" s="7">
        <f>(D18+E18)/2</f>
        <v>0.8</v>
      </c>
      <c r="Q18" s="7">
        <f t="shared" si="0"/>
        <v>0.5</v>
      </c>
      <c r="R18">
        <f t="shared" si="1"/>
        <v>1</v>
      </c>
    </row>
    <row r="19" spans="1:18" x14ac:dyDescent="0.2">
      <c r="A19" t="s">
        <v>68</v>
      </c>
      <c r="B19" s="10" t="s">
        <v>69</v>
      </c>
      <c r="C19" t="s">
        <v>20</v>
      </c>
      <c r="D19" s="5">
        <f>Info!$B$17</f>
        <v>0</v>
      </c>
      <c r="E19" s="5">
        <f>Info!$B$53</f>
        <v>1</v>
      </c>
      <c r="F19" s="5"/>
      <c r="G19" s="5"/>
      <c r="H19" s="5"/>
      <c r="I19" s="5"/>
      <c r="J19" s="5"/>
      <c r="L19" s="2" t="s">
        <v>25</v>
      </c>
      <c r="M19" t="s">
        <v>70</v>
      </c>
      <c r="N19" t="s">
        <v>71</v>
      </c>
      <c r="O19" s="11">
        <v>1</v>
      </c>
      <c r="P19" s="7">
        <f>(D19+E19)/2</f>
        <v>0.5</v>
      </c>
      <c r="Q19" s="7">
        <f t="shared" si="0"/>
        <v>0.75</v>
      </c>
      <c r="R19">
        <f t="shared" si="1"/>
        <v>1</v>
      </c>
    </row>
    <row r="20" spans="1:18" x14ac:dyDescent="0.2">
      <c r="A20" t="s">
        <v>92</v>
      </c>
      <c r="B20" s="10" t="s">
        <v>93</v>
      </c>
      <c r="C20" t="s">
        <v>20</v>
      </c>
      <c r="D20" s="5">
        <f>Info!$B$51</f>
        <v>0</v>
      </c>
      <c r="E20" s="5">
        <f>Info!$B$53</f>
        <v>1</v>
      </c>
      <c r="F20" s="5"/>
      <c r="G20" s="5"/>
      <c r="H20" s="5"/>
      <c r="I20" s="5"/>
      <c r="J20" s="5"/>
      <c r="L20">
        <v>2</v>
      </c>
      <c r="M20" t="s">
        <v>21</v>
      </c>
      <c r="N20" t="s">
        <v>94</v>
      </c>
      <c r="O20" s="11">
        <v>0.8</v>
      </c>
      <c r="P20" s="7">
        <f>(D20+E20)/2</f>
        <v>0.5</v>
      </c>
      <c r="Q20" s="7">
        <f t="shared" si="0"/>
        <v>0.65</v>
      </c>
      <c r="R20">
        <f t="shared" si="1"/>
        <v>1</v>
      </c>
    </row>
    <row r="21" spans="1:18" x14ac:dyDescent="0.2">
      <c r="A21" t="s">
        <v>209</v>
      </c>
      <c r="B21" s="10" t="s">
        <v>210</v>
      </c>
      <c r="C21" t="s">
        <v>20</v>
      </c>
      <c r="D21" s="5">
        <f>Info!$B$17</f>
        <v>0</v>
      </c>
      <c r="E21" s="5">
        <f>Info!$B$20</f>
        <v>0.6</v>
      </c>
      <c r="F21" s="5">
        <f>Info!$B$26</f>
        <v>0.3</v>
      </c>
      <c r="G21" s="5">
        <f>Info!$B$30</f>
        <v>0.6</v>
      </c>
      <c r="H21" s="5">
        <f>Info!$B$35</f>
        <v>0.6</v>
      </c>
      <c r="I21" s="5">
        <f>Info!$B$40</f>
        <v>0</v>
      </c>
      <c r="J21" s="5">
        <f>Info!$B$42</f>
        <v>1</v>
      </c>
      <c r="L21">
        <v>2</v>
      </c>
      <c r="M21" t="s">
        <v>21</v>
      </c>
      <c r="N21" t="s">
        <v>211</v>
      </c>
      <c r="O21" s="11">
        <v>1</v>
      </c>
      <c r="P21" s="7">
        <f>(D21+E21+F21+G21+H21+I21+J21)/6</f>
        <v>0.51666666666666672</v>
      </c>
      <c r="Q21" s="7">
        <f t="shared" si="0"/>
        <v>0.7583333333333333</v>
      </c>
      <c r="R21">
        <f t="shared" si="1"/>
        <v>1</v>
      </c>
    </row>
    <row r="22" spans="1:18" x14ac:dyDescent="0.2">
      <c r="A22" t="s">
        <v>37</v>
      </c>
      <c r="B22" s="10" t="s">
        <v>38</v>
      </c>
      <c r="C22" t="s">
        <v>20</v>
      </c>
      <c r="D22" s="5">
        <f>Info!$B$51</f>
        <v>0</v>
      </c>
      <c r="E22" s="5">
        <f>Info!$B$53</f>
        <v>1</v>
      </c>
      <c r="F22" s="5"/>
      <c r="G22" s="5"/>
      <c r="H22" s="5"/>
      <c r="I22" s="5"/>
      <c r="J22" s="5"/>
      <c r="L22">
        <v>2</v>
      </c>
      <c r="M22" t="s">
        <v>21</v>
      </c>
      <c r="N22" t="s">
        <v>39</v>
      </c>
      <c r="O22" s="11">
        <v>0.5</v>
      </c>
      <c r="P22" s="7">
        <f>(D22+E22)/2</f>
        <v>0.5</v>
      </c>
      <c r="Q22" s="7">
        <f t="shared" si="0"/>
        <v>0.5</v>
      </c>
      <c r="R22">
        <f t="shared" si="1"/>
        <v>1</v>
      </c>
    </row>
    <row r="23" spans="1:18" x14ac:dyDescent="0.2">
      <c r="A23" t="s">
        <v>52</v>
      </c>
      <c r="B23" s="10" t="s">
        <v>53</v>
      </c>
      <c r="C23" t="s">
        <v>20</v>
      </c>
      <c r="D23" s="5">
        <f>Info!$B$17</f>
        <v>0</v>
      </c>
      <c r="E23" s="5">
        <f>Info!$B$53</f>
        <v>1</v>
      </c>
      <c r="F23" s="5"/>
      <c r="G23" s="5"/>
      <c r="H23" s="5"/>
      <c r="I23" s="5"/>
      <c r="J23" s="5"/>
      <c r="L23" s="2" t="s">
        <v>25</v>
      </c>
      <c r="M23" t="s">
        <v>21</v>
      </c>
      <c r="N23" t="s">
        <v>54</v>
      </c>
      <c r="O23" s="11">
        <v>0.5</v>
      </c>
      <c r="P23" s="7">
        <f>(D23+E23)/2</f>
        <v>0.5</v>
      </c>
      <c r="Q23" s="7">
        <f t="shared" si="0"/>
        <v>0.5</v>
      </c>
      <c r="R23">
        <f t="shared" si="1"/>
        <v>1</v>
      </c>
    </row>
    <row r="24" spans="1:18" x14ac:dyDescent="0.2">
      <c r="A24" t="s">
        <v>65</v>
      </c>
      <c r="B24" s="10" t="s">
        <v>66</v>
      </c>
      <c r="C24" t="s">
        <v>20</v>
      </c>
      <c r="D24" s="5">
        <f>Info!$B$17</f>
        <v>0</v>
      </c>
      <c r="E24" s="65">
        <f>Info!$B$53</f>
        <v>1</v>
      </c>
      <c r="F24" s="5"/>
      <c r="G24" s="5"/>
      <c r="H24" s="5"/>
      <c r="I24" s="5"/>
      <c r="J24" s="5"/>
      <c r="L24" s="2" t="s">
        <v>25</v>
      </c>
      <c r="M24" t="s">
        <v>32</v>
      </c>
      <c r="N24" t="s">
        <v>67</v>
      </c>
      <c r="O24" s="11">
        <v>0.5</v>
      </c>
      <c r="P24" s="7">
        <f>(D24+E24)/2</f>
        <v>0.5</v>
      </c>
      <c r="Q24" s="7">
        <f t="shared" si="0"/>
        <v>0.5</v>
      </c>
      <c r="R24">
        <f t="shared" si="1"/>
        <v>1</v>
      </c>
    </row>
    <row r="25" spans="1:18" x14ac:dyDescent="0.2">
      <c r="A25" t="s">
        <v>187</v>
      </c>
      <c r="B25" s="10" t="s">
        <v>188</v>
      </c>
      <c r="C25" t="s">
        <v>184</v>
      </c>
      <c r="D25" s="5">
        <f>Info!$B$16</f>
        <v>1</v>
      </c>
      <c r="E25" s="5">
        <f>Info!$B$20</f>
        <v>0.6</v>
      </c>
      <c r="F25" s="5">
        <f>Info!$B$25</f>
        <v>0.6</v>
      </c>
      <c r="G25" s="5">
        <f>Info!$B$32</f>
        <v>0</v>
      </c>
      <c r="H25" s="5">
        <f>Info!$B$37</f>
        <v>0</v>
      </c>
      <c r="I25" s="5">
        <f>Info!$B$40</f>
        <v>0</v>
      </c>
      <c r="J25" s="5">
        <f>Info!$B$42</f>
        <v>1</v>
      </c>
      <c r="L25">
        <v>1</v>
      </c>
      <c r="M25" t="s">
        <v>32</v>
      </c>
      <c r="N25" t="s">
        <v>189</v>
      </c>
      <c r="O25" s="11">
        <v>1</v>
      </c>
      <c r="P25" s="7">
        <f>(D25+E25+F25+G25+H25+I25+J25)/6</f>
        <v>0.53333333333333333</v>
      </c>
      <c r="Q25" s="7">
        <f t="shared" si="0"/>
        <v>0.76666666666666661</v>
      </c>
      <c r="R25">
        <f t="shared" si="1"/>
        <v>1</v>
      </c>
    </row>
    <row r="26" spans="1:18" x14ac:dyDescent="0.2">
      <c r="A26" t="s">
        <v>318</v>
      </c>
      <c r="B26" s="10" t="s">
        <v>319</v>
      </c>
      <c r="C26" t="s">
        <v>201</v>
      </c>
      <c r="D26" s="5">
        <v>1</v>
      </c>
      <c r="E26" s="5">
        <v>1</v>
      </c>
      <c r="F26" s="5">
        <v>0.6</v>
      </c>
      <c r="G26" s="5">
        <v>0.3</v>
      </c>
      <c r="H26" s="5">
        <v>0.6</v>
      </c>
      <c r="I26" s="5">
        <v>0</v>
      </c>
      <c r="J26" s="5">
        <v>1</v>
      </c>
      <c r="L26">
        <v>1</v>
      </c>
      <c r="M26" t="s">
        <v>32</v>
      </c>
      <c r="N26" t="s">
        <v>320</v>
      </c>
      <c r="O26" s="11">
        <v>1</v>
      </c>
      <c r="P26" s="7">
        <f>(D26+E26+F26+G26+H26+I26+J26)/7</f>
        <v>0.6428571428571429</v>
      </c>
      <c r="Q26" s="7">
        <f t="shared" si="0"/>
        <v>0.8214285714285714</v>
      </c>
      <c r="R26">
        <f t="shared" si="1"/>
        <v>1</v>
      </c>
    </row>
    <row r="27" spans="1:18" x14ac:dyDescent="0.2">
      <c r="A27" t="s">
        <v>254</v>
      </c>
      <c r="B27" s="10" t="s">
        <v>255</v>
      </c>
      <c r="C27" t="s">
        <v>184</v>
      </c>
      <c r="D27" s="5">
        <f>Info!$B$16</f>
        <v>1</v>
      </c>
      <c r="E27" s="5">
        <f>Info!$B$20</f>
        <v>0.6</v>
      </c>
      <c r="F27" s="5">
        <f>Info!$B$24</f>
        <v>1</v>
      </c>
      <c r="G27" s="5">
        <f>Info!$B$32</f>
        <v>0</v>
      </c>
      <c r="H27" s="5">
        <f>Info!$B$37</f>
        <v>0</v>
      </c>
      <c r="I27" s="5">
        <f>Info!$B$40</f>
        <v>0</v>
      </c>
      <c r="J27" s="5">
        <f>Info!$B$43</f>
        <v>0.5</v>
      </c>
      <c r="L27">
        <v>1</v>
      </c>
      <c r="M27" t="s">
        <v>21</v>
      </c>
      <c r="N27" t="s">
        <v>256</v>
      </c>
      <c r="O27" s="11">
        <v>0.5</v>
      </c>
      <c r="P27" s="7">
        <f>(D27+E27+F27+G27+H27+I27+J27)/6</f>
        <v>0.51666666666666672</v>
      </c>
      <c r="Q27" s="7">
        <f t="shared" si="0"/>
        <v>0.5083333333333333</v>
      </c>
      <c r="R27">
        <f t="shared" si="1"/>
        <v>1</v>
      </c>
    </row>
    <row r="28" spans="1:18" x14ac:dyDescent="0.2">
      <c r="A28" t="s">
        <v>27</v>
      </c>
      <c r="B28" s="10" t="s">
        <v>28</v>
      </c>
      <c r="C28" t="s">
        <v>20</v>
      </c>
      <c r="D28" s="5">
        <f>Info!$B$50</f>
        <v>0.3</v>
      </c>
      <c r="E28" s="5">
        <f>Info!$B$53</f>
        <v>1</v>
      </c>
      <c r="F28" s="5"/>
      <c r="G28" s="5"/>
      <c r="H28" s="5"/>
      <c r="I28" s="5"/>
      <c r="J28" s="5"/>
      <c r="L28" s="2" t="s">
        <v>25</v>
      </c>
      <c r="M28" t="s">
        <v>21</v>
      </c>
      <c r="N28" t="s">
        <v>29</v>
      </c>
      <c r="O28" s="11">
        <v>1</v>
      </c>
      <c r="P28" s="7">
        <f>(D28+E28)/2</f>
        <v>0.65</v>
      </c>
      <c r="Q28" s="7">
        <f t="shared" si="0"/>
        <v>0.82499999999999996</v>
      </c>
      <c r="R28">
        <f t="shared" si="1"/>
        <v>1</v>
      </c>
    </row>
    <row r="29" spans="1:18" x14ac:dyDescent="0.2">
      <c r="A29" t="s">
        <v>49</v>
      </c>
      <c r="B29" s="10" t="s">
        <v>50</v>
      </c>
      <c r="C29" t="s">
        <v>20</v>
      </c>
      <c r="D29" s="5">
        <f>Info!$B$49</f>
        <v>0.6</v>
      </c>
      <c r="E29" s="5">
        <f>Info!$B$53</f>
        <v>1</v>
      </c>
      <c r="F29" s="5"/>
      <c r="G29" s="5"/>
      <c r="H29" s="5"/>
      <c r="I29" s="5"/>
      <c r="J29" s="5"/>
      <c r="L29" s="2" t="s">
        <v>25</v>
      </c>
      <c r="M29" t="s">
        <v>21</v>
      </c>
      <c r="N29" t="s">
        <v>51</v>
      </c>
      <c r="O29" s="11">
        <v>1</v>
      </c>
      <c r="P29" s="7">
        <f>(D29+E29)/2</f>
        <v>0.8</v>
      </c>
      <c r="Q29" s="7">
        <f t="shared" si="0"/>
        <v>0.9</v>
      </c>
      <c r="R29">
        <f t="shared" si="1"/>
        <v>1</v>
      </c>
    </row>
    <row r="30" spans="1:18" x14ac:dyDescent="0.2">
      <c r="A30" t="s">
        <v>194</v>
      </c>
      <c r="B30" s="10" t="s">
        <v>195</v>
      </c>
      <c r="C30" t="s">
        <v>184</v>
      </c>
      <c r="D30" s="5">
        <f>Info!$B$16</f>
        <v>1</v>
      </c>
      <c r="E30" s="5">
        <f>Info!$B$16</f>
        <v>1</v>
      </c>
      <c r="F30" s="5">
        <f>Info!$B$24</f>
        <v>1</v>
      </c>
      <c r="G30" s="5">
        <f>Info!$B$29</f>
        <v>1</v>
      </c>
      <c r="H30" s="5">
        <f>Info!$B$34</f>
        <v>1</v>
      </c>
      <c r="I30" s="5">
        <f>Info!$B$39</f>
        <v>1</v>
      </c>
      <c r="J30" s="5">
        <f>Info!$B$44</f>
        <v>0</v>
      </c>
      <c r="L30" s="2" t="s">
        <v>185</v>
      </c>
      <c r="M30" t="s">
        <v>128</v>
      </c>
      <c r="N30" t="s">
        <v>129</v>
      </c>
      <c r="O30" s="11">
        <v>0.2</v>
      </c>
      <c r="P30" s="7">
        <f>(D30+E30+F30+G30+H30+I30+J30)/7</f>
        <v>0.8571428571428571</v>
      </c>
      <c r="Q30" s="7">
        <f t="shared" si="0"/>
        <v>0.52857142857142858</v>
      </c>
      <c r="R30">
        <f t="shared" si="1"/>
        <v>1</v>
      </c>
    </row>
    <row r="31" spans="1:18" x14ac:dyDescent="0.2">
      <c r="A31" t="s">
        <v>306</v>
      </c>
      <c r="B31" s="10" t="s">
        <v>307</v>
      </c>
      <c r="C31" t="s">
        <v>201</v>
      </c>
      <c r="D31" s="5">
        <f>Info!$B$17</f>
        <v>0</v>
      </c>
      <c r="E31" s="5">
        <f>Info!$B$19</f>
        <v>1</v>
      </c>
      <c r="F31" s="5">
        <f>Info!$B$24</f>
        <v>1</v>
      </c>
      <c r="G31" s="5">
        <f>Info!$B$30</f>
        <v>0.6</v>
      </c>
      <c r="H31" s="5">
        <f>Info!$B$35</f>
        <v>0.6</v>
      </c>
      <c r="I31" s="5">
        <f>Info!$B$39</f>
        <v>1</v>
      </c>
      <c r="J31" s="5">
        <f>Info!$B$43</f>
        <v>0.5</v>
      </c>
      <c r="L31">
        <v>1</v>
      </c>
      <c r="M31" t="s">
        <v>21</v>
      </c>
      <c r="N31" t="s">
        <v>308</v>
      </c>
      <c r="O31" s="11">
        <v>0.5</v>
      </c>
      <c r="P31" s="7">
        <f>(D31+E31+F31+G31+H31+I31+J31)/7</f>
        <v>0.67142857142857149</v>
      </c>
      <c r="Q31" s="7">
        <f t="shared" si="0"/>
        <v>0.58571428571428574</v>
      </c>
      <c r="R31">
        <f t="shared" si="1"/>
        <v>1</v>
      </c>
    </row>
    <row r="32" spans="1:18" x14ac:dyDescent="0.2">
      <c r="A32" t="s">
        <v>237</v>
      </c>
      <c r="B32" s="10" t="s">
        <v>238</v>
      </c>
      <c r="C32" t="s">
        <v>201</v>
      </c>
      <c r="D32" s="5">
        <f>Info!$B$16</f>
        <v>1</v>
      </c>
      <c r="E32" s="5">
        <f>Info!$B$19</f>
        <v>1</v>
      </c>
      <c r="F32" s="5">
        <f>Info!$B$24</f>
        <v>1</v>
      </c>
      <c r="G32" s="5">
        <f>Info!$B$29</f>
        <v>1</v>
      </c>
      <c r="H32" s="5">
        <f>Info!$B$34</f>
        <v>1</v>
      </c>
      <c r="I32" s="5">
        <f>Info!$B$40</f>
        <v>0</v>
      </c>
      <c r="J32" s="5">
        <f>Info!$B$43</f>
        <v>0.5</v>
      </c>
      <c r="L32">
        <v>1</v>
      </c>
      <c r="M32" t="s">
        <v>128</v>
      </c>
      <c r="N32" t="s">
        <v>239</v>
      </c>
      <c r="O32" s="11">
        <v>0.2</v>
      </c>
      <c r="P32" s="7">
        <f>(D32+E32+F32+G32+H32+I32+J32)/6</f>
        <v>0.91666666666666663</v>
      </c>
      <c r="Q32" s="7">
        <f t="shared" si="0"/>
        <v>0.55833333333333335</v>
      </c>
      <c r="R32">
        <f t="shared" si="1"/>
        <v>1</v>
      </c>
    </row>
    <row r="33" spans="1:18" x14ac:dyDescent="0.2">
      <c r="A33" t="s">
        <v>309</v>
      </c>
      <c r="B33" s="10" t="s">
        <v>310</v>
      </c>
      <c r="C33" t="s">
        <v>201</v>
      </c>
      <c r="D33" s="5">
        <f>Info!$B$17</f>
        <v>0</v>
      </c>
      <c r="E33" s="5">
        <f>Info!$B$19</f>
        <v>1</v>
      </c>
      <c r="F33" s="5">
        <f>Info!$B$24</f>
        <v>1</v>
      </c>
      <c r="G33" s="5">
        <f>Info!$B$32</f>
        <v>0</v>
      </c>
      <c r="H33" s="5">
        <f>Info!$B$37</f>
        <v>0</v>
      </c>
      <c r="I33" s="5">
        <f>Info!$B$39</f>
        <v>1</v>
      </c>
      <c r="J33" s="5">
        <f>Info!$B$42</f>
        <v>1</v>
      </c>
      <c r="L33">
        <v>1</v>
      </c>
      <c r="M33" t="s">
        <v>21</v>
      </c>
      <c r="N33" t="s">
        <v>311</v>
      </c>
      <c r="O33" s="11">
        <v>0.5</v>
      </c>
      <c r="P33" s="7">
        <f>(D33+E33+F33+G33+H33+I33+J33)/7</f>
        <v>0.5714285714285714</v>
      </c>
      <c r="Q33" s="7">
        <f t="shared" si="0"/>
        <v>0.5357142857142857</v>
      </c>
      <c r="R33">
        <f t="shared" si="1"/>
        <v>1</v>
      </c>
    </row>
    <row r="34" spans="1:18" x14ac:dyDescent="0.2">
      <c r="A34" t="s">
        <v>206</v>
      </c>
      <c r="B34" s="10" t="s">
        <v>207</v>
      </c>
      <c r="C34" t="s">
        <v>201</v>
      </c>
      <c r="D34" s="5">
        <f>Info!$B$16</f>
        <v>1</v>
      </c>
      <c r="E34" s="5">
        <f>Info!$B$19</f>
        <v>1</v>
      </c>
      <c r="F34" s="5">
        <f>Info!$B$24</f>
        <v>1</v>
      </c>
      <c r="G34" s="5">
        <f>Info!$B$30</f>
        <v>0.6</v>
      </c>
      <c r="H34" s="5">
        <f>Info!$B$36</f>
        <v>0.3</v>
      </c>
      <c r="I34" s="5">
        <f>Info!$B$40</f>
        <v>0</v>
      </c>
      <c r="J34" s="5">
        <f>Info!$B$43</f>
        <v>0.5</v>
      </c>
      <c r="L34">
        <v>2</v>
      </c>
      <c r="M34" t="s">
        <v>32</v>
      </c>
      <c r="N34" t="s">
        <v>208</v>
      </c>
      <c r="O34" s="11">
        <v>0.4</v>
      </c>
      <c r="P34" s="7">
        <f>(D34+E34+F34+G34+H34+I34+J34)/6</f>
        <v>0.73333333333333339</v>
      </c>
      <c r="Q34" s="7">
        <f t="shared" si="0"/>
        <v>0.56666666666666665</v>
      </c>
      <c r="R34">
        <f t="shared" si="1"/>
        <v>1</v>
      </c>
    </row>
    <row r="35" spans="1:18" x14ac:dyDescent="0.2">
      <c r="A35" t="s">
        <v>30</v>
      </c>
      <c r="B35" s="10" t="s">
        <v>31</v>
      </c>
      <c r="C35" t="s">
        <v>20</v>
      </c>
      <c r="D35" s="5">
        <f>Info!$B$51</f>
        <v>0</v>
      </c>
      <c r="E35" s="5">
        <f>Info!$B$53</f>
        <v>1</v>
      </c>
      <c r="F35" s="5"/>
      <c r="G35" s="5"/>
      <c r="H35" s="5"/>
      <c r="I35" s="5"/>
      <c r="J35" s="5"/>
      <c r="L35">
        <v>2</v>
      </c>
      <c r="M35" t="s">
        <v>32</v>
      </c>
      <c r="N35" t="s">
        <v>33</v>
      </c>
      <c r="O35" s="11">
        <v>0.4</v>
      </c>
      <c r="P35" s="7">
        <f t="shared" ref="P35:P74" si="3">(D35+E35)/2</f>
        <v>0.5</v>
      </c>
      <c r="Q35" s="7">
        <f t="shared" si="0"/>
        <v>0.45</v>
      </c>
      <c r="R35">
        <f t="shared" si="1"/>
        <v>0</v>
      </c>
    </row>
    <row r="36" spans="1:18" x14ac:dyDescent="0.2">
      <c r="A36" t="s">
        <v>34</v>
      </c>
      <c r="B36" s="10" t="s">
        <v>35</v>
      </c>
      <c r="C36" t="s">
        <v>20</v>
      </c>
      <c r="D36" s="5">
        <f>Info!$B$51</f>
        <v>0</v>
      </c>
      <c r="E36" s="5">
        <f>Info!$B$54</f>
        <v>0</v>
      </c>
      <c r="F36" s="5"/>
      <c r="G36" s="5"/>
      <c r="H36" s="5"/>
      <c r="I36" s="5"/>
      <c r="J36" s="5"/>
      <c r="L36">
        <v>2</v>
      </c>
      <c r="M36" t="s">
        <v>32</v>
      </c>
      <c r="N36" t="s">
        <v>36</v>
      </c>
      <c r="O36" s="11">
        <v>0.4</v>
      </c>
      <c r="P36" s="7">
        <f t="shared" si="3"/>
        <v>0</v>
      </c>
      <c r="Q36" s="7">
        <f t="shared" si="0"/>
        <v>0.2</v>
      </c>
      <c r="R36">
        <f t="shared" si="1"/>
        <v>0</v>
      </c>
    </row>
    <row r="37" spans="1:18" x14ac:dyDescent="0.2">
      <c r="A37" t="s">
        <v>40</v>
      </c>
      <c r="B37" s="10" t="s">
        <v>41</v>
      </c>
      <c r="C37" t="s">
        <v>20</v>
      </c>
      <c r="D37" s="5">
        <f>Info!$B$51</f>
        <v>0</v>
      </c>
      <c r="E37" s="5">
        <f>Info!$B$54</f>
        <v>0</v>
      </c>
      <c r="F37" s="5"/>
      <c r="G37" s="5"/>
      <c r="H37" s="5"/>
      <c r="I37" s="5"/>
      <c r="J37" s="5"/>
      <c r="L37">
        <v>2</v>
      </c>
      <c r="M37" t="s">
        <v>21</v>
      </c>
      <c r="N37" t="s">
        <v>42</v>
      </c>
      <c r="O37" s="11">
        <v>0.8</v>
      </c>
      <c r="P37" s="7">
        <f t="shared" si="3"/>
        <v>0</v>
      </c>
      <c r="Q37" s="7">
        <f t="shared" si="0"/>
        <v>0.4</v>
      </c>
      <c r="R37">
        <f t="shared" si="1"/>
        <v>0</v>
      </c>
    </row>
    <row r="38" spans="1:18" x14ac:dyDescent="0.2">
      <c r="A38" t="s">
        <v>43</v>
      </c>
      <c r="B38" s="10" t="s">
        <v>44</v>
      </c>
      <c r="C38" t="s">
        <v>20</v>
      </c>
      <c r="D38" s="5">
        <f>Info!$B$51</f>
        <v>0</v>
      </c>
      <c r="E38" s="5">
        <f>Info!$B$54</f>
        <v>0</v>
      </c>
      <c r="F38" s="5"/>
      <c r="G38" s="5"/>
      <c r="H38" s="5"/>
      <c r="I38" s="5"/>
      <c r="J38" s="5"/>
      <c r="L38">
        <v>2</v>
      </c>
      <c r="M38" t="s">
        <v>21</v>
      </c>
      <c r="N38" t="s">
        <v>45</v>
      </c>
      <c r="O38" s="11">
        <v>1</v>
      </c>
      <c r="P38" s="7">
        <f t="shared" si="3"/>
        <v>0</v>
      </c>
      <c r="Q38" s="7">
        <f t="shared" si="0"/>
        <v>0.5</v>
      </c>
      <c r="R38">
        <f t="shared" si="1"/>
        <v>0</v>
      </c>
    </row>
    <row r="39" spans="1:18" x14ac:dyDescent="0.2">
      <c r="A39" t="s">
        <v>46</v>
      </c>
      <c r="B39" s="10" t="s">
        <v>47</v>
      </c>
      <c r="C39" t="s">
        <v>20</v>
      </c>
      <c r="D39" s="5">
        <f>Info!$B$51</f>
        <v>0</v>
      </c>
      <c r="E39" s="5">
        <f>Info!$B$54</f>
        <v>0</v>
      </c>
      <c r="F39" s="5"/>
      <c r="G39" s="5"/>
      <c r="H39" s="5"/>
      <c r="I39" s="5"/>
      <c r="J39" s="5"/>
      <c r="L39">
        <v>2</v>
      </c>
      <c r="M39" t="s">
        <v>21</v>
      </c>
      <c r="N39" t="s">
        <v>48</v>
      </c>
      <c r="O39" s="11">
        <v>1</v>
      </c>
      <c r="P39" s="7">
        <f t="shared" si="3"/>
        <v>0</v>
      </c>
      <c r="Q39" s="7">
        <f t="shared" si="0"/>
        <v>0.5</v>
      </c>
      <c r="R39">
        <f t="shared" si="1"/>
        <v>0</v>
      </c>
    </row>
    <row r="40" spans="1:18" x14ac:dyDescent="0.2">
      <c r="A40" t="s">
        <v>55</v>
      </c>
      <c r="B40" s="10" t="s">
        <v>56</v>
      </c>
      <c r="C40" t="s">
        <v>20</v>
      </c>
      <c r="D40" s="5">
        <f>Info!$B$51</f>
        <v>0</v>
      </c>
      <c r="E40" s="5">
        <f>Info!$B$54</f>
        <v>0</v>
      </c>
      <c r="F40" s="5"/>
      <c r="G40" s="5"/>
      <c r="H40" s="5"/>
      <c r="I40" s="5"/>
      <c r="J40" s="5"/>
      <c r="L40">
        <v>2</v>
      </c>
      <c r="M40" t="s">
        <v>21</v>
      </c>
      <c r="N40" t="s">
        <v>57</v>
      </c>
      <c r="O40" s="11">
        <v>0.8</v>
      </c>
      <c r="P40" s="7">
        <f t="shared" si="3"/>
        <v>0</v>
      </c>
      <c r="Q40" s="7">
        <f t="shared" si="0"/>
        <v>0.4</v>
      </c>
      <c r="R40">
        <f t="shared" si="1"/>
        <v>0</v>
      </c>
    </row>
    <row r="41" spans="1:18" x14ac:dyDescent="0.2">
      <c r="A41" t="s">
        <v>58</v>
      </c>
      <c r="B41" s="10" t="s">
        <v>59</v>
      </c>
      <c r="C41" t="s">
        <v>20</v>
      </c>
      <c r="D41" s="5">
        <f>Info!$B$51</f>
        <v>0</v>
      </c>
      <c r="E41" s="5">
        <f>Info!$B$54</f>
        <v>0</v>
      </c>
      <c r="F41" s="5"/>
      <c r="G41" s="5"/>
      <c r="H41" s="5"/>
      <c r="I41" s="5"/>
      <c r="J41" s="5"/>
      <c r="L41">
        <v>2</v>
      </c>
      <c r="M41" t="s">
        <v>21</v>
      </c>
      <c r="N41" t="s">
        <v>51</v>
      </c>
      <c r="O41" s="11">
        <v>1</v>
      </c>
      <c r="P41" s="7">
        <f t="shared" si="3"/>
        <v>0</v>
      </c>
      <c r="Q41" s="7">
        <f t="shared" si="0"/>
        <v>0.5</v>
      </c>
      <c r="R41">
        <f t="shared" si="1"/>
        <v>0</v>
      </c>
    </row>
    <row r="42" spans="1:18" x14ac:dyDescent="0.2">
      <c r="A42" t="s">
        <v>60</v>
      </c>
      <c r="B42" s="10" t="s">
        <v>61</v>
      </c>
      <c r="C42" t="s">
        <v>20</v>
      </c>
      <c r="D42" s="5">
        <f>Info!$B$51</f>
        <v>0</v>
      </c>
      <c r="E42" s="5">
        <f>Info!$B$54</f>
        <v>0</v>
      </c>
      <c r="F42" s="5"/>
      <c r="G42" s="5"/>
      <c r="H42" s="5"/>
      <c r="I42" s="5"/>
      <c r="J42" s="5"/>
      <c r="L42">
        <v>2</v>
      </c>
      <c r="M42" t="s">
        <v>21</v>
      </c>
      <c r="N42" t="s">
        <v>51</v>
      </c>
      <c r="O42" s="11">
        <v>1</v>
      </c>
      <c r="P42" s="7">
        <f t="shared" si="3"/>
        <v>0</v>
      </c>
      <c r="Q42" s="7">
        <f t="shared" si="0"/>
        <v>0.5</v>
      </c>
      <c r="R42">
        <f t="shared" si="1"/>
        <v>0</v>
      </c>
    </row>
    <row r="43" spans="1:18" x14ac:dyDescent="0.2">
      <c r="A43" t="s">
        <v>62</v>
      </c>
      <c r="B43" s="10" t="s">
        <v>63</v>
      </c>
      <c r="C43" t="s">
        <v>20</v>
      </c>
      <c r="D43" s="5">
        <f>Info!$B$51</f>
        <v>0</v>
      </c>
      <c r="E43" s="5">
        <f>Info!$B$53</f>
        <v>1</v>
      </c>
      <c r="F43" s="5"/>
      <c r="G43" s="5"/>
      <c r="H43" s="5"/>
      <c r="I43" s="5"/>
      <c r="J43" s="5"/>
      <c r="L43">
        <v>2</v>
      </c>
      <c r="M43" t="s">
        <v>21</v>
      </c>
      <c r="N43" s="8" t="s">
        <v>64</v>
      </c>
      <c r="O43" s="11">
        <v>0.2</v>
      </c>
      <c r="P43" s="7">
        <f t="shared" si="3"/>
        <v>0.5</v>
      </c>
      <c r="Q43" s="7">
        <f t="shared" si="0"/>
        <v>0.35</v>
      </c>
      <c r="R43">
        <f t="shared" si="1"/>
        <v>0</v>
      </c>
    </row>
    <row r="44" spans="1:18" x14ac:dyDescent="0.2">
      <c r="A44" t="s">
        <v>72</v>
      </c>
      <c r="B44" s="10" t="s">
        <v>73</v>
      </c>
      <c r="C44" t="s">
        <v>20</v>
      </c>
      <c r="D44" s="5">
        <f>Info!$B$51</f>
        <v>0</v>
      </c>
      <c r="E44" s="5">
        <f>Info!$B$54</f>
        <v>0</v>
      </c>
      <c r="F44" s="5"/>
      <c r="G44" s="5"/>
      <c r="H44" s="5"/>
      <c r="I44" s="5"/>
      <c r="J44" s="5"/>
      <c r="L44">
        <v>2</v>
      </c>
      <c r="M44" t="s">
        <v>21</v>
      </c>
      <c r="N44" t="s">
        <v>74</v>
      </c>
      <c r="O44" s="11">
        <v>0.8</v>
      </c>
      <c r="P44" s="7">
        <f t="shared" si="3"/>
        <v>0</v>
      </c>
      <c r="Q44" s="7">
        <f t="shared" si="0"/>
        <v>0.4</v>
      </c>
      <c r="R44">
        <f t="shared" si="1"/>
        <v>0</v>
      </c>
    </row>
    <row r="45" spans="1:18" x14ac:dyDescent="0.2">
      <c r="A45" t="s">
        <v>78</v>
      </c>
      <c r="B45" s="10" t="s">
        <v>79</v>
      </c>
      <c r="C45" t="s">
        <v>20</v>
      </c>
      <c r="D45" s="5">
        <f>Info!$B$51</f>
        <v>0</v>
      </c>
      <c r="E45" s="5">
        <f>Info!$B$54</f>
        <v>0</v>
      </c>
      <c r="F45" s="5"/>
      <c r="G45" s="5"/>
      <c r="H45" s="5"/>
      <c r="I45" s="5"/>
      <c r="J45" s="5"/>
      <c r="L45">
        <v>2</v>
      </c>
      <c r="M45" t="s">
        <v>80</v>
      </c>
      <c r="O45" s="11">
        <v>0.2</v>
      </c>
      <c r="P45" s="7">
        <f t="shared" si="3"/>
        <v>0</v>
      </c>
      <c r="Q45" s="7">
        <f t="shared" si="0"/>
        <v>0.1</v>
      </c>
      <c r="R45">
        <f t="shared" si="1"/>
        <v>0</v>
      </c>
    </row>
    <row r="46" spans="1:18" x14ac:dyDescent="0.2">
      <c r="A46" t="s">
        <v>87</v>
      </c>
      <c r="B46" s="10" t="s">
        <v>88</v>
      </c>
      <c r="C46" t="s">
        <v>20</v>
      </c>
      <c r="D46" s="5">
        <f>Info!$B$51</f>
        <v>0</v>
      </c>
      <c r="E46" s="5">
        <f>Info!$B$53</f>
        <v>1</v>
      </c>
      <c r="F46" s="5"/>
      <c r="G46" s="5"/>
      <c r="H46" s="5"/>
      <c r="I46" s="5"/>
      <c r="J46" s="5"/>
      <c r="L46">
        <v>2</v>
      </c>
      <c r="M46" t="s">
        <v>70</v>
      </c>
      <c r="O46" s="11">
        <v>0.2</v>
      </c>
      <c r="P46" s="7">
        <f t="shared" si="3"/>
        <v>0.5</v>
      </c>
      <c r="Q46" s="7">
        <f t="shared" si="0"/>
        <v>0.35</v>
      </c>
      <c r="R46">
        <f t="shared" si="1"/>
        <v>0</v>
      </c>
    </row>
    <row r="47" spans="1:18" x14ac:dyDescent="0.2">
      <c r="A47" t="s">
        <v>89</v>
      </c>
      <c r="B47" s="10" t="s">
        <v>90</v>
      </c>
      <c r="C47" t="s">
        <v>20</v>
      </c>
      <c r="D47" s="5">
        <f>Info!$B$51</f>
        <v>0</v>
      </c>
      <c r="E47" s="5">
        <f>Info!$B$54</f>
        <v>0</v>
      </c>
      <c r="F47" s="5"/>
      <c r="G47" s="5"/>
      <c r="H47" s="5"/>
      <c r="I47" s="5"/>
      <c r="J47" s="5"/>
      <c r="L47">
        <v>2</v>
      </c>
      <c r="M47" t="s">
        <v>21</v>
      </c>
      <c r="N47" t="s">
        <v>91</v>
      </c>
      <c r="O47" s="11">
        <v>1</v>
      </c>
      <c r="P47" s="7">
        <f t="shared" si="3"/>
        <v>0</v>
      </c>
      <c r="Q47" s="7">
        <f t="shared" si="0"/>
        <v>0.5</v>
      </c>
      <c r="R47">
        <f t="shared" si="1"/>
        <v>0</v>
      </c>
    </row>
    <row r="48" spans="1:18" x14ac:dyDescent="0.2">
      <c r="A48" t="s">
        <v>95</v>
      </c>
      <c r="B48" s="10" t="s">
        <v>96</v>
      </c>
      <c r="C48" t="s">
        <v>20</v>
      </c>
      <c r="D48" s="5">
        <f>Info!$B$51</f>
        <v>0</v>
      </c>
      <c r="E48" s="5">
        <f>Info!$B$54</f>
        <v>0</v>
      </c>
      <c r="F48" s="5"/>
      <c r="G48" s="5"/>
      <c r="H48" s="5"/>
      <c r="I48" s="5"/>
      <c r="J48" s="5"/>
      <c r="L48">
        <v>2</v>
      </c>
      <c r="M48" t="s">
        <v>21</v>
      </c>
      <c r="N48" t="s">
        <v>51</v>
      </c>
      <c r="O48" s="11">
        <v>1</v>
      </c>
      <c r="P48" s="7">
        <f t="shared" si="3"/>
        <v>0</v>
      </c>
      <c r="Q48" s="7">
        <f t="shared" si="0"/>
        <v>0.5</v>
      </c>
      <c r="R48">
        <f t="shared" si="1"/>
        <v>0</v>
      </c>
    </row>
    <row r="49" spans="1:18" x14ac:dyDescent="0.2">
      <c r="A49" t="s">
        <v>87</v>
      </c>
      <c r="B49" s="10" t="s">
        <v>97</v>
      </c>
      <c r="C49" t="s">
        <v>20</v>
      </c>
      <c r="D49" s="5">
        <f>Info!$B$51</f>
        <v>0</v>
      </c>
      <c r="E49" s="5">
        <f>Info!$B$53</f>
        <v>1</v>
      </c>
      <c r="F49" s="5"/>
      <c r="G49" s="5"/>
      <c r="H49" s="5"/>
      <c r="I49" s="5"/>
      <c r="J49" s="5"/>
      <c r="M49" t="s">
        <v>70</v>
      </c>
      <c r="O49" s="11">
        <v>0.2</v>
      </c>
      <c r="P49" s="7">
        <f t="shared" si="3"/>
        <v>0.5</v>
      </c>
      <c r="Q49" s="7">
        <f t="shared" si="0"/>
        <v>0.35</v>
      </c>
      <c r="R49">
        <f t="shared" si="1"/>
        <v>0</v>
      </c>
    </row>
    <row r="50" spans="1:18" x14ac:dyDescent="0.2">
      <c r="A50" t="s">
        <v>98</v>
      </c>
      <c r="B50" s="10" t="s">
        <v>99</v>
      </c>
      <c r="C50" t="s">
        <v>20</v>
      </c>
      <c r="D50" s="5">
        <f>Info!$B$51</f>
        <v>0</v>
      </c>
      <c r="E50" s="5">
        <f>Info!$B$54</f>
        <v>0</v>
      </c>
      <c r="F50" s="5"/>
      <c r="G50" s="5"/>
      <c r="H50" s="5"/>
      <c r="I50" s="5"/>
      <c r="J50" s="5"/>
      <c r="L50">
        <v>2</v>
      </c>
      <c r="M50" t="s">
        <v>32</v>
      </c>
      <c r="N50" t="s">
        <v>100</v>
      </c>
      <c r="O50" s="11">
        <v>0.2</v>
      </c>
      <c r="P50" s="7">
        <f t="shared" si="3"/>
        <v>0</v>
      </c>
      <c r="Q50" s="7">
        <f t="shared" si="0"/>
        <v>0.1</v>
      </c>
      <c r="R50">
        <f t="shared" si="1"/>
        <v>0</v>
      </c>
    </row>
    <row r="51" spans="1:18" x14ac:dyDescent="0.2">
      <c r="A51" t="s">
        <v>101</v>
      </c>
      <c r="B51" s="10" t="s">
        <v>102</v>
      </c>
      <c r="C51" t="s">
        <v>20</v>
      </c>
      <c r="D51" s="5">
        <f>Info!$B$51</f>
        <v>0</v>
      </c>
      <c r="E51" s="5">
        <f>Info!$B$20</f>
        <v>0.6</v>
      </c>
      <c r="F51" s="5"/>
      <c r="G51" s="5"/>
      <c r="H51" s="5"/>
      <c r="I51" s="5"/>
      <c r="J51" s="5"/>
      <c r="L51">
        <v>2</v>
      </c>
      <c r="M51" t="s">
        <v>32</v>
      </c>
      <c r="N51" t="s">
        <v>103</v>
      </c>
      <c r="O51" s="11">
        <v>0.2</v>
      </c>
      <c r="P51" s="7">
        <f t="shared" si="3"/>
        <v>0.3</v>
      </c>
      <c r="Q51" s="7">
        <f t="shared" si="0"/>
        <v>0.25</v>
      </c>
      <c r="R51">
        <f t="shared" si="1"/>
        <v>0</v>
      </c>
    </row>
    <row r="52" spans="1:18" x14ac:dyDescent="0.2">
      <c r="A52" t="s">
        <v>107</v>
      </c>
      <c r="B52" s="10" t="s">
        <v>108</v>
      </c>
      <c r="C52" t="s">
        <v>20</v>
      </c>
      <c r="D52" s="5">
        <f>Info!$B$51</f>
        <v>0</v>
      </c>
      <c r="E52" s="5">
        <f>Info!$B$53</f>
        <v>1</v>
      </c>
      <c r="F52" s="5"/>
      <c r="G52" s="5"/>
      <c r="H52" s="5"/>
      <c r="I52" s="5"/>
      <c r="J52" s="5"/>
      <c r="L52">
        <v>2</v>
      </c>
      <c r="M52" t="s">
        <v>32</v>
      </c>
      <c r="N52" t="s">
        <v>109</v>
      </c>
      <c r="O52" s="11">
        <v>0.2</v>
      </c>
      <c r="P52" s="7">
        <f t="shared" si="3"/>
        <v>0.5</v>
      </c>
      <c r="Q52" s="7">
        <f t="shared" si="0"/>
        <v>0.35</v>
      </c>
      <c r="R52">
        <f t="shared" si="1"/>
        <v>0</v>
      </c>
    </row>
    <row r="53" spans="1:18" x14ac:dyDescent="0.2">
      <c r="A53" t="s">
        <v>113</v>
      </c>
      <c r="B53" s="10" t="s">
        <v>114</v>
      </c>
      <c r="C53" t="s">
        <v>20</v>
      </c>
      <c r="D53" s="5">
        <f>Info!$B$51</f>
        <v>0</v>
      </c>
      <c r="E53" s="5">
        <f>Info!$B$53</f>
        <v>1</v>
      </c>
      <c r="F53" s="5"/>
      <c r="G53" s="5"/>
      <c r="H53" s="5"/>
      <c r="I53" s="5"/>
      <c r="J53" s="5"/>
      <c r="M53" t="s">
        <v>80</v>
      </c>
      <c r="N53" t="s">
        <v>115</v>
      </c>
      <c r="O53" s="11">
        <v>0.2</v>
      </c>
      <c r="P53" s="7">
        <f t="shared" si="3"/>
        <v>0.5</v>
      </c>
      <c r="Q53" s="7">
        <f t="shared" si="0"/>
        <v>0.35</v>
      </c>
      <c r="R53">
        <f t="shared" si="1"/>
        <v>0</v>
      </c>
    </row>
    <row r="54" spans="1:18" x14ac:dyDescent="0.2">
      <c r="A54" t="s">
        <v>113</v>
      </c>
      <c r="B54" s="10" t="s">
        <v>116</v>
      </c>
      <c r="C54" t="s">
        <v>20</v>
      </c>
      <c r="D54" s="5">
        <f>Info!$B$51</f>
        <v>0</v>
      </c>
      <c r="E54" s="5">
        <f>Info!$B$53</f>
        <v>1</v>
      </c>
      <c r="F54" s="5"/>
      <c r="G54" s="5"/>
      <c r="H54" s="5"/>
      <c r="I54" s="5"/>
      <c r="J54" s="5"/>
      <c r="L54">
        <v>2</v>
      </c>
      <c r="M54" t="s">
        <v>80</v>
      </c>
      <c r="N54" t="s">
        <v>115</v>
      </c>
      <c r="O54" s="11">
        <v>0.2</v>
      </c>
      <c r="P54" s="7">
        <f t="shared" si="3"/>
        <v>0.5</v>
      </c>
      <c r="Q54" s="7">
        <f t="shared" si="0"/>
        <v>0.35</v>
      </c>
      <c r="R54">
        <f t="shared" si="1"/>
        <v>0</v>
      </c>
    </row>
    <row r="55" spans="1:18" x14ac:dyDescent="0.2">
      <c r="A55" t="s">
        <v>117</v>
      </c>
      <c r="B55" s="10" t="s">
        <v>118</v>
      </c>
      <c r="C55" t="s">
        <v>20</v>
      </c>
      <c r="D55" s="5">
        <f>Info!$B$17</f>
        <v>0</v>
      </c>
      <c r="E55" s="5">
        <f>Info!$B$53</f>
        <v>1</v>
      </c>
      <c r="F55" s="5"/>
      <c r="G55" s="5"/>
      <c r="H55" s="5"/>
      <c r="I55" s="5"/>
      <c r="J55" s="5"/>
      <c r="L55">
        <v>2</v>
      </c>
      <c r="M55" t="s">
        <v>21</v>
      </c>
      <c r="N55" t="s">
        <v>119</v>
      </c>
      <c r="O55" s="11">
        <v>0.2</v>
      </c>
      <c r="P55" s="7">
        <f t="shared" si="3"/>
        <v>0.5</v>
      </c>
      <c r="Q55" s="7">
        <f t="shared" si="0"/>
        <v>0.35</v>
      </c>
      <c r="R55">
        <f t="shared" si="1"/>
        <v>0</v>
      </c>
    </row>
    <row r="56" spans="1:18" x14ac:dyDescent="0.2">
      <c r="A56" t="s">
        <v>120</v>
      </c>
      <c r="B56" s="10" t="s">
        <v>121</v>
      </c>
      <c r="C56" t="s">
        <v>20</v>
      </c>
      <c r="D56" s="5">
        <f>Info!$B$51</f>
        <v>0</v>
      </c>
      <c r="E56" s="5">
        <f>Info!$B$54</f>
        <v>0</v>
      </c>
      <c r="F56" s="5"/>
      <c r="G56" s="5"/>
      <c r="H56" s="5"/>
      <c r="I56" s="5"/>
      <c r="J56" s="5"/>
      <c r="L56">
        <v>2</v>
      </c>
      <c r="M56" t="s">
        <v>21</v>
      </c>
      <c r="N56" t="s">
        <v>122</v>
      </c>
      <c r="O56" s="11">
        <v>0.5</v>
      </c>
      <c r="P56" s="7">
        <f t="shared" si="3"/>
        <v>0</v>
      </c>
      <c r="Q56" s="7">
        <f t="shared" si="0"/>
        <v>0.25</v>
      </c>
      <c r="R56">
        <f t="shared" si="1"/>
        <v>0</v>
      </c>
    </row>
    <row r="57" spans="1:18" x14ac:dyDescent="0.2">
      <c r="A57" t="s">
        <v>123</v>
      </c>
      <c r="B57" s="10" t="s">
        <v>124</v>
      </c>
      <c r="C57" t="s">
        <v>20</v>
      </c>
      <c r="D57" s="5">
        <f>Info!$B$51</f>
        <v>0</v>
      </c>
      <c r="E57" s="5">
        <f>Info!$B$53</f>
        <v>1</v>
      </c>
      <c r="F57" s="5"/>
      <c r="G57" s="5"/>
      <c r="H57" s="5"/>
      <c r="I57" s="5"/>
      <c r="J57" s="5"/>
      <c r="L57">
        <v>2</v>
      </c>
      <c r="M57" t="s">
        <v>32</v>
      </c>
      <c r="N57" t="s">
        <v>125</v>
      </c>
      <c r="O57" s="11">
        <v>0.2</v>
      </c>
      <c r="P57" s="7">
        <f t="shared" si="3"/>
        <v>0.5</v>
      </c>
      <c r="Q57" s="7">
        <f t="shared" si="0"/>
        <v>0.35</v>
      </c>
      <c r="R57">
        <f t="shared" si="1"/>
        <v>0</v>
      </c>
    </row>
    <row r="58" spans="1:18" x14ac:dyDescent="0.2">
      <c r="A58" t="s">
        <v>126</v>
      </c>
      <c r="B58" s="10" t="s">
        <v>127</v>
      </c>
      <c r="C58" t="s">
        <v>20</v>
      </c>
      <c r="D58" s="5">
        <f>Info!$B$51</f>
        <v>0</v>
      </c>
      <c r="E58" s="5">
        <f>Info!$B$54</f>
        <v>0</v>
      </c>
      <c r="F58" s="5"/>
      <c r="G58" s="5"/>
      <c r="H58" s="5"/>
      <c r="I58" s="5"/>
      <c r="J58" s="5"/>
      <c r="L58">
        <v>2</v>
      </c>
      <c r="M58" t="s">
        <v>128</v>
      </c>
      <c r="N58" t="s">
        <v>129</v>
      </c>
      <c r="O58" s="11">
        <v>0.2</v>
      </c>
      <c r="P58" s="7">
        <f t="shared" si="3"/>
        <v>0</v>
      </c>
      <c r="Q58" s="7">
        <f t="shared" si="0"/>
        <v>0.1</v>
      </c>
      <c r="R58">
        <f t="shared" si="1"/>
        <v>0</v>
      </c>
    </row>
    <row r="59" spans="1:18" x14ac:dyDescent="0.2">
      <c r="A59" t="s">
        <v>133</v>
      </c>
      <c r="B59" s="10" t="s">
        <v>134</v>
      </c>
      <c r="C59" t="s">
        <v>20</v>
      </c>
      <c r="D59" s="5">
        <f>Info!$B$17</f>
        <v>0</v>
      </c>
      <c r="E59" s="5">
        <f>Info!$B$53</f>
        <v>1</v>
      </c>
      <c r="F59" s="5"/>
      <c r="G59" s="5"/>
      <c r="H59" s="5"/>
      <c r="I59" s="5"/>
      <c r="J59" s="5"/>
      <c r="L59">
        <v>2</v>
      </c>
      <c r="M59" t="s">
        <v>32</v>
      </c>
      <c r="N59" t="s">
        <v>135</v>
      </c>
      <c r="O59" s="11">
        <v>0.2</v>
      </c>
      <c r="P59" s="7">
        <f t="shared" si="3"/>
        <v>0.5</v>
      </c>
      <c r="Q59" s="7">
        <f t="shared" si="0"/>
        <v>0.35</v>
      </c>
      <c r="R59">
        <f t="shared" si="1"/>
        <v>0</v>
      </c>
    </row>
    <row r="60" spans="1:18" x14ac:dyDescent="0.2">
      <c r="A60" t="s">
        <v>136</v>
      </c>
      <c r="B60" s="10" t="s">
        <v>137</v>
      </c>
      <c r="C60" t="s">
        <v>20</v>
      </c>
      <c r="D60" s="5">
        <f>Info!$B$51</f>
        <v>0</v>
      </c>
      <c r="E60" s="5">
        <f>Info!$B$54</f>
        <v>0</v>
      </c>
      <c r="F60" s="5"/>
      <c r="G60" s="5"/>
      <c r="H60" s="5"/>
      <c r="I60" s="5"/>
      <c r="J60" s="5"/>
      <c r="L60">
        <v>2</v>
      </c>
      <c r="M60" t="s">
        <v>128</v>
      </c>
      <c r="N60" t="s">
        <v>138</v>
      </c>
      <c r="O60" s="11">
        <v>0.2</v>
      </c>
      <c r="P60" s="7">
        <f t="shared" si="3"/>
        <v>0</v>
      </c>
      <c r="Q60" s="7">
        <f t="shared" si="0"/>
        <v>0.1</v>
      </c>
      <c r="R60">
        <f t="shared" si="1"/>
        <v>0</v>
      </c>
    </row>
    <row r="61" spans="1:18" x14ac:dyDescent="0.2">
      <c r="A61" t="s">
        <v>139</v>
      </c>
      <c r="B61" s="10" t="s">
        <v>140</v>
      </c>
      <c r="C61" t="s">
        <v>20</v>
      </c>
      <c r="D61" s="5">
        <f>Info!$B$51</f>
        <v>0</v>
      </c>
      <c r="E61" s="5">
        <f>Info!$B$54</f>
        <v>0</v>
      </c>
      <c r="F61" s="5"/>
      <c r="G61" s="5"/>
      <c r="H61" s="5"/>
      <c r="I61" s="5"/>
      <c r="J61" s="5"/>
      <c r="L61">
        <v>1.2</v>
      </c>
      <c r="M61" t="s">
        <v>21</v>
      </c>
      <c r="N61" t="s">
        <v>141</v>
      </c>
      <c r="O61" s="11">
        <v>0.5</v>
      </c>
      <c r="P61" s="7">
        <f t="shared" si="3"/>
        <v>0</v>
      </c>
      <c r="Q61" s="7">
        <f t="shared" si="0"/>
        <v>0.25</v>
      </c>
      <c r="R61">
        <f t="shared" si="1"/>
        <v>0</v>
      </c>
    </row>
    <row r="62" spans="1:18" x14ac:dyDescent="0.2">
      <c r="A62" t="s">
        <v>142</v>
      </c>
      <c r="B62" s="10" t="s">
        <v>143</v>
      </c>
      <c r="C62" t="s">
        <v>20</v>
      </c>
      <c r="D62" s="5">
        <f>Info!$B$51</f>
        <v>0</v>
      </c>
      <c r="E62" s="5">
        <f>Info!$B$54</f>
        <v>0</v>
      </c>
      <c r="F62" s="5"/>
      <c r="G62" s="5"/>
      <c r="H62" s="5"/>
      <c r="I62" s="5"/>
      <c r="J62" s="5"/>
      <c r="L62">
        <v>1.2</v>
      </c>
      <c r="M62" t="s">
        <v>21</v>
      </c>
      <c r="N62" t="s">
        <v>48</v>
      </c>
      <c r="O62" s="11">
        <v>1</v>
      </c>
      <c r="P62" s="7">
        <f t="shared" si="3"/>
        <v>0</v>
      </c>
      <c r="Q62" s="7">
        <f t="shared" si="0"/>
        <v>0.5</v>
      </c>
      <c r="R62">
        <f t="shared" si="1"/>
        <v>0</v>
      </c>
    </row>
    <row r="63" spans="1:18" x14ac:dyDescent="0.2">
      <c r="A63" t="s">
        <v>147</v>
      </c>
      <c r="B63" s="10" t="s">
        <v>148</v>
      </c>
      <c r="C63" t="s">
        <v>20</v>
      </c>
      <c r="D63" s="5">
        <f>Info!$B$51</f>
        <v>0</v>
      </c>
      <c r="E63" s="5">
        <f>Info!$B$54</f>
        <v>0</v>
      </c>
      <c r="F63" s="5"/>
      <c r="G63" s="5"/>
      <c r="H63" s="5"/>
      <c r="I63" s="5"/>
      <c r="J63" s="5"/>
      <c r="L63">
        <v>1</v>
      </c>
      <c r="M63" t="s">
        <v>80</v>
      </c>
      <c r="N63" t="s">
        <v>115</v>
      </c>
      <c r="O63" s="11">
        <v>0.2</v>
      </c>
      <c r="P63" s="7">
        <f t="shared" si="3"/>
        <v>0</v>
      </c>
      <c r="Q63" s="7">
        <f t="shared" si="0"/>
        <v>0.1</v>
      </c>
      <c r="R63">
        <f t="shared" si="1"/>
        <v>0</v>
      </c>
    </row>
    <row r="64" spans="1:18" x14ac:dyDescent="0.2">
      <c r="A64" t="s">
        <v>149</v>
      </c>
      <c r="B64" s="10" t="s">
        <v>150</v>
      </c>
      <c r="C64" t="s">
        <v>20</v>
      </c>
      <c r="D64" s="5">
        <f>Info!$B$51</f>
        <v>0</v>
      </c>
      <c r="E64" s="5">
        <f>Info!$B$54</f>
        <v>0</v>
      </c>
      <c r="F64" s="5"/>
      <c r="G64" s="5"/>
      <c r="H64" s="5"/>
      <c r="I64" s="5"/>
      <c r="J64" s="5"/>
      <c r="L64">
        <v>1</v>
      </c>
      <c r="M64" t="s">
        <v>21</v>
      </c>
      <c r="N64" t="s">
        <v>64</v>
      </c>
      <c r="O64" s="11">
        <v>0.2</v>
      </c>
      <c r="P64" s="7">
        <f t="shared" si="3"/>
        <v>0</v>
      </c>
      <c r="Q64" s="7">
        <f t="shared" si="0"/>
        <v>0.1</v>
      </c>
      <c r="R64">
        <f t="shared" si="1"/>
        <v>0</v>
      </c>
    </row>
    <row r="65" spans="1:18" x14ac:dyDescent="0.2">
      <c r="A65" t="s">
        <v>151</v>
      </c>
      <c r="B65" s="10" t="s">
        <v>152</v>
      </c>
      <c r="C65" t="s">
        <v>20</v>
      </c>
      <c r="D65" s="5">
        <f>Info!$B$51</f>
        <v>0</v>
      </c>
      <c r="E65" s="5">
        <f>Info!$B$54</f>
        <v>0</v>
      </c>
      <c r="F65" s="5"/>
      <c r="G65" s="5"/>
      <c r="H65" s="5"/>
      <c r="I65" s="5"/>
      <c r="J65" s="5"/>
      <c r="L65">
        <v>1</v>
      </c>
      <c r="M65" t="s">
        <v>128</v>
      </c>
      <c r="N65" t="s">
        <v>129</v>
      </c>
      <c r="O65" s="11">
        <v>0.2</v>
      </c>
      <c r="P65" s="7">
        <f t="shared" si="3"/>
        <v>0</v>
      </c>
      <c r="Q65" s="7">
        <f t="shared" si="0"/>
        <v>0.1</v>
      </c>
      <c r="R65">
        <f t="shared" si="1"/>
        <v>0</v>
      </c>
    </row>
    <row r="66" spans="1:18" x14ac:dyDescent="0.2">
      <c r="A66" t="s">
        <v>155</v>
      </c>
      <c r="B66" s="10" t="s">
        <v>156</v>
      </c>
      <c r="C66" t="s">
        <v>20</v>
      </c>
      <c r="D66" s="5">
        <f>Info!$B$50</f>
        <v>0.3</v>
      </c>
      <c r="E66" s="5">
        <f>Info!$B$54</f>
        <v>0</v>
      </c>
      <c r="F66" s="5"/>
      <c r="G66" s="5"/>
      <c r="H66" s="5"/>
      <c r="I66" s="5"/>
      <c r="J66" s="5"/>
      <c r="L66">
        <v>1</v>
      </c>
      <c r="M66" t="s">
        <v>32</v>
      </c>
      <c r="N66" t="s">
        <v>157</v>
      </c>
      <c r="O66" s="11">
        <v>0.2</v>
      </c>
      <c r="P66" s="7">
        <f t="shared" si="3"/>
        <v>0.15</v>
      </c>
      <c r="Q66" s="7">
        <f t="shared" ref="Q66:Q129" si="4">(O66+P66)/2</f>
        <v>0.17499999999999999</v>
      </c>
      <c r="R66">
        <f t="shared" ref="R66:R129" si="5">IF(_xlfn.BITAND(P66&gt;0.4999, Q66&gt;0.4999)=1,1,0)</f>
        <v>0</v>
      </c>
    </row>
    <row r="67" spans="1:18" x14ac:dyDescent="0.2">
      <c r="A67" t="s">
        <v>158</v>
      </c>
      <c r="B67" s="10" t="s">
        <v>159</v>
      </c>
      <c r="C67" t="s">
        <v>20</v>
      </c>
      <c r="D67" s="5">
        <f>Info!$B$51</f>
        <v>0</v>
      </c>
      <c r="E67" s="5">
        <f>Info!$B$53</f>
        <v>1</v>
      </c>
      <c r="F67" s="5"/>
      <c r="G67" s="5"/>
      <c r="H67" s="5"/>
      <c r="I67" s="5"/>
      <c r="J67" s="5"/>
      <c r="L67">
        <v>1</v>
      </c>
      <c r="M67" t="s">
        <v>32</v>
      </c>
      <c r="N67" t="s">
        <v>160</v>
      </c>
      <c r="O67" s="11">
        <v>0.4</v>
      </c>
      <c r="P67" s="7">
        <f t="shared" si="3"/>
        <v>0.5</v>
      </c>
      <c r="Q67" s="7">
        <f t="shared" si="4"/>
        <v>0.45</v>
      </c>
      <c r="R67">
        <f t="shared" si="5"/>
        <v>0</v>
      </c>
    </row>
    <row r="68" spans="1:18" x14ac:dyDescent="0.2">
      <c r="A68" t="s">
        <v>161</v>
      </c>
      <c r="B68" s="10" t="s">
        <v>162</v>
      </c>
      <c r="C68" t="s">
        <v>20</v>
      </c>
      <c r="D68" s="5">
        <f>Info!$B$51</f>
        <v>0</v>
      </c>
      <c r="E68" s="5">
        <f>Info!$B$54</f>
        <v>0</v>
      </c>
      <c r="F68" s="5"/>
      <c r="G68" s="5"/>
      <c r="H68" s="5"/>
      <c r="I68" s="5"/>
      <c r="J68" s="5"/>
      <c r="L68">
        <v>1</v>
      </c>
      <c r="M68" t="s">
        <v>21</v>
      </c>
      <c r="N68" t="s">
        <v>163</v>
      </c>
      <c r="O68" s="11">
        <v>0.8</v>
      </c>
      <c r="P68" s="7">
        <f t="shared" si="3"/>
        <v>0</v>
      </c>
      <c r="Q68" s="7">
        <f t="shared" si="4"/>
        <v>0.4</v>
      </c>
      <c r="R68">
        <f t="shared" si="5"/>
        <v>0</v>
      </c>
    </row>
    <row r="69" spans="1:18" x14ac:dyDescent="0.2">
      <c r="A69" t="s">
        <v>164</v>
      </c>
      <c r="B69" s="10" t="s">
        <v>165</v>
      </c>
      <c r="C69" t="s">
        <v>20</v>
      </c>
      <c r="D69" s="5">
        <f>Info!$B$51</f>
        <v>0</v>
      </c>
      <c r="E69" s="5">
        <f>Info!$B$54</f>
        <v>0</v>
      </c>
      <c r="F69" s="5"/>
      <c r="G69" s="5"/>
      <c r="H69" s="5"/>
      <c r="I69" s="5"/>
      <c r="J69" s="5"/>
      <c r="L69">
        <v>1</v>
      </c>
      <c r="M69" t="s">
        <v>21</v>
      </c>
      <c r="N69" t="s">
        <v>64</v>
      </c>
      <c r="O69" s="11">
        <v>0.2</v>
      </c>
      <c r="P69" s="7">
        <f t="shared" si="3"/>
        <v>0</v>
      </c>
      <c r="Q69" s="7">
        <f t="shared" si="4"/>
        <v>0.1</v>
      </c>
      <c r="R69">
        <f t="shared" si="5"/>
        <v>0</v>
      </c>
    </row>
    <row r="70" spans="1:18" x14ac:dyDescent="0.2">
      <c r="A70" t="s">
        <v>166</v>
      </c>
      <c r="B70" s="10" t="s">
        <v>167</v>
      </c>
      <c r="C70" t="s">
        <v>20</v>
      </c>
      <c r="D70" s="5">
        <f>Info!$B$51</f>
        <v>0</v>
      </c>
      <c r="E70" s="5">
        <f>Info!$B$54</f>
        <v>0</v>
      </c>
      <c r="F70" s="5"/>
      <c r="G70" s="5"/>
      <c r="H70" s="5"/>
      <c r="I70" s="5"/>
      <c r="J70" s="5"/>
      <c r="L70">
        <v>1</v>
      </c>
      <c r="M70" t="s">
        <v>21</v>
      </c>
      <c r="N70" t="s">
        <v>94</v>
      </c>
      <c r="O70" s="11">
        <v>0.8</v>
      </c>
      <c r="P70" s="7">
        <f t="shared" si="3"/>
        <v>0</v>
      </c>
      <c r="Q70" s="7">
        <f t="shared" si="4"/>
        <v>0.4</v>
      </c>
      <c r="R70">
        <f t="shared" si="5"/>
        <v>0</v>
      </c>
    </row>
    <row r="71" spans="1:18" x14ac:dyDescent="0.2">
      <c r="A71" t="s">
        <v>168</v>
      </c>
      <c r="B71" s="10" t="s">
        <v>169</v>
      </c>
      <c r="C71" t="s">
        <v>20</v>
      </c>
      <c r="D71" s="5">
        <f>Info!$B$16</f>
        <v>1</v>
      </c>
      <c r="E71" s="5">
        <f>Info!$B$54</f>
        <v>0</v>
      </c>
      <c r="F71" s="5"/>
      <c r="G71" s="5"/>
      <c r="H71" s="5"/>
      <c r="I71" s="5"/>
      <c r="J71" s="5"/>
      <c r="L71">
        <v>1</v>
      </c>
      <c r="M71" t="s">
        <v>32</v>
      </c>
      <c r="N71" t="s">
        <v>33</v>
      </c>
      <c r="O71" s="11">
        <v>0.4</v>
      </c>
      <c r="P71" s="7">
        <f t="shared" si="3"/>
        <v>0.5</v>
      </c>
      <c r="Q71" s="7">
        <f t="shared" si="4"/>
        <v>0.45</v>
      </c>
      <c r="R71">
        <f t="shared" si="5"/>
        <v>0</v>
      </c>
    </row>
    <row r="72" spans="1:18" x14ac:dyDescent="0.2">
      <c r="A72" t="s">
        <v>170</v>
      </c>
      <c r="B72" s="10" t="s">
        <v>171</v>
      </c>
      <c r="C72" t="s">
        <v>20</v>
      </c>
      <c r="D72" s="5">
        <f>Info!$B$51</f>
        <v>0</v>
      </c>
      <c r="E72" s="5">
        <f>Info!$B$54</f>
        <v>0</v>
      </c>
      <c r="F72" s="5"/>
      <c r="G72" s="5"/>
      <c r="H72" s="5"/>
      <c r="I72" s="5"/>
      <c r="J72" s="5"/>
      <c r="L72">
        <v>1</v>
      </c>
      <c r="M72" t="s">
        <v>32</v>
      </c>
      <c r="N72" t="s">
        <v>172</v>
      </c>
      <c r="O72" s="11">
        <v>0.2</v>
      </c>
      <c r="P72" s="7">
        <f t="shared" si="3"/>
        <v>0</v>
      </c>
      <c r="Q72" s="7">
        <f t="shared" si="4"/>
        <v>0.1</v>
      </c>
      <c r="R72">
        <f t="shared" si="5"/>
        <v>0</v>
      </c>
    </row>
    <row r="73" spans="1:18" x14ac:dyDescent="0.2">
      <c r="A73" t="s">
        <v>173</v>
      </c>
      <c r="B73" s="10" t="s">
        <v>174</v>
      </c>
      <c r="C73" t="s">
        <v>20</v>
      </c>
      <c r="D73" s="5">
        <f>Info!$B$50</f>
        <v>0.3</v>
      </c>
      <c r="E73" s="5">
        <f>Info!$B$54</f>
        <v>0</v>
      </c>
      <c r="F73" s="5"/>
      <c r="G73" s="5"/>
      <c r="H73" s="5"/>
      <c r="I73" s="5"/>
      <c r="J73" s="5"/>
      <c r="L73">
        <v>1</v>
      </c>
      <c r="M73" t="s">
        <v>21</v>
      </c>
      <c r="N73" t="s">
        <v>175</v>
      </c>
      <c r="O73" s="11">
        <v>0.5</v>
      </c>
      <c r="P73" s="7">
        <f t="shared" si="3"/>
        <v>0.15</v>
      </c>
      <c r="Q73" s="7">
        <f t="shared" si="4"/>
        <v>0.32500000000000001</v>
      </c>
      <c r="R73">
        <f t="shared" si="5"/>
        <v>0</v>
      </c>
    </row>
    <row r="74" spans="1:18" x14ac:dyDescent="0.2">
      <c r="A74" t="s">
        <v>179</v>
      </c>
      <c r="B74" s="10" t="s">
        <v>180</v>
      </c>
      <c r="C74" t="s">
        <v>20</v>
      </c>
      <c r="D74" s="5">
        <f>Info!$B$51</f>
        <v>0</v>
      </c>
      <c r="E74" s="5">
        <f>Info!$B$54</f>
        <v>0</v>
      </c>
      <c r="F74" s="5"/>
      <c r="G74" s="5"/>
      <c r="H74" s="5"/>
      <c r="I74" s="5"/>
      <c r="J74" s="5"/>
      <c r="L74">
        <v>1</v>
      </c>
      <c r="M74" t="s">
        <v>21</v>
      </c>
      <c r="N74" t="s">
        <v>181</v>
      </c>
      <c r="O74" s="11">
        <v>0.2</v>
      </c>
      <c r="P74" s="7">
        <f t="shared" si="3"/>
        <v>0</v>
      </c>
      <c r="Q74" s="7">
        <f t="shared" si="4"/>
        <v>0.1</v>
      </c>
      <c r="R74">
        <f t="shared" si="5"/>
        <v>0</v>
      </c>
    </row>
    <row r="75" spans="1:18" x14ac:dyDescent="0.2">
      <c r="A75" t="s">
        <v>190</v>
      </c>
      <c r="B75" s="10" t="s">
        <v>191</v>
      </c>
      <c r="C75" t="s">
        <v>184</v>
      </c>
      <c r="D75" s="5">
        <f>Info!$B$16</f>
        <v>1</v>
      </c>
      <c r="E75" s="5">
        <f>Info!$B$22</f>
        <v>0</v>
      </c>
      <c r="F75" s="5">
        <f>Info!$B$27</f>
        <v>0</v>
      </c>
      <c r="G75" s="5">
        <f>Info!$B$31</f>
        <v>0.3</v>
      </c>
      <c r="H75" s="5">
        <f>Info!$B$36</f>
        <v>0.3</v>
      </c>
      <c r="I75" s="5">
        <f>Info!$B$40</f>
        <v>0</v>
      </c>
      <c r="J75" s="5">
        <f>Info!$B$44</f>
        <v>0</v>
      </c>
      <c r="M75" t="s">
        <v>32</v>
      </c>
      <c r="N75" t="s">
        <v>192</v>
      </c>
      <c r="O75" s="11">
        <v>0.5</v>
      </c>
      <c r="P75" s="7">
        <f t="shared" ref="P75:P107" si="6">(D75+E75+F75+G75+H75+I75+J75)/6</f>
        <v>0.26666666666666666</v>
      </c>
      <c r="Q75" s="7">
        <f t="shared" si="4"/>
        <v>0.3833333333333333</v>
      </c>
      <c r="R75">
        <f t="shared" si="5"/>
        <v>0</v>
      </c>
    </row>
    <row r="76" spans="1:18" x14ac:dyDescent="0.2">
      <c r="A76" t="s">
        <v>190</v>
      </c>
      <c r="B76" s="10" t="s">
        <v>193</v>
      </c>
      <c r="C76" t="s">
        <v>184</v>
      </c>
      <c r="D76" s="5">
        <f>Info!$B$16</f>
        <v>1</v>
      </c>
      <c r="E76" s="5">
        <f>Info!$B$22</f>
        <v>0</v>
      </c>
      <c r="F76" s="5">
        <f>Info!$B$27</f>
        <v>0</v>
      </c>
      <c r="G76" s="5">
        <f>Info!$B$31</f>
        <v>0.3</v>
      </c>
      <c r="H76" s="5">
        <f>Info!$B$36</f>
        <v>0.3</v>
      </c>
      <c r="I76" s="5">
        <f>Info!$B$40</f>
        <v>0</v>
      </c>
      <c r="J76" s="5">
        <f>Info!$B$44</f>
        <v>0</v>
      </c>
      <c r="L76">
        <v>1</v>
      </c>
      <c r="M76" t="s">
        <v>32</v>
      </c>
      <c r="N76" t="s">
        <v>192</v>
      </c>
      <c r="O76" s="11">
        <v>0.5</v>
      </c>
      <c r="P76" s="7">
        <f t="shared" si="6"/>
        <v>0.26666666666666666</v>
      </c>
      <c r="Q76" s="7">
        <f t="shared" si="4"/>
        <v>0.3833333333333333</v>
      </c>
      <c r="R76">
        <f t="shared" si="5"/>
        <v>0</v>
      </c>
    </row>
    <row r="77" spans="1:18" x14ac:dyDescent="0.2">
      <c r="A77" t="s">
        <v>199</v>
      </c>
      <c r="B77" s="10" t="s">
        <v>200</v>
      </c>
      <c r="C77" t="s">
        <v>201</v>
      </c>
      <c r="D77" s="5">
        <f>Info!$B$17</f>
        <v>0</v>
      </c>
      <c r="E77" s="5">
        <f>Info!$B$19</f>
        <v>1</v>
      </c>
      <c r="F77" s="5">
        <f>Info!$B$25</f>
        <v>0.6</v>
      </c>
      <c r="G77" s="5">
        <f>Info!$B$31</f>
        <v>0.3</v>
      </c>
      <c r="H77" s="5">
        <f>Info!$B$35</f>
        <v>0.6</v>
      </c>
      <c r="I77" s="5">
        <f>Info!$B$40</f>
        <v>0</v>
      </c>
      <c r="J77" s="5">
        <f>Info!$B$43</f>
        <v>0.5</v>
      </c>
      <c r="L77">
        <v>3</v>
      </c>
      <c r="M77" t="s">
        <v>128</v>
      </c>
      <c r="N77" t="s">
        <v>129</v>
      </c>
      <c r="O77" s="11">
        <v>0.2</v>
      </c>
      <c r="P77" s="7">
        <f t="shared" si="6"/>
        <v>0.5</v>
      </c>
      <c r="Q77" s="7">
        <f t="shared" si="4"/>
        <v>0.35</v>
      </c>
      <c r="R77">
        <f t="shared" si="5"/>
        <v>0</v>
      </c>
    </row>
    <row r="78" spans="1:18" x14ac:dyDescent="0.2">
      <c r="A78" t="s">
        <v>199</v>
      </c>
      <c r="B78" s="10" t="s">
        <v>202</v>
      </c>
      <c r="C78" t="s">
        <v>201</v>
      </c>
      <c r="D78" s="5">
        <f>Info!$B$17</f>
        <v>0</v>
      </c>
      <c r="E78" s="5">
        <f>Info!$B$19</f>
        <v>1</v>
      </c>
      <c r="F78" s="5">
        <f>Info!$B$25</f>
        <v>0.6</v>
      </c>
      <c r="G78" s="5">
        <f>Info!$B$31</f>
        <v>0.3</v>
      </c>
      <c r="H78" s="5">
        <f>Info!$B$35</f>
        <v>0.6</v>
      </c>
      <c r="I78" s="5">
        <f>Info!$B$40</f>
        <v>0</v>
      </c>
      <c r="J78" s="5">
        <f>Info!$B$43</f>
        <v>0.5</v>
      </c>
      <c r="M78" t="s">
        <v>128</v>
      </c>
      <c r="N78" t="s">
        <v>129</v>
      </c>
      <c r="O78" s="11">
        <v>0.2</v>
      </c>
      <c r="P78" s="7">
        <f t="shared" si="6"/>
        <v>0.5</v>
      </c>
      <c r="Q78" s="7">
        <f t="shared" si="4"/>
        <v>0.35</v>
      </c>
      <c r="R78">
        <f t="shared" si="5"/>
        <v>0</v>
      </c>
    </row>
    <row r="79" spans="1:18" x14ac:dyDescent="0.2">
      <c r="A79" t="s">
        <v>203</v>
      </c>
      <c r="B79" s="10" t="s">
        <v>204</v>
      </c>
      <c r="C79" t="s">
        <v>201</v>
      </c>
      <c r="D79" s="5">
        <f>Info!$B$17</f>
        <v>0</v>
      </c>
      <c r="E79" s="5">
        <f>Info!$B$20</f>
        <v>0.6</v>
      </c>
      <c r="F79" s="5">
        <f>Info!$B$26</f>
        <v>0.3</v>
      </c>
      <c r="G79" s="5">
        <f>Info!$B$31</f>
        <v>0.3</v>
      </c>
      <c r="H79" s="5">
        <f>Info!$B$36</f>
        <v>0.3</v>
      </c>
      <c r="I79" s="5">
        <f>Info!$B$40</f>
        <v>0</v>
      </c>
      <c r="J79" s="5">
        <f>Info!$B$42</f>
        <v>1</v>
      </c>
      <c r="L79">
        <v>3</v>
      </c>
      <c r="M79" t="s">
        <v>21</v>
      </c>
      <c r="N79" t="s">
        <v>205</v>
      </c>
      <c r="O79" s="11">
        <v>0.8</v>
      </c>
      <c r="P79" s="7">
        <f t="shared" si="6"/>
        <v>0.41666666666666669</v>
      </c>
      <c r="Q79" s="7">
        <f t="shared" si="4"/>
        <v>0.60833333333333339</v>
      </c>
      <c r="R79">
        <f t="shared" si="5"/>
        <v>0</v>
      </c>
    </row>
    <row r="80" spans="1:18" x14ac:dyDescent="0.2">
      <c r="A80" t="s">
        <v>212</v>
      </c>
      <c r="B80" s="10" t="s">
        <v>213</v>
      </c>
      <c r="C80" t="s">
        <v>201</v>
      </c>
      <c r="D80" s="5">
        <f>Info!$B$17</f>
        <v>0</v>
      </c>
      <c r="E80" s="5">
        <f>Info!$B$20</f>
        <v>0.6</v>
      </c>
      <c r="F80" s="5">
        <f>Info!$B$26</f>
        <v>0.3</v>
      </c>
      <c r="G80" s="5">
        <f>Info!$B$31</f>
        <v>0.3</v>
      </c>
      <c r="H80" s="5">
        <f>Info!$B$36</f>
        <v>0.3</v>
      </c>
      <c r="I80" s="5">
        <f>Info!$B$40</f>
        <v>0</v>
      </c>
      <c r="J80" s="5">
        <f>Info!$B$42</f>
        <v>1</v>
      </c>
      <c r="L80">
        <v>2</v>
      </c>
      <c r="M80" t="s">
        <v>21</v>
      </c>
      <c r="N80" t="s">
        <v>214</v>
      </c>
      <c r="O80" s="11">
        <v>0.8</v>
      </c>
      <c r="P80" s="7">
        <f t="shared" si="6"/>
        <v>0.41666666666666669</v>
      </c>
      <c r="Q80" s="7">
        <f t="shared" si="4"/>
        <v>0.60833333333333339</v>
      </c>
      <c r="R80">
        <f t="shared" si="5"/>
        <v>0</v>
      </c>
    </row>
    <row r="81" spans="1:18" x14ac:dyDescent="0.2">
      <c r="A81" t="s">
        <v>215</v>
      </c>
      <c r="B81" s="10" t="s">
        <v>216</v>
      </c>
      <c r="C81" t="s">
        <v>201</v>
      </c>
      <c r="D81" s="5">
        <f>Info!$B$17</f>
        <v>0</v>
      </c>
      <c r="E81" s="5">
        <f>Info!$B$20</f>
        <v>0.6</v>
      </c>
      <c r="F81" s="5">
        <f>Info!$B$26</f>
        <v>0.3</v>
      </c>
      <c r="G81" s="5">
        <f>Info!$B$31</f>
        <v>0.3</v>
      </c>
      <c r="H81" s="5">
        <f>Info!$B$36</f>
        <v>0.3</v>
      </c>
      <c r="I81" s="5">
        <f>Info!$B$40</f>
        <v>0</v>
      </c>
      <c r="J81" s="5">
        <f>Info!$B$42</f>
        <v>1</v>
      </c>
      <c r="L81">
        <v>2</v>
      </c>
      <c r="M81" t="s">
        <v>21</v>
      </c>
      <c r="N81" t="s">
        <v>146</v>
      </c>
      <c r="O81" s="11">
        <v>1</v>
      </c>
      <c r="P81" s="7">
        <f t="shared" si="6"/>
        <v>0.41666666666666669</v>
      </c>
      <c r="Q81" s="7">
        <f t="shared" si="4"/>
        <v>0.70833333333333337</v>
      </c>
      <c r="R81">
        <f t="shared" si="5"/>
        <v>0</v>
      </c>
    </row>
    <row r="82" spans="1:18" x14ac:dyDescent="0.2">
      <c r="A82" t="s">
        <v>217</v>
      </c>
      <c r="B82" s="10" t="s">
        <v>218</v>
      </c>
      <c r="C82" t="s">
        <v>201</v>
      </c>
      <c r="D82" s="5">
        <f>Info!$B$17</f>
        <v>0</v>
      </c>
      <c r="E82" s="5">
        <f>Info!$B$20</f>
        <v>0.6</v>
      </c>
      <c r="F82" s="5">
        <f>Info!$B$26</f>
        <v>0.3</v>
      </c>
      <c r="G82" s="5">
        <f>Info!$B$31</f>
        <v>0.3</v>
      </c>
      <c r="H82" s="5">
        <f>Info!$B$36</f>
        <v>0.3</v>
      </c>
      <c r="I82" s="5">
        <f>Info!$B$40</f>
        <v>0</v>
      </c>
      <c r="J82" s="5">
        <f>Info!$B$43</f>
        <v>0.5</v>
      </c>
      <c r="L82">
        <v>2</v>
      </c>
      <c r="M82" t="s">
        <v>21</v>
      </c>
      <c r="N82" t="s">
        <v>219</v>
      </c>
      <c r="O82" s="11">
        <v>0.8</v>
      </c>
      <c r="P82" s="7">
        <f t="shared" si="6"/>
        <v>0.33333333333333331</v>
      </c>
      <c r="Q82" s="7">
        <f t="shared" si="4"/>
        <v>0.56666666666666665</v>
      </c>
      <c r="R82">
        <f t="shared" si="5"/>
        <v>0</v>
      </c>
    </row>
    <row r="83" spans="1:18" x14ac:dyDescent="0.2">
      <c r="A83" t="s">
        <v>220</v>
      </c>
      <c r="B83" s="10" t="s">
        <v>221</v>
      </c>
      <c r="C83" t="s">
        <v>201</v>
      </c>
      <c r="D83" s="5">
        <f>Info!$B$17</f>
        <v>0</v>
      </c>
      <c r="E83" s="5">
        <f>Info!$B$20</f>
        <v>0.6</v>
      </c>
      <c r="F83" s="5">
        <f>Info!$B$26</f>
        <v>0.3</v>
      </c>
      <c r="G83" s="5">
        <f>Info!$B$31</f>
        <v>0.3</v>
      </c>
      <c r="H83" s="5">
        <f>Info!$B$37</f>
        <v>0</v>
      </c>
      <c r="I83" s="5">
        <f>Info!$B$40</f>
        <v>0</v>
      </c>
      <c r="J83" s="5">
        <f>Info!$B$43</f>
        <v>0.5</v>
      </c>
      <c r="L83">
        <v>2</v>
      </c>
      <c r="M83" t="s">
        <v>32</v>
      </c>
      <c r="N83" t="s">
        <v>222</v>
      </c>
      <c r="O83" s="11">
        <v>0.2</v>
      </c>
      <c r="P83" s="7">
        <f t="shared" si="6"/>
        <v>0.28333333333333333</v>
      </c>
      <c r="Q83" s="7">
        <f t="shared" si="4"/>
        <v>0.24166666666666667</v>
      </c>
      <c r="R83">
        <f t="shared" si="5"/>
        <v>0</v>
      </c>
    </row>
    <row r="84" spans="1:18" x14ac:dyDescent="0.2">
      <c r="A84" t="s">
        <v>223</v>
      </c>
      <c r="B84" s="10" t="s">
        <v>224</v>
      </c>
      <c r="C84" t="s">
        <v>201</v>
      </c>
      <c r="D84" s="5">
        <f>Info!$B$17</f>
        <v>0</v>
      </c>
      <c r="E84" s="5">
        <f>Info!$B$21</f>
        <v>0.3</v>
      </c>
      <c r="F84" s="5">
        <f>Info!$B$27</f>
        <v>0</v>
      </c>
      <c r="G84" s="5">
        <f>Info!$B$32</f>
        <v>0</v>
      </c>
      <c r="H84" s="5">
        <f>Info!$B$37</f>
        <v>0</v>
      </c>
      <c r="I84" s="5">
        <f>Info!$B$40</f>
        <v>0</v>
      </c>
      <c r="J84" s="5">
        <f>Info!$B$42</f>
        <v>1</v>
      </c>
      <c r="L84">
        <v>2</v>
      </c>
      <c r="M84" t="s">
        <v>32</v>
      </c>
      <c r="N84" t="s">
        <v>225</v>
      </c>
      <c r="O84" s="11">
        <v>1</v>
      </c>
      <c r="P84" s="7">
        <f t="shared" si="6"/>
        <v>0.21666666666666667</v>
      </c>
      <c r="Q84" s="7">
        <f t="shared" si="4"/>
        <v>0.60833333333333339</v>
      </c>
      <c r="R84">
        <f t="shared" si="5"/>
        <v>0</v>
      </c>
    </row>
    <row r="85" spans="1:18" x14ac:dyDescent="0.2">
      <c r="A85" t="s">
        <v>226</v>
      </c>
      <c r="B85" s="10" t="s">
        <v>227</v>
      </c>
      <c r="C85" t="s">
        <v>201</v>
      </c>
      <c r="D85" s="5">
        <f>Info!$B$17</f>
        <v>0</v>
      </c>
      <c r="E85" s="5">
        <f>Info!$B$21</f>
        <v>0.3</v>
      </c>
      <c r="F85" s="5">
        <f>Info!$B$27</f>
        <v>0</v>
      </c>
      <c r="G85" s="5">
        <f>Info!$B$32</f>
        <v>0</v>
      </c>
      <c r="H85" s="5">
        <f>Info!$B$37</f>
        <v>0</v>
      </c>
      <c r="I85" s="5">
        <f>Info!$B$40</f>
        <v>0</v>
      </c>
      <c r="J85" s="5">
        <f>Info!$B$42</f>
        <v>1</v>
      </c>
      <c r="L85">
        <v>2</v>
      </c>
      <c r="M85" t="s">
        <v>128</v>
      </c>
      <c r="N85" t="s">
        <v>129</v>
      </c>
      <c r="O85" s="11">
        <v>0.2</v>
      </c>
      <c r="P85" s="7">
        <f t="shared" si="6"/>
        <v>0.21666666666666667</v>
      </c>
      <c r="Q85" s="7">
        <f t="shared" si="4"/>
        <v>0.20833333333333334</v>
      </c>
      <c r="R85">
        <f t="shared" si="5"/>
        <v>0</v>
      </c>
    </row>
    <row r="86" spans="1:18" x14ac:dyDescent="0.2">
      <c r="A86" t="s">
        <v>228</v>
      </c>
      <c r="B86" s="10" t="s">
        <v>229</v>
      </c>
      <c r="C86" t="s">
        <v>201</v>
      </c>
      <c r="D86" s="5">
        <f>Info!$B$17</f>
        <v>0</v>
      </c>
      <c r="E86" s="5">
        <f>Info!$B$22</f>
        <v>0</v>
      </c>
      <c r="F86" s="5">
        <f>Info!$B$27</f>
        <v>0</v>
      </c>
      <c r="G86" s="5">
        <f>Info!$B$32</f>
        <v>0</v>
      </c>
      <c r="H86" s="5">
        <f>Info!$B$37</f>
        <v>0</v>
      </c>
      <c r="I86" s="5">
        <f>Info!$B$40</f>
        <v>0</v>
      </c>
      <c r="J86" s="5">
        <f>Info!$B$42</f>
        <v>1</v>
      </c>
      <c r="L86">
        <v>2</v>
      </c>
      <c r="M86" t="s">
        <v>32</v>
      </c>
      <c r="N86" t="s">
        <v>230</v>
      </c>
      <c r="O86" s="11">
        <v>0.2</v>
      </c>
      <c r="P86" s="7">
        <f t="shared" si="6"/>
        <v>0.16666666666666666</v>
      </c>
      <c r="Q86" s="7">
        <f t="shared" si="4"/>
        <v>0.18333333333333335</v>
      </c>
      <c r="R86">
        <f t="shared" si="5"/>
        <v>0</v>
      </c>
    </row>
    <row r="87" spans="1:18" x14ac:dyDescent="0.2">
      <c r="A87" t="s">
        <v>231</v>
      </c>
      <c r="B87" s="10" t="s">
        <v>232</v>
      </c>
      <c r="C87" t="s">
        <v>201</v>
      </c>
      <c r="D87" s="5">
        <f>Info!$B$17</f>
        <v>0</v>
      </c>
      <c r="E87" s="5">
        <f>Info!$B$20</f>
        <v>0.6</v>
      </c>
      <c r="F87" s="5">
        <f>Info!$B$26</f>
        <v>0.3</v>
      </c>
      <c r="G87" s="5">
        <f>Info!$B$31</f>
        <v>0.3</v>
      </c>
      <c r="H87" s="5">
        <f>Info!$B$36</f>
        <v>0.3</v>
      </c>
      <c r="I87" s="5">
        <f>Info!$B$40</f>
        <v>0</v>
      </c>
      <c r="J87" s="5">
        <f>Info!$B$42</f>
        <v>1</v>
      </c>
      <c r="L87">
        <v>1.2</v>
      </c>
      <c r="M87" t="s">
        <v>32</v>
      </c>
      <c r="N87" t="s">
        <v>233</v>
      </c>
      <c r="O87" s="11">
        <v>0.2</v>
      </c>
      <c r="P87" s="7">
        <f t="shared" si="6"/>
        <v>0.41666666666666669</v>
      </c>
      <c r="Q87" s="7">
        <f t="shared" si="4"/>
        <v>0.30833333333333335</v>
      </c>
      <c r="R87">
        <f t="shared" si="5"/>
        <v>0</v>
      </c>
    </row>
    <row r="88" spans="1:18" x14ac:dyDescent="0.2">
      <c r="A88" t="s">
        <v>243</v>
      </c>
      <c r="B88" s="10" t="s">
        <v>244</v>
      </c>
      <c r="C88" t="s">
        <v>201</v>
      </c>
      <c r="D88" s="5">
        <f>Info!$B$17</f>
        <v>0</v>
      </c>
      <c r="E88" s="5">
        <f>Info!$B$19</f>
        <v>1</v>
      </c>
      <c r="F88" s="5">
        <f>Info!$B$25</f>
        <v>0.6</v>
      </c>
      <c r="G88" s="5">
        <f>Info!$B$32</f>
        <v>0</v>
      </c>
      <c r="H88" s="5">
        <f>Info!$B$37</f>
        <v>0</v>
      </c>
      <c r="I88" s="5">
        <f>Info!$B$40</f>
        <v>0</v>
      </c>
      <c r="J88" s="5">
        <f>Info!$B$42</f>
        <v>1</v>
      </c>
      <c r="L88">
        <v>1</v>
      </c>
      <c r="M88" t="s">
        <v>21</v>
      </c>
      <c r="N88" t="s">
        <v>245</v>
      </c>
      <c r="O88" s="11">
        <v>0.8</v>
      </c>
      <c r="P88" s="7">
        <f t="shared" si="6"/>
        <v>0.43333333333333335</v>
      </c>
      <c r="Q88" s="7">
        <f t="shared" si="4"/>
        <v>0.6166666666666667</v>
      </c>
      <c r="R88">
        <f t="shared" si="5"/>
        <v>0</v>
      </c>
    </row>
    <row r="89" spans="1:18" x14ac:dyDescent="0.2">
      <c r="A89" t="s">
        <v>246</v>
      </c>
      <c r="B89" s="10" t="s">
        <v>247</v>
      </c>
      <c r="C89" t="s">
        <v>201</v>
      </c>
      <c r="D89" s="5">
        <f>Info!$B$17</f>
        <v>0</v>
      </c>
      <c r="E89" s="5">
        <f>Info!$B$20</f>
        <v>0.6</v>
      </c>
      <c r="F89" s="5">
        <f>Info!$B$25</f>
        <v>0.6</v>
      </c>
      <c r="G89" s="5">
        <f>Info!$B$30</f>
        <v>0.6</v>
      </c>
      <c r="H89" s="5">
        <f>Info!$B$36</f>
        <v>0.3</v>
      </c>
      <c r="I89" s="5">
        <f>Info!$B$40</f>
        <v>0</v>
      </c>
      <c r="J89" s="5">
        <f>Info!$B$43</f>
        <v>0.5</v>
      </c>
      <c r="L89">
        <v>1</v>
      </c>
      <c r="M89" t="s">
        <v>21</v>
      </c>
      <c r="N89" t="s">
        <v>248</v>
      </c>
      <c r="O89" s="11">
        <v>0.5</v>
      </c>
      <c r="P89" s="7">
        <f t="shared" si="6"/>
        <v>0.43333333333333329</v>
      </c>
      <c r="Q89" s="7">
        <f t="shared" si="4"/>
        <v>0.46666666666666667</v>
      </c>
      <c r="R89">
        <f t="shared" si="5"/>
        <v>0</v>
      </c>
    </row>
    <row r="90" spans="1:18" x14ac:dyDescent="0.2">
      <c r="A90" t="s">
        <v>249</v>
      </c>
      <c r="B90" s="10" t="s">
        <v>250</v>
      </c>
      <c r="C90" t="s">
        <v>201</v>
      </c>
      <c r="D90" s="5">
        <f>Info!$B$17</f>
        <v>0</v>
      </c>
      <c r="E90" s="5">
        <f>Info!$B$20</f>
        <v>0.6</v>
      </c>
      <c r="F90" s="5">
        <f>Info!$B$25</f>
        <v>0.6</v>
      </c>
      <c r="G90" s="5">
        <f>Info!$B$31</f>
        <v>0.3</v>
      </c>
      <c r="H90" s="5">
        <f>Info!$B$37</f>
        <v>0</v>
      </c>
      <c r="I90" s="5">
        <f>Info!$B$40</f>
        <v>0</v>
      </c>
      <c r="J90" s="5">
        <f>Info!$B$42</f>
        <v>1</v>
      </c>
      <c r="L90">
        <v>1</v>
      </c>
      <c r="M90" t="s">
        <v>32</v>
      </c>
      <c r="N90" t="s">
        <v>251</v>
      </c>
      <c r="O90" s="11">
        <v>1</v>
      </c>
      <c r="P90" s="7">
        <f t="shared" si="6"/>
        <v>0.41666666666666669</v>
      </c>
      <c r="Q90" s="7">
        <f t="shared" si="4"/>
        <v>0.70833333333333337</v>
      </c>
      <c r="R90">
        <f t="shared" si="5"/>
        <v>0</v>
      </c>
    </row>
    <row r="91" spans="1:18" x14ac:dyDescent="0.2">
      <c r="A91" t="s">
        <v>252</v>
      </c>
      <c r="B91" s="10" t="s">
        <v>253</v>
      </c>
      <c r="C91" t="s">
        <v>201</v>
      </c>
      <c r="D91" s="5">
        <f>Info!$B$17</f>
        <v>0</v>
      </c>
      <c r="E91" s="5">
        <f>Info!$B$20</f>
        <v>0.6</v>
      </c>
      <c r="F91" s="5">
        <f>Info!$B$26</f>
        <v>0.3</v>
      </c>
      <c r="G91" s="5">
        <f>Info!$B$30</f>
        <v>0.6</v>
      </c>
      <c r="H91" s="5">
        <f>Info!$B$36</f>
        <v>0.3</v>
      </c>
      <c r="I91" s="5">
        <f>Info!$B$40</f>
        <v>0</v>
      </c>
      <c r="J91" s="5">
        <f>Info!$B$43</f>
        <v>0.5</v>
      </c>
      <c r="L91">
        <v>1</v>
      </c>
      <c r="M91" t="s">
        <v>21</v>
      </c>
      <c r="N91" t="s">
        <v>141</v>
      </c>
      <c r="O91" s="11">
        <v>0.5</v>
      </c>
      <c r="P91" s="7">
        <f t="shared" si="6"/>
        <v>0.3833333333333333</v>
      </c>
      <c r="Q91" s="7">
        <f t="shared" si="4"/>
        <v>0.44166666666666665</v>
      </c>
      <c r="R91">
        <f t="shared" si="5"/>
        <v>0</v>
      </c>
    </row>
    <row r="92" spans="1:18" x14ac:dyDescent="0.2">
      <c r="A92" t="s">
        <v>257</v>
      </c>
      <c r="B92" s="10" t="s">
        <v>258</v>
      </c>
      <c r="C92" t="s">
        <v>201</v>
      </c>
      <c r="D92" s="5">
        <f>Info!$B$17</f>
        <v>0</v>
      </c>
      <c r="E92" s="5">
        <f>Info!$B$20</f>
        <v>0.6</v>
      </c>
      <c r="F92" s="5">
        <f>Info!$B$25</f>
        <v>0.6</v>
      </c>
      <c r="G92" s="5">
        <f>Info!$B$29</f>
        <v>1</v>
      </c>
      <c r="H92" s="5">
        <f>Info!$B$36</f>
        <v>0.3</v>
      </c>
      <c r="I92" s="5">
        <f>Info!$B$40</f>
        <v>0</v>
      </c>
      <c r="J92" s="5">
        <f>Info!$B$44</f>
        <v>0</v>
      </c>
      <c r="L92">
        <v>1</v>
      </c>
      <c r="M92" t="s">
        <v>21</v>
      </c>
      <c r="N92" t="s">
        <v>259</v>
      </c>
      <c r="O92" s="11">
        <v>1</v>
      </c>
      <c r="P92" s="7">
        <f t="shared" si="6"/>
        <v>0.41666666666666669</v>
      </c>
      <c r="Q92" s="7">
        <f t="shared" si="4"/>
        <v>0.70833333333333337</v>
      </c>
      <c r="R92">
        <f t="shared" si="5"/>
        <v>0</v>
      </c>
    </row>
    <row r="93" spans="1:18" x14ac:dyDescent="0.2">
      <c r="A93" t="s">
        <v>260</v>
      </c>
      <c r="B93" s="10" t="s">
        <v>261</v>
      </c>
      <c r="C93" t="s">
        <v>201</v>
      </c>
      <c r="D93" s="5">
        <f>Info!$B$17</f>
        <v>0</v>
      </c>
      <c r="E93" s="5">
        <f>Info!$B$20</f>
        <v>0.6</v>
      </c>
      <c r="F93" s="5">
        <f>Info!$B$26</f>
        <v>0.3</v>
      </c>
      <c r="G93" s="5">
        <f>Info!$B$30</f>
        <v>0.6</v>
      </c>
      <c r="H93" s="5">
        <f>Info!$B$36</f>
        <v>0.3</v>
      </c>
      <c r="I93" s="5">
        <f>Info!$B$40</f>
        <v>0</v>
      </c>
      <c r="J93" s="5">
        <f>Info!$B$44</f>
        <v>0</v>
      </c>
      <c r="L93">
        <v>1</v>
      </c>
      <c r="M93" t="s">
        <v>32</v>
      </c>
      <c r="N93" t="s">
        <v>262</v>
      </c>
      <c r="O93" s="11">
        <v>0.2</v>
      </c>
      <c r="P93" s="7">
        <f t="shared" si="6"/>
        <v>0.3</v>
      </c>
      <c r="Q93" s="7">
        <f t="shared" si="4"/>
        <v>0.25</v>
      </c>
      <c r="R93">
        <f t="shared" si="5"/>
        <v>0</v>
      </c>
    </row>
    <row r="94" spans="1:18" x14ac:dyDescent="0.2">
      <c r="A94" t="s">
        <v>263</v>
      </c>
      <c r="B94" s="10" t="s">
        <v>264</v>
      </c>
      <c r="C94" t="s">
        <v>201</v>
      </c>
      <c r="D94" s="5">
        <f>Info!$B$17</f>
        <v>0</v>
      </c>
      <c r="E94" s="5">
        <f>Info!$B$21</f>
        <v>0.3</v>
      </c>
      <c r="F94" s="5">
        <f>Info!$B$26</f>
        <v>0.3</v>
      </c>
      <c r="G94" s="5">
        <f>Info!$B$32</f>
        <v>0</v>
      </c>
      <c r="H94" s="5">
        <f>Info!$B$37</f>
        <v>0</v>
      </c>
      <c r="I94" s="5">
        <f>Info!$B$40</f>
        <v>0</v>
      </c>
      <c r="J94" s="5">
        <f>Info!$B$42</f>
        <v>1</v>
      </c>
      <c r="L94">
        <v>1</v>
      </c>
      <c r="M94" t="s">
        <v>32</v>
      </c>
      <c r="N94" t="s">
        <v>265</v>
      </c>
      <c r="O94" s="11">
        <v>0.2</v>
      </c>
      <c r="P94" s="7">
        <f t="shared" si="6"/>
        <v>0.26666666666666666</v>
      </c>
      <c r="Q94" s="7">
        <f t="shared" si="4"/>
        <v>0.23333333333333334</v>
      </c>
      <c r="R94">
        <f t="shared" si="5"/>
        <v>0</v>
      </c>
    </row>
    <row r="95" spans="1:18" x14ac:dyDescent="0.2">
      <c r="A95" t="s">
        <v>266</v>
      </c>
      <c r="B95" s="10" t="s">
        <v>267</v>
      </c>
      <c r="C95" t="s">
        <v>201</v>
      </c>
      <c r="D95" s="5">
        <f>Info!$B$17</f>
        <v>0</v>
      </c>
      <c r="E95" s="5">
        <f>Info!$B$21</f>
        <v>0.3</v>
      </c>
      <c r="F95" s="5">
        <f>Info!$B$26</f>
        <v>0.3</v>
      </c>
      <c r="G95" s="5">
        <f>Info!$B$32</f>
        <v>0</v>
      </c>
      <c r="H95" s="5">
        <f>Info!$B$37</f>
        <v>0</v>
      </c>
      <c r="I95" s="5">
        <f>Info!$B$40</f>
        <v>0</v>
      </c>
      <c r="J95" s="5">
        <f>Info!$B$42</f>
        <v>1</v>
      </c>
      <c r="L95">
        <v>1</v>
      </c>
      <c r="M95" t="s">
        <v>32</v>
      </c>
      <c r="N95" t="s">
        <v>160</v>
      </c>
      <c r="O95" s="11">
        <v>0.4</v>
      </c>
      <c r="P95" s="7">
        <f t="shared" si="6"/>
        <v>0.26666666666666666</v>
      </c>
      <c r="Q95" s="7">
        <f t="shared" si="4"/>
        <v>0.33333333333333337</v>
      </c>
      <c r="R95">
        <f t="shared" si="5"/>
        <v>0</v>
      </c>
    </row>
    <row r="96" spans="1:18" x14ac:dyDescent="0.2">
      <c r="A96" t="s">
        <v>268</v>
      </c>
      <c r="B96" s="10" t="s">
        <v>269</v>
      </c>
      <c r="C96" t="s">
        <v>201</v>
      </c>
      <c r="D96" s="5">
        <f>Info!$B$17</f>
        <v>0</v>
      </c>
      <c r="E96" s="5">
        <f>Info!$B$21</f>
        <v>0.3</v>
      </c>
      <c r="F96" s="5">
        <f>Info!$B$26</f>
        <v>0.3</v>
      </c>
      <c r="G96" s="5">
        <f>Info!$B$32</f>
        <v>0</v>
      </c>
      <c r="H96" s="5">
        <f>Info!$B$37</f>
        <v>0</v>
      </c>
      <c r="I96" s="5">
        <f>Info!$B$40</f>
        <v>0</v>
      </c>
      <c r="J96" s="5">
        <f>Info!$B$42</f>
        <v>1</v>
      </c>
      <c r="L96">
        <v>1</v>
      </c>
      <c r="M96" t="s">
        <v>21</v>
      </c>
      <c r="O96" s="11">
        <v>0.2</v>
      </c>
      <c r="P96" s="7">
        <f t="shared" si="6"/>
        <v>0.26666666666666666</v>
      </c>
      <c r="Q96" s="7">
        <f t="shared" si="4"/>
        <v>0.23333333333333334</v>
      </c>
      <c r="R96">
        <f t="shared" si="5"/>
        <v>0</v>
      </c>
    </row>
    <row r="97" spans="1:18" x14ac:dyDescent="0.2">
      <c r="A97" t="s">
        <v>270</v>
      </c>
      <c r="B97" s="10" t="s">
        <v>271</v>
      </c>
      <c r="C97" t="s">
        <v>201</v>
      </c>
      <c r="D97" s="5">
        <f>Info!$B$17</f>
        <v>0</v>
      </c>
      <c r="E97" s="5">
        <f>Info!$B$20</f>
        <v>0.6</v>
      </c>
      <c r="F97" s="5">
        <f>Info!$B$26</f>
        <v>0.3</v>
      </c>
      <c r="G97" s="5">
        <f>Info!$B$31</f>
        <v>0.3</v>
      </c>
      <c r="H97" s="5">
        <f>Info!$B$36</f>
        <v>0.3</v>
      </c>
      <c r="I97" s="5">
        <f>Info!$B$40</f>
        <v>0</v>
      </c>
      <c r="J97" s="5">
        <f>Info!$B$44</f>
        <v>0</v>
      </c>
      <c r="L97">
        <v>1</v>
      </c>
      <c r="M97" t="s">
        <v>32</v>
      </c>
      <c r="N97" t="s">
        <v>272</v>
      </c>
      <c r="O97" s="11">
        <v>0.2</v>
      </c>
      <c r="P97" s="7">
        <f t="shared" si="6"/>
        <v>0.25</v>
      </c>
      <c r="Q97" s="7">
        <f t="shared" si="4"/>
        <v>0.22500000000000001</v>
      </c>
      <c r="R97">
        <f t="shared" si="5"/>
        <v>0</v>
      </c>
    </row>
    <row r="98" spans="1:18" x14ac:dyDescent="0.2">
      <c r="A98" t="s">
        <v>273</v>
      </c>
      <c r="B98" s="10" t="s">
        <v>274</v>
      </c>
      <c r="C98" t="s">
        <v>201</v>
      </c>
      <c r="D98" s="5">
        <f>Info!$B$17</f>
        <v>0</v>
      </c>
      <c r="E98" s="5">
        <f>Info!$B$20</f>
        <v>0.6</v>
      </c>
      <c r="F98" s="5">
        <f>Info!$B$26</f>
        <v>0.3</v>
      </c>
      <c r="G98" s="5">
        <f>Info!$B$32</f>
        <v>0</v>
      </c>
      <c r="H98" s="5">
        <f>Info!$B$37</f>
        <v>0</v>
      </c>
      <c r="I98" s="5">
        <f>Info!$B$40</f>
        <v>0</v>
      </c>
      <c r="J98" s="5">
        <f>Info!$B$43</f>
        <v>0.5</v>
      </c>
      <c r="L98">
        <v>1</v>
      </c>
      <c r="M98" t="s">
        <v>21</v>
      </c>
      <c r="N98" t="s">
        <v>275</v>
      </c>
      <c r="O98" s="11">
        <v>1</v>
      </c>
      <c r="P98" s="7">
        <f t="shared" si="6"/>
        <v>0.23333333333333331</v>
      </c>
      <c r="Q98" s="7">
        <f t="shared" si="4"/>
        <v>0.6166666666666667</v>
      </c>
      <c r="R98">
        <f t="shared" si="5"/>
        <v>0</v>
      </c>
    </row>
    <row r="99" spans="1:18" x14ac:dyDescent="0.2">
      <c r="A99" t="s">
        <v>276</v>
      </c>
      <c r="B99" s="10" t="s">
        <v>277</v>
      </c>
      <c r="C99" t="s">
        <v>201</v>
      </c>
      <c r="D99" s="5">
        <f>Info!$B$17</f>
        <v>0</v>
      </c>
      <c r="E99" s="5">
        <f>Info!$B$21</f>
        <v>0.3</v>
      </c>
      <c r="F99" s="5">
        <f>Info!$B$27</f>
        <v>0</v>
      </c>
      <c r="G99" s="5">
        <f>Info!$B$32</f>
        <v>0</v>
      </c>
      <c r="H99" s="5">
        <f>Info!$B$37</f>
        <v>0</v>
      </c>
      <c r="I99" s="5">
        <f>Info!$B$40</f>
        <v>0</v>
      </c>
      <c r="J99" s="5">
        <f>Info!$B$42</f>
        <v>1</v>
      </c>
      <c r="L99">
        <v>1</v>
      </c>
      <c r="M99" t="s">
        <v>128</v>
      </c>
      <c r="N99" t="s">
        <v>129</v>
      </c>
      <c r="O99" s="11">
        <v>0.2</v>
      </c>
      <c r="P99" s="7">
        <f t="shared" si="6"/>
        <v>0.21666666666666667</v>
      </c>
      <c r="Q99" s="7">
        <f t="shared" si="4"/>
        <v>0.20833333333333334</v>
      </c>
      <c r="R99">
        <f t="shared" si="5"/>
        <v>0</v>
      </c>
    </row>
    <row r="100" spans="1:18" x14ac:dyDescent="0.2">
      <c r="A100" t="s">
        <v>278</v>
      </c>
      <c r="B100" s="10" t="s">
        <v>279</v>
      </c>
      <c r="C100" t="s">
        <v>201</v>
      </c>
      <c r="D100" s="5">
        <f>Info!$B$17</f>
        <v>0</v>
      </c>
      <c r="E100" s="5">
        <f>Info!$B$22</f>
        <v>0</v>
      </c>
      <c r="F100" s="5">
        <f>Info!$B$26</f>
        <v>0.3</v>
      </c>
      <c r="G100" s="5">
        <f>Info!$B$31</f>
        <v>0.3</v>
      </c>
      <c r="H100" s="5">
        <f>Info!$B$35</f>
        <v>0.6</v>
      </c>
      <c r="I100" s="5">
        <f>Info!$B$40</f>
        <v>0</v>
      </c>
      <c r="J100" s="5">
        <f>Info!$B$44</f>
        <v>0</v>
      </c>
      <c r="L100">
        <v>1</v>
      </c>
      <c r="M100" t="s">
        <v>32</v>
      </c>
      <c r="N100" t="s">
        <v>280</v>
      </c>
      <c r="O100" s="11">
        <v>0.2</v>
      </c>
      <c r="P100" s="7">
        <f t="shared" si="6"/>
        <v>0.19999999999999998</v>
      </c>
      <c r="Q100" s="7">
        <f t="shared" si="4"/>
        <v>0.2</v>
      </c>
      <c r="R100">
        <f t="shared" si="5"/>
        <v>0</v>
      </c>
    </row>
    <row r="101" spans="1:18" x14ac:dyDescent="0.2">
      <c r="A101" t="s">
        <v>281</v>
      </c>
      <c r="B101" s="10" t="s">
        <v>282</v>
      </c>
      <c r="C101" t="s">
        <v>201</v>
      </c>
      <c r="D101" s="5">
        <f>Info!$B$17</f>
        <v>0</v>
      </c>
      <c r="E101" s="5">
        <f>Info!$B$21</f>
        <v>0.3</v>
      </c>
      <c r="F101" s="5">
        <f>Info!$B$26</f>
        <v>0.3</v>
      </c>
      <c r="G101" s="5">
        <f>Info!$B$32</f>
        <v>0</v>
      </c>
      <c r="H101" s="5">
        <f>Info!$B$37</f>
        <v>0</v>
      </c>
      <c r="I101" s="5">
        <f>Info!$B$40</f>
        <v>0</v>
      </c>
      <c r="J101" s="5">
        <f>Info!$B$43</f>
        <v>0.5</v>
      </c>
      <c r="L101">
        <v>1</v>
      </c>
      <c r="M101" t="s">
        <v>32</v>
      </c>
      <c r="N101" t="s">
        <v>283</v>
      </c>
      <c r="O101" s="11">
        <v>0.2</v>
      </c>
      <c r="P101" s="7">
        <f t="shared" si="6"/>
        <v>0.18333333333333335</v>
      </c>
      <c r="Q101" s="7">
        <f t="shared" si="4"/>
        <v>0.19166666666666668</v>
      </c>
      <c r="R101">
        <f t="shared" si="5"/>
        <v>0</v>
      </c>
    </row>
    <row r="102" spans="1:18" x14ac:dyDescent="0.2">
      <c r="A102" t="s">
        <v>284</v>
      </c>
      <c r="B102" s="10" t="s">
        <v>285</v>
      </c>
      <c r="C102" t="s">
        <v>201</v>
      </c>
      <c r="D102" s="5">
        <f>Info!$B$17</f>
        <v>0</v>
      </c>
      <c r="E102" s="5">
        <f>Info!$B$21</f>
        <v>0.3</v>
      </c>
      <c r="F102" s="5">
        <f>Info!$B$26</f>
        <v>0.3</v>
      </c>
      <c r="G102" s="5">
        <f>Info!$B$31</f>
        <v>0.3</v>
      </c>
      <c r="H102" s="5">
        <f>Info!$B$37</f>
        <v>0</v>
      </c>
      <c r="I102" s="5">
        <f>Info!$B$40</f>
        <v>0</v>
      </c>
      <c r="J102" s="5">
        <f>Info!$B$44</f>
        <v>0</v>
      </c>
      <c r="L102">
        <v>1</v>
      </c>
      <c r="M102" t="s">
        <v>32</v>
      </c>
      <c r="N102" t="s">
        <v>286</v>
      </c>
      <c r="O102" s="11">
        <v>0.2</v>
      </c>
      <c r="P102" s="7">
        <f t="shared" si="6"/>
        <v>0.15</v>
      </c>
      <c r="Q102" s="7">
        <f t="shared" si="4"/>
        <v>0.17499999999999999</v>
      </c>
      <c r="R102">
        <f t="shared" si="5"/>
        <v>0</v>
      </c>
    </row>
    <row r="103" spans="1:18" x14ac:dyDescent="0.2">
      <c r="A103" t="s">
        <v>287</v>
      </c>
      <c r="B103" s="10" t="s">
        <v>288</v>
      </c>
      <c r="C103" t="s">
        <v>201</v>
      </c>
      <c r="D103" s="5">
        <f>Info!$B$17</f>
        <v>0</v>
      </c>
      <c r="E103" s="5">
        <f>Info!$B$20</f>
        <v>0.6</v>
      </c>
      <c r="F103" s="5">
        <f>Info!$B$26</f>
        <v>0.3</v>
      </c>
      <c r="G103" s="5">
        <f>Info!$B$32</f>
        <v>0</v>
      </c>
      <c r="H103" s="5">
        <f>Info!$B$37</f>
        <v>0</v>
      </c>
      <c r="I103" s="5">
        <f>Info!$B$40</f>
        <v>0</v>
      </c>
      <c r="J103" s="5">
        <f>Info!$B$44</f>
        <v>0</v>
      </c>
      <c r="L103">
        <v>1</v>
      </c>
      <c r="M103" t="s">
        <v>21</v>
      </c>
      <c r="N103" t="s">
        <v>289</v>
      </c>
      <c r="O103" s="11">
        <v>0.5</v>
      </c>
      <c r="P103" s="7">
        <f t="shared" si="6"/>
        <v>0.15</v>
      </c>
      <c r="Q103" s="7">
        <f t="shared" si="4"/>
        <v>0.32500000000000001</v>
      </c>
      <c r="R103">
        <f t="shared" si="5"/>
        <v>0</v>
      </c>
    </row>
    <row r="104" spans="1:18" x14ac:dyDescent="0.2">
      <c r="A104" t="s">
        <v>290</v>
      </c>
      <c r="B104" s="10" t="s">
        <v>291</v>
      </c>
      <c r="C104" t="s">
        <v>201</v>
      </c>
      <c r="D104" s="5">
        <f>Info!$B$17</f>
        <v>0</v>
      </c>
      <c r="E104" s="5">
        <f>Info!$B$22</f>
        <v>0</v>
      </c>
      <c r="F104" s="5">
        <f>Info!$B$26</f>
        <v>0.3</v>
      </c>
      <c r="G104" s="5">
        <f>Info!$B$32</f>
        <v>0</v>
      </c>
      <c r="H104" s="5">
        <f>Info!$B$37</f>
        <v>0</v>
      </c>
      <c r="I104" s="5">
        <f>Info!$B$40</f>
        <v>0</v>
      </c>
      <c r="J104" s="5">
        <f>Info!$B$43</f>
        <v>0.5</v>
      </c>
      <c r="L104">
        <v>1</v>
      </c>
      <c r="M104" t="s">
        <v>32</v>
      </c>
      <c r="N104" t="s">
        <v>292</v>
      </c>
      <c r="O104" s="11">
        <v>0.2</v>
      </c>
      <c r="P104" s="7">
        <f t="shared" si="6"/>
        <v>0.13333333333333333</v>
      </c>
      <c r="Q104" s="7">
        <f t="shared" si="4"/>
        <v>0.16666666666666669</v>
      </c>
      <c r="R104">
        <f t="shared" si="5"/>
        <v>0</v>
      </c>
    </row>
    <row r="105" spans="1:18" x14ac:dyDescent="0.2">
      <c r="A105" t="s">
        <v>293</v>
      </c>
      <c r="B105" s="10" t="s">
        <v>294</v>
      </c>
      <c r="C105" t="s">
        <v>201</v>
      </c>
      <c r="D105" s="5">
        <f>Info!$B$17</f>
        <v>0</v>
      </c>
      <c r="E105" s="5">
        <f>Info!$B$21</f>
        <v>0.3</v>
      </c>
      <c r="F105" s="5">
        <f>Info!$B$27</f>
        <v>0</v>
      </c>
      <c r="G105" s="5">
        <f>Info!$B$32</f>
        <v>0</v>
      </c>
      <c r="H105" s="5">
        <f>Info!$B$37</f>
        <v>0</v>
      </c>
      <c r="I105" s="5">
        <f>Info!$B$40</f>
        <v>0</v>
      </c>
      <c r="J105" s="5">
        <f>Info!$B$43</f>
        <v>0.5</v>
      </c>
      <c r="L105">
        <v>1</v>
      </c>
      <c r="M105" t="s">
        <v>32</v>
      </c>
      <c r="N105" t="s">
        <v>295</v>
      </c>
      <c r="O105" s="11">
        <v>0.2</v>
      </c>
      <c r="P105" s="7">
        <f t="shared" si="6"/>
        <v>0.13333333333333333</v>
      </c>
      <c r="Q105" s="7">
        <f t="shared" si="4"/>
        <v>0.16666666666666669</v>
      </c>
      <c r="R105">
        <f t="shared" si="5"/>
        <v>0</v>
      </c>
    </row>
    <row r="106" spans="1:18" x14ac:dyDescent="0.2">
      <c r="A106" t="s">
        <v>296</v>
      </c>
      <c r="B106" s="10" t="s">
        <v>297</v>
      </c>
      <c r="C106" t="s">
        <v>201</v>
      </c>
      <c r="D106" s="5">
        <f>Info!$B$17</f>
        <v>0</v>
      </c>
      <c r="E106" s="5">
        <f>Info!$B$21</f>
        <v>0.3</v>
      </c>
      <c r="F106" s="5">
        <f>Info!$B$27</f>
        <v>0</v>
      </c>
      <c r="G106" s="5">
        <f>Info!$B$32</f>
        <v>0</v>
      </c>
      <c r="H106" s="5">
        <f>Info!$B$37</f>
        <v>0</v>
      </c>
      <c r="I106" s="5">
        <f>Info!$B$40</f>
        <v>0</v>
      </c>
      <c r="J106" s="5">
        <f>Info!$B$43</f>
        <v>0.5</v>
      </c>
      <c r="L106">
        <v>1</v>
      </c>
      <c r="M106" t="s">
        <v>21</v>
      </c>
      <c r="N106" t="s">
        <v>298</v>
      </c>
      <c r="O106" s="11">
        <v>0.2</v>
      </c>
      <c r="P106" s="7">
        <f t="shared" si="6"/>
        <v>0.13333333333333333</v>
      </c>
      <c r="Q106" s="7">
        <f t="shared" si="4"/>
        <v>0.16666666666666669</v>
      </c>
      <c r="R106">
        <f t="shared" si="5"/>
        <v>0</v>
      </c>
    </row>
    <row r="107" spans="1:18" x14ac:dyDescent="0.2">
      <c r="A107" t="s">
        <v>299</v>
      </c>
      <c r="B107" s="10" t="s">
        <v>300</v>
      </c>
      <c r="C107" t="s">
        <v>201</v>
      </c>
      <c r="D107" s="5">
        <f>Info!$B$17</f>
        <v>0</v>
      </c>
      <c r="E107" s="5">
        <f>Info!$B$21</f>
        <v>0.3</v>
      </c>
      <c r="F107" s="5">
        <f>Info!$B$26</f>
        <v>0.3</v>
      </c>
      <c r="G107" s="5">
        <f>Info!$B$32</f>
        <v>0</v>
      </c>
      <c r="H107" s="5">
        <f>Info!$B$37</f>
        <v>0</v>
      </c>
      <c r="I107" s="5">
        <f>Info!$B$40</f>
        <v>0</v>
      </c>
      <c r="J107" s="5">
        <f>Info!$B$44</f>
        <v>0</v>
      </c>
      <c r="L107">
        <v>1</v>
      </c>
      <c r="M107" t="s">
        <v>21</v>
      </c>
      <c r="N107" t="s">
        <v>301</v>
      </c>
      <c r="O107" s="11">
        <v>1</v>
      </c>
      <c r="P107" s="7">
        <f t="shared" si="6"/>
        <v>9.9999999999999992E-2</v>
      </c>
      <c r="Q107" s="7">
        <f t="shared" si="4"/>
        <v>0.55000000000000004</v>
      </c>
      <c r="R107">
        <f t="shared" si="5"/>
        <v>0</v>
      </c>
    </row>
    <row r="108" spans="1:18" x14ac:dyDescent="0.2">
      <c r="A108" t="s">
        <v>312</v>
      </c>
      <c r="B108" s="10" t="s">
        <v>313</v>
      </c>
      <c r="C108" t="s">
        <v>201</v>
      </c>
      <c r="D108" s="5">
        <f>Info!$B$17</f>
        <v>0</v>
      </c>
      <c r="E108" s="5">
        <f>Info!$B$21</f>
        <v>0.3</v>
      </c>
      <c r="F108" s="5">
        <f>Info!$B$26</f>
        <v>0.3</v>
      </c>
      <c r="G108" s="5">
        <f>Info!$B$32</f>
        <v>0</v>
      </c>
      <c r="H108" s="5">
        <f>Info!$B$37</f>
        <v>0</v>
      </c>
      <c r="I108" s="5">
        <f>Info!$B$40</f>
        <v>0</v>
      </c>
      <c r="J108" s="5">
        <f>Info!$B$44</f>
        <v>0</v>
      </c>
      <c r="L108">
        <v>1</v>
      </c>
      <c r="M108" t="s">
        <v>70</v>
      </c>
      <c r="N108" t="s">
        <v>314</v>
      </c>
      <c r="O108" s="11">
        <v>0.2</v>
      </c>
      <c r="P108" s="7">
        <f>(D108+E108+F108+G108+H108+I108+J108)/7</f>
        <v>8.5714285714285715E-2</v>
      </c>
      <c r="Q108" s="7">
        <f t="shared" si="4"/>
        <v>0.14285714285714285</v>
      </c>
      <c r="R108">
        <f t="shared" si="5"/>
        <v>0</v>
      </c>
    </row>
    <row r="109" spans="1:18" x14ac:dyDescent="0.2">
      <c r="A109" t="s">
        <v>315</v>
      </c>
      <c r="B109" s="10" t="s">
        <v>316</v>
      </c>
      <c r="C109" t="s">
        <v>201</v>
      </c>
      <c r="D109" s="5">
        <f>Info!$B$17</f>
        <v>0</v>
      </c>
      <c r="E109" s="5">
        <f>Info!$B$19</f>
        <v>1</v>
      </c>
      <c r="F109" s="5">
        <f>Info!$B$25</f>
        <v>0.6</v>
      </c>
      <c r="G109" s="5">
        <f>Info!$B$32</f>
        <v>0</v>
      </c>
      <c r="H109" s="5">
        <f>Info!$B$37</f>
        <v>0</v>
      </c>
      <c r="I109" s="5">
        <f>Info!$B$40</f>
        <v>0</v>
      </c>
      <c r="J109" s="5">
        <f>Info!$B$44</f>
        <v>0</v>
      </c>
      <c r="L109">
        <v>1</v>
      </c>
      <c r="M109" t="s">
        <v>32</v>
      </c>
      <c r="N109" t="s">
        <v>317</v>
      </c>
      <c r="O109" s="11">
        <v>0.2</v>
      </c>
      <c r="P109" s="7">
        <f>(D109+E109+F109+G109+H109+I109+J109)/6</f>
        <v>0.26666666666666666</v>
      </c>
      <c r="Q109" s="7">
        <f t="shared" si="4"/>
        <v>0.23333333333333334</v>
      </c>
      <c r="R109">
        <f t="shared" si="5"/>
        <v>0</v>
      </c>
    </row>
    <row r="110" spans="1:18" x14ac:dyDescent="0.2">
      <c r="A110" t="s">
        <v>318</v>
      </c>
      <c r="B110" s="10" t="s">
        <v>321</v>
      </c>
      <c r="C110" t="s">
        <v>201</v>
      </c>
      <c r="D110" s="5">
        <v>1</v>
      </c>
      <c r="E110" s="5">
        <v>1</v>
      </c>
      <c r="F110" s="5">
        <v>0.6</v>
      </c>
      <c r="G110" s="5">
        <v>0.3</v>
      </c>
      <c r="H110" s="5">
        <v>0.6</v>
      </c>
      <c r="I110" s="5">
        <v>0</v>
      </c>
      <c r="J110" s="5">
        <v>1</v>
      </c>
      <c r="M110" t="s">
        <v>80</v>
      </c>
      <c r="O110" s="11">
        <v>0.2</v>
      </c>
      <c r="P110" s="7">
        <f t="shared" ref="P110:P173" si="7">(D110+E110+F110+G110+H110+I110+J110)/7</f>
        <v>0.6428571428571429</v>
      </c>
      <c r="Q110" s="7">
        <f t="shared" si="4"/>
        <v>0.42142857142857149</v>
      </c>
      <c r="R110">
        <f t="shared" si="5"/>
        <v>0</v>
      </c>
    </row>
    <row r="111" spans="1:18" x14ac:dyDescent="0.2">
      <c r="A111" t="s">
        <v>322</v>
      </c>
      <c r="B111" s="10" t="s">
        <v>323</v>
      </c>
      <c r="C111" t="s">
        <v>201</v>
      </c>
      <c r="D111" s="5">
        <v>1</v>
      </c>
      <c r="E111" s="5">
        <v>0.3</v>
      </c>
      <c r="F111" s="5">
        <v>0.3</v>
      </c>
      <c r="G111" s="5">
        <v>1</v>
      </c>
      <c r="H111" s="5">
        <v>0.6</v>
      </c>
      <c r="I111" s="5">
        <v>0</v>
      </c>
      <c r="J111" s="5">
        <v>0.5</v>
      </c>
      <c r="L111">
        <v>1</v>
      </c>
      <c r="M111" t="s">
        <v>128</v>
      </c>
      <c r="N111" t="s">
        <v>129</v>
      </c>
      <c r="O111" s="11">
        <v>0.2</v>
      </c>
      <c r="P111" s="7">
        <f t="shared" si="7"/>
        <v>0.52857142857142858</v>
      </c>
      <c r="Q111" s="7">
        <f t="shared" si="4"/>
        <v>0.36428571428571432</v>
      </c>
      <c r="R111">
        <f t="shared" si="5"/>
        <v>0</v>
      </c>
    </row>
    <row r="112" spans="1:18" x14ac:dyDescent="0.2">
      <c r="A112" t="s">
        <v>324</v>
      </c>
      <c r="B112" s="10" t="s">
        <v>325</v>
      </c>
      <c r="C112" t="s">
        <v>20</v>
      </c>
      <c r="D112" s="5">
        <v>0</v>
      </c>
      <c r="E112" s="5">
        <v>0</v>
      </c>
      <c r="F112" s="5"/>
      <c r="G112" s="5"/>
      <c r="H112" s="5"/>
      <c r="I112" s="5"/>
      <c r="J112" s="5"/>
      <c r="L112">
        <v>1</v>
      </c>
      <c r="M112" t="s">
        <v>32</v>
      </c>
      <c r="N112" t="s">
        <v>326</v>
      </c>
      <c r="O112" s="11">
        <v>0.2</v>
      </c>
      <c r="P112" s="7">
        <f t="shared" si="7"/>
        <v>0</v>
      </c>
      <c r="Q112" s="7">
        <f t="shared" si="4"/>
        <v>0.1</v>
      </c>
      <c r="R112">
        <f t="shared" si="5"/>
        <v>0</v>
      </c>
    </row>
    <row r="113" spans="1:18" x14ac:dyDescent="0.2">
      <c r="A113" t="s">
        <v>327</v>
      </c>
      <c r="B113" s="10" t="s">
        <v>328</v>
      </c>
      <c r="C113" t="s">
        <v>201</v>
      </c>
      <c r="D113" s="5">
        <v>0</v>
      </c>
      <c r="E113" s="5">
        <v>0.3</v>
      </c>
      <c r="F113" s="5">
        <v>0.3</v>
      </c>
      <c r="G113" s="5">
        <v>0</v>
      </c>
      <c r="H113" s="5">
        <v>0</v>
      </c>
      <c r="I113" s="5">
        <v>0</v>
      </c>
      <c r="J113" s="5">
        <v>1</v>
      </c>
      <c r="L113">
        <v>1</v>
      </c>
      <c r="M113" t="s">
        <v>128</v>
      </c>
      <c r="N113" t="s">
        <v>129</v>
      </c>
      <c r="O113" s="11">
        <v>0.2</v>
      </c>
      <c r="P113" s="7">
        <f t="shared" si="7"/>
        <v>0.22857142857142859</v>
      </c>
      <c r="Q113" s="7">
        <f t="shared" si="4"/>
        <v>0.2142857142857143</v>
      </c>
      <c r="R113">
        <f t="shared" si="5"/>
        <v>0</v>
      </c>
    </row>
    <row r="114" spans="1:18" x14ac:dyDescent="0.2">
      <c r="A114" t="s">
        <v>329</v>
      </c>
      <c r="B114" s="10" t="s">
        <v>330</v>
      </c>
      <c r="C114" t="s">
        <v>201</v>
      </c>
      <c r="D114" s="5">
        <f>Info!$B$17</f>
        <v>0</v>
      </c>
      <c r="E114" s="5">
        <f>Info!$B$21</f>
        <v>0.3</v>
      </c>
      <c r="F114" s="5">
        <f>Info!$B$26</f>
        <v>0.3</v>
      </c>
      <c r="G114" s="5">
        <f>Info!$B$32</f>
        <v>0</v>
      </c>
      <c r="H114" s="5">
        <f>Info!$B$37</f>
        <v>0</v>
      </c>
      <c r="I114" s="5">
        <f>Info!$B$40</f>
        <v>0</v>
      </c>
      <c r="J114" s="5">
        <f>Info!$B$44</f>
        <v>0</v>
      </c>
      <c r="L114">
        <v>1</v>
      </c>
      <c r="M114" t="s">
        <v>70</v>
      </c>
      <c r="N114" t="s">
        <v>331</v>
      </c>
      <c r="O114" s="11">
        <v>0.2</v>
      </c>
      <c r="P114" s="7">
        <f t="shared" si="7"/>
        <v>8.5714285714285715E-2</v>
      </c>
      <c r="Q114" s="7">
        <f t="shared" si="4"/>
        <v>0.14285714285714285</v>
      </c>
      <c r="R114">
        <f t="shared" si="5"/>
        <v>0</v>
      </c>
    </row>
    <row r="115" spans="1:18" x14ac:dyDescent="0.2">
      <c r="A115" t="s">
        <v>332</v>
      </c>
      <c r="B115" s="10" t="s">
        <v>333</v>
      </c>
      <c r="C115" t="s">
        <v>20</v>
      </c>
      <c r="D115" s="5">
        <f>Info!$B$17</f>
        <v>0</v>
      </c>
      <c r="E115" s="5">
        <f>Info!$B$20</f>
        <v>0.6</v>
      </c>
      <c r="F115" s="5">
        <f>Info!$B$26</f>
        <v>0.3</v>
      </c>
      <c r="G115" s="5">
        <f>Info!$B$31</f>
        <v>0.3</v>
      </c>
      <c r="H115" s="5">
        <f>Info!$B$36</f>
        <v>0.3</v>
      </c>
      <c r="I115" s="5">
        <f>Info!$B$39</f>
        <v>1</v>
      </c>
      <c r="J115" s="5">
        <f>Info!$B$42</f>
        <v>1</v>
      </c>
      <c r="K115">
        <v>1</v>
      </c>
      <c r="M115" t="s">
        <v>32</v>
      </c>
      <c r="N115" t="s">
        <v>334</v>
      </c>
      <c r="P115" s="7">
        <f t="shared" si="7"/>
        <v>0.5</v>
      </c>
      <c r="Q115" s="7">
        <f t="shared" si="4"/>
        <v>0.25</v>
      </c>
      <c r="R115">
        <f t="shared" si="5"/>
        <v>0</v>
      </c>
    </row>
    <row r="116" spans="1:18" x14ac:dyDescent="0.2">
      <c r="A116" t="s">
        <v>335</v>
      </c>
      <c r="B116" s="10" t="s">
        <v>336</v>
      </c>
      <c r="C116" t="s">
        <v>201</v>
      </c>
      <c r="D116" s="5">
        <f>Info!$B$16</f>
        <v>1</v>
      </c>
      <c r="E116" s="5">
        <f>Info!$B$21</f>
        <v>0.3</v>
      </c>
      <c r="F116" s="5">
        <f>Info!$B$27</f>
        <v>0</v>
      </c>
      <c r="G116" s="5">
        <f>Info!$B$32</f>
        <v>0</v>
      </c>
      <c r="H116" s="5">
        <f>Info!$B$37</f>
        <v>0</v>
      </c>
      <c r="I116" s="5">
        <f>Info!$B$40</f>
        <v>0</v>
      </c>
      <c r="J116" s="5">
        <f>Info!$B$42</f>
        <v>1</v>
      </c>
      <c r="P116" s="7">
        <f t="shared" si="7"/>
        <v>0.32857142857142857</v>
      </c>
      <c r="Q116" s="7">
        <f t="shared" si="4"/>
        <v>0.16428571428571428</v>
      </c>
      <c r="R116">
        <f t="shared" si="5"/>
        <v>0</v>
      </c>
    </row>
    <row r="117" spans="1:18" x14ac:dyDescent="0.2">
      <c r="A117" t="s">
        <v>337</v>
      </c>
      <c r="B117" s="10" t="s">
        <v>338</v>
      </c>
      <c r="C117" t="s">
        <v>20</v>
      </c>
      <c r="D117" s="5">
        <f>Info!$B$16</f>
        <v>1</v>
      </c>
      <c r="E117" s="5">
        <f>Info!$B$22</f>
        <v>0</v>
      </c>
      <c r="F117" s="5">
        <f>Info!$B$27</f>
        <v>0</v>
      </c>
      <c r="G117" s="5">
        <f>Info!$B$32</f>
        <v>0</v>
      </c>
      <c r="H117" s="5">
        <f>Info!$B$37</f>
        <v>0</v>
      </c>
      <c r="I117" s="5">
        <f>Info!$B$40</f>
        <v>0</v>
      </c>
      <c r="J117" s="5">
        <f>Info!$B$42</f>
        <v>1</v>
      </c>
      <c r="P117" s="7">
        <f t="shared" si="7"/>
        <v>0.2857142857142857</v>
      </c>
      <c r="Q117" s="7">
        <f t="shared" si="4"/>
        <v>0.14285714285714285</v>
      </c>
      <c r="R117">
        <f t="shared" si="5"/>
        <v>0</v>
      </c>
    </row>
    <row r="118" spans="1:18" x14ac:dyDescent="0.2">
      <c r="A118" t="s">
        <v>339</v>
      </c>
      <c r="B118" s="10" t="s">
        <v>340</v>
      </c>
      <c r="C118" t="s">
        <v>20</v>
      </c>
      <c r="D118" s="5">
        <f>Info!$B$17</f>
        <v>0</v>
      </c>
      <c r="E118" s="5">
        <f>Info!$B$20</f>
        <v>0.6</v>
      </c>
      <c r="F118" s="5">
        <f>Info!$B$26</f>
        <v>0.3</v>
      </c>
      <c r="G118" s="5">
        <f>Info!$B$31</f>
        <v>0.3</v>
      </c>
      <c r="H118" s="5">
        <f>Info!$B$37</f>
        <v>0</v>
      </c>
      <c r="I118" s="5">
        <f>Info!$B$40</f>
        <v>0</v>
      </c>
      <c r="J118" s="5">
        <f>Info!$B$43</f>
        <v>0.5</v>
      </c>
      <c r="M118" t="s">
        <v>21</v>
      </c>
      <c r="N118" t="s">
        <v>242</v>
      </c>
      <c r="O118" s="11">
        <v>0.8</v>
      </c>
      <c r="P118" s="7">
        <f t="shared" si="7"/>
        <v>0.24285714285714285</v>
      </c>
      <c r="Q118" s="7">
        <f t="shared" si="4"/>
        <v>0.52142857142857146</v>
      </c>
      <c r="R118">
        <f t="shared" si="5"/>
        <v>0</v>
      </c>
    </row>
    <row r="119" spans="1:18" x14ac:dyDescent="0.2">
      <c r="A119" t="s">
        <v>341</v>
      </c>
      <c r="B119" s="10" t="s">
        <v>342</v>
      </c>
      <c r="C119" t="s">
        <v>20</v>
      </c>
      <c r="D119" s="5">
        <f>Info!$B$17</f>
        <v>0</v>
      </c>
      <c r="E119" s="5">
        <f>Info!$B$20</f>
        <v>0.6</v>
      </c>
      <c r="F119" s="5">
        <f>Info!$B$26</f>
        <v>0.3</v>
      </c>
      <c r="G119" s="5">
        <f>Info!$B$31</f>
        <v>0.3</v>
      </c>
      <c r="H119" s="5">
        <f>Info!$B$37</f>
        <v>0</v>
      </c>
      <c r="I119" s="5">
        <f>Info!$B$40</f>
        <v>0</v>
      </c>
      <c r="J119" s="5">
        <f>Info!$B$43</f>
        <v>0.5</v>
      </c>
      <c r="M119" t="s">
        <v>21</v>
      </c>
      <c r="N119" t="s">
        <v>343</v>
      </c>
      <c r="P119" s="7">
        <f t="shared" si="7"/>
        <v>0.24285714285714285</v>
      </c>
      <c r="Q119" s="7">
        <f t="shared" si="4"/>
        <v>0.12142857142857143</v>
      </c>
      <c r="R119">
        <f t="shared" si="5"/>
        <v>0</v>
      </c>
    </row>
    <row r="120" spans="1:18" x14ac:dyDescent="0.2">
      <c r="A120" t="s">
        <v>344</v>
      </c>
      <c r="B120" s="10" t="s">
        <v>345</v>
      </c>
      <c r="C120" t="s">
        <v>201</v>
      </c>
      <c r="D120" s="5">
        <f>Info!$B$17</f>
        <v>0</v>
      </c>
      <c r="E120" s="5">
        <f>Info!$B$21</f>
        <v>0.3</v>
      </c>
      <c r="F120" s="5">
        <f>Info!$B$26</f>
        <v>0.3</v>
      </c>
      <c r="G120" s="5">
        <f>Info!$B$32</f>
        <v>0</v>
      </c>
      <c r="H120" s="5">
        <f>Info!$B$37</f>
        <v>0</v>
      </c>
      <c r="I120" s="5">
        <f>Info!$B$39</f>
        <v>1</v>
      </c>
      <c r="J120" s="5">
        <f>Info!$B$44</f>
        <v>0</v>
      </c>
      <c r="P120" s="7">
        <f t="shared" si="7"/>
        <v>0.22857142857142859</v>
      </c>
      <c r="Q120" s="7">
        <f t="shared" si="4"/>
        <v>0.1142857142857143</v>
      </c>
      <c r="R120">
        <f t="shared" si="5"/>
        <v>0</v>
      </c>
    </row>
    <row r="121" spans="1:18" x14ac:dyDescent="0.2">
      <c r="A121" t="s">
        <v>346</v>
      </c>
      <c r="B121" s="10" t="s">
        <v>347</v>
      </c>
      <c r="C121" t="s">
        <v>20</v>
      </c>
      <c r="D121" s="5">
        <f>Info!$B$17</f>
        <v>0</v>
      </c>
      <c r="E121" s="5">
        <f>Info!$B$20</f>
        <v>0.6</v>
      </c>
      <c r="F121" s="5">
        <f>Info!$B$27</f>
        <v>0</v>
      </c>
      <c r="G121" s="5">
        <f>Info!$B$32</f>
        <v>0</v>
      </c>
      <c r="H121" s="5">
        <f>Info!$B$37</f>
        <v>0</v>
      </c>
      <c r="I121" s="5">
        <f>Info!$B$40</f>
        <v>0</v>
      </c>
      <c r="J121" s="5">
        <f>Info!$B$42</f>
        <v>1</v>
      </c>
      <c r="P121" s="7">
        <f t="shared" si="7"/>
        <v>0.22857142857142859</v>
      </c>
      <c r="Q121" s="7">
        <f t="shared" si="4"/>
        <v>0.1142857142857143</v>
      </c>
      <c r="R121">
        <f t="shared" si="5"/>
        <v>0</v>
      </c>
    </row>
    <row r="122" spans="1:18" x14ac:dyDescent="0.2">
      <c r="A122" t="s">
        <v>348</v>
      </c>
      <c r="B122" s="10" t="s">
        <v>349</v>
      </c>
      <c r="C122" t="s">
        <v>201</v>
      </c>
      <c r="D122" s="5">
        <f>Info!$B$17</f>
        <v>0</v>
      </c>
      <c r="E122" s="5">
        <f>Info!$B$21</f>
        <v>0.3</v>
      </c>
      <c r="F122" s="5">
        <f>Info!$B$26</f>
        <v>0.3</v>
      </c>
      <c r="G122" s="5">
        <f>Info!$B$32</f>
        <v>0</v>
      </c>
      <c r="H122" s="5">
        <f>Info!$B$37</f>
        <v>0</v>
      </c>
      <c r="I122" s="5">
        <f>Info!$B$40</f>
        <v>0</v>
      </c>
      <c r="J122" s="5">
        <f>Info!$B$42</f>
        <v>1</v>
      </c>
      <c r="P122" s="7">
        <f t="shared" si="7"/>
        <v>0.22857142857142859</v>
      </c>
      <c r="Q122" s="7">
        <f t="shared" si="4"/>
        <v>0.1142857142857143</v>
      </c>
      <c r="R122">
        <f t="shared" si="5"/>
        <v>0</v>
      </c>
    </row>
    <row r="123" spans="1:18" x14ac:dyDescent="0.2">
      <c r="A123" t="s">
        <v>350</v>
      </c>
      <c r="B123" s="10" t="s">
        <v>351</v>
      </c>
      <c r="C123" t="s">
        <v>201</v>
      </c>
      <c r="D123" s="5">
        <f>Info!$B$17</f>
        <v>0</v>
      </c>
      <c r="E123" s="5">
        <f>Info!$B$21</f>
        <v>0.3</v>
      </c>
      <c r="F123" s="5">
        <f>Info!$B$26</f>
        <v>0.3</v>
      </c>
      <c r="G123" s="5">
        <f>Info!$B$32</f>
        <v>0</v>
      </c>
      <c r="H123" s="5">
        <f>Info!$B$37</f>
        <v>0</v>
      </c>
      <c r="I123" s="5">
        <f>Info!$B$40</f>
        <v>0</v>
      </c>
      <c r="J123" s="5">
        <f>Info!$B$42</f>
        <v>1</v>
      </c>
      <c r="P123" s="7">
        <f t="shared" si="7"/>
        <v>0.22857142857142859</v>
      </c>
      <c r="Q123" s="7">
        <f t="shared" si="4"/>
        <v>0.1142857142857143</v>
      </c>
      <c r="R123">
        <f t="shared" si="5"/>
        <v>0</v>
      </c>
    </row>
    <row r="124" spans="1:18" x14ac:dyDescent="0.2">
      <c r="A124" t="s">
        <v>352</v>
      </c>
      <c r="B124" s="10" t="s">
        <v>353</v>
      </c>
      <c r="C124" t="s">
        <v>20</v>
      </c>
      <c r="D124" s="5">
        <f>Info!$B$16</f>
        <v>1</v>
      </c>
      <c r="E124" s="5">
        <f>Info!$B$22</f>
        <v>0</v>
      </c>
      <c r="F124" s="5">
        <f>Info!$B$27</f>
        <v>0</v>
      </c>
      <c r="G124" s="5">
        <f>Info!$B$32</f>
        <v>0</v>
      </c>
      <c r="H124" s="5">
        <f>Info!$B$37</f>
        <v>0</v>
      </c>
      <c r="I124" s="5">
        <f>Info!$B$40</f>
        <v>0</v>
      </c>
      <c r="J124" s="5">
        <f>Info!$B$43</f>
        <v>0.5</v>
      </c>
      <c r="P124" s="7">
        <f t="shared" si="7"/>
        <v>0.21428571428571427</v>
      </c>
      <c r="Q124" s="7">
        <f t="shared" si="4"/>
        <v>0.10714285714285714</v>
      </c>
      <c r="R124">
        <f t="shared" si="5"/>
        <v>0</v>
      </c>
    </row>
    <row r="125" spans="1:18" x14ac:dyDescent="0.2">
      <c r="A125" t="s">
        <v>354</v>
      </c>
      <c r="B125" s="10" t="s">
        <v>355</v>
      </c>
      <c r="C125" t="s">
        <v>201</v>
      </c>
      <c r="D125" s="5">
        <f>Info!$B$17</f>
        <v>0</v>
      </c>
      <c r="E125" s="5">
        <f>Info!$B$21</f>
        <v>0.3</v>
      </c>
      <c r="F125" s="5">
        <f>Info!$B$27</f>
        <v>0</v>
      </c>
      <c r="G125" s="5">
        <f>Info!$B$32</f>
        <v>0</v>
      </c>
      <c r="H125" s="5">
        <f>Info!$B$37</f>
        <v>0</v>
      </c>
      <c r="I125" s="5">
        <f>Info!$B$40</f>
        <v>0</v>
      </c>
      <c r="J125" s="5">
        <f>Info!$B$42</f>
        <v>1</v>
      </c>
      <c r="P125" s="7">
        <f t="shared" si="7"/>
        <v>0.18571428571428572</v>
      </c>
      <c r="Q125" s="7">
        <f t="shared" si="4"/>
        <v>9.285714285714286E-2</v>
      </c>
      <c r="R125">
        <f t="shared" si="5"/>
        <v>0</v>
      </c>
    </row>
    <row r="126" spans="1:18" x14ac:dyDescent="0.2">
      <c r="A126" t="s">
        <v>356</v>
      </c>
      <c r="B126" s="10" t="s">
        <v>357</v>
      </c>
      <c r="C126" t="s">
        <v>201</v>
      </c>
      <c r="D126" s="5">
        <f>Info!$B$17</f>
        <v>0</v>
      </c>
      <c r="E126" s="5">
        <f>Info!$B$21</f>
        <v>0.3</v>
      </c>
      <c r="F126" s="5">
        <f>Info!$B$27</f>
        <v>0</v>
      </c>
      <c r="G126" s="5">
        <f>Info!$B$32</f>
        <v>0</v>
      </c>
      <c r="H126" s="5">
        <f>Info!$B$37</f>
        <v>0</v>
      </c>
      <c r="I126" s="5">
        <f>Info!$B$40</f>
        <v>0</v>
      </c>
      <c r="J126" s="5">
        <f>Info!$B$42</f>
        <v>1</v>
      </c>
      <c r="P126" s="7">
        <f t="shared" si="7"/>
        <v>0.18571428571428572</v>
      </c>
      <c r="Q126" s="7">
        <f t="shared" si="4"/>
        <v>9.285714285714286E-2</v>
      </c>
      <c r="R126">
        <f t="shared" si="5"/>
        <v>0</v>
      </c>
    </row>
    <row r="127" spans="1:18" x14ac:dyDescent="0.2">
      <c r="A127" t="s">
        <v>358</v>
      </c>
      <c r="B127" s="10" t="s">
        <v>359</v>
      </c>
      <c r="C127" t="s">
        <v>201</v>
      </c>
      <c r="D127" s="5">
        <f>Info!$B$17</f>
        <v>0</v>
      </c>
      <c r="E127" s="5">
        <f>Info!$B$21</f>
        <v>0.3</v>
      </c>
      <c r="F127" s="5">
        <f>Info!$B$27</f>
        <v>0</v>
      </c>
      <c r="G127" s="5">
        <f>Info!$B$32</f>
        <v>0</v>
      </c>
      <c r="H127" s="5">
        <f>Info!$B$37</f>
        <v>0</v>
      </c>
      <c r="I127" s="5">
        <f>Info!$B$40</f>
        <v>0</v>
      </c>
      <c r="J127" s="5">
        <f>Info!$B$42</f>
        <v>1</v>
      </c>
      <c r="P127" s="7">
        <f t="shared" si="7"/>
        <v>0.18571428571428572</v>
      </c>
      <c r="Q127" s="7">
        <f t="shared" si="4"/>
        <v>9.285714285714286E-2</v>
      </c>
      <c r="R127">
        <f t="shared" si="5"/>
        <v>0</v>
      </c>
    </row>
    <row r="128" spans="1:18" x14ac:dyDescent="0.2">
      <c r="A128" t="s">
        <v>360</v>
      </c>
      <c r="B128" s="10" t="s">
        <v>361</v>
      </c>
      <c r="C128" t="s">
        <v>20</v>
      </c>
      <c r="D128" s="5">
        <f>Info!$B$17</f>
        <v>0</v>
      </c>
      <c r="E128" s="5">
        <f>Info!$B$21</f>
        <v>0.3</v>
      </c>
      <c r="F128" s="5">
        <f>Info!$B$27</f>
        <v>0</v>
      </c>
      <c r="G128" s="5">
        <f>Info!$B$32</f>
        <v>0</v>
      </c>
      <c r="H128" s="5">
        <f>Info!$B$37</f>
        <v>0</v>
      </c>
      <c r="I128" s="5">
        <f>Info!$B$40</f>
        <v>0</v>
      </c>
      <c r="J128" s="5">
        <f>Info!$B$42</f>
        <v>1</v>
      </c>
      <c r="P128" s="7">
        <f t="shared" si="7"/>
        <v>0.18571428571428572</v>
      </c>
      <c r="Q128" s="7">
        <f t="shared" si="4"/>
        <v>9.285714285714286E-2</v>
      </c>
      <c r="R128">
        <f t="shared" si="5"/>
        <v>0</v>
      </c>
    </row>
    <row r="129" spans="1:18" x14ac:dyDescent="0.2">
      <c r="A129" t="s">
        <v>362</v>
      </c>
      <c r="B129" s="10" t="s">
        <v>363</v>
      </c>
      <c r="C129" t="s">
        <v>201</v>
      </c>
      <c r="D129" s="5">
        <f>Info!$B$17</f>
        <v>0</v>
      </c>
      <c r="E129" s="5">
        <f>Info!$B$21</f>
        <v>0.3</v>
      </c>
      <c r="F129" s="5">
        <f>Info!$B$27</f>
        <v>0</v>
      </c>
      <c r="G129" s="5">
        <f>Info!$B$32</f>
        <v>0</v>
      </c>
      <c r="H129" s="5">
        <f>Info!$B$37</f>
        <v>0</v>
      </c>
      <c r="I129" s="5">
        <f>Info!$B$40</f>
        <v>0</v>
      </c>
      <c r="J129" s="5">
        <f>Info!$B$42</f>
        <v>1</v>
      </c>
      <c r="P129" s="7">
        <f t="shared" si="7"/>
        <v>0.18571428571428572</v>
      </c>
      <c r="Q129" s="7">
        <f t="shared" si="4"/>
        <v>9.285714285714286E-2</v>
      </c>
      <c r="R129">
        <f t="shared" si="5"/>
        <v>0</v>
      </c>
    </row>
    <row r="130" spans="1:18" x14ac:dyDescent="0.2">
      <c r="A130" t="s">
        <v>364</v>
      </c>
      <c r="B130" s="10" t="s">
        <v>365</v>
      </c>
      <c r="C130" t="s">
        <v>201</v>
      </c>
      <c r="D130" s="5">
        <f>Info!$B$17</f>
        <v>0</v>
      </c>
      <c r="E130" s="5">
        <f>Info!$B$21</f>
        <v>0.3</v>
      </c>
      <c r="F130" s="5">
        <f>Info!$B$27</f>
        <v>0</v>
      </c>
      <c r="G130" s="5">
        <f>Info!$B$32</f>
        <v>0</v>
      </c>
      <c r="H130" s="5">
        <f>Info!$B$37</f>
        <v>0</v>
      </c>
      <c r="I130" s="5">
        <f>Info!$B$40</f>
        <v>0</v>
      </c>
      <c r="J130" s="5">
        <f>Info!$B$42</f>
        <v>1</v>
      </c>
      <c r="P130" s="7">
        <f t="shared" si="7"/>
        <v>0.18571428571428572</v>
      </c>
      <c r="Q130" s="7">
        <f t="shared" ref="Q130:Q193" si="8">(O130+P130)/2</f>
        <v>9.285714285714286E-2</v>
      </c>
      <c r="R130">
        <f t="shared" ref="R130:R193" si="9">IF(_xlfn.BITAND(P130&gt;0.4999, Q130&gt;0.4999)=1,1,0)</f>
        <v>0</v>
      </c>
    </row>
    <row r="131" spans="1:18" x14ac:dyDescent="0.2">
      <c r="A131" t="s">
        <v>366</v>
      </c>
      <c r="B131" s="10" t="s">
        <v>367</v>
      </c>
      <c r="C131" t="s">
        <v>201</v>
      </c>
      <c r="D131" s="5">
        <f>Info!$B$17</f>
        <v>0</v>
      </c>
      <c r="E131" s="5">
        <f>Info!$B$21</f>
        <v>0.3</v>
      </c>
      <c r="F131" s="5">
        <f>Info!$B$27</f>
        <v>0</v>
      </c>
      <c r="G131" s="5">
        <f>Info!$B$32</f>
        <v>0</v>
      </c>
      <c r="H131" s="5">
        <f>Info!$B$37</f>
        <v>0</v>
      </c>
      <c r="I131" s="5">
        <f>Info!$B$40</f>
        <v>0</v>
      </c>
      <c r="J131" s="5">
        <f>Info!$B$42</f>
        <v>1</v>
      </c>
      <c r="P131" s="7">
        <f t="shared" si="7"/>
        <v>0.18571428571428572</v>
      </c>
      <c r="Q131" s="7">
        <f t="shared" si="8"/>
        <v>9.285714285714286E-2</v>
      </c>
      <c r="R131">
        <f t="shared" si="9"/>
        <v>0</v>
      </c>
    </row>
    <row r="132" spans="1:18" x14ac:dyDescent="0.2">
      <c r="A132" t="s">
        <v>368</v>
      </c>
      <c r="B132" s="10" t="s">
        <v>369</v>
      </c>
      <c r="C132" t="s">
        <v>20</v>
      </c>
      <c r="D132" s="5">
        <f>Info!$B$17</f>
        <v>0</v>
      </c>
      <c r="E132" s="5">
        <f>Info!$B$21</f>
        <v>0.3</v>
      </c>
      <c r="F132" s="5">
        <f>Info!$B$27</f>
        <v>0</v>
      </c>
      <c r="G132" s="5">
        <f>Info!$B$32</f>
        <v>0</v>
      </c>
      <c r="H132" s="5">
        <f>Info!$B$37</f>
        <v>0</v>
      </c>
      <c r="I132" s="5">
        <f>Info!$B$40</f>
        <v>0</v>
      </c>
      <c r="J132" s="5">
        <f>Info!$B$42</f>
        <v>1</v>
      </c>
      <c r="P132" s="7">
        <f t="shared" si="7"/>
        <v>0.18571428571428572</v>
      </c>
      <c r="Q132" s="7">
        <f t="shared" si="8"/>
        <v>9.285714285714286E-2</v>
      </c>
      <c r="R132">
        <f t="shared" si="9"/>
        <v>0</v>
      </c>
    </row>
    <row r="133" spans="1:18" x14ac:dyDescent="0.2">
      <c r="A133" t="s">
        <v>370</v>
      </c>
      <c r="B133" s="10" t="s">
        <v>371</v>
      </c>
      <c r="C133" t="s">
        <v>20</v>
      </c>
      <c r="D133" s="5">
        <f>Info!$B$17</f>
        <v>0</v>
      </c>
      <c r="E133" s="5">
        <f>Info!$B$21</f>
        <v>0.3</v>
      </c>
      <c r="F133" s="5">
        <f>Info!$B$27</f>
        <v>0</v>
      </c>
      <c r="G133" s="5">
        <f>Info!$B$32</f>
        <v>0</v>
      </c>
      <c r="H133" s="5">
        <f>Info!$B$37</f>
        <v>0</v>
      </c>
      <c r="I133" s="5">
        <f>Info!$B$40</f>
        <v>0</v>
      </c>
      <c r="J133" s="5">
        <f>Info!$B$42</f>
        <v>1</v>
      </c>
      <c r="P133" s="7">
        <f t="shared" si="7"/>
        <v>0.18571428571428572</v>
      </c>
      <c r="Q133" s="7">
        <f t="shared" si="8"/>
        <v>9.285714285714286E-2</v>
      </c>
      <c r="R133">
        <f t="shared" si="9"/>
        <v>0</v>
      </c>
    </row>
    <row r="134" spans="1:18" x14ac:dyDescent="0.2">
      <c r="A134" t="s">
        <v>370</v>
      </c>
      <c r="B134" s="10" t="s">
        <v>372</v>
      </c>
      <c r="C134" t="s">
        <v>20</v>
      </c>
      <c r="D134" s="5">
        <f>Info!$B$17</f>
        <v>0</v>
      </c>
      <c r="E134" s="5">
        <f>Info!$B$21</f>
        <v>0.3</v>
      </c>
      <c r="F134" s="5">
        <f>Info!$B$27</f>
        <v>0</v>
      </c>
      <c r="G134" s="5">
        <f>Info!$B$32</f>
        <v>0</v>
      </c>
      <c r="H134" s="5">
        <f>Info!$B$37</f>
        <v>0</v>
      </c>
      <c r="I134" s="5">
        <f>Info!$B$40</f>
        <v>0</v>
      </c>
      <c r="J134" s="5">
        <f>Info!$B$42</f>
        <v>1</v>
      </c>
      <c r="P134" s="7">
        <f t="shared" si="7"/>
        <v>0.18571428571428572</v>
      </c>
      <c r="Q134" s="7">
        <f t="shared" si="8"/>
        <v>9.285714285714286E-2</v>
      </c>
      <c r="R134">
        <f t="shared" si="9"/>
        <v>0</v>
      </c>
    </row>
    <row r="135" spans="1:18" x14ac:dyDescent="0.2">
      <c r="A135" t="s">
        <v>373</v>
      </c>
      <c r="B135" s="10" t="s">
        <v>374</v>
      </c>
      <c r="C135" t="s">
        <v>201</v>
      </c>
      <c r="D135" s="5">
        <f>Info!$B$17</f>
        <v>0</v>
      </c>
      <c r="E135" s="5">
        <f>Info!$B$21</f>
        <v>0.3</v>
      </c>
      <c r="F135" s="5">
        <f>Info!$B$27</f>
        <v>0</v>
      </c>
      <c r="G135" s="5">
        <f>Info!$B$32</f>
        <v>0</v>
      </c>
      <c r="H135" s="5">
        <f>Info!$B$37</f>
        <v>0</v>
      </c>
      <c r="I135" s="5">
        <f>Info!$B$40</f>
        <v>0</v>
      </c>
      <c r="J135" s="5">
        <f>Info!$B$42</f>
        <v>1</v>
      </c>
      <c r="P135" s="7">
        <f t="shared" si="7"/>
        <v>0.18571428571428572</v>
      </c>
      <c r="Q135" s="7">
        <f t="shared" si="8"/>
        <v>9.285714285714286E-2</v>
      </c>
      <c r="R135">
        <f t="shared" si="9"/>
        <v>0</v>
      </c>
    </row>
    <row r="136" spans="1:18" x14ac:dyDescent="0.2">
      <c r="A136" t="s">
        <v>375</v>
      </c>
      <c r="B136" s="10" t="s">
        <v>376</v>
      </c>
      <c r="C136" t="s">
        <v>201</v>
      </c>
      <c r="D136" s="5">
        <f>Info!$B$17</f>
        <v>0</v>
      </c>
      <c r="E136" s="5">
        <f>Info!$B$22</f>
        <v>0</v>
      </c>
      <c r="F136" s="5">
        <f>Info!$B$27</f>
        <v>0</v>
      </c>
      <c r="G136" s="5">
        <f>Info!$B$32</f>
        <v>0</v>
      </c>
      <c r="H136" s="5">
        <f>Info!$B$37</f>
        <v>0</v>
      </c>
      <c r="I136" s="5">
        <f>Info!$B$40</f>
        <v>0</v>
      </c>
      <c r="J136" s="5">
        <f>Info!$B$42</f>
        <v>1</v>
      </c>
      <c r="P136" s="7">
        <f t="shared" si="7"/>
        <v>0.14285714285714285</v>
      </c>
      <c r="Q136" s="7">
        <f t="shared" si="8"/>
        <v>7.1428571428571425E-2</v>
      </c>
      <c r="R136">
        <f t="shared" si="9"/>
        <v>0</v>
      </c>
    </row>
    <row r="137" spans="1:18" x14ac:dyDescent="0.2">
      <c r="A137" t="s">
        <v>377</v>
      </c>
      <c r="B137" s="10" t="s">
        <v>378</v>
      </c>
      <c r="C137" t="s">
        <v>20</v>
      </c>
      <c r="D137" s="5">
        <f>Info!$B$17</f>
        <v>0</v>
      </c>
      <c r="E137" s="5">
        <f>Info!$B$22</f>
        <v>0</v>
      </c>
      <c r="F137" s="5">
        <f>Info!$B$27</f>
        <v>0</v>
      </c>
      <c r="G137" s="5">
        <f>Info!$B$32</f>
        <v>0</v>
      </c>
      <c r="H137" s="5">
        <f>Info!$B$37</f>
        <v>0</v>
      </c>
      <c r="I137" s="5">
        <f>Info!$B$40</f>
        <v>0</v>
      </c>
      <c r="J137" s="5">
        <f>Info!$B$42</f>
        <v>1</v>
      </c>
      <c r="P137" s="7">
        <f t="shared" si="7"/>
        <v>0.14285714285714285</v>
      </c>
      <c r="Q137" s="7">
        <f t="shared" si="8"/>
        <v>7.1428571428571425E-2</v>
      </c>
      <c r="R137">
        <f t="shared" si="9"/>
        <v>0</v>
      </c>
    </row>
    <row r="138" spans="1:18" x14ac:dyDescent="0.2">
      <c r="A138" t="s">
        <v>379</v>
      </c>
      <c r="B138" s="10" t="s">
        <v>380</v>
      </c>
      <c r="C138" t="s">
        <v>201</v>
      </c>
      <c r="D138" s="5">
        <f>Info!$B$17</f>
        <v>0</v>
      </c>
      <c r="E138" s="5">
        <f>Info!$B$22</f>
        <v>0</v>
      </c>
      <c r="F138" s="5">
        <f>Info!$B$27</f>
        <v>0</v>
      </c>
      <c r="G138" s="5">
        <f>Info!$B$32</f>
        <v>0</v>
      </c>
      <c r="H138" s="5">
        <f>Info!$B$37</f>
        <v>0</v>
      </c>
      <c r="I138" s="5">
        <f>Info!$B$40</f>
        <v>0</v>
      </c>
      <c r="J138" s="5">
        <f>Info!$B$42</f>
        <v>1</v>
      </c>
      <c r="P138" s="7">
        <f t="shared" si="7"/>
        <v>0.14285714285714285</v>
      </c>
      <c r="Q138" s="7">
        <f t="shared" si="8"/>
        <v>7.1428571428571425E-2</v>
      </c>
      <c r="R138">
        <f t="shared" si="9"/>
        <v>0</v>
      </c>
    </row>
    <row r="139" spans="1:18" x14ac:dyDescent="0.2">
      <c r="A139" t="s">
        <v>381</v>
      </c>
      <c r="B139" s="10" t="s">
        <v>382</v>
      </c>
      <c r="C139" t="s">
        <v>20</v>
      </c>
      <c r="D139" s="5">
        <f>Info!$B$17</f>
        <v>0</v>
      </c>
      <c r="E139" s="5">
        <f>Info!$B$22</f>
        <v>0</v>
      </c>
      <c r="F139" s="5">
        <f>Info!$B$27</f>
        <v>0</v>
      </c>
      <c r="G139" s="5">
        <f>Info!$B$32</f>
        <v>0</v>
      </c>
      <c r="H139" s="5">
        <f>Info!$B$37</f>
        <v>0</v>
      </c>
      <c r="I139" s="5">
        <f>Info!$B$40</f>
        <v>0</v>
      </c>
      <c r="J139" s="5">
        <f>Info!$B$42</f>
        <v>1</v>
      </c>
      <c r="P139" s="7">
        <f t="shared" si="7"/>
        <v>0.14285714285714285</v>
      </c>
      <c r="Q139" s="7">
        <f t="shared" si="8"/>
        <v>7.1428571428571425E-2</v>
      </c>
      <c r="R139">
        <f t="shared" si="9"/>
        <v>0</v>
      </c>
    </row>
    <row r="140" spans="1:18" x14ac:dyDescent="0.2">
      <c r="A140" t="s">
        <v>383</v>
      </c>
      <c r="B140" s="10" t="s">
        <v>384</v>
      </c>
      <c r="C140" t="s">
        <v>201</v>
      </c>
      <c r="D140" s="5">
        <f>Info!$B$17</f>
        <v>0</v>
      </c>
      <c r="E140" s="5">
        <f>Info!$B$22</f>
        <v>0</v>
      </c>
      <c r="F140" s="5">
        <f>Info!$B$27</f>
        <v>0</v>
      </c>
      <c r="G140" s="5">
        <f>Info!$B$32</f>
        <v>0</v>
      </c>
      <c r="H140" s="5">
        <f>Info!$B$37</f>
        <v>0</v>
      </c>
      <c r="I140" s="5">
        <f>Info!$B$40</f>
        <v>0</v>
      </c>
      <c r="J140" s="5">
        <f>Info!$B$42</f>
        <v>1</v>
      </c>
      <c r="P140" s="7">
        <f t="shared" si="7"/>
        <v>0.14285714285714285</v>
      </c>
      <c r="Q140" s="7">
        <f t="shared" si="8"/>
        <v>7.1428571428571425E-2</v>
      </c>
      <c r="R140">
        <f t="shared" si="9"/>
        <v>0</v>
      </c>
    </row>
    <row r="141" spans="1:18" x14ac:dyDescent="0.2">
      <c r="A141" t="s">
        <v>385</v>
      </c>
      <c r="B141" s="10" t="s">
        <v>386</v>
      </c>
      <c r="C141" t="s">
        <v>20</v>
      </c>
      <c r="D141" s="5">
        <f>Info!$B$17</f>
        <v>0</v>
      </c>
      <c r="E141" s="5">
        <f>Info!$B$22</f>
        <v>0</v>
      </c>
      <c r="F141" s="5">
        <f>Info!$B$27</f>
        <v>0</v>
      </c>
      <c r="G141" s="5">
        <f>Info!$B$32</f>
        <v>0</v>
      </c>
      <c r="H141" s="5">
        <f>Info!$B$37</f>
        <v>0</v>
      </c>
      <c r="I141" s="5">
        <f>Info!$B$40</f>
        <v>0</v>
      </c>
      <c r="J141" s="5">
        <f>Info!$B$42</f>
        <v>1</v>
      </c>
      <c r="P141" s="7">
        <f t="shared" si="7"/>
        <v>0.14285714285714285</v>
      </c>
      <c r="Q141" s="7">
        <f t="shared" si="8"/>
        <v>7.1428571428571425E-2</v>
      </c>
      <c r="R141">
        <f t="shared" si="9"/>
        <v>0</v>
      </c>
    </row>
    <row r="142" spans="1:18" x14ac:dyDescent="0.2">
      <c r="A142" t="s">
        <v>387</v>
      </c>
      <c r="B142" s="10" t="s">
        <v>388</v>
      </c>
      <c r="C142" t="s">
        <v>201</v>
      </c>
      <c r="D142" s="5">
        <f>Info!$B$17</f>
        <v>0</v>
      </c>
      <c r="E142" s="5">
        <f>Info!$B$22</f>
        <v>0</v>
      </c>
      <c r="F142" s="5">
        <f>Info!$B$27</f>
        <v>0</v>
      </c>
      <c r="G142" s="5">
        <f>Info!$B$32</f>
        <v>0</v>
      </c>
      <c r="H142" s="5">
        <f>Info!$B$37</f>
        <v>0</v>
      </c>
      <c r="I142" s="5">
        <f>Info!$B$40</f>
        <v>0</v>
      </c>
      <c r="J142" s="5">
        <f>Info!$B$42</f>
        <v>1</v>
      </c>
      <c r="P142" s="7">
        <f t="shared" si="7"/>
        <v>0.14285714285714285</v>
      </c>
      <c r="Q142" s="7">
        <f t="shared" si="8"/>
        <v>7.1428571428571425E-2</v>
      </c>
      <c r="R142">
        <f t="shared" si="9"/>
        <v>0</v>
      </c>
    </row>
    <row r="143" spans="1:18" x14ac:dyDescent="0.2">
      <c r="A143" t="s">
        <v>389</v>
      </c>
      <c r="B143" s="10" t="s">
        <v>390</v>
      </c>
      <c r="C143" t="s">
        <v>201</v>
      </c>
      <c r="D143" s="5">
        <f>Info!$B$17</f>
        <v>0</v>
      </c>
      <c r="E143" s="5">
        <f>Info!$B$22</f>
        <v>0</v>
      </c>
      <c r="F143" s="5">
        <f>Info!$B$27</f>
        <v>0</v>
      </c>
      <c r="G143" s="5">
        <f>Info!$B$32</f>
        <v>0</v>
      </c>
      <c r="H143" s="5">
        <f>Info!$B$37</f>
        <v>0</v>
      </c>
      <c r="I143" s="5">
        <f>Info!$B$40</f>
        <v>0</v>
      </c>
      <c r="J143" s="5">
        <f>Info!$B$42</f>
        <v>1</v>
      </c>
      <c r="P143" s="7">
        <f t="shared" si="7"/>
        <v>0.14285714285714285</v>
      </c>
      <c r="Q143" s="7">
        <f t="shared" si="8"/>
        <v>7.1428571428571425E-2</v>
      </c>
      <c r="R143">
        <f t="shared" si="9"/>
        <v>0</v>
      </c>
    </row>
    <row r="144" spans="1:18" x14ac:dyDescent="0.2">
      <c r="A144" t="s">
        <v>391</v>
      </c>
      <c r="B144" s="10" t="s">
        <v>392</v>
      </c>
      <c r="C144" t="s">
        <v>201</v>
      </c>
      <c r="D144" s="5">
        <f>Info!$B$17</f>
        <v>0</v>
      </c>
      <c r="E144" s="5">
        <f>Info!$B$22</f>
        <v>0</v>
      </c>
      <c r="F144" s="5">
        <f>Info!$B$27</f>
        <v>0</v>
      </c>
      <c r="G144" s="5">
        <f>Info!$B$32</f>
        <v>0</v>
      </c>
      <c r="H144" s="5">
        <f>Info!$B$37</f>
        <v>0</v>
      </c>
      <c r="I144" s="5">
        <f>Info!$B$40</f>
        <v>0</v>
      </c>
      <c r="J144" s="5">
        <f>Info!$B$42</f>
        <v>1</v>
      </c>
      <c r="P144" s="7">
        <f t="shared" si="7"/>
        <v>0.14285714285714285</v>
      </c>
      <c r="Q144" s="7">
        <f t="shared" si="8"/>
        <v>7.1428571428571425E-2</v>
      </c>
      <c r="R144">
        <f t="shared" si="9"/>
        <v>0</v>
      </c>
    </row>
    <row r="145" spans="1:18" x14ac:dyDescent="0.2">
      <c r="A145" t="s">
        <v>393</v>
      </c>
      <c r="B145" s="10" t="s">
        <v>394</v>
      </c>
      <c r="C145" t="s">
        <v>20</v>
      </c>
      <c r="D145" s="5">
        <f>Info!$B$17</f>
        <v>0</v>
      </c>
      <c r="E145" s="5">
        <f>Info!$B$22</f>
        <v>0</v>
      </c>
      <c r="F145" s="5">
        <f>Info!$B$27</f>
        <v>0</v>
      </c>
      <c r="G145" s="5">
        <f>Info!$B$32</f>
        <v>0</v>
      </c>
      <c r="H145" s="5">
        <f>Info!$B$37</f>
        <v>0</v>
      </c>
      <c r="I145" s="5">
        <f>Info!$B$40</f>
        <v>0</v>
      </c>
      <c r="J145" s="5">
        <f>Info!$B$42</f>
        <v>1</v>
      </c>
      <c r="P145" s="7">
        <f t="shared" si="7"/>
        <v>0.14285714285714285</v>
      </c>
      <c r="Q145" s="7">
        <f t="shared" si="8"/>
        <v>7.1428571428571425E-2</v>
      </c>
      <c r="R145">
        <f t="shared" si="9"/>
        <v>0</v>
      </c>
    </row>
    <row r="146" spans="1:18" x14ac:dyDescent="0.2">
      <c r="A146" t="s">
        <v>395</v>
      </c>
      <c r="B146" s="10" t="s">
        <v>396</v>
      </c>
      <c r="C146" t="s">
        <v>201</v>
      </c>
      <c r="D146" s="5">
        <f>Info!$B$17</f>
        <v>0</v>
      </c>
      <c r="E146" s="5">
        <f>Info!$B$22</f>
        <v>0</v>
      </c>
      <c r="F146" s="5">
        <f>Info!$B$27</f>
        <v>0</v>
      </c>
      <c r="G146" s="5">
        <f>Info!$B$32</f>
        <v>0</v>
      </c>
      <c r="H146" s="5">
        <f>Info!$B$37</f>
        <v>0</v>
      </c>
      <c r="I146" s="5">
        <f>Info!$B$40</f>
        <v>0</v>
      </c>
      <c r="J146" s="5">
        <f>Info!$B$42</f>
        <v>1</v>
      </c>
      <c r="P146" s="7">
        <f t="shared" si="7"/>
        <v>0.14285714285714285</v>
      </c>
      <c r="Q146" s="7">
        <f t="shared" si="8"/>
        <v>7.1428571428571425E-2</v>
      </c>
      <c r="R146">
        <f t="shared" si="9"/>
        <v>0</v>
      </c>
    </row>
    <row r="147" spans="1:18" x14ac:dyDescent="0.2">
      <c r="A147" t="s">
        <v>397</v>
      </c>
      <c r="B147" s="10" t="s">
        <v>398</v>
      </c>
      <c r="C147" t="s">
        <v>20</v>
      </c>
      <c r="D147" s="5">
        <f>Info!$B$17</f>
        <v>0</v>
      </c>
      <c r="E147" s="5">
        <f>Info!$B$22</f>
        <v>0</v>
      </c>
      <c r="F147" s="5">
        <f>Info!$B$27</f>
        <v>0</v>
      </c>
      <c r="G147" s="5">
        <f>Info!$B$32</f>
        <v>0</v>
      </c>
      <c r="H147" s="5">
        <f>Info!$B$37</f>
        <v>0</v>
      </c>
      <c r="I147" s="5">
        <f>Info!$B$40</f>
        <v>0</v>
      </c>
      <c r="J147" s="5">
        <f>Info!$B$42</f>
        <v>1</v>
      </c>
      <c r="P147" s="7">
        <f t="shared" si="7"/>
        <v>0.14285714285714285</v>
      </c>
      <c r="Q147" s="7">
        <f t="shared" si="8"/>
        <v>7.1428571428571425E-2</v>
      </c>
      <c r="R147">
        <f t="shared" si="9"/>
        <v>0</v>
      </c>
    </row>
    <row r="148" spans="1:18" x14ac:dyDescent="0.2">
      <c r="A148" t="s">
        <v>399</v>
      </c>
      <c r="B148" s="10" t="s">
        <v>400</v>
      </c>
      <c r="C148" t="s">
        <v>201</v>
      </c>
      <c r="D148" s="5">
        <f>Info!$B$17</f>
        <v>0</v>
      </c>
      <c r="E148" s="5">
        <f>Info!$B$22</f>
        <v>0</v>
      </c>
      <c r="F148" s="5">
        <f>Info!$B$27</f>
        <v>0</v>
      </c>
      <c r="G148" s="5">
        <f>Info!$B$32</f>
        <v>0</v>
      </c>
      <c r="H148" s="5">
        <f>Info!$B$37</f>
        <v>0</v>
      </c>
      <c r="I148" s="5">
        <f>Info!$B$40</f>
        <v>0</v>
      </c>
      <c r="J148" s="5">
        <f>Info!$B$42</f>
        <v>1</v>
      </c>
      <c r="P148" s="7">
        <f t="shared" si="7"/>
        <v>0.14285714285714285</v>
      </c>
      <c r="Q148" s="7">
        <f t="shared" si="8"/>
        <v>7.1428571428571425E-2</v>
      </c>
      <c r="R148">
        <f t="shared" si="9"/>
        <v>0</v>
      </c>
    </row>
    <row r="149" spans="1:18" x14ac:dyDescent="0.2">
      <c r="A149" t="s">
        <v>401</v>
      </c>
      <c r="B149" s="10" t="s">
        <v>402</v>
      </c>
      <c r="C149" t="s">
        <v>20</v>
      </c>
      <c r="D149" s="5">
        <f>Info!$B$17</f>
        <v>0</v>
      </c>
      <c r="E149" s="5">
        <f>Info!$B$22</f>
        <v>0</v>
      </c>
      <c r="F149" s="5">
        <f>Info!$B$27</f>
        <v>0</v>
      </c>
      <c r="G149" s="5">
        <f>Info!$B$32</f>
        <v>0</v>
      </c>
      <c r="H149" s="5">
        <f>Info!$B$37</f>
        <v>0</v>
      </c>
      <c r="I149" s="5">
        <f>Info!$B$40</f>
        <v>0</v>
      </c>
      <c r="J149" s="5">
        <f>Info!$B$42</f>
        <v>1</v>
      </c>
      <c r="P149" s="7">
        <f t="shared" si="7"/>
        <v>0.14285714285714285</v>
      </c>
      <c r="Q149" s="7">
        <f t="shared" si="8"/>
        <v>7.1428571428571425E-2</v>
      </c>
      <c r="R149">
        <f t="shared" si="9"/>
        <v>0</v>
      </c>
    </row>
    <row r="150" spans="1:18" x14ac:dyDescent="0.2">
      <c r="A150" t="s">
        <v>403</v>
      </c>
      <c r="B150" s="10" t="s">
        <v>404</v>
      </c>
      <c r="C150" t="s">
        <v>20</v>
      </c>
      <c r="D150" s="5">
        <f>Info!$B$17</f>
        <v>0</v>
      </c>
      <c r="E150" s="5">
        <f>Info!$B$22</f>
        <v>0</v>
      </c>
      <c r="F150" s="5">
        <f>Info!$B$27</f>
        <v>0</v>
      </c>
      <c r="G150" s="5">
        <f>Info!$B$32</f>
        <v>0</v>
      </c>
      <c r="H150" s="5">
        <f>Info!$B$37</f>
        <v>0</v>
      </c>
      <c r="I150" s="5">
        <f>Info!$B$40</f>
        <v>0</v>
      </c>
      <c r="J150" s="5">
        <f>Info!$B$42</f>
        <v>1</v>
      </c>
      <c r="P150" s="7">
        <f t="shared" si="7"/>
        <v>0.14285714285714285</v>
      </c>
      <c r="Q150" s="7">
        <f t="shared" si="8"/>
        <v>7.1428571428571425E-2</v>
      </c>
      <c r="R150">
        <f t="shared" si="9"/>
        <v>0</v>
      </c>
    </row>
    <row r="151" spans="1:18" x14ac:dyDescent="0.2">
      <c r="A151" t="s">
        <v>405</v>
      </c>
      <c r="B151" s="10" t="s">
        <v>406</v>
      </c>
      <c r="C151" t="s">
        <v>20</v>
      </c>
      <c r="D151" s="5">
        <f>Info!$B$17</f>
        <v>0</v>
      </c>
      <c r="E151" s="5">
        <f>Info!$B$22</f>
        <v>0</v>
      </c>
      <c r="F151" s="5">
        <f>Info!$B$27</f>
        <v>0</v>
      </c>
      <c r="G151" s="5">
        <f>Info!$B$32</f>
        <v>0</v>
      </c>
      <c r="H151" s="5">
        <f>Info!$B$37</f>
        <v>0</v>
      </c>
      <c r="I151" s="5">
        <f>Info!$B$40</f>
        <v>0</v>
      </c>
      <c r="J151" s="5">
        <f>Info!$B$42</f>
        <v>1</v>
      </c>
      <c r="P151" s="7">
        <f t="shared" si="7"/>
        <v>0.14285714285714285</v>
      </c>
      <c r="Q151" s="7">
        <f t="shared" si="8"/>
        <v>7.1428571428571425E-2</v>
      </c>
      <c r="R151">
        <f t="shared" si="9"/>
        <v>0</v>
      </c>
    </row>
    <row r="152" spans="1:18" x14ac:dyDescent="0.2">
      <c r="A152" t="s">
        <v>407</v>
      </c>
      <c r="B152" s="10" t="s">
        <v>408</v>
      </c>
      <c r="C152" t="s">
        <v>20</v>
      </c>
      <c r="D152" s="5">
        <f>Info!$B$17</f>
        <v>0</v>
      </c>
      <c r="E152" s="5">
        <f>Info!$B$22</f>
        <v>0</v>
      </c>
      <c r="F152" s="5">
        <f>Info!$B$27</f>
        <v>0</v>
      </c>
      <c r="G152" s="5">
        <f>Info!$B$32</f>
        <v>0</v>
      </c>
      <c r="H152" s="5">
        <f>Info!$B$37</f>
        <v>0</v>
      </c>
      <c r="I152" s="5">
        <f>Info!$B$40</f>
        <v>0</v>
      </c>
      <c r="J152" s="5">
        <f>Info!$B$42</f>
        <v>1</v>
      </c>
      <c r="P152" s="7">
        <f t="shared" si="7"/>
        <v>0.14285714285714285</v>
      </c>
      <c r="Q152" s="7">
        <f t="shared" si="8"/>
        <v>7.1428571428571425E-2</v>
      </c>
      <c r="R152">
        <f t="shared" si="9"/>
        <v>0</v>
      </c>
    </row>
    <row r="153" spans="1:18" x14ac:dyDescent="0.2">
      <c r="A153" t="s">
        <v>409</v>
      </c>
      <c r="B153" s="10" t="s">
        <v>410</v>
      </c>
      <c r="C153" t="s">
        <v>20</v>
      </c>
      <c r="D153" s="5">
        <f>Info!$B$17</f>
        <v>0</v>
      </c>
      <c r="E153" s="5">
        <f>Info!$B$22</f>
        <v>0</v>
      </c>
      <c r="F153" s="5">
        <f>Info!$B$27</f>
        <v>0</v>
      </c>
      <c r="G153" s="5">
        <f>Info!$B$32</f>
        <v>0</v>
      </c>
      <c r="H153" s="5">
        <f>Info!$B$37</f>
        <v>0</v>
      </c>
      <c r="I153" s="5">
        <f>Info!$B$40</f>
        <v>0</v>
      </c>
      <c r="J153" s="5">
        <f>Info!$B$42</f>
        <v>1</v>
      </c>
      <c r="P153" s="7">
        <f t="shared" si="7"/>
        <v>0.14285714285714285</v>
      </c>
      <c r="Q153" s="7">
        <f t="shared" si="8"/>
        <v>7.1428571428571425E-2</v>
      </c>
      <c r="R153">
        <f t="shared" si="9"/>
        <v>0</v>
      </c>
    </row>
    <row r="154" spans="1:18" x14ac:dyDescent="0.2">
      <c r="A154" t="s">
        <v>411</v>
      </c>
      <c r="B154" s="10" t="s">
        <v>412</v>
      </c>
      <c r="C154" t="s">
        <v>201</v>
      </c>
      <c r="D154" s="5">
        <f>Info!$B$17</f>
        <v>0</v>
      </c>
      <c r="E154" s="5">
        <f>Info!$B$22</f>
        <v>0</v>
      </c>
      <c r="F154" s="5">
        <f>Info!$B$27</f>
        <v>0</v>
      </c>
      <c r="G154" s="5">
        <f>Info!$B$32</f>
        <v>0</v>
      </c>
      <c r="H154" s="5">
        <f>Info!$B$37</f>
        <v>0</v>
      </c>
      <c r="I154" s="5">
        <f>Info!$B$40</f>
        <v>0</v>
      </c>
      <c r="J154" s="5">
        <f>Info!$B$42</f>
        <v>1</v>
      </c>
      <c r="P154" s="7">
        <f t="shared" si="7"/>
        <v>0.14285714285714285</v>
      </c>
      <c r="Q154" s="7">
        <f t="shared" si="8"/>
        <v>7.1428571428571425E-2</v>
      </c>
      <c r="R154">
        <f t="shared" si="9"/>
        <v>0</v>
      </c>
    </row>
    <row r="155" spans="1:18" x14ac:dyDescent="0.2">
      <c r="A155" t="s">
        <v>413</v>
      </c>
      <c r="B155" s="10" t="s">
        <v>414</v>
      </c>
      <c r="C155" t="s">
        <v>201</v>
      </c>
      <c r="D155" s="5">
        <f>Info!$B$17</f>
        <v>0</v>
      </c>
      <c r="E155" s="5">
        <f>Info!$B$22</f>
        <v>0</v>
      </c>
      <c r="F155" s="5">
        <f>Info!$B$27</f>
        <v>0</v>
      </c>
      <c r="G155" s="5">
        <f>Info!$B$32</f>
        <v>0</v>
      </c>
      <c r="H155" s="5">
        <f>Info!$B$37</f>
        <v>0</v>
      </c>
      <c r="I155" s="5">
        <f>Info!$B$40</f>
        <v>0</v>
      </c>
      <c r="J155" s="5">
        <f>Info!$B$42</f>
        <v>1</v>
      </c>
      <c r="P155" s="7">
        <f t="shared" si="7"/>
        <v>0.14285714285714285</v>
      </c>
      <c r="Q155" s="7">
        <f t="shared" si="8"/>
        <v>7.1428571428571425E-2</v>
      </c>
      <c r="R155">
        <f t="shared" si="9"/>
        <v>0</v>
      </c>
    </row>
    <row r="156" spans="1:18" x14ac:dyDescent="0.2">
      <c r="A156" t="s">
        <v>415</v>
      </c>
      <c r="B156" s="10" t="s">
        <v>416</v>
      </c>
      <c r="C156" t="s">
        <v>20</v>
      </c>
      <c r="D156" s="5">
        <f>Info!$B$17</f>
        <v>0</v>
      </c>
      <c r="E156" s="5">
        <f>Info!$B$22</f>
        <v>0</v>
      </c>
      <c r="F156" s="5">
        <f>Info!$B$27</f>
        <v>0</v>
      </c>
      <c r="G156" s="5">
        <f>Info!$B$32</f>
        <v>0</v>
      </c>
      <c r="H156" s="5">
        <f>Info!$B$37</f>
        <v>0</v>
      </c>
      <c r="I156" s="5">
        <f>Info!$B$40</f>
        <v>0</v>
      </c>
      <c r="J156" s="5">
        <f>Info!$B$42</f>
        <v>1</v>
      </c>
      <c r="P156" s="7">
        <f t="shared" si="7"/>
        <v>0.14285714285714285</v>
      </c>
      <c r="Q156" s="7">
        <f t="shared" si="8"/>
        <v>7.1428571428571425E-2</v>
      </c>
      <c r="R156">
        <f t="shared" si="9"/>
        <v>0</v>
      </c>
    </row>
    <row r="157" spans="1:18" x14ac:dyDescent="0.2">
      <c r="A157" t="s">
        <v>417</v>
      </c>
      <c r="B157" s="10" t="s">
        <v>418</v>
      </c>
      <c r="C157" t="s">
        <v>20</v>
      </c>
      <c r="D157" s="5">
        <f>Info!$B$17</f>
        <v>0</v>
      </c>
      <c r="E157" s="5">
        <f>Info!$B$22</f>
        <v>0</v>
      </c>
      <c r="F157" s="5">
        <f>Info!$B$27</f>
        <v>0</v>
      </c>
      <c r="G157" s="5">
        <f>Info!$B$32</f>
        <v>0</v>
      </c>
      <c r="H157" s="5">
        <f>Info!$B$37</f>
        <v>0</v>
      </c>
      <c r="I157" s="5">
        <f>Info!$B$40</f>
        <v>0</v>
      </c>
      <c r="J157" s="5">
        <f>Info!$B$42</f>
        <v>1</v>
      </c>
      <c r="P157" s="7">
        <f t="shared" si="7"/>
        <v>0.14285714285714285</v>
      </c>
      <c r="Q157" s="7">
        <f t="shared" si="8"/>
        <v>7.1428571428571425E-2</v>
      </c>
      <c r="R157">
        <f t="shared" si="9"/>
        <v>0</v>
      </c>
    </row>
    <row r="158" spans="1:18" x14ac:dyDescent="0.2">
      <c r="A158" t="s">
        <v>419</v>
      </c>
      <c r="B158" s="10" t="s">
        <v>420</v>
      </c>
      <c r="C158" t="s">
        <v>201</v>
      </c>
      <c r="D158" s="5">
        <f>Info!$B$17</f>
        <v>0</v>
      </c>
      <c r="E158" s="5">
        <f>Info!$B$22</f>
        <v>0</v>
      </c>
      <c r="F158" s="5">
        <f>Info!$B$27</f>
        <v>0</v>
      </c>
      <c r="G158" s="5">
        <f>Info!$B$32</f>
        <v>0</v>
      </c>
      <c r="H158" s="5">
        <f>Info!$B$37</f>
        <v>0</v>
      </c>
      <c r="I158" s="5">
        <f>Info!$B$40</f>
        <v>0</v>
      </c>
      <c r="J158" s="5">
        <f>Info!$B$42</f>
        <v>1</v>
      </c>
      <c r="P158" s="7">
        <f t="shared" si="7"/>
        <v>0.14285714285714285</v>
      </c>
      <c r="Q158" s="7">
        <f t="shared" si="8"/>
        <v>7.1428571428571425E-2</v>
      </c>
      <c r="R158">
        <f t="shared" si="9"/>
        <v>0</v>
      </c>
    </row>
    <row r="159" spans="1:18" x14ac:dyDescent="0.2">
      <c r="A159" t="s">
        <v>421</v>
      </c>
      <c r="B159" s="10" t="s">
        <v>422</v>
      </c>
      <c r="C159" t="s">
        <v>20</v>
      </c>
      <c r="D159" s="5">
        <f>Info!$B$17</f>
        <v>0</v>
      </c>
      <c r="E159" s="5">
        <f>Info!$B$22</f>
        <v>0</v>
      </c>
      <c r="F159" s="5">
        <f>Info!$B$27</f>
        <v>0</v>
      </c>
      <c r="G159" s="5">
        <f>Info!$B$32</f>
        <v>0</v>
      </c>
      <c r="H159" s="5">
        <f>Info!$B$37</f>
        <v>0</v>
      </c>
      <c r="I159" s="5">
        <f>Info!$B$40</f>
        <v>0</v>
      </c>
      <c r="J159" s="5">
        <f>Info!$B$42</f>
        <v>1</v>
      </c>
      <c r="P159" s="7">
        <f t="shared" si="7"/>
        <v>0.14285714285714285</v>
      </c>
      <c r="Q159" s="7">
        <f t="shared" si="8"/>
        <v>7.1428571428571425E-2</v>
      </c>
      <c r="R159">
        <f t="shared" si="9"/>
        <v>0</v>
      </c>
    </row>
    <row r="160" spans="1:18" x14ac:dyDescent="0.2">
      <c r="A160" t="s">
        <v>423</v>
      </c>
      <c r="B160" s="10" t="s">
        <v>424</v>
      </c>
      <c r="C160" t="s">
        <v>20</v>
      </c>
      <c r="D160" s="5">
        <f>Info!$B$17</f>
        <v>0</v>
      </c>
      <c r="E160" s="5">
        <f>Info!$B$22</f>
        <v>0</v>
      </c>
      <c r="F160" s="5">
        <f>Info!$B$27</f>
        <v>0</v>
      </c>
      <c r="G160" s="5">
        <f>Info!$B$32</f>
        <v>0</v>
      </c>
      <c r="H160" s="5">
        <f>Info!$B$37</f>
        <v>0</v>
      </c>
      <c r="I160" s="5">
        <f>Info!$B$40</f>
        <v>0</v>
      </c>
      <c r="J160" s="5">
        <f>Info!$B$42</f>
        <v>1</v>
      </c>
      <c r="P160" s="7">
        <f t="shared" si="7"/>
        <v>0.14285714285714285</v>
      </c>
      <c r="Q160" s="7">
        <f t="shared" si="8"/>
        <v>7.1428571428571425E-2</v>
      </c>
      <c r="R160">
        <f t="shared" si="9"/>
        <v>0</v>
      </c>
    </row>
    <row r="161" spans="1:18" x14ac:dyDescent="0.2">
      <c r="A161" t="s">
        <v>425</v>
      </c>
      <c r="B161" s="10" t="s">
        <v>426</v>
      </c>
      <c r="C161" t="s">
        <v>201</v>
      </c>
      <c r="D161" s="5">
        <f>Info!$B$17</f>
        <v>0</v>
      </c>
      <c r="E161" s="5">
        <f>Info!$B$22</f>
        <v>0</v>
      </c>
      <c r="F161" s="5">
        <f>Info!$B$27</f>
        <v>0</v>
      </c>
      <c r="G161" s="5">
        <f>Info!$B$32</f>
        <v>0</v>
      </c>
      <c r="H161" s="5">
        <f>Info!$B$37</f>
        <v>0</v>
      </c>
      <c r="I161" s="5">
        <f>Info!$B$40</f>
        <v>0</v>
      </c>
      <c r="J161" s="5">
        <f>Info!$B$42</f>
        <v>1</v>
      </c>
      <c r="P161" s="7">
        <f t="shared" si="7"/>
        <v>0.14285714285714285</v>
      </c>
      <c r="Q161" s="7">
        <f t="shared" si="8"/>
        <v>7.1428571428571425E-2</v>
      </c>
      <c r="R161">
        <f t="shared" si="9"/>
        <v>0</v>
      </c>
    </row>
    <row r="162" spans="1:18" x14ac:dyDescent="0.2">
      <c r="A162" t="s">
        <v>427</v>
      </c>
      <c r="B162" s="10" t="s">
        <v>428</v>
      </c>
      <c r="C162" t="s">
        <v>201</v>
      </c>
      <c r="D162" s="5">
        <f>Info!$B$17</f>
        <v>0</v>
      </c>
      <c r="E162" s="5">
        <f>Info!$B$22</f>
        <v>0</v>
      </c>
      <c r="F162" s="5">
        <f>Info!$B$27</f>
        <v>0</v>
      </c>
      <c r="G162" s="5">
        <f>Info!$B$32</f>
        <v>0</v>
      </c>
      <c r="H162" s="5">
        <f>Info!$B$37</f>
        <v>0</v>
      </c>
      <c r="I162" s="5">
        <f>Info!$B$40</f>
        <v>0</v>
      </c>
      <c r="J162" s="5">
        <f>Info!$B$42</f>
        <v>1</v>
      </c>
      <c r="P162" s="7">
        <f t="shared" si="7"/>
        <v>0.14285714285714285</v>
      </c>
      <c r="Q162" s="7">
        <f t="shared" si="8"/>
        <v>7.1428571428571425E-2</v>
      </c>
      <c r="R162">
        <f t="shared" si="9"/>
        <v>0</v>
      </c>
    </row>
    <row r="163" spans="1:18" x14ac:dyDescent="0.2">
      <c r="A163" t="s">
        <v>429</v>
      </c>
      <c r="B163" s="10" t="s">
        <v>430</v>
      </c>
      <c r="C163" t="s">
        <v>201</v>
      </c>
      <c r="D163" s="5">
        <f>Info!$B$17</f>
        <v>0</v>
      </c>
      <c r="E163" s="5">
        <f>Info!$B$22</f>
        <v>0</v>
      </c>
      <c r="F163" s="5">
        <f>Info!$B$27</f>
        <v>0</v>
      </c>
      <c r="G163" s="5">
        <f>Info!$B$32</f>
        <v>0</v>
      </c>
      <c r="H163" s="5">
        <f>Info!$B$37</f>
        <v>0</v>
      </c>
      <c r="I163" s="5">
        <f>Info!$B$40</f>
        <v>0</v>
      </c>
      <c r="J163" s="5">
        <f>Info!$B$42</f>
        <v>1</v>
      </c>
      <c r="P163" s="7">
        <f t="shared" si="7"/>
        <v>0.14285714285714285</v>
      </c>
      <c r="Q163" s="7">
        <f t="shared" si="8"/>
        <v>7.1428571428571425E-2</v>
      </c>
      <c r="R163">
        <f t="shared" si="9"/>
        <v>0</v>
      </c>
    </row>
    <row r="164" spans="1:18" x14ac:dyDescent="0.2">
      <c r="A164" t="s">
        <v>431</v>
      </c>
      <c r="B164" s="10" t="s">
        <v>432</v>
      </c>
      <c r="C164" t="s">
        <v>20</v>
      </c>
      <c r="D164" s="5">
        <f>Info!$B$17</f>
        <v>0</v>
      </c>
      <c r="E164" s="5">
        <f>Info!$B$22</f>
        <v>0</v>
      </c>
      <c r="F164" s="5">
        <f>Info!$B$27</f>
        <v>0</v>
      </c>
      <c r="G164" s="5">
        <f>Info!$B$32</f>
        <v>0</v>
      </c>
      <c r="H164" s="5">
        <f>Info!$B$37</f>
        <v>0</v>
      </c>
      <c r="I164" s="5">
        <f>Info!$B$40</f>
        <v>0</v>
      </c>
      <c r="J164" s="5">
        <f>Info!$B$42</f>
        <v>1</v>
      </c>
      <c r="P164" s="7">
        <f t="shared" si="7"/>
        <v>0.14285714285714285</v>
      </c>
      <c r="Q164" s="7">
        <f t="shared" si="8"/>
        <v>7.1428571428571425E-2</v>
      </c>
      <c r="R164">
        <f t="shared" si="9"/>
        <v>0</v>
      </c>
    </row>
    <row r="165" spans="1:18" x14ac:dyDescent="0.2">
      <c r="A165" t="s">
        <v>433</v>
      </c>
      <c r="B165" s="10" t="s">
        <v>434</v>
      </c>
      <c r="C165" t="s">
        <v>201</v>
      </c>
      <c r="D165" s="5">
        <f>Info!$B$17</f>
        <v>0</v>
      </c>
      <c r="E165" s="5">
        <f>Info!$B$22</f>
        <v>0</v>
      </c>
      <c r="F165" s="5">
        <f>Info!$B$27</f>
        <v>0</v>
      </c>
      <c r="G165" s="5">
        <f>Info!$B$32</f>
        <v>0</v>
      </c>
      <c r="H165" s="5">
        <f>Info!$B$37</f>
        <v>0</v>
      </c>
      <c r="I165" s="5">
        <f>Info!$B$40</f>
        <v>0</v>
      </c>
      <c r="J165" s="5">
        <f>Info!$B$42</f>
        <v>1</v>
      </c>
      <c r="P165" s="7">
        <f t="shared" si="7"/>
        <v>0.14285714285714285</v>
      </c>
      <c r="Q165" s="7">
        <f t="shared" si="8"/>
        <v>7.1428571428571425E-2</v>
      </c>
      <c r="R165">
        <f t="shared" si="9"/>
        <v>0</v>
      </c>
    </row>
    <row r="166" spans="1:18" x14ac:dyDescent="0.2">
      <c r="A166" t="s">
        <v>435</v>
      </c>
      <c r="B166" s="10" t="s">
        <v>436</v>
      </c>
      <c r="C166" t="s">
        <v>201</v>
      </c>
      <c r="D166" s="5">
        <f>Info!$B$17</f>
        <v>0</v>
      </c>
      <c r="E166" s="5">
        <f>Info!$B$22</f>
        <v>0</v>
      </c>
      <c r="F166" s="5">
        <f>Info!$B$27</f>
        <v>0</v>
      </c>
      <c r="G166" s="5">
        <f>Info!$B$32</f>
        <v>0</v>
      </c>
      <c r="H166" s="5">
        <f>Info!$B$37</f>
        <v>0</v>
      </c>
      <c r="I166" s="5">
        <f>Info!$B$40</f>
        <v>0</v>
      </c>
      <c r="J166" s="5">
        <f>Info!$B$42</f>
        <v>1</v>
      </c>
      <c r="P166" s="7">
        <f t="shared" si="7"/>
        <v>0.14285714285714285</v>
      </c>
      <c r="Q166" s="7">
        <f t="shared" si="8"/>
        <v>7.1428571428571425E-2</v>
      </c>
      <c r="R166">
        <f t="shared" si="9"/>
        <v>0</v>
      </c>
    </row>
    <row r="167" spans="1:18" x14ac:dyDescent="0.2">
      <c r="A167" t="s">
        <v>437</v>
      </c>
      <c r="B167" s="10" t="s">
        <v>438</v>
      </c>
      <c r="C167" t="s">
        <v>20</v>
      </c>
      <c r="D167" s="5">
        <f>Info!$B$17</f>
        <v>0</v>
      </c>
      <c r="E167" s="5">
        <f>Info!$B$22</f>
        <v>0</v>
      </c>
      <c r="F167" s="5">
        <f>Info!$B$27</f>
        <v>0</v>
      </c>
      <c r="G167" s="5">
        <f>Info!$B$32</f>
        <v>0</v>
      </c>
      <c r="H167" s="5">
        <f>Info!$B$37</f>
        <v>0</v>
      </c>
      <c r="I167" s="5">
        <f>Info!$B$40</f>
        <v>0</v>
      </c>
      <c r="J167" s="5">
        <f>Info!$B$42</f>
        <v>1</v>
      </c>
      <c r="P167" s="7">
        <f t="shared" si="7"/>
        <v>0.14285714285714285</v>
      </c>
      <c r="Q167" s="7">
        <f t="shared" si="8"/>
        <v>7.1428571428571425E-2</v>
      </c>
      <c r="R167">
        <f t="shared" si="9"/>
        <v>0</v>
      </c>
    </row>
    <row r="168" spans="1:18" x14ac:dyDescent="0.2">
      <c r="A168" t="s">
        <v>439</v>
      </c>
      <c r="B168" s="10" t="s">
        <v>440</v>
      </c>
      <c r="C168" t="s">
        <v>20</v>
      </c>
      <c r="D168" s="5">
        <f>Info!$B$17</f>
        <v>0</v>
      </c>
      <c r="E168" s="5">
        <f>Info!$B$22</f>
        <v>0</v>
      </c>
      <c r="F168" s="5">
        <f>Info!$B$27</f>
        <v>0</v>
      </c>
      <c r="G168" s="5">
        <f>Info!$B$32</f>
        <v>0</v>
      </c>
      <c r="H168" s="5">
        <f>Info!$B$37</f>
        <v>0</v>
      </c>
      <c r="I168" s="5">
        <f>Info!$B$40</f>
        <v>0</v>
      </c>
      <c r="J168" s="5">
        <f>Info!$B$42</f>
        <v>1</v>
      </c>
      <c r="P168" s="7">
        <f t="shared" si="7"/>
        <v>0.14285714285714285</v>
      </c>
      <c r="Q168" s="7">
        <f t="shared" si="8"/>
        <v>7.1428571428571425E-2</v>
      </c>
      <c r="R168">
        <f t="shared" si="9"/>
        <v>0</v>
      </c>
    </row>
    <row r="169" spans="1:18" x14ac:dyDescent="0.2">
      <c r="A169" t="s">
        <v>441</v>
      </c>
      <c r="B169" s="10" t="s">
        <v>442</v>
      </c>
      <c r="C169" t="s">
        <v>201</v>
      </c>
      <c r="D169" s="5">
        <f>Info!$B$17</f>
        <v>0</v>
      </c>
      <c r="E169" s="5">
        <f>Info!$B$22</f>
        <v>0</v>
      </c>
      <c r="F169" s="5">
        <f>Info!$B$27</f>
        <v>0</v>
      </c>
      <c r="G169" s="5">
        <f>Info!$B$32</f>
        <v>0</v>
      </c>
      <c r="H169" s="5">
        <f>Info!$B$37</f>
        <v>0</v>
      </c>
      <c r="I169" s="5">
        <f>Info!$B$40</f>
        <v>0</v>
      </c>
      <c r="J169" s="5">
        <f>Info!$B$42</f>
        <v>1</v>
      </c>
      <c r="P169" s="7">
        <f t="shared" si="7"/>
        <v>0.14285714285714285</v>
      </c>
      <c r="Q169" s="7">
        <f t="shared" si="8"/>
        <v>7.1428571428571425E-2</v>
      </c>
      <c r="R169">
        <f t="shared" si="9"/>
        <v>0</v>
      </c>
    </row>
    <row r="170" spans="1:18" x14ac:dyDescent="0.2">
      <c r="A170" t="s">
        <v>443</v>
      </c>
      <c r="B170" s="10" t="s">
        <v>444</v>
      </c>
      <c r="C170" t="s">
        <v>201</v>
      </c>
      <c r="D170" s="5">
        <f>Info!$B$17</f>
        <v>0</v>
      </c>
      <c r="E170" s="5">
        <f>Info!$B$22</f>
        <v>0</v>
      </c>
      <c r="F170" s="5">
        <f>Info!$B$27</f>
        <v>0</v>
      </c>
      <c r="G170" s="5">
        <f>Info!$B$32</f>
        <v>0</v>
      </c>
      <c r="H170" s="5">
        <f>Info!$B$37</f>
        <v>0</v>
      </c>
      <c r="I170" s="5">
        <f>Info!$B$40</f>
        <v>0</v>
      </c>
      <c r="J170" s="5">
        <f>Info!$B$42</f>
        <v>1</v>
      </c>
      <c r="P170" s="7">
        <f t="shared" si="7"/>
        <v>0.14285714285714285</v>
      </c>
      <c r="Q170" s="7">
        <f t="shared" si="8"/>
        <v>7.1428571428571425E-2</v>
      </c>
      <c r="R170">
        <f t="shared" si="9"/>
        <v>0</v>
      </c>
    </row>
    <row r="171" spans="1:18" x14ac:dyDescent="0.2">
      <c r="A171" t="s">
        <v>445</v>
      </c>
      <c r="B171" s="10" t="s">
        <v>446</v>
      </c>
      <c r="C171" t="s">
        <v>20</v>
      </c>
      <c r="D171" s="5">
        <f>Info!$B$17</f>
        <v>0</v>
      </c>
      <c r="E171" s="5">
        <f>Info!$B$22</f>
        <v>0</v>
      </c>
      <c r="F171" s="5">
        <f>Info!$B$27</f>
        <v>0</v>
      </c>
      <c r="G171" s="5">
        <f>Info!$B$32</f>
        <v>0</v>
      </c>
      <c r="H171" s="5">
        <f>Info!$B$37</f>
        <v>0</v>
      </c>
      <c r="I171" s="5">
        <f>Info!$B$40</f>
        <v>0</v>
      </c>
      <c r="J171" s="5">
        <f>Info!$B$42</f>
        <v>1</v>
      </c>
      <c r="P171" s="7">
        <f t="shared" si="7"/>
        <v>0.14285714285714285</v>
      </c>
      <c r="Q171" s="7">
        <f t="shared" si="8"/>
        <v>7.1428571428571425E-2</v>
      </c>
      <c r="R171">
        <f t="shared" si="9"/>
        <v>0</v>
      </c>
    </row>
    <row r="172" spans="1:18" x14ac:dyDescent="0.2">
      <c r="A172" t="s">
        <v>447</v>
      </c>
      <c r="B172" s="10" t="s">
        <v>448</v>
      </c>
      <c r="C172" t="s">
        <v>20</v>
      </c>
      <c r="D172" s="5">
        <f>Info!$B$17</f>
        <v>0</v>
      </c>
      <c r="E172" s="5">
        <f>Info!$B$22</f>
        <v>0</v>
      </c>
      <c r="F172" s="5">
        <f>Info!$B$27</f>
        <v>0</v>
      </c>
      <c r="G172" s="5">
        <f>Info!$B$32</f>
        <v>0</v>
      </c>
      <c r="H172" s="5">
        <f>Info!$B$37</f>
        <v>0</v>
      </c>
      <c r="I172" s="5">
        <f>Info!$B$40</f>
        <v>0</v>
      </c>
      <c r="J172" s="5">
        <f>Info!$B$42</f>
        <v>1</v>
      </c>
      <c r="P172" s="7">
        <f t="shared" si="7"/>
        <v>0.14285714285714285</v>
      </c>
      <c r="Q172" s="7">
        <f t="shared" si="8"/>
        <v>7.1428571428571425E-2</v>
      </c>
      <c r="R172">
        <f t="shared" si="9"/>
        <v>0</v>
      </c>
    </row>
    <row r="173" spans="1:18" x14ac:dyDescent="0.2">
      <c r="A173" t="s">
        <v>449</v>
      </c>
      <c r="B173" s="10" t="s">
        <v>450</v>
      </c>
      <c r="C173" t="s">
        <v>201</v>
      </c>
      <c r="D173" s="5">
        <f>Info!$B$17</f>
        <v>0</v>
      </c>
      <c r="E173" s="5">
        <f>Info!$B$22</f>
        <v>0</v>
      </c>
      <c r="F173" s="5">
        <f>Info!$B$27</f>
        <v>0</v>
      </c>
      <c r="G173" s="5">
        <f>Info!$B$32</f>
        <v>0</v>
      </c>
      <c r="H173" s="5">
        <f>Info!$B$37</f>
        <v>0</v>
      </c>
      <c r="I173" s="5">
        <f>Info!$B$40</f>
        <v>0</v>
      </c>
      <c r="J173" s="5">
        <f>Info!$B$42</f>
        <v>1</v>
      </c>
      <c r="P173" s="7">
        <f t="shared" si="7"/>
        <v>0.14285714285714285</v>
      </c>
      <c r="Q173" s="7">
        <f t="shared" si="8"/>
        <v>7.1428571428571425E-2</v>
      </c>
      <c r="R173">
        <f t="shared" si="9"/>
        <v>0</v>
      </c>
    </row>
    <row r="174" spans="1:18" x14ac:dyDescent="0.2">
      <c r="A174" t="s">
        <v>451</v>
      </c>
      <c r="B174" s="10" t="s">
        <v>452</v>
      </c>
      <c r="C174" t="s">
        <v>201</v>
      </c>
      <c r="D174" s="5">
        <f>Info!$B$17</f>
        <v>0</v>
      </c>
      <c r="E174" s="5">
        <f>Info!$B$22</f>
        <v>0</v>
      </c>
      <c r="F174" s="5">
        <f>Info!$B$27</f>
        <v>0</v>
      </c>
      <c r="G174" s="5">
        <f>Info!$B$32</f>
        <v>0</v>
      </c>
      <c r="H174" s="5">
        <f>Info!$B$37</f>
        <v>0</v>
      </c>
      <c r="I174" s="5">
        <f>Info!$B$40</f>
        <v>0</v>
      </c>
      <c r="J174" s="5">
        <f>Info!$B$42</f>
        <v>1</v>
      </c>
      <c r="P174" s="7">
        <f t="shared" ref="P174:P237" si="10">(D174+E174+F174+G174+H174+I174+J174)/7</f>
        <v>0.14285714285714285</v>
      </c>
      <c r="Q174" s="7">
        <f t="shared" si="8"/>
        <v>7.1428571428571425E-2</v>
      </c>
      <c r="R174">
        <f t="shared" si="9"/>
        <v>0</v>
      </c>
    </row>
    <row r="175" spans="1:18" x14ac:dyDescent="0.2">
      <c r="A175" t="s">
        <v>453</v>
      </c>
      <c r="B175" s="10" t="s">
        <v>454</v>
      </c>
      <c r="C175" t="s">
        <v>20</v>
      </c>
      <c r="D175" s="5">
        <f>Info!$B$17</f>
        <v>0</v>
      </c>
      <c r="E175" s="5">
        <f>Info!$B$22</f>
        <v>0</v>
      </c>
      <c r="F175" s="5">
        <f>Info!$B$27</f>
        <v>0</v>
      </c>
      <c r="G175" s="5">
        <f>Info!$B$32</f>
        <v>0</v>
      </c>
      <c r="H175" s="5">
        <f>Info!$B$37</f>
        <v>0</v>
      </c>
      <c r="I175" s="5">
        <f>Info!$B$40</f>
        <v>0</v>
      </c>
      <c r="J175" s="5">
        <f>Info!$B$42</f>
        <v>1</v>
      </c>
      <c r="P175" s="7">
        <f t="shared" si="10"/>
        <v>0.14285714285714285</v>
      </c>
      <c r="Q175" s="7">
        <f t="shared" si="8"/>
        <v>7.1428571428571425E-2</v>
      </c>
      <c r="R175">
        <f t="shared" si="9"/>
        <v>0</v>
      </c>
    </row>
    <row r="176" spans="1:18" x14ac:dyDescent="0.2">
      <c r="A176" t="s">
        <v>397</v>
      </c>
      <c r="B176" s="10" t="s">
        <v>455</v>
      </c>
      <c r="C176" t="s">
        <v>20</v>
      </c>
      <c r="D176" s="5">
        <f>Info!$B$17</f>
        <v>0</v>
      </c>
      <c r="E176" s="5">
        <f>Info!$B$22</f>
        <v>0</v>
      </c>
      <c r="F176" s="5">
        <f>Info!$B$27</f>
        <v>0</v>
      </c>
      <c r="G176" s="5">
        <f>Info!$B$32</f>
        <v>0</v>
      </c>
      <c r="H176" s="5">
        <f>Info!$B$37</f>
        <v>0</v>
      </c>
      <c r="I176" s="5">
        <f>Info!$B$40</f>
        <v>0</v>
      </c>
      <c r="J176" s="5">
        <f>Info!$B$42</f>
        <v>1</v>
      </c>
      <c r="P176" s="7">
        <f t="shared" si="10"/>
        <v>0.14285714285714285</v>
      </c>
      <c r="Q176" s="7">
        <f t="shared" si="8"/>
        <v>7.1428571428571425E-2</v>
      </c>
      <c r="R176">
        <f t="shared" si="9"/>
        <v>0</v>
      </c>
    </row>
    <row r="177" spans="1:18" x14ac:dyDescent="0.2">
      <c r="A177" t="s">
        <v>456</v>
      </c>
      <c r="B177" s="10" t="s">
        <v>457</v>
      </c>
      <c r="C177" t="s">
        <v>201</v>
      </c>
      <c r="D177" s="5">
        <f>Info!$B$17</f>
        <v>0</v>
      </c>
      <c r="E177" s="5">
        <f>Info!$B$22</f>
        <v>0</v>
      </c>
      <c r="F177" s="5">
        <f>Info!$B$27</f>
        <v>0</v>
      </c>
      <c r="G177" s="5">
        <f>Info!$B$32</f>
        <v>0</v>
      </c>
      <c r="H177" s="5">
        <f>Info!$B$37</f>
        <v>0</v>
      </c>
      <c r="I177" s="5">
        <f>Info!$B$40</f>
        <v>0</v>
      </c>
      <c r="J177" s="5">
        <f>Info!$B$42</f>
        <v>1</v>
      </c>
      <c r="P177" s="7">
        <f t="shared" si="10"/>
        <v>0.14285714285714285</v>
      </c>
      <c r="Q177" s="7">
        <f t="shared" si="8"/>
        <v>7.1428571428571425E-2</v>
      </c>
      <c r="R177">
        <f t="shared" si="9"/>
        <v>0</v>
      </c>
    </row>
    <row r="178" spans="1:18" x14ac:dyDescent="0.2">
      <c r="A178" t="s">
        <v>458</v>
      </c>
      <c r="B178" s="10" t="s">
        <v>459</v>
      </c>
      <c r="C178" t="s">
        <v>201</v>
      </c>
      <c r="D178" s="5">
        <f>Info!$B$17</f>
        <v>0</v>
      </c>
      <c r="E178" s="5">
        <f>Info!$B$22</f>
        <v>0</v>
      </c>
      <c r="F178" s="5">
        <f>Info!$B$27</f>
        <v>0</v>
      </c>
      <c r="G178" s="5">
        <f>Info!$B$32</f>
        <v>0</v>
      </c>
      <c r="H178" s="5">
        <f>Info!$B$37</f>
        <v>0</v>
      </c>
      <c r="I178" s="5">
        <f>Info!$B$40</f>
        <v>0</v>
      </c>
      <c r="J178" s="5">
        <f>Info!$B$42</f>
        <v>1</v>
      </c>
      <c r="P178" s="7">
        <f t="shared" si="10"/>
        <v>0.14285714285714285</v>
      </c>
      <c r="Q178" s="7">
        <f t="shared" si="8"/>
        <v>7.1428571428571425E-2</v>
      </c>
      <c r="R178">
        <f t="shared" si="9"/>
        <v>0</v>
      </c>
    </row>
    <row r="179" spans="1:18" x14ac:dyDescent="0.2">
      <c r="A179" t="s">
        <v>460</v>
      </c>
      <c r="B179" s="10" t="s">
        <v>461</v>
      </c>
      <c r="C179" t="s">
        <v>201</v>
      </c>
      <c r="D179" s="5">
        <f>Info!$B$17</f>
        <v>0</v>
      </c>
      <c r="E179" s="5">
        <f>Info!$B$20</f>
        <v>0.6</v>
      </c>
      <c r="F179" s="5">
        <f>Info!$B$26</f>
        <v>0.3</v>
      </c>
      <c r="G179" s="5">
        <f>Info!$B$32</f>
        <v>0</v>
      </c>
      <c r="H179" s="5">
        <f>Info!$B$37</f>
        <v>0</v>
      </c>
      <c r="I179" s="5">
        <f>Info!$B$40</f>
        <v>0</v>
      </c>
      <c r="J179" s="5">
        <f>Info!$B$44</f>
        <v>0</v>
      </c>
      <c r="K179">
        <v>4</v>
      </c>
      <c r="P179" s="7">
        <f t="shared" si="10"/>
        <v>0.12857142857142856</v>
      </c>
      <c r="Q179" s="7">
        <f t="shared" si="8"/>
        <v>6.4285714285714279E-2</v>
      </c>
      <c r="R179">
        <f t="shared" si="9"/>
        <v>0</v>
      </c>
    </row>
    <row r="180" spans="1:18" x14ac:dyDescent="0.2">
      <c r="A180" t="s">
        <v>462</v>
      </c>
      <c r="B180" s="10" t="s">
        <v>463</v>
      </c>
      <c r="C180" t="s">
        <v>20</v>
      </c>
      <c r="D180" s="5">
        <f>Info!$B$17</f>
        <v>0</v>
      </c>
      <c r="E180" s="5">
        <f>Info!$B$20</f>
        <v>0.6</v>
      </c>
      <c r="F180" s="5">
        <f>Info!$B$26</f>
        <v>0.3</v>
      </c>
      <c r="G180" s="5">
        <f>Info!$B$32</f>
        <v>0</v>
      </c>
      <c r="H180" s="5">
        <f>Info!$B$37</f>
        <v>0</v>
      </c>
      <c r="I180" s="5">
        <f>Info!$B$40</f>
        <v>0</v>
      </c>
      <c r="J180" s="5">
        <f>Info!$B$44</f>
        <v>0</v>
      </c>
      <c r="P180" s="7">
        <f t="shared" si="10"/>
        <v>0.12857142857142856</v>
      </c>
      <c r="Q180" s="7">
        <f t="shared" si="8"/>
        <v>6.4285714285714279E-2</v>
      </c>
      <c r="R180">
        <f t="shared" si="9"/>
        <v>0</v>
      </c>
    </row>
    <row r="181" spans="1:18" x14ac:dyDescent="0.2">
      <c r="A181" t="s">
        <v>464</v>
      </c>
      <c r="B181" s="10" t="s">
        <v>465</v>
      </c>
      <c r="C181" t="s">
        <v>20</v>
      </c>
      <c r="D181" s="5">
        <f>Info!$B$17</f>
        <v>0</v>
      </c>
      <c r="E181" s="5">
        <f>Info!$B$21</f>
        <v>0.3</v>
      </c>
      <c r="F181" s="5">
        <f>Info!$B$27</f>
        <v>0</v>
      </c>
      <c r="G181" s="5">
        <f>Info!$B$32</f>
        <v>0</v>
      </c>
      <c r="H181" s="5">
        <f>Info!$B$37</f>
        <v>0</v>
      </c>
      <c r="I181" s="5">
        <f>Info!$B$40</f>
        <v>0</v>
      </c>
      <c r="J181" s="5">
        <f>Info!$B$43</f>
        <v>0.5</v>
      </c>
      <c r="P181" s="7">
        <f t="shared" si="10"/>
        <v>0.1142857142857143</v>
      </c>
      <c r="Q181" s="7">
        <f t="shared" si="8"/>
        <v>5.7142857142857148E-2</v>
      </c>
      <c r="R181">
        <f t="shared" si="9"/>
        <v>0</v>
      </c>
    </row>
    <row r="182" spans="1:18" x14ac:dyDescent="0.2">
      <c r="A182" t="s">
        <v>466</v>
      </c>
      <c r="B182" s="10" t="s">
        <v>467</v>
      </c>
      <c r="C182" t="s">
        <v>20</v>
      </c>
      <c r="D182" s="5">
        <f>Info!$B$17</f>
        <v>0</v>
      </c>
      <c r="E182" s="5">
        <f>Info!$B$21</f>
        <v>0.3</v>
      </c>
      <c r="F182" s="5">
        <f>Info!$B$27</f>
        <v>0</v>
      </c>
      <c r="G182" s="5">
        <f>Info!$B$32</f>
        <v>0</v>
      </c>
      <c r="H182" s="5">
        <f>Info!$B$37</f>
        <v>0</v>
      </c>
      <c r="I182" s="5">
        <f>Info!$B$40</f>
        <v>0</v>
      </c>
      <c r="J182" s="5">
        <f>Info!$B$43</f>
        <v>0.5</v>
      </c>
      <c r="P182" s="7">
        <f t="shared" si="10"/>
        <v>0.1142857142857143</v>
      </c>
      <c r="Q182" s="7">
        <f t="shared" si="8"/>
        <v>5.7142857142857148E-2</v>
      </c>
      <c r="R182">
        <f t="shared" si="9"/>
        <v>0</v>
      </c>
    </row>
    <row r="183" spans="1:18" x14ac:dyDescent="0.2">
      <c r="A183" t="s">
        <v>464</v>
      </c>
      <c r="B183" s="10" t="s">
        <v>468</v>
      </c>
      <c r="C183" t="s">
        <v>20</v>
      </c>
      <c r="D183" s="5">
        <f>Info!$B$17</f>
        <v>0</v>
      </c>
      <c r="E183" s="5">
        <f>Info!$B$21</f>
        <v>0.3</v>
      </c>
      <c r="F183" s="5">
        <f>Info!$B$27</f>
        <v>0</v>
      </c>
      <c r="G183" s="5">
        <f>Info!$B$32</f>
        <v>0</v>
      </c>
      <c r="H183" s="5">
        <f>Info!$B$37</f>
        <v>0</v>
      </c>
      <c r="I183" s="5">
        <f>Info!$B$40</f>
        <v>0</v>
      </c>
      <c r="J183" s="5">
        <f>Info!$B$43</f>
        <v>0.5</v>
      </c>
      <c r="P183" s="7">
        <f t="shared" si="10"/>
        <v>0.1142857142857143</v>
      </c>
      <c r="Q183" s="7">
        <f t="shared" si="8"/>
        <v>5.7142857142857148E-2</v>
      </c>
      <c r="R183">
        <f t="shared" si="9"/>
        <v>0</v>
      </c>
    </row>
    <row r="184" spans="1:18" x14ac:dyDescent="0.2">
      <c r="A184" t="s">
        <v>469</v>
      </c>
      <c r="B184" s="10" t="s">
        <v>470</v>
      </c>
      <c r="D184" s="5">
        <f>Info!$B$17</f>
        <v>0</v>
      </c>
      <c r="E184" s="5">
        <f>Info!$B$21</f>
        <v>0.3</v>
      </c>
      <c r="F184" s="5">
        <f>Info!$B$27</f>
        <v>0</v>
      </c>
      <c r="G184" s="5">
        <f>Info!$B$32</f>
        <v>0</v>
      </c>
      <c r="H184" s="5">
        <f>Info!$B$37</f>
        <v>0</v>
      </c>
      <c r="I184" s="5">
        <f>Info!$B$40</f>
        <v>0</v>
      </c>
      <c r="J184" s="5">
        <f>Info!$B$43</f>
        <v>0.5</v>
      </c>
      <c r="P184" s="7">
        <f t="shared" si="10"/>
        <v>0.1142857142857143</v>
      </c>
      <c r="Q184" s="7">
        <f t="shared" si="8"/>
        <v>5.7142857142857148E-2</v>
      </c>
      <c r="R184">
        <f t="shared" si="9"/>
        <v>0</v>
      </c>
    </row>
    <row r="185" spans="1:18" x14ac:dyDescent="0.2">
      <c r="A185" t="s">
        <v>471</v>
      </c>
      <c r="B185" s="10" t="s">
        <v>472</v>
      </c>
      <c r="D185" s="5">
        <f>Info!$B$17</f>
        <v>0</v>
      </c>
      <c r="E185" s="5">
        <f>Info!$B$21</f>
        <v>0.3</v>
      </c>
      <c r="F185" s="5">
        <f>Info!$B$27</f>
        <v>0</v>
      </c>
      <c r="G185" s="5">
        <f>Info!$B$32</f>
        <v>0</v>
      </c>
      <c r="H185" s="5">
        <f>Info!$B$37</f>
        <v>0</v>
      </c>
      <c r="I185" s="5">
        <f>Info!$B$40</f>
        <v>0</v>
      </c>
      <c r="J185" s="5">
        <f>Info!$B$43</f>
        <v>0.5</v>
      </c>
      <c r="P185" s="7">
        <f t="shared" si="10"/>
        <v>0.1142857142857143</v>
      </c>
      <c r="Q185" s="7">
        <f t="shared" si="8"/>
        <v>5.7142857142857148E-2</v>
      </c>
      <c r="R185">
        <f t="shared" si="9"/>
        <v>0</v>
      </c>
    </row>
    <row r="186" spans="1:18" x14ac:dyDescent="0.2">
      <c r="A186" t="s">
        <v>473</v>
      </c>
      <c r="B186" s="10" t="s">
        <v>474</v>
      </c>
      <c r="D186" s="5">
        <f>Info!$B$17</f>
        <v>0</v>
      </c>
      <c r="E186" s="5">
        <f>Info!$B$22</f>
        <v>0</v>
      </c>
      <c r="F186" s="5">
        <f>Info!$B$26</f>
        <v>0.3</v>
      </c>
      <c r="G186" s="5">
        <f>Info!$B$32</f>
        <v>0</v>
      </c>
      <c r="H186" s="5">
        <f>Info!$B$36</f>
        <v>0.3</v>
      </c>
      <c r="I186" s="5">
        <f>Info!$B$40</f>
        <v>0</v>
      </c>
      <c r="J186" s="5">
        <f>Info!$B$44</f>
        <v>0</v>
      </c>
      <c r="P186" s="7">
        <f t="shared" si="10"/>
        <v>8.5714285714285715E-2</v>
      </c>
      <c r="Q186" s="7">
        <f t="shared" si="8"/>
        <v>4.2857142857142858E-2</v>
      </c>
      <c r="R186">
        <f t="shared" si="9"/>
        <v>0</v>
      </c>
    </row>
    <row r="187" spans="1:18" x14ac:dyDescent="0.2">
      <c r="A187" t="s">
        <v>475</v>
      </c>
      <c r="B187" s="10" t="s">
        <v>476</v>
      </c>
      <c r="C187" t="s">
        <v>184</v>
      </c>
      <c r="D187" s="5">
        <f>Info!$B$17</f>
        <v>0</v>
      </c>
      <c r="E187" s="5">
        <f>Info!$B$22</f>
        <v>0</v>
      </c>
      <c r="F187" s="5">
        <f>Info!$B$27</f>
        <v>0</v>
      </c>
      <c r="G187" s="5">
        <f>Info!$B$32</f>
        <v>0</v>
      </c>
      <c r="H187" s="5">
        <f>Info!$B$37</f>
        <v>0</v>
      </c>
      <c r="I187" s="5">
        <f>Info!$B$40</f>
        <v>0</v>
      </c>
      <c r="J187" s="5">
        <f>Info!$B$43</f>
        <v>0.5</v>
      </c>
      <c r="P187" s="7">
        <f t="shared" si="10"/>
        <v>7.1428571428571425E-2</v>
      </c>
      <c r="Q187" s="7">
        <f t="shared" si="8"/>
        <v>3.5714285714285712E-2</v>
      </c>
      <c r="R187">
        <f t="shared" si="9"/>
        <v>0</v>
      </c>
    </row>
    <row r="188" spans="1:18" x14ac:dyDescent="0.2">
      <c r="A188" t="s">
        <v>477</v>
      </c>
      <c r="B188" s="10" t="s">
        <v>478</v>
      </c>
      <c r="C188" t="s">
        <v>201</v>
      </c>
      <c r="D188" s="5">
        <f>Info!$B$17</f>
        <v>0</v>
      </c>
      <c r="E188" s="5">
        <f>Info!$B$22</f>
        <v>0</v>
      </c>
      <c r="F188" s="5">
        <f>Info!$B$27</f>
        <v>0</v>
      </c>
      <c r="G188" s="5">
        <f>Info!$B$32</f>
        <v>0</v>
      </c>
      <c r="H188" s="5">
        <f>Info!$B$37</f>
        <v>0</v>
      </c>
      <c r="I188" s="5">
        <f>Info!$B$40</f>
        <v>0</v>
      </c>
      <c r="J188" s="5">
        <f>Info!$B$43</f>
        <v>0.5</v>
      </c>
      <c r="K188">
        <v>4</v>
      </c>
      <c r="P188" s="7">
        <f t="shared" si="10"/>
        <v>7.1428571428571425E-2</v>
      </c>
      <c r="Q188" s="7">
        <f t="shared" si="8"/>
        <v>3.5714285714285712E-2</v>
      </c>
      <c r="R188">
        <f t="shared" si="9"/>
        <v>0</v>
      </c>
    </row>
    <row r="189" spans="1:18" x14ac:dyDescent="0.2">
      <c r="A189" t="s">
        <v>479</v>
      </c>
      <c r="B189" s="10" t="s">
        <v>480</v>
      </c>
      <c r="D189" s="5">
        <f>Info!$B$17</f>
        <v>0</v>
      </c>
      <c r="E189" s="5">
        <f>Info!$B$22</f>
        <v>0</v>
      </c>
      <c r="F189" s="5">
        <f>Info!$B$27</f>
        <v>0</v>
      </c>
      <c r="G189" s="5">
        <f>Info!$B$32</f>
        <v>0</v>
      </c>
      <c r="H189" s="5">
        <f>Info!$B$37</f>
        <v>0</v>
      </c>
      <c r="I189" s="5">
        <f>Info!$B$40</f>
        <v>0</v>
      </c>
      <c r="J189" s="5">
        <f>Info!$B$43</f>
        <v>0.5</v>
      </c>
      <c r="P189" s="7">
        <f t="shared" si="10"/>
        <v>7.1428571428571425E-2</v>
      </c>
      <c r="Q189" s="7">
        <f t="shared" si="8"/>
        <v>3.5714285714285712E-2</v>
      </c>
      <c r="R189">
        <f t="shared" si="9"/>
        <v>0</v>
      </c>
    </row>
    <row r="190" spans="1:18" x14ac:dyDescent="0.2">
      <c r="A190" t="s">
        <v>481</v>
      </c>
      <c r="B190" s="10" t="s">
        <v>482</v>
      </c>
      <c r="D190" s="5">
        <f>Info!$B$17</f>
        <v>0</v>
      </c>
      <c r="E190" s="5">
        <f>Info!$B$22</f>
        <v>0</v>
      </c>
      <c r="F190" s="5">
        <f>Info!$B$27</f>
        <v>0</v>
      </c>
      <c r="G190" s="5">
        <f>Info!$B$32</f>
        <v>0</v>
      </c>
      <c r="H190" s="5">
        <f>Info!$B$37</f>
        <v>0</v>
      </c>
      <c r="I190" s="5">
        <f>Info!$B$40</f>
        <v>0</v>
      </c>
      <c r="J190" s="5">
        <f>Info!$B$43</f>
        <v>0.5</v>
      </c>
      <c r="P190" s="7">
        <f t="shared" si="10"/>
        <v>7.1428571428571425E-2</v>
      </c>
      <c r="Q190" s="7">
        <f t="shared" si="8"/>
        <v>3.5714285714285712E-2</v>
      </c>
      <c r="R190">
        <f t="shared" si="9"/>
        <v>0</v>
      </c>
    </row>
    <row r="191" spans="1:18" x14ac:dyDescent="0.2">
      <c r="A191" t="s">
        <v>483</v>
      </c>
      <c r="B191" s="10" t="s">
        <v>484</v>
      </c>
      <c r="D191" s="5">
        <f>Info!$B$17</f>
        <v>0</v>
      </c>
      <c r="E191" s="5">
        <f>Info!$B$22</f>
        <v>0</v>
      </c>
      <c r="F191" s="5">
        <f>Info!$B$27</f>
        <v>0</v>
      </c>
      <c r="G191" s="5">
        <f>Info!$B$32</f>
        <v>0</v>
      </c>
      <c r="H191" s="5">
        <f>Info!$B$37</f>
        <v>0</v>
      </c>
      <c r="I191" s="5">
        <f>Info!$B$40</f>
        <v>0</v>
      </c>
      <c r="J191" s="5">
        <f>Info!$B$43</f>
        <v>0.5</v>
      </c>
      <c r="P191" s="7">
        <f t="shared" si="10"/>
        <v>7.1428571428571425E-2</v>
      </c>
      <c r="Q191" s="7">
        <f t="shared" si="8"/>
        <v>3.5714285714285712E-2</v>
      </c>
      <c r="R191">
        <f t="shared" si="9"/>
        <v>0</v>
      </c>
    </row>
    <row r="192" spans="1:18" x14ac:dyDescent="0.2">
      <c r="A192" t="s">
        <v>485</v>
      </c>
      <c r="B192" s="10" t="s">
        <v>486</v>
      </c>
      <c r="D192" s="5">
        <f>Info!$B$17</f>
        <v>0</v>
      </c>
      <c r="E192" s="5">
        <f>Info!$B$22</f>
        <v>0</v>
      </c>
      <c r="F192" s="5">
        <f>Info!$B$27</f>
        <v>0</v>
      </c>
      <c r="G192" s="5">
        <f>Info!$B$32</f>
        <v>0</v>
      </c>
      <c r="H192" s="5">
        <f>Info!$B$37</f>
        <v>0</v>
      </c>
      <c r="I192" s="5">
        <f>Info!$B$40</f>
        <v>0</v>
      </c>
      <c r="J192" s="5">
        <f>Info!$B$43</f>
        <v>0.5</v>
      </c>
      <c r="P192" s="7">
        <f t="shared" si="10"/>
        <v>7.1428571428571425E-2</v>
      </c>
      <c r="Q192" s="7">
        <f t="shared" si="8"/>
        <v>3.5714285714285712E-2</v>
      </c>
      <c r="R192">
        <f t="shared" si="9"/>
        <v>0</v>
      </c>
    </row>
    <row r="193" spans="1:18" x14ac:dyDescent="0.2">
      <c r="A193" t="s">
        <v>487</v>
      </c>
      <c r="B193" s="10" t="s">
        <v>488</v>
      </c>
      <c r="D193" s="5">
        <f>Info!$B$17</f>
        <v>0</v>
      </c>
      <c r="E193" s="5">
        <f>Info!$B$22</f>
        <v>0</v>
      </c>
      <c r="F193" s="5">
        <f>Info!$B$27</f>
        <v>0</v>
      </c>
      <c r="G193" s="5">
        <f>Info!$B$32</f>
        <v>0</v>
      </c>
      <c r="H193" s="5">
        <f>Info!$B$37</f>
        <v>0</v>
      </c>
      <c r="I193" s="5">
        <f>Info!$B$40</f>
        <v>0</v>
      </c>
      <c r="J193" s="5">
        <f>Info!$B$43</f>
        <v>0.5</v>
      </c>
      <c r="P193" s="7">
        <f t="shared" si="10"/>
        <v>7.1428571428571425E-2</v>
      </c>
      <c r="Q193" s="7">
        <f t="shared" si="8"/>
        <v>3.5714285714285712E-2</v>
      </c>
      <c r="R193">
        <f t="shared" si="9"/>
        <v>0</v>
      </c>
    </row>
    <row r="194" spans="1:18" x14ac:dyDescent="0.2">
      <c r="A194" t="s">
        <v>489</v>
      </c>
      <c r="B194" s="10" t="s">
        <v>490</v>
      </c>
      <c r="D194" s="5">
        <f>Info!$B$17</f>
        <v>0</v>
      </c>
      <c r="E194" s="5">
        <f>Info!$B$22</f>
        <v>0</v>
      </c>
      <c r="F194" s="5">
        <f>Info!$B$27</f>
        <v>0</v>
      </c>
      <c r="G194" s="5">
        <f>Info!$B$32</f>
        <v>0</v>
      </c>
      <c r="H194" s="5">
        <f>Info!$B$37</f>
        <v>0</v>
      </c>
      <c r="I194" s="5">
        <f>Info!$B$40</f>
        <v>0</v>
      </c>
      <c r="J194" s="5">
        <f>Info!$B$43</f>
        <v>0.5</v>
      </c>
      <c r="P194" s="7">
        <f t="shared" si="10"/>
        <v>7.1428571428571425E-2</v>
      </c>
      <c r="Q194" s="7">
        <f t="shared" ref="Q194:Q257" si="11">(O194+P194)/2</f>
        <v>3.5714285714285712E-2</v>
      </c>
      <c r="R194">
        <f t="shared" ref="R194:R257" si="12">IF(_xlfn.BITAND(P194&gt;0.4999, Q194&gt;0.4999)=1,1,0)</f>
        <v>0</v>
      </c>
    </row>
    <row r="195" spans="1:18" x14ac:dyDescent="0.2">
      <c r="A195" t="s">
        <v>491</v>
      </c>
      <c r="B195" s="10" t="s">
        <v>492</v>
      </c>
      <c r="D195" s="5">
        <f>Info!$B$17</f>
        <v>0</v>
      </c>
      <c r="E195" s="5">
        <f>Info!$B$22</f>
        <v>0</v>
      </c>
      <c r="F195" s="5">
        <f>Info!$B$27</f>
        <v>0</v>
      </c>
      <c r="G195" s="5">
        <f>Info!$B$32</f>
        <v>0</v>
      </c>
      <c r="H195" s="5">
        <f>Info!$B$37</f>
        <v>0</v>
      </c>
      <c r="I195" s="5">
        <f>Info!$B$40</f>
        <v>0</v>
      </c>
      <c r="J195" s="5">
        <f>Info!$B$43</f>
        <v>0.5</v>
      </c>
      <c r="P195" s="7">
        <f t="shared" si="10"/>
        <v>7.1428571428571425E-2</v>
      </c>
      <c r="Q195" s="7">
        <f t="shared" si="11"/>
        <v>3.5714285714285712E-2</v>
      </c>
      <c r="R195">
        <f t="shared" si="12"/>
        <v>0</v>
      </c>
    </row>
    <row r="196" spans="1:18" x14ac:dyDescent="0.2">
      <c r="A196" t="s">
        <v>493</v>
      </c>
      <c r="B196" s="10" t="s">
        <v>494</v>
      </c>
      <c r="D196" s="5">
        <f>Info!$B$17</f>
        <v>0</v>
      </c>
      <c r="E196" s="5">
        <f>Info!$B$22</f>
        <v>0</v>
      </c>
      <c r="F196" s="5">
        <f>Info!$B$27</f>
        <v>0</v>
      </c>
      <c r="G196" s="5">
        <f>Info!$B$32</f>
        <v>0</v>
      </c>
      <c r="H196" s="5">
        <f>Info!$B$37</f>
        <v>0</v>
      </c>
      <c r="I196" s="5">
        <f>Info!$B$40</f>
        <v>0</v>
      </c>
      <c r="J196" s="5">
        <f>Info!$B$43</f>
        <v>0.5</v>
      </c>
      <c r="P196" s="7">
        <f t="shared" si="10"/>
        <v>7.1428571428571425E-2</v>
      </c>
      <c r="Q196" s="7">
        <f t="shared" si="11"/>
        <v>3.5714285714285712E-2</v>
      </c>
      <c r="R196">
        <f t="shared" si="12"/>
        <v>0</v>
      </c>
    </row>
    <row r="197" spans="1:18" x14ac:dyDescent="0.2">
      <c r="A197" t="s">
        <v>495</v>
      </c>
      <c r="B197" s="10" t="s">
        <v>496</v>
      </c>
      <c r="D197" s="5">
        <f>Info!$B$17</f>
        <v>0</v>
      </c>
      <c r="E197" s="5">
        <f>Info!$B$22</f>
        <v>0</v>
      </c>
      <c r="F197" s="5">
        <f>Info!$B$27</f>
        <v>0</v>
      </c>
      <c r="G197" s="5">
        <f>Info!$B$32</f>
        <v>0</v>
      </c>
      <c r="H197" s="5">
        <f>Info!$B$37</f>
        <v>0</v>
      </c>
      <c r="I197" s="5">
        <f>Info!$B$40</f>
        <v>0</v>
      </c>
      <c r="J197" s="5">
        <f>Info!$B$43</f>
        <v>0.5</v>
      </c>
      <c r="P197" s="7">
        <f t="shared" si="10"/>
        <v>7.1428571428571425E-2</v>
      </c>
      <c r="Q197" s="7">
        <f t="shared" si="11"/>
        <v>3.5714285714285712E-2</v>
      </c>
      <c r="R197">
        <f t="shared" si="12"/>
        <v>0</v>
      </c>
    </row>
    <row r="198" spans="1:18" x14ac:dyDescent="0.2">
      <c r="A198" t="s">
        <v>497</v>
      </c>
      <c r="B198" s="10" t="s">
        <v>498</v>
      </c>
      <c r="D198" s="5">
        <f>Info!$B$17</f>
        <v>0</v>
      </c>
      <c r="E198" s="5">
        <f>Info!$B$22</f>
        <v>0</v>
      </c>
      <c r="F198" s="5">
        <f>Info!$B$27</f>
        <v>0</v>
      </c>
      <c r="G198" s="5">
        <f>Info!$B$32</f>
        <v>0</v>
      </c>
      <c r="H198" s="5">
        <f>Info!$B$37</f>
        <v>0</v>
      </c>
      <c r="I198" s="5">
        <f>Info!$B$40</f>
        <v>0</v>
      </c>
      <c r="J198" s="5">
        <f>Info!$B$43</f>
        <v>0.5</v>
      </c>
      <c r="P198" s="7">
        <f t="shared" si="10"/>
        <v>7.1428571428571425E-2</v>
      </c>
      <c r="Q198" s="7">
        <f t="shared" si="11"/>
        <v>3.5714285714285712E-2</v>
      </c>
      <c r="R198">
        <f t="shared" si="12"/>
        <v>0</v>
      </c>
    </row>
    <row r="199" spans="1:18" x14ac:dyDescent="0.2">
      <c r="A199" t="s">
        <v>499</v>
      </c>
      <c r="B199" s="10" t="s">
        <v>500</v>
      </c>
      <c r="D199" s="5">
        <f>Info!$B$17</f>
        <v>0</v>
      </c>
      <c r="E199" s="5">
        <f>Info!$B$22</f>
        <v>0</v>
      </c>
      <c r="F199" s="5">
        <f>Info!$B$27</f>
        <v>0</v>
      </c>
      <c r="G199" s="5">
        <f>Info!$B$32</f>
        <v>0</v>
      </c>
      <c r="H199" s="5">
        <f>Info!$B$37</f>
        <v>0</v>
      </c>
      <c r="I199" s="5">
        <f>Info!$B$40</f>
        <v>0</v>
      </c>
      <c r="J199" s="5">
        <f>Info!$B$43</f>
        <v>0.5</v>
      </c>
      <c r="P199" s="7">
        <f t="shared" si="10"/>
        <v>7.1428571428571425E-2</v>
      </c>
      <c r="Q199" s="7">
        <f t="shared" si="11"/>
        <v>3.5714285714285712E-2</v>
      </c>
      <c r="R199">
        <f t="shared" si="12"/>
        <v>0</v>
      </c>
    </row>
    <row r="200" spans="1:18" x14ac:dyDescent="0.2">
      <c r="A200" t="s">
        <v>501</v>
      </c>
      <c r="B200" s="10" t="s">
        <v>502</v>
      </c>
      <c r="C200" t="s">
        <v>201</v>
      </c>
      <c r="D200" s="5">
        <f>Info!$B$17</f>
        <v>0</v>
      </c>
      <c r="E200" s="5">
        <f>Info!$B$22</f>
        <v>0</v>
      </c>
      <c r="F200" s="5">
        <f>Info!$B$27</f>
        <v>0</v>
      </c>
      <c r="G200" s="5">
        <f>Info!$B$32</f>
        <v>0</v>
      </c>
      <c r="H200" s="5">
        <f>Info!$B$37</f>
        <v>0</v>
      </c>
      <c r="I200" s="5">
        <f>Info!$B$39</f>
        <v>1</v>
      </c>
      <c r="J200" s="5">
        <f>Info!$B$43</f>
        <v>0.5</v>
      </c>
      <c r="P200" s="7">
        <f t="shared" si="10"/>
        <v>0.21428571428571427</v>
      </c>
      <c r="Q200" s="7">
        <f t="shared" si="11"/>
        <v>0.10714285714285714</v>
      </c>
      <c r="R200">
        <f t="shared" si="12"/>
        <v>0</v>
      </c>
    </row>
    <row r="201" spans="1:18" x14ac:dyDescent="0.2">
      <c r="A201" t="s">
        <v>503</v>
      </c>
      <c r="B201" s="10" t="s">
        <v>504</v>
      </c>
      <c r="D201" s="5">
        <f>Info!$B$17</f>
        <v>0</v>
      </c>
      <c r="E201" s="5">
        <f>Info!$B$22</f>
        <v>0</v>
      </c>
      <c r="F201" s="5">
        <f>Info!$B$27</f>
        <v>0</v>
      </c>
      <c r="G201" s="5">
        <f>Info!$B$32</f>
        <v>0</v>
      </c>
      <c r="H201" s="5">
        <f>Info!$B$37</f>
        <v>0</v>
      </c>
      <c r="I201" s="5">
        <f>Info!$B$40</f>
        <v>0</v>
      </c>
      <c r="J201" s="5">
        <f>Info!$B$43</f>
        <v>0.5</v>
      </c>
      <c r="P201" s="7">
        <f t="shared" si="10"/>
        <v>7.1428571428571425E-2</v>
      </c>
      <c r="Q201" s="7">
        <f t="shared" si="11"/>
        <v>3.5714285714285712E-2</v>
      </c>
      <c r="R201">
        <f t="shared" si="12"/>
        <v>0</v>
      </c>
    </row>
    <row r="202" spans="1:18" x14ac:dyDescent="0.2">
      <c r="A202" t="s">
        <v>505</v>
      </c>
      <c r="B202" s="10" t="s">
        <v>506</v>
      </c>
      <c r="D202" s="5">
        <f>Info!$B$17</f>
        <v>0</v>
      </c>
      <c r="E202" s="5">
        <f>Info!$B$22</f>
        <v>0</v>
      </c>
      <c r="F202" s="5">
        <f>Info!$B$27</f>
        <v>0</v>
      </c>
      <c r="G202" s="5">
        <f>Info!$B$32</f>
        <v>0</v>
      </c>
      <c r="H202" s="5">
        <f>Info!$B$37</f>
        <v>0</v>
      </c>
      <c r="I202" s="5">
        <f>Info!$B$40</f>
        <v>0</v>
      </c>
      <c r="J202" s="5">
        <f>Info!$B$43</f>
        <v>0.5</v>
      </c>
      <c r="P202" s="7">
        <f t="shared" si="10"/>
        <v>7.1428571428571425E-2</v>
      </c>
      <c r="Q202" s="7">
        <f t="shared" si="11"/>
        <v>3.5714285714285712E-2</v>
      </c>
      <c r="R202">
        <f t="shared" si="12"/>
        <v>0</v>
      </c>
    </row>
    <row r="203" spans="1:18" x14ac:dyDescent="0.2">
      <c r="A203" t="s">
        <v>507</v>
      </c>
      <c r="B203" s="10" t="s">
        <v>508</v>
      </c>
      <c r="D203" s="5">
        <f>Info!$B$17</f>
        <v>0</v>
      </c>
      <c r="E203" s="5">
        <f>Info!$B$22</f>
        <v>0</v>
      </c>
      <c r="F203" s="5">
        <f>Info!$B$27</f>
        <v>0</v>
      </c>
      <c r="G203" s="5">
        <f>Info!$B$32</f>
        <v>0</v>
      </c>
      <c r="H203" s="5">
        <f>Info!$B$37</f>
        <v>0</v>
      </c>
      <c r="I203" s="5">
        <f>Info!$B$40</f>
        <v>0</v>
      </c>
      <c r="J203" s="5">
        <f>Info!$B$43</f>
        <v>0.5</v>
      </c>
      <c r="P203" s="7">
        <f t="shared" si="10"/>
        <v>7.1428571428571425E-2</v>
      </c>
      <c r="Q203" s="7">
        <f t="shared" si="11"/>
        <v>3.5714285714285712E-2</v>
      </c>
      <c r="R203">
        <f t="shared" si="12"/>
        <v>0</v>
      </c>
    </row>
    <row r="204" spans="1:18" x14ac:dyDescent="0.2">
      <c r="A204" t="s">
        <v>479</v>
      </c>
      <c r="B204" s="10" t="s">
        <v>509</v>
      </c>
      <c r="D204" s="5">
        <f>Info!$B$17</f>
        <v>0</v>
      </c>
      <c r="E204" s="5">
        <f>Info!$B$22</f>
        <v>0</v>
      </c>
      <c r="F204" s="5">
        <f>Info!$B$27</f>
        <v>0</v>
      </c>
      <c r="G204" s="5">
        <f>Info!$B$32</f>
        <v>0</v>
      </c>
      <c r="H204" s="5">
        <f>Info!$B$37</f>
        <v>0</v>
      </c>
      <c r="I204" s="5">
        <f>Info!$B$40</f>
        <v>0</v>
      </c>
      <c r="J204" s="5">
        <f>Info!$B$43</f>
        <v>0.5</v>
      </c>
      <c r="P204" s="7">
        <f t="shared" si="10"/>
        <v>7.1428571428571425E-2</v>
      </c>
      <c r="Q204" s="7">
        <f t="shared" si="11"/>
        <v>3.5714285714285712E-2</v>
      </c>
      <c r="R204">
        <f t="shared" si="12"/>
        <v>0</v>
      </c>
    </row>
    <row r="205" spans="1:18" x14ac:dyDescent="0.2">
      <c r="A205" t="s">
        <v>510</v>
      </c>
      <c r="B205" s="10" t="s">
        <v>511</v>
      </c>
      <c r="D205" s="5">
        <f>Info!$B$17</f>
        <v>0</v>
      </c>
      <c r="E205" s="5">
        <f>Info!$B$22</f>
        <v>0</v>
      </c>
      <c r="F205" s="5">
        <f>Info!$B$27</f>
        <v>0</v>
      </c>
      <c r="G205" s="5">
        <f>Info!$B$32</f>
        <v>0</v>
      </c>
      <c r="H205" s="5">
        <f>Info!$B$37</f>
        <v>0</v>
      </c>
      <c r="I205" s="5">
        <f>Info!$B$40</f>
        <v>0</v>
      </c>
      <c r="J205" s="5">
        <f>Info!$B$43</f>
        <v>0.5</v>
      </c>
      <c r="P205" s="7">
        <f t="shared" si="10"/>
        <v>7.1428571428571425E-2</v>
      </c>
      <c r="Q205" s="7">
        <f t="shared" si="11"/>
        <v>3.5714285714285712E-2</v>
      </c>
      <c r="R205">
        <f t="shared" si="12"/>
        <v>0</v>
      </c>
    </row>
    <row r="206" spans="1:18" x14ac:dyDescent="0.2">
      <c r="A206" t="s">
        <v>512</v>
      </c>
      <c r="B206" s="10" t="s">
        <v>513</v>
      </c>
      <c r="C206" t="s">
        <v>239</v>
      </c>
      <c r="D206" s="5">
        <f>Info!$B$17</f>
        <v>0</v>
      </c>
      <c r="E206" s="5">
        <f>Info!$B$22</f>
        <v>0</v>
      </c>
      <c r="F206" s="5">
        <f>Info!$B$27</f>
        <v>0</v>
      </c>
      <c r="G206" s="5">
        <f>Info!$B$32</f>
        <v>0</v>
      </c>
      <c r="H206" s="5">
        <f>Info!$B$37</f>
        <v>0</v>
      </c>
      <c r="I206" s="5">
        <f>Info!$B$40</f>
        <v>0</v>
      </c>
      <c r="J206" s="5">
        <f>Info!$B$43</f>
        <v>0.5</v>
      </c>
      <c r="P206" s="7">
        <f t="shared" si="10"/>
        <v>7.1428571428571425E-2</v>
      </c>
      <c r="Q206" s="7">
        <f t="shared" si="11"/>
        <v>3.5714285714285712E-2</v>
      </c>
      <c r="R206">
        <f t="shared" si="12"/>
        <v>0</v>
      </c>
    </row>
    <row r="207" spans="1:18" x14ac:dyDescent="0.2">
      <c r="A207" t="s">
        <v>514</v>
      </c>
      <c r="B207" s="10" t="s">
        <v>515</v>
      </c>
      <c r="D207" s="5">
        <f>Info!$B$17</f>
        <v>0</v>
      </c>
      <c r="E207" s="5">
        <f>Info!$B$22</f>
        <v>0</v>
      </c>
      <c r="F207" s="5">
        <f>Info!$B$27</f>
        <v>0</v>
      </c>
      <c r="G207" s="5">
        <f>Info!$B$32</f>
        <v>0</v>
      </c>
      <c r="H207" s="5">
        <f>Info!$B$37</f>
        <v>0</v>
      </c>
      <c r="I207" s="5">
        <f>Info!$B$40</f>
        <v>0</v>
      </c>
      <c r="J207" s="5">
        <f>Info!$B$43</f>
        <v>0.5</v>
      </c>
      <c r="P207" s="7">
        <f t="shared" si="10"/>
        <v>7.1428571428571425E-2</v>
      </c>
      <c r="Q207" s="7">
        <f t="shared" si="11"/>
        <v>3.5714285714285712E-2</v>
      </c>
      <c r="R207">
        <f t="shared" si="12"/>
        <v>0</v>
      </c>
    </row>
    <row r="208" spans="1:18" x14ac:dyDescent="0.2">
      <c r="A208" t="s">
        <v>516</v>
      </c>
      <c r="B208" s="10" t="s">
        <v>517</v>
      </c>
      <c r="D208" s="5">
        <f>Info!$B$17</f>
        <v>0</v>
      </c>
      <c r="E208" s="5">
        <f>Info!$B$22</f>
        <v>0</v>
      </c>
      <c r="F208" s="5">
        <f>Info!$B$27</f>
        <v>0</v>
      </c>
      <c r="G208" s="5">
        <f>Info!$B$32</f>
        <v>0</v>
      </c>
      <c r="H208" s="5">
        <f>Info!$B$37</f>
        <v>0</v>
      </c>
      <c r="I208" s="5">
        <f>Info!$B$40</f>
        <v>0</v>
      </c>
      <c r="J208" s="5">
        <f>Info!$B$43</f>
        <v>0.5</v>
      </c>
      <c r="P208" s="7">
        <f t="shared" si="10"/>
        <v>7.1428571428571425E-2</v>
      </c>
      <c r="Q208" s="7">
        <f t="shared" si="11"/>
        <v>3.5714285714285712E-2</v>
      </c>
      <c r="R208">
        <f t="shared" si="12"/>
        <v>0</v>
      </c>
    </row>
    <row r="209" spans="1:18" x14ac:dyDescent="0.2">
      <c r="A209" t="s">
        <v>518</v>
      </c>
      <c r="B209" s="10" t="s">
        <v>519</v>
      </c>
      <c r="D209" s="5">
        <f>Info!$B$17</f>
        <v>0</v>
      </c>
      <c r="E209" s="5">
        <f>Info!$B$22</f>
        <v>0</v>
      </c>
      <c r="F209" s="5">
        <f>Info!$B$27</f>
        <v>0</v>
      </c>
      <c r="G209" s="5">
        <f>Info!$B$32</f>
        <v>0</v>
      </c>
      <c r="H209" s="5">
        <f>Info!$B$37</f>
        <v>0</v>
      </c>
      <c r="I209" s="5">
        <f>Info!$B$40</f>
        <v>0</v>
      </c>
      <c r="J209" s="5">
        <f>Info!$B$43</f>
        <v>0.5</v>
      </c>
      <c r="P209" s="7">
        <f t="shared" si="10"/>
        <v>7.1428571428571425E-2</v>
      </c>
      <c r="Q209" s="7">
        <f t="shared" si="11"/>
        <v>3.5714285714285712E-2</v>
      </c>
      <c r="R209">
        <f t="shared" si="12"/>
        <v>0</v>
      </c>
    </row>
    <row r="210" spans="1:18" x14ac:dyDescent="0.2">
      <c r="A210" t="s">
        <v>520</v>
      </c>
      <c r="B210" s="10" t="s">
        <v>521</v>
      </c>
      <c r="D210" s="5">
        <f>Info!$B$17</f>
        <v>0</v>
      </c>
      <c r="E210" s="5">
        <f>Info!$B$22</f>
        <v>0</v>
      </c>
      <c r="F210" s="5">
        <f>Info!$B$27</f>
        <v>0</v>
      </c>
      <c r="G210" s="5">
        <f>Info!$B$32</f>
        <v>0</v>
      </c>
      <c r="H210" s="5">
        <f>Info!$B$37</f>
        <v>0</v>
      </c>
      <c r="I210" s="5">
        <f>Info!$B$40</f>
        <v>0</v>
      </c>
      <c r="J210" s="5">
        <f>Info!$B$43</f>
        <v>0.5</v>
      </c>
      <c r="P210" s="7">
        <f t="shared" si="10"/>
        <v>7.1428571428571425E-2</v>
      </c>
      <c r="Q210" s="7">
        <f t="shared" si="11"/>
        <v>3.5714285714285712E-2</v>
      </c>
      <c r="R210">
        <f t="shared" si="12"/>
        <v>0</v>
      </c>
    </row>
    <row r="211" spans="1:18" x14ac:dyDescent="0.2">
      <c r="A211" t="s">
        <v>522</v>
      </c>
      <c r="B211" s="10" t="s">
        <v>523</v>
      </c>
      <c r="D211" s="5">
        <f>Info!$B$17</f>
        <v>0</v>
      </c>
      <c r="E211" s="5">
        <f>Info!$B$22</f>
        <v>0</v>
      </c>
      <c r="F211" s="5">
        <f>Info!$B$27</f>
        <v>0</v>
      </c>
      <c r="G211" s="5">
        <f>Info!$B$32</f>
        <v>0</v>
      </c>
      <c r="H211" s="5">
        <f>Info!$B$37</f>
        <v>0</v>
      </c>
      <c r="I211" s="5">
        <f>Info!$B$40</f>
        <v>0</v>
      </c>
      <c r="J211" s="5">
        <f>Info!$B$43</f>
        <v>0.5</v>
      </c>
      <c r="P211" s="7">
        <f t="shared" si="10"/>
        <v>7.1428571428571425E-2</v>
      </c>
      <c r="Q211" s="7">
        <f t="shared" si="11"/>
        <v>3.5714285714285712E-2</v>
      </c>
      <c r="R211">
        <f t="shared" si="12"/>
        <v>0</v>
      </c>
    </row>
    <row r="212" spans="1:18" x14ac:dyDescent="0.2">
      <c r="A212" t="s">
        <v>524</v>
      </c>
      <c r="B212" s="10" t="s">
        <v>525</v>
      </c>
      <c r="D212" s="5">
        <f>Info!$B$17</f>
        <v>0</v>
      </c>
      <c r="E212" s="5">
        <f>Info!$B$22</f>
        <v>0</v>
      </c>
      <c r="F212" s="5">
        <f>Info!$B$27</f>
        <v>0</v>
      </c>
      <c r="G212" s="5">
        <f>Info!$B$32</f>
        <v>0</v>
      </c>
      <c r="H212" s="5">
        <f>Info!$B$37</f>
        <v>0</v>
      </c>
      <c r="I212" s="5">
        <f>Info!$B$40</f>
        <v>0</v>
      </c>
      <c r="J212" s="5">
        <f>Info!$B$43</f>
        <v>0.5</v>
      </c>
      <c r="P212" s="7">
        <f t="shared" si="10"/>
        <v>7.1428571428571425E-2</v>
      </c>
      <c r="Q212" s="7">
        <f t="shared" si="11"/>
        <v>3.5714285714285712E-2</v>
      </c>
      <c r="R212">
        <f t="shared" si="12"/>
        <v>0</v>
      </c>
    </row>
    <row r="213" spans="1:18" x14ac:dyDescent="0.2">
      <c r="A213" t="s">
        <v>526</v>
      </c>
      <c r="B213" s="10" t="s">
        <v>527</v>
      </c>
      <c r="D213" s="5">
        <f>Info!$B$17</f>
        <v>0</v>
      </c>
      <c r="E213" s="5">
        <f>Info!$B$22</f>
        <v>0</v>
      </c>
      <c r="F213" s="5">
        <f>Info!$B$27</f>
        <v>0</v>
      </c>
      <c r="G213" s="5">
        <f>Info!$B$32</f>
        <v>0</v>
      </c>
      <c r="H213" s="5">
        <f>Info!$B$37</f>
        <v>0</v>
      </c>
      <c r="I213" s="5">
        <f>Info!$B$40</f>
        <v>0</v>
      </c>
      <c r="J213" s="5">
        <f>Info!$B$43</f>
        <v>0.5</v>
      </c>
      <c r="P213" s="7">
        <f t="shared" si="10"/>
        <v>7.1428571428571425E-2</v>
      </c>
      <c r="Q213" s="7">
        <f t="shared" si="11"/>
        <v>3.5714285714285712E-2</v>
      </c>
      <c r="R213">
        <f t="shared" si="12"/>
        <v>0</v>
      </c>
    </row>
    <row r="214" spans="1:18" x14ac:dyDescent="0.2">
      <c r="A214" t="s">
        <v>528</v>
      </c>
      <c r="B214" s="10" t="s">
        <v>529</v>
      </c>
      <c r="D214" s="5">
        <f>Info!$B$17</f>
        <v>0</v>
      </c>
      <c r="E214" s="5">
        <f>Info!$B$22</f>
        <v>0</v>
      </c>
      <c r="F214" s="5">
        <f>Info!$B$27</f>
        <v>0</v>
      </c>
      <c r="G214" s="5">
        <f>Info!$B$32</f>
        <v>0</v>
      </c>
      <c r="H214" s="5">
        <f>Info!$B$37</f>
        <v>0</v>
      </c>
      <c r="I214" s="5">
        <f>Info!$B$40</f>
        <v>0</v>
      </c>
      <c r="J214" s="5">
        <f>Info!$B$43</f>
        <v>0.5</v>
      </c>
      <c r="P214" s="7">
        <f t="shared" si="10"/>
        <v>7.1428571428571425E-2</v>
      </c>
      <c r="Q214" s="7">
        <f t="shared" si="11"/>
        <v>3.5714285714285712E-2</v>
      </c>
      <c r="R214">
        <f t="shared" si="12"/>
        <v>0</v>
      </c>
    </row>
    <row r="215" spans="1:18" x14ac:dyDescent="0.2">
      <c r="A215" t="s">
        <v>530</v>
      </c>
      <c r="B215" s="10" t="s">
        <v>531</v>
      </c>
      <c r="D215" s="5">
        <f>Info!$B$17</f>
        <v>0</v>
      </c>
      <c r="E215" s="5">
        <f>Info!$B$22</f>
        <v>0</v>
      </c>
      <c r="F215" s="5">
        <f>Info!$B$27</f>
        <v>0</v>
      </c>
      <c r="G215" s="5">
        <f>Info!$B$32</f>
        <v>0</v>
      </c>
      <c r="H215" s="5">
        <f>Info!$B$37</f>
        <v>0</v>
      </c>
      <c r="I215" s="5">
        <f>Info!$B$40</f>
        <v>0</v>
      </c>
      <c r="J215" s="5">
        <f>Info!$B$43</f>
        <v>0.5</v>
      </c>
      <c r="P215" s="7">
        <f t="shared" si="10"/>
        <v>7.1428571428571425E-2</v>
      </c>
      <c r="Q215" s="7">
        <f t="shared" si="11"/>
        <v>3.5714285714285712E-2</v>
      </c>
      <c r="R215">
        <f t="shared" si="12"/>
        <v>0</v>
      </c>
    </row>
    <row r="216" spans="1:18" x14ac:dyDescent="0.2">
      <c r="A216" t="s">
        <v>532</v>
      </c>
      <c r="B216" s="10" t="s">
        <v>533</v>
      </c>
      <c r="D216" s="5">
        <f>Info!$B$17</f>
        <v>0</v>
      </c>
      <c r="E216" s="5">
        <f>Info!$B$22</f>
        <v>0</v>
      </c>
      <c r="F216" s="5">
        <f>Info!$B$27</f>
        <v>0</v>
      </c>
      <c r="G216" s="5">
        <f>Info!$B$32</f>
        <v>0</v>
      </c>
      <c r="H216" s="5">
        <f>Info!$B$37</f>
        <v>0</v>
      </c>
      <c r="I216" s="5">
        <f>Info!$B$40</f>
        <v>0</v>
      </c>
      <c r="J216" s="5">
        <f>Info!$B$43</f>
        <v>0.5</v>
      </c>
      <c r="P216" s="7">
        <f t="shared" si="10"/>
        <v>7.1428571428571425E-2</v>
      </c>
      <c r="Q216" s="7">
        <f t="shared" si="11"/>
        <v>3.5714285714285712E-2</v>
      </c>
      <c r="R216">
        <f t="shared" si="12"/>
        <v>0</v>
      </c>
    </row>
    <row r="217" spans="1:18" x14ac:dyDescent="0.2">
      <c r="A217" t="s">
        <v>534</v>
      </c>
      <c r="B217" s="10" t="s">
        <v>535</v>
      </c>
      <c r="D217" s="5">
        <f>Info!$B$17</f>
        <v>0</v>
      </c>
      <c r="E217" s="5">
        <f>Info!$B$22</f>
        <v>0</v>
      </c>
      <c r="F217" s="5">
        <f>Info!$B$27</f>
        <v>0</v>
      </c>
      <c r="G217" s="5">
        <f>Info!$B$32</f>
        <v>0</v>
      </c>
      <c r="H217" s="5">
        <f>Info!$B$37</f>
        <v>0</v>
      </c>
      <c r="I217" s="5">
        <f>Info!$B$40</f>
        <v>0</v>
      </c>
      <c r="J217" s="5">
        <f>Info!$B$43</f>
        <v>0.5</v>
      </c>
      <c r="P217" s="7">
        <f t="shared" si="10"/>
        <v>7.1428571428571425E-2</v>
      </c>
      <c r="Q217" s="7">
        <f t="shared" si="11"/>
        <v>3.5714285714285712E-2</v>
      </c>
      <c r="R217">
        <f t="shared" si="12"/>
        <v>0</v>
      </c>
    </row>
    <row r="218" spans="1:18" x14ac:dyDescent="0.2">
      <c r="A218" t="s">
        <v>536</v>
      </c>
      <c r="B218" s="10" t="s">
        <v>537</v>
      </c>
      <c r="D218" s="5">
        <f>Info!$B$17</f>
        <v>0</v>
      </c>
      <c r="E218" s="5">
        <f>Info!$B$22</f>
        <v>0</v>
      </c>
      <c r="F218" s="5">
        <f>Info!$B$27</f>
        <v>0</v>
      </c>
      <c r="G218" s="5">
        <f>Info!$B$32</f>
        <v>0</v>
      </c>
      <c r="H218" s="5">
        <f>Info!$B$37</f>
        <v>0</v>
      </c>
      <c r="I218" s="5">
        <f>Info!$B$40</f>
        <v>0</v>
      </c>
      <c r="J218" s="5">
        <f>Info!$B$43</f>
        <v>0.5</v>
      </c>
      <c r="P218" s="7">
        <f t="shared" si="10"/>
        <v>7.1428571428571425E-2</v>
      </c>
      <c r="Q218" s="7">
        <f t="shared" si="11"/>
        <v>3.5714285714285712E-2</v>
      </c>
      <c r="R218">
        <f t="shared" si="12"/>
        <v>0</v>
      </c>
    </row>
    <row r="219" spans="1:18" x14ac:dyDescent="0.2">
      <c r="A219" t="s">
        <v>538</v>
      </c>
      <c r="B219" s="10" t="s">
        <v>539</v>
      </c>
      <c r="D219" s="5">
        <f>Info!$B$17</f>
        <v>0</v>
      </c>
      <c r="E219" s="5">
        <f>Info!$B$22</f>
        <v>0</v>
      </c>
      <c r="F219" s="5">
        <f>Info!$B$27</f>
        <v>0</v>
      </c>
      <c r="G219" s="5">
        <f>Info!$B$32</f>
        <v>0</v>
      </c>
      <c r="H219" s="5">
        <f>Info!$B$37</f>
        <v>0</v>
      </c>
      <c r="I219" s="5">
        <f>Info!$B$40</f>
        <v>0</v>
      </c>
      <c r="J219" s="5">
        <f>Info!$B$43</f>
        <v>0.5</v>
      </c>
      <c r="P219" s="7">
        <f t="shared" si="10"/>
        <v>7.1428571428571425E-2</v>
      </c>
      <c r="Q219" s="7">
        <f t="shared" si="11"/>
        <v>3.5714285714285712E-2</v>
      </c>
      <c r="R219">
        <f t="shared" si="12"/>
        <v>0</v>
      </c>
    </row>
    <row r="220" spans="1:18" x14ac:dyDescent="0.2">
      <c r="A220" t="s">
        <v>540</v>
      </c>
      <c r="B220" s="10" t="s">
        <v>541</v>
      </c>
      <c r="D220" s="5">
        <f>Info!$B$17</f>
        <v>0</v>
      </c>
      <c r="E220" s="5">
        <f>Info!$B$22</f>
        <v>0</v>
      </c>
      <c r="F220" s="5">
        <f>Info!$B$27</f>
        <v>0</v>
      </c>
      <c r="G220" s="5">
        <f>Info!$B$32</f>
        <v>0</v>
      </c>
      <c r="H220" s="5">
        <f>Info!$B$37</f>
        <v>0</v>
      </c>
      <c r="I220" s="5">
        <f>Info!$B$40</f>
        <v>0</v>
      </c>
      <c r="J220" s="5">
        <f>Info!$B$43</f>
        <v>0.5</v>
      </c>
      <c r="P220" s="7">
        <f t="shared" si="10"/>
        <v>7.1428571428571425E-2</v>
      </c>
      <c r="Q220" s="7">
        <f t="shared" si="11"/>
        <v>3.5714285714285712E-2</v>
      </c>
      <c r="R220">
        <f t="shared" si="12"/>
        <v>0</v>
      </c>
    </row>
    <row r="221" spans="1:18" x14ac:dyDescent="0.2">
      <c r="A221" t="s">
        <v>542</v>
      </c>
      <c r="B221" s="10" t="s">
        <v>543</v>
      </c>
      <c r="D221" s="5">
        <f>Info!$B$17</f>
        <v>0</v>
      </c>
      <c r="E221" s="5">
        <f>Info!$B$22</f>
        <v>0</v>
      </c>
      <c r="F221" s="5">
        <f>Info!$B$27</f>
        <v>0</v>
      </c>
      <c r="G221" s="5">
        <f>Info!$B$32</f>
        <v>0</v>
      </c>
      <c r="H221" s="5">
        <f>Info!$B$37</f>
        <v>0</v>
      </c>
      <c r="I221" s="5">
        <f>Info!$B$40</f>
        <v>0</v>
      </c>
      <c r="J221" s="5">
        <f>Info!$B$43</f>
        <v>0.5</v>
      </c>
      <c r="P221" s="7">
        <f t="shared" si="10"/>
        <v>7.1428571428571425E-2</v>
      </c>
      <c r="Q221" s="7">
        <f t="shared" si="11"/>
        <v>3.5714285714285712E-2</v>
      </c>
      <c r="R221">
        <f t="shared" si="12"/>
        <v>0</v>
      </c>
    </row>
    <row r="222" spans="1:18" x14ac:dyDescent="0.2">
      <c r="A222" t="s">
        <v>544</v>
      </c>
      <c r="B222" s="10" t="s">
        <v>545</v>
      </c>
      <c r="D222" s="5">
        <f>Info!$B$17</f>
        <v>0</v>
      </c>
      <c r="E222" s="5">
        <f>Info!$B$22</f>
        <v>0</v>
      </c>
      <c r="F222" s="5">
        <f>Info!$B$27</f>
        <v>0</v>
      </c>
      <c r="G222" s="5">
        <f>Info!$B$32</f>
        <v>0</v>
      </c>
      <c r="H222" s="5">
        <f>Info!$B$37</f>
        <v>0</v>
      </c>
      <c r="I222" s="5">
        <f>Info!$B$40</f>
        <v>0</v>
      </c>
      <c r="J222" s="5">
        <f>Info!$B$43</f>
        <v>0.5</v>
      </c>
      <c r="P222" s="7">
        <f t="shared" si="10"/>
        <v>7.1428571428571425E-2</v>
      </c>
      <c r="Q222" s="7">
        <f t="shared" si="11"/>
        <v>3.5714285714285712E-2</v>
      </c>
      <c r="R222">
        <f t="shared" si="12"/>
        <v>0</v>
      </c>
    </row>
    <row r="223" spans="1:18" x14ac:dyDescent="0.2">
      <c r="A223" t="s">
        <v>546</v>
      </c>
      <c r="B223" s="10" t="s">
        <v>547</v>
      </c>
      <c r="D223" s="5">
        <f>Info!$B$17</f>
        <v>0</v>
      </c>
      <c r="E223" s="5">
        <f>Info!$B$22</f>
        <v>0</v>
      </c>
      <c r="F223" s="5">
        <f>Info!$B$27</f>
        <v>0</v>
      </c>
      <c r="G223" s="5">
        <f>Info!$B$32</f>
        <v>0</v>
      </c>
      <c r="H223" s="5">
        <f>Info!$B$37</f>
        <v>0</v>
      </c>
      <c r="I223" s="5">
        <f>Info!$B$40</f>
        <v>0</v>
      </c>
      <c r="J223" s="5">
        <f>Info!$B$43</f>
        <v>0.5</v>
      </c>
      <c r="P223" s="7">
        <f t="shared" si="10"/>
        <v>7.1428571428571425E-2</v>
      </c>
      <c r="Q223" s="7">
        <f t="shared" si="11"/>
        <v>3.5714285714285712E-2</v>
      </c>
      <c r="R223">
        <f t="shared" si="12"/>
        <v>0</v>
      </c>
    </row>
    <row r="224" spans="1:18" x14ac:dyDescent="0.2">
      <c r="A224" t="s">
        <v>548</v>
      </c>
      <c r="B224" s="10" t="s">
        <v>549</v>
      </c>
      <c r="D224" s="5">
        <f>Info!$B$17</f>
        <v>0</v>
      </c>
      <c r="E224" s="5">
        <f>Info!$B$22</f>
        <v>0</v>
      </c>
      <c r="F224" s="5">
        <f>Info!$B$27</f>
        <v>0</v>
      </c>
      <c r="G224" s="5">
        <f>Info!$B$32</f>
        <v>0</v>
      </c>
      <c r="H224" s="5">
        <f>Info!$B$37</f>
        <v>0</v>
      </c>
      <c r="I224" s="5">
        <f>Info!$B$40</f>
        <v>0</v>
      </c>
      <c r="J224" s="5">
        <f>Info!$B$43</f>
        <v>0.5</v>
      </c>
      <c r="P224" s="7">
        <f t="shared" si="10"/>
        <v>7.1428571428571425E-2</v>
      </c>
      <c r="Q224" s="7">
        <f t="shared" si="11"/>
        <v>3.5714285714285712E-2</v>
      </c>
      <c r="R224">
        <f t="shared" si="12"/>
        <v>0</v>
      </c>
    </row>
    <row r="225" spans="1:18" x14ac:dyDescent="0.2">
      <c r="A225" t="s">
        <v>550</v>
      </c>
      <c r="B225" s="10" t="s">
        <v>551</v>
      </c>
      <c r="D225" s="5">
        <f>Info!$B$17</f>
        <v>0</v>
      </c>
      <c r="E225" s="5">
        <f>Info!$B$22</f>
        <v>0</v>
      </c>
      <c r="F225" s="5">
        <f>Info!$B$27</f>
        <v>0</v>
      </c>
      <c r="G225" s="5">
        <f>Info!$B$32</f>
        <v>0</v>
      </c>
      <c r="H225" s="5">
        <f>Info!$B$37</f>
        <v>0</v>
      </c>
      <c r="I225" s="5">
        <f>Info!$B$40</f>
        <v>0</v>
      </c>
      <c r="J225" s="5">
        <f>Info!$B$43</f>
        <v>0.5</v>
      </c>
      <c r="P225" s="7">
        <f t="shared" si="10"/>
        <v>7.1428571428571425E-2</v>
      </c>
      <c r="Q225" s="7">
        <f t="shared" si="11"/>
        <v>3.5714285714285712E-2</v>
      </c>
      <c r="R225">
        <f t="shared" si="12"/>
        <v>0</v>
      </c>
    </row>
    <row r="226" spans="1:18" x14ac:dyDescent="0.2">
      <c r="A226" t="s">
        <v>552</v>
      </c>
      <c r="B226" s="10" t="s">
        <v>553</v>
      </c>
      <c r="D226" s="5">
        <f>Info!$B$17</f>
        <v>0</v>
      </c>
      <c r="E226" s="5">
        <f>Info!$B$22</f>
        <v>0</v>
      </c>
      <c r="F226" s="5">
        <f>Info!$B$27</f>
        <v>0</v>
      </c>
      <c r="G226" s="5">
        <f>Info!$B$32</f>
        <v>0</v>
      </c>
      <c r="H226" s="5">
        <f>Info!$B$37</f>
        <v>0</v>
      </c>
      <c r="I226" s="5">
        <f>Info!$B$40</f>
        <v>0</v>
      </c>
      <c r="J226" s="5">
        <f>Info!$B$43</f>
        <v>0.5</v>
      </c>
      <c r="P226" s="7">
        <f t="shared" si="10"/>
        <v>7.1428571428571425E-2</v>
      </c>
      <c r="Q226" s="7">
        <f t="shared" si="11"/>
        <v>3.5714285714285712E-2</v>
      </c>
      <c r="R226">
        <f t="shared" si="12"/>
        <v>0</v>
      </c>
    </row>
    <row r="227" spans="1:18" x14ac:dyDescent="0.2">
      <c r="A227" t="s">
        <v>554</v>
      </c>
      <c r="B227" s="10" t="s">
        <v>555</v>
      </c>
      <c r="C227" t="s">
        <v>201</v>
      </c>
      <c r="D227" s="5">
        <f>Info!$B$17</f>
        <v>0</v>
      </c>
      <c r="E227" s="5">
        <f>Info!$B$22</f>
        <v>0</v>
      </c>
      <c r="F227" s="5">
        <f>Info!$B$27</f>
        <v>0</v>
      </c>
      <c r="G227" s="5">
        <f>Info!$B$32</f>
        <v>0</v>
      </c>
      <c r="H227" s="5">
        <f>Info!$B$37</f>
        <v>0</v>
      </c>
      <c r="I227" s="5">
        <f>Info!$B$40</f>
        <v>0</v>
      </c>
      <c r="J227" s="5">
        <f>Info!$B$43</f>
        <v>0.5</v>
      </c>
      <c r="P227" s="7">
        <f t="shared" si="10"/>
        <v>7.1428571428571425E-2</v>
      </c>
      <c r="Q227" s="7">
        <f t="shared" si="11"/>
        <v>3.5714285714285712E-2</v>
      </c>
      <c r="R227">
        <f t="shared" si="12"/>
        <v>0</v>
      </c>
    </row>
    <row r="228" spans="1:18" x14ac:dyDescent="0.2">
      <c r="A228" t="s">
        <v>556</v>
      </c>
      <c r="B228" s="10" t="s">
        <v>557</v>
      </c>
      <c r="C228" t="s">
        <v>201</v>
      </c>
      <c r="D228" s="5">
        <f>Info!$B$17</f>
        <v>0</v>
      </c>
      <c r="E228" s="5">
        <f>Info!$B$21</f>
        <v>0.3</v>
      </c>
      <c r="F228" s="5">
        <f>Info!$B$27</f>
        <v>0</v>
      </c>
      <c r="G228" s="5">
        <f>Info!$B$32</f>
        <v>0</v>
      </c>
      <c r="H228" s="5">
        <f>Info!$B$37</f>
        <v>0</v>
      </c>
      <c r="I228" s="5">
        <f>Info!$B$40</f>
        <v>0</v>
      </c>
      <c r="J228" s="5">
        <f>Info!$B$44</f>
        <v>0</v>
      </c>
      <c r="P228" s="7">
        <f t="shared" si="10"/>
        <v>4.2857142857142858E-2</v>
      </c>
      <c r="Q228" s="7">
        <f t="shared" si="11"/>
        <v>2.1428571428571429E-2</v>
      </c>
      <c r="R228">
        <f t="shared" si="12"/>
        <v>0</v>
      </c>
    </row>
    <row r="229" spans="1:18" x14ac:dyDescent="0.2">
      <c r="A229" t="s">
        <v>558</v>
      </c>
      <c r="B229" s="10" t="s">
        <v>559</v>
      </c>
      <c r="D229" s="5">
        <f>Info!$B$17</f>
        <v>0</v>
      </c>
      <c r="E229" s="5">
        <f>Info!$B$21</f>
        <v>0.3</v>
      </c>
      <c r="F229" s="5">
        <f>Info!$B$27</f>
        <v>0</v>
      </c>
      <c r="G229" s="5">
        <f>Info!$B$32</f>
        <v>0</v>
      </c>
      <c r="H229" s="5">
        <f>Info!$B$37</f>
        <v>0</v>
      </c>
      <c r="I229" s="5">
        <f>Info!$B$40</f>
        <v>0</v>
      </c>
      <c r="J229" s="5">
        <f>Info!$B$44</f>
        <v>0</v>
      </c>
      <c r="P229" s="7">
        <f t="shared" si="10"/>
        <v>4.2857142857142858E-2</v>
      </c>
      <c r="Q229" s="7">
        <f t="shared" si="11"/>
        <v>2.1428571428571429E-2</v>
      </c>
      <c r="R229">
        <f t="shared" si="12"/>
        <v>0</v>
      </c>
    </row>
    <row r="230" spans="1:18" x14ac:dyDescent="0.2">
      <c r="A230" t="s">
        <v>560</v>
      </c>
      <c r="B230" s="10" t="s">
        <v>561</v>
      </c>
      <c r="D230" s="5">
        <f>Info!$B$17</f>
        <v>0</v>
      </c>
      <c r="E230" s="5">
        <f>Info!$B$21</f>
        <v>0.3</v>
      </c>
      <c r="F230" s="5">
        <f>Info!$B$27</f>
        <v>0</v>
      </c>
      <c r="G230" s="5">
        <f>Info!$B$32</f>
        <v>0</v>
      </c>
      <c r="H230" s="5">
        <f>Info!$B$37</f>
        <v>0</v>
      </c>
      <c r="I230" s="5">
        <f>Info!$B$40</f>
        <v>0</v>
      </c>
      <c r="J230" s="5">
        <f>Info!$B$44</f>
        <v>0</v>
      </c>
      <c r="P230" s="7">
        <f t="shared" si="10"/>
        <v>4.2857142857142858E-2</v>
      </c>
      <c r="Q230" s="7">
        <f t="shared" si="11"/>
        <v>2.1428571428571429E-2</v>
      </c>
      <c r="R230">
        <f t="shared" si="12"/>
        <v>0</v>
      </c>
    </row>
    <row r="231" spans="1:18" x14ac:dyDescent="0.2">
      <c r="A231" t="s">
        <v>562</v>
      </c>
      <c r="B231" s="10" t="s">
        <v>563</v>
      </c>
      <c r="D231" s="5">
        <f>Info!$B$17</f>
        <v>0</v>
      </c>
      <c r="E231" s="5">
        <f>Info!$B$21</f>
        <v>0.3</v>
      </c>
      <c r="F231" s="5">
        <f>Info!$B$27</f>
        <v>0</v>
      </c>
      <c r="G231" s="5">
        <f>Info!$B$32</f>
        <v>0</v>
      </c>
      <c r="H231" s="5">
        <f>Info!$B$37</f>
        <v>0</v>
      </c>
      <c r="I231" s="5">
        <f>Info!$B$40</f>
        <v>0</v>
      </c>
      <c r="J231" s="5">
        <f>Info!$B$44</f>
        <v>0</v>
      </c>
      <c r="K231">
        <v>3</v>
      </c>
      <c r="P231" s="7">
        <f t="shared" si="10"/>
        <v>4.2857142857142858E-2</v>
      </c>
      <c r="Q231" s="7">
        <f t="shared" si="11"/>
        <v>2.1428571428571429E-2</v>
      </c>
      <c r="R231">
        <f t="shared" si="12"/>
        <v>0</v>
      </c>
    </row>
    <row r="232" spans="1:18" x14ac:dyDescent="0.2">
      <c r="A232" t="s">
        <v>564</v>
      </c>
      <c r="B232" s="10" t="s">
        <v>565</v>
      </c>
      <c r="D232" s="5"/>
      <c r="E232" s="5"/>
      <c r="F232" s="5"/>
      <c r="G232" s="5"/>
      <c r="H232" s="5"/>
      <c r="I232" s="5"/>
      <c r="J232" s="5"/>
      <c r="K232">
        <v>3</v>
      </c>
      <c r="P232" s="7">
        <f t="shared" si="10"/>
        <v>0</v>
      </c>
      <c r="Q232" s="7">
        <f t="shared" si="11"/>
        <v>0</v>
      </c>
      <c r="R232">
        <f t="shared" si="12"/>
        <v>0</v>
      </c>
    </row>
    <row r="233" spans="1:18" x14ac:dyDescent="0.2">
      <c r="A233" t="s">
        <v>566</v>
      </c>
      <c r="B233" s="10" t="s">
        <v>567</v>
      </c>
      <c r="D233" s="5"/>
      <c r="E233" s="5"/>
      <c r="F233" s="5"/>
      <c r="G233" s="5"/>
      <c r="H233" s="5"/>
      <c r="I233" s="5"/>
      <c r="J233" s="5"/>
      <c r="K233">
        <v>3</v>
      </c>
      <c r="P233" s="7">
        <f t="shared" si="10"/>
        <v>0</v>
      </c>
      <c r="Q233" s="7">
        <f t="shared" si="11"/>
        <v>0</v>
      </c>
      <c r="R233">
        <f t="shared" si="12"/>
        <v>0</v>
      </c>
    </row>
    <row r="234" spans="1:18" x14ac:dyDescent="0.2">
      <c r="A234" t="s">
        <v>568</v>
      </c>
      <c r="B234" s="10" t="s">
        <v>569</v>
      </c>
      <c r="D234" s="5"/>
      <c r="E234" s="5"/>
      <c r="F234" s="5"/>
      <c r="G234" s="5"/>
      <c r="H234" s="5"/>
      <c r="I234" s="5"/>
      <c r="J234" s="5"/>
      <c r="K234">
        <v>1</v>
      </c>
      <c r="P234" s="7">
        <f t="shared" si="10"/>
        <v>0</v>
      </c>
      <c r="Q234" s="7">
        <f t="shared" si="11"/>
        <v>0</v>
      </c>
      <c r="R234">
        <f t="shared" si="12"/>
        <v>0</v>
      </c>
    </row>
    <row r="235" spans="1:18" x14ac:dyDescent="0.2">
      <c r="A235" t="s">
        <v>443</v>
      </c>
      <c r="B235" s="10" t="s">
        <v>570</v>
      </c>
      <c r="D235" s="5"/>
      <c r="E235" s="5"/>
      <c r="F235" s="5"/>
      <c r="G235" s="5"/>
      <c r="H235" s="5"/>
      <c r="I235" s="5"/>
      <c r="J235" s="5"/>
      <c r="K235">
        <v>1</v>
      </c>
      <c r="P235" s="7">
        <f t="shared" si="10"/>
        <v>0</v>
      </c>
      <c r="Q235" s="7">
        <f t="shared" si="11"/>
        <v>0</v>
      </c>
      <c r="R235">
        <f t="shared" si="12"/>
        <v>0</v>
      </c>
    </row>
    <row r="236" spans="1:18" x14ac:dyDescent="0.2">
      <c r="A236" t="s">
        <v>571</v>
      </c>
      <c r="B236" s="10" t="s">
        <v>572</v>
      </c>
      <c r="D236" s="5"/>
      <c r="E236" s="5"/>
      <c r="F236" s="5"/>
      <c r="G236" s="5"/>
      <c r="H236" s="5"/>
      <c r="I236" s="5"/>
      <c r="J236" s="5"/>
      <c r="K236">
        <v>1</v>
      </c>
      <c r="P236" s="7">
        <f t="shared" si="10"/>
        <v>0</v>
      </c>
      <c r="Q236" s="7">
        <f t="shared" si="11"/>
        <v>0</v>
      </c>
      <c r="R236">
        <f t="shared" si="12"/>
        <v>0</v>
      </c>
    </row>
    <row r="237" spans="1:18" x14ac:dyDescent="0.2">
      <c r="A237" t="s">
        <v>573</v>
      </c>
      <c r="B237" s="10" t="s">
        <v>574</v>
      </c>
      <c r="D237" s="5"/>
      <c r="E237" s="5"/>
      <c r="F237" s="5"/>
      <c r="G237" s="5"/>
      <c r="H237" s="5"/>
      <c r="I237" s="5"/>
      <c r="J237" s="5"/>
      <c r="K237">
        <v>1</v>
      </c>
      <c r="P237" s="7">
        <f t="shared" si="10"/>
        <v>0</v>
      </c>
      <c r="Q237" s="7">
        <f t="shared" si="11"/>
        <v>0</v>
      </c>
      <c r="R237">
        <f t="shared" si="12"/>
        <v>0</v>
      </c>
    </row>
    <row r="238" spans="1:18" x14ac:dyDescent="0.2">
      <c r="A238" t="s">
        <v>575</v>
      </c>
      <c r="B238" s="10" t="s">
        <v>576</v>
      </c>
      <c r="D238" s="5"/>
      <c r="E238" s="5"/>
      <c r="F238" s="5"/>
      <c r="G238" s="5"/>
      <c r="H238" s="5"/>
      <c r="I238" s="5"/>
      <c r="J238" s="5"/>
      <c r="K238">
        <v>1</v>
      </c>
      <c r="P238" s="7">
        <f t="shared" ref="P238:P301" si="13">(D238+E238+F238+G238+H238+I238+J238)/7</f>
        <v>0</v>
      </c>
      <c r="Q238" s="7">
        <f t="shared" si="11"/>
        <v>0</v>
      </c>
      <c r="R238">
        <f t="shared" si="12"/>
        <v>0</v>
      </c>
    </row>
    <row r="239" spans="1:18" x14ac:dyDescent="0.2">
      <c r="A239" t="s">
        <v>577</v>
      </c>
      <c r="B239" s="10" t="s">
        <v>578</v>
      </c>
      <c r="D239" s="5"/>
      <c r="E239" s="5"/>
      <c r="F239" s="5"/>
      <c r="G239" s="5"/>
      <c r="H239" s="5"/>
      <c r="I239" s="5"/>
      <c r="J239" s="5"/>
      <c r="K239">
        <v>1</v>
      </c>
      <c r="P239" s="7">
        <f t="shared" si="13"/>
        <v>0</v>
      </c>
      <c r="Q239" s="7">
        <f t="shared" si="11"/>
        <v>0</v>
      </c>
      <c r="R239">
        <f t="shared" si="12"/>
        <v>0</v>
      </c>
    </row>
    <row r="240" spans="1:18" x14ac:dyDescent="0.2">
      <c r="A240" t="s">
        <v>579</v>
      </c>
      <c r="B240" s="10" t="s">
        <v>580</v>
      </c>
      <c r="D240" s="5"/>
      <c r="E240" s="5"/>
      <c r="F240" s="5"/>
      <c r="G240" s="5"/>
      <c r="H240" s="5"/>
      <c r="I240" s="5"/>
      <c r="J240" s="5"/>
      <c r="K240">
        <v>1</v>
      </c>
      <c r="P240" s="7">
        <f t="shared" si="13"/>
        <v>0</v>
      </c>
      <c r="Q240" s="7">
        <f t="shared" si="11"/>
        <v>0</v>
      </c>
      <c r="R240">
        <f t="shared" si="12"/>
        <v>0</v>
      </c>
    </row>
    <row r="241" spans="1:18" x14ac:dyDescent="0.2">
      <c r="A241" t="s">
        <v>581</v>
      </c>
      <c r="B241" s="10" t="s">
        <v>582</v>
      </c>
      <c r="D241" s="5"/>
      <c r="E241" s="5"/>
      <c r="F241" s="5"/>
      <c r="G241" s="5"/>
      <c r="H241" s="5"/>
      <c r="I241" s="5"/>
      <c r="J241" s="5"/>
      <c r="K241">
        <v>1</v>
      </c>
      <c r="P241" s="7">
        <f t="shared" si="13"/>
        <v>0</v>
      </c>
      <c r="Q241" s="7">
        <f t="shared" si="11"/>
        <v>0</v>
      </c>
      <c r="R241">
        <f t="shared" si="12"/>
        <v>0</v>
      </c>
    </row>
    <row r="242" spans="1:18" x14ac:dyDescent="0.2">
      <c r="A242" t="s">
        <v>583</v>
      </c>
      <c r="B242" s="10" t="s">
        <v>584</v>
      </c>
      <c r="C242" t="s">
        <v>201</v>
      </c>
      <c r="D242" s="5"/>
      <c r="E242" s="5"/>
      <c r="F242" s="5"/>
      <c r="G242" s="5"/>
      <c r="H242" s="5"/>
      <c r="I242" s="5"/>
      <c r="J242" s="5"/>
      <c r="P242" s="7">
        <f t="shared" si="13"/>
        <v>0</v>
      </c>
      <c r="Q242" s="7">
        <f t="shared" si="11"/>
        <v>0</v>
      </c>
      <c r="R242">
        <f t="shared" si="12"/>
        <v>0</v>
      </c>
    </row>
    <row r="243" spans="1:18" x14ac:dyDescent="0.2">
      <c r="A243" t="s">
        <v>585</v>
      </c>
      <c r="B243" s="10" t="s">
        <v>586</v>
      </c>
      <c r="D243" s="5"/>
      <c r="E243" s="5"/>
      <c r="F243" s="5"/>
      <c r="G243" s="5"/>
      <c r="H243" s="5"/>
      <c r="I243" s="5"/>
      <c r="J243" s="5"/>
      <c r="K243">
        <v>1</v>
      </c>
      <c r="P243" s="7">
        <f t="shared" si="13"/>
        <v>0</v>
      </c>
      <c r="Q243" s="7">
        <f t="shared" si="11"/>
        <v>0</v>
      </c>
      <c r="R243">
        <f t="shared" si="12"/>
        <v>0</v>
      </c>
    </row>
    <row r="244" spans="1:18" x14ac:dyDescent="0.2">
      <c r="A244" t="s">
        <v>587</v>
      </c>
      <c r="B244" s="10" t="s">
        <v>588</v>
      </c>
      <c r="D244" s="5"/>
      <c r="E244" s="5"/>
      <c r="F244" s="5"/>
      <c r="G244" s="5"/>
      <c r="H244" s="5"/>
      <c r="I244" s="5"/>
      <c r="J244" s="5"/>
      <c r="K244">
        <v>3</v>
      </c>
      <c r="P244" s="7">
        <f t="shared" si="13"/>
        <v>0</v>
      </c>
      <c r="Q244" s="7">
        <f t="shared" si="11"/>
        <v>0</v>
      </c>
      <c r="R244">
        <f t="shared" si="12"/>
        <v>0</v>
      </c>
    </row>
    <row r="245" spans="1:18" x14ac:dyDescent="0.2">
      <c r="A245" t="s">
        <v>589</v>
      </c>
      <c r="B245" s="10" t="s">
        <v>590</v>
      </c>
      <c r="D245" s="5"/>
      <c r="E245" s="5"/>
      <c r="F245" s="5"/>
      <c r="G245" s="5"/>
      <c r="H245" s="5"/>
      <c r="I245" s="5"/>
      <c r="J245" s="5"/>
      <c r="K245">
        <v>3</v>
      </c>
      <c r="P245" s="7">
        <f t="shared" si="13"/>
        <v>0</v>
      </c>
      <c r="Q245" s="7">
        <f t="shared" si="11"/>
        <v>0</v>
      </c>
      <c r="R245">
        <f t="shared" si="12"/>
        <v>0</v>
      </c>
    </row>
    <row r="246" spans="1:18" x14ac:dyDescent="0.2">
      <c r="A246" t="s">
        <v>591</v>
      </c>
      <c r="B246" s="10" t="s">
        <v>592</v>
      </c>
      <c r="D246" s="5"/>
      <c r="E246" s="5"/>
      <c r="F246" s="5"/>
      <c r="G246" s="5"/>
      <c r="H246" s="5"/>
      <c r="I246" s="5"/>
      <c r="J246" s="5"/>
      <c r="K246">
        <v>3</v>
      </c>
      <c r="P246" s="7">
        <f t="shared" si="13"/>
        <v>0</v>
      </c>
      <c r="Q246" s="7">
        <f t="shared" si="11"/>
        <v>0</v>
      </c>
      <c r="R246">
        <f t="shared" si="12"/>
        <v>0</v>
      </c>
    </row>
    <row r="247" spans="1:18" x14ac:dyDescent="0.2">
      <c r="A247" t="s">
        <v>593</v>
      </c>
      <c r="B247" s="10" t="s">
        <v>594</v>
      </c>
      <c r="D247" s="5"/>
      <c r="E247" s="5"/>
      <c r="F247" s="5"/>
      <c r="G247" s="5"/>
      <c r="H247" s="5"/>
      <c r="I247" s="5"/>
      <c r="J247" s="5"/>
      <c r="K247">
        <v>3</v>
      </c>
      <c r="P247" s="7">
        <f t="shared" si="13"/>
        <v>0</v>
      </c>
      <c r="Q247" s="7">
        <f t="shared" si="11"/>
        <v>0</v>
      </c>
      <c r="R247">
        <f t="shared" si="12"/>
        <v>0</v>
      </c>
    </row>
    <row r="248" spans="1:18" x14ac:dyDescent="0.2">
      <c r="A248" t="s">
        <v>595</v>
      </c>
      <c r="B248" s="10" t="s">
        <v>596</v>
      </c>
      <c r="D248" s="5"/>
      <c r="E248" s="5"/>
      <c r="F248" s="5"/>
      <c r="G248" s="5"/>
      <c r="H248" s="5"/>
      <c r="I248" s="5"/>
      <c r="J248" s="5"/>
      <c r="K248">
        <v>3</v>
      </c>
      <c r="P248" s="7">
        <f t="shared" si="13"/>
        <v>0</v>
      </c>
      <c r="Q248" s="7">
        <f t="shared" si="11"/>
        <v>0</v>
      </c>
      <c r="R248">
        <f t="shared" si="12"/>
        <v>0</v>
      </c>
    </row>
    <row r="249" spans="1:18" x14ac:dyDescent="0.2">
      <c r="A249" t="s">
        <v>597</v>
      </c>
      <c r="B249" s="10" t="s">
        <v>598</v>
      </c>
      <c r="D249" s="5"/>
      <c r="E249" s="5"/>
      <c r="F249" s="5"/>
      <c r="G249" s="5"/>
      <c r="H249" s="5"/>
      <c r="I249" s="5"/>
      <c r="J249" s="5"/>
      <c r="K249">
        <v>3</v>
      </c>
      <c r="P249" s="7">
        <f t="shared" si="13"/>
        <v>0</v>
      </c>
      <c r="Q249" s="7">
        <f t="shared" si="11"/>
        <v>0</v>
      </c>
      <c r="R249">
        <f t="shared" si="12"/>
        <v>0</v>
      </c>
    </row>
    <row r="250" spans="1:18" x14ac:dyDescent="0.2">
      <c r="A250" t="s">
        <v>599</v>
      </c>
      <c r="B250" s="10" t="s">
        <v>600</v>
      </c>
      <c r="C250" t="s">
        <v>201</v>
      </c>
      <c r="K250">
        <v>1</v>
      </c>
      <c r="P250" s="7">
        <f t="shared" si="13"/>
        <v>0</v>
      </c>
      <c r="Q250" s="7">
        <f t="shared" si="11"/>
        <v>0</v>
      </c>
      <c r="R250">
        <f t="shared" si="12"/>
        <v>0</v>
      </c>
    </row>
    <row r="251" spans="1:18" x14ac:dyDescent="0.2">
      <c r="A251" t="s">
        <v>601</v>
      </c>
      <c r="B251" s="10" t="s">
        <v>602</v>
      </c>
      <c r="C251" t="s">
        <v>201</v>
      </c>
      <c r="D251" s="5">
        <f>Info!$B$17</f>
        <v>0</v>
      </c>
      <c r="E251" s="5">
        <f>Info!$B$22</f>
        <v>0</v>
      </c>
      <c r="F251" s="5">
        <f>Info!$B$27</f>
        <v>0</v>
      </c>
      <c r="G251" s="5">
        <f>Info!$B$32</f>
        <v>0</v>
      </c>
      <c r="H251" s="5">
        <f>Info!$B$37</f>
        <v>0</v>
      </c>
      <c r="I251" s="5">
        <f>Info!$B$40</f>
        <v>0</v>
      </c>
      <c r="J251" s="5">
        <f>Info!$B$44</f>
        <v>0</v>
      </c>
      <c r="P251" s="7">
        <f t="shared" si="13"/>
        <v>0</v>
      </c>
      <c r="Q251" s="7">
        <f t="shared" si="11"/>
        <v>0</v>
      </c>
      <c r="R251">
        <f t="shared" si="12"/>
        <v>0</v>
      </c>
    </row>
    <row r="252" spans="1:18" x14ac:dyDescent="0.2">
      <c r="A252" t="s">
        <v>603</v>
      </c>
      <c r="B252" s="10" t="s">
        <v>604</v>
      </c>
      <c r="C252" t="s">
        <v>201</v>
      </c>
      <c r="P252" s="7">
        <f t="shared" si="13"/>
        <v>0</v>
      </c>
      <c r="Q252" s="7">
        <f t="shared" si="11"/>
        <v>0</v>
      </c>
      <c r="R252">
        <f t="shared" si="12"/>
        <v>0</v>
      </c>
    </row>
    <row r="253" spans="1:18" x14ac:dyDescent="0.2">
      <c r="A253" t="s">
        <v>605</v>
      </c>
      <c r="B253" s="10" t="s">
        <v>606</v>
      </c>
      <c r="C253" t="s">
        <v>201</v>
      </c>
      <c r="D253" s="5"/>
      <c r="E253" s="5"/>
      <c r="F253" s="5"/>
      <c r="G253" s="5"/>
      <c r="H253" s="5"/>
      <c r="I253" s="5"/>
      <c r="J253" s="5"/>
      <c r="K253">
        <v>1</v>
      </c>
      <c r="P253" s="7">
        <f t="shared" si="13"/>
        <v>0</v>
      </c>
      <c r="Q253" s="7">
        <f t="shared" si="11"/>
        <v>0</v>
      </c>
      <c r="R253">
        <f t="shared" si="12"/>
        <v>0</v>
      </c>
    </row>
    <row r="254" spans="1:18" x14ac:dyDescent="0.2">
      <c r="A254" t="s">
        <v>607</v>
      </c>
      <c r="B254" s="10" t="s">
        <v>608</v>
      </c>
      <c r="D254" s="5"/>
      <c r="E254" s="5"/>
      <c r="F254" s="5"/>
      <c r="G254" s="5"/>
      <c r="H254" s="5"/>
      <c r="I254" s="5"/>
      <c r="J254" s="5"/>
      <c r="K254">
        <v>1</v>
      </c>
      <c r="P254" s="7">
        <f t="shared" si="13"/>
        <v>0</v>
      </c>
      <c r="Q254" s="7">
        <f t="shared" si="11"/>
        <v>0</v>
      </c>
      <c r="R254">
        <f t="shared" si="12"/>
        <v>0</v>
      </c>
    </row>
    <row r="255" spans="1:18" x14ac:dyDescent="0.2">
      <c r="A255" t="s">
        <v>609</v>
      </c>
      <c r="B255" s="10" t="s">
        <v>610</v>
      </c>
      <c r="C255" t="s">
        <v>201</v>
      </c>
      <c r="D255" s="5"/>
      <c r="E255" s="5"/>
      <c r="F255" s="5"/>
      <c r="G255" s="5"/>
      <c r="H255" s="5"/>
      <c r="I255" s="5"/>
      <c r="J255" s="5"/>
      <c r="K255">
        <v>1</v>
      </c>
      <c r="P255" s="7">
        <f t="shared" si="13"/>
        <v>0</v>
      </c>
      <c r="Q255" s="7">
        <f t="shared" si="11"/>
        <v>0</v>
      </c>
      <c r="R255">
        <f t="shared" si="12"/>
        <v>0</v>
      </c>
    </row>
    <row r="256" spans="1:18" x14ac:dyDescent="0.2">
      <c r="A256" t="s">
        <v>611</v>
      </c>
      <c r="B256" s="10" t="s">
        <v>612</v>
      </c>
      <c r="D256" s="5"/>
      <c r="E256" s="5"/>
      <c r="F256" s="5"/>
      <c r="G256" s="5"/>
      <c r="H256" s="5"/>
      <c r="I256" s="5"/>
      <c r="J256" s="5"/>
      <c r="K256">
        <v>1</v>
      </c>
      <c r="P256" s="7">
        <f t="shared" si="13"/>
        <v>0</v>
      </c>
      <c r="Q256" s="7">
        <f t="shared" si="11"/>
        <v>0</v>
      </c>
      <c r="R256">
        <f t="shared" si="12"/>
        <v>0</v>
      </c>
    </row>
    <row r="257" spans="1:18" x14ac:dyDescent="0.2">
      <c r="A257" t="s">
        <v>613</v>
      </c>
      <c r="B257" s="10" t="s">
        <v>614</v>
      </c>
      <c r="P257" s="7">
        <f t="shared" si="13"/>
        <v>0</v>
      </c>
      <c r="Q257" s="7">
        <f t="shared" si="11"/>
        <v>0</v>
      </c>
      <c r="R257">
        <f t="shared" si="12"/>
        <v>0</v>
      </c>
    </row>
    <row r="258" spans="1:18" x14ac:dyDescent="0.2">
      <c r="A258" t="s">
        <v>615</v>
      </c>
      <c r="B258" s="10" t="s">
        <v>616</v>
      </c>
      <c r="P258" s="7">
        <f t="shared" si="13"/>
        <v>0</v>
      </c>
      <c r="Q258" s="7">
        <f t="shared" ref="Q258:Q321" si="14">(O258+P258)/2</f>
        <v>0</v>
      </c>
      <c r="R258">
        <f t="shared" ref="R258:R321" si="15">IF(_xlfn.BITAND(P258&gt;0.4999, Q258&gt;0.4999)=1,1,0)</f>
        <v>0</v>
      </c>
    </row>
    <row r="259" spans="1:18" x14ac:dyDescent="0.2">
      <c r="A259" t="s">
        <v>617</v>
      </c>
      <c r="B259" s="10" t="s">
        <v>618</v>
      </c>
      <c r="K259">
        <v>1</v>
      </c>
      <c r="P259" s="7">
        <f t="shared" si="13"/>
        <v>0</v>
      </c>
      <c r="Q259" s="7">
        <f t="shared" si="14"/>
        <v>0</v>
      </c>
      <c r="R259">
        <f t="shared" si="15"/>
        <v>0</v>
      </c>
    </row>
    <row r="260" spans="1:18" x14ac:dyDescent="0.2">
      <c r="A260" t="s">
        <v>619</v>
      </c>
      <c r="B260" s="10" t="s">
        <v>620</v>
      </c>
      <c r="D260" s="5">
        <f>Info!$B$17</f>
        <v>0</v>
      </c>
      <c r="E260" s="5">
        <f>Info!$B$22</f>
        <v>0</v>
      </c>
      <c r="F260" s="5">
        <f>Info!$B$27</f>
        <v>0</v>
      </c>
      <c r="G260" s="5">
        <f>Info!$B$32</f>
        <v>0</v>
      </c>
      <c r="H260" s="5">
        <f>Info!$B$37</f>
        <v>0</v>
      </c>
      <c r="I260" s="5">
        <f>Info!$B$40</f>
        <v>0</v>
      </c>
      <c r="J260" s="5">
        <f>Info!$B$44</f>
        <v>0</v>
      </c>
      <c r="P260" s="7">
        <f t="shared" si="13"/>
        <v>0</v>
      </c>
      <c r="Q260" s="7">
        <f t="shared" si="14"/>
        <v>0</v>
      </c>
      <c r="R260">
        <f t="shared" si="15"/>
        <v>0</v>
      </c>
    </row>
    <row r="261" spans="1:18" x14ac:dyDescent="0.2">
      <c r="A261" t="s">
        <v>621</v>
      </c>
      <c r="B261" s="10" t="s">
        <v>622</v>
      </c>
      <c r="K261">
        <v>4</v>
      </c>
      <c r="P261" s="7">
        <f t="shared" si="13"/>
        <v>0</v>
      </c>
      <c r="Q261" s="7">
        <f t="shared" si="14"/>
        <v>0</v>
      </c>
      <c r="R261">
        <f t="shared" si="15"/>
        <v>0</v>
      </c>
    </row>
    <row r="262" spans="1:18" x14ac:dyDescent="0.2">
      <c r="A262" t="s">
        <v>623</v>
      </c>
      <c r="B262" s="10" t="s">
        <v>624</v>
      </c>
      <c r="D262" s="5"/>
      <c r="E262" s="5"/>
      <c r="F262" s="5"/>
      <c r="G262" s="5"/>
      <c r="H262" s="5"/>
      <c r="I262" s="5"/>
      <c r="J262" s="5"/>
      <c r="K262">
        <v>3</v>
      </c>
      <c r="P262" s="7">
        <f t="shared" si="13"/>
        <v>0</v>
      </c>
      <c r="Q262" s="7">
        <f t="shared" si="14"/>
        <v>0</v>
      </c>
      <c r="R262">
        <f t="shared" si="15"/>
        <v>0</v>
      </c>
    </row>
    <row r="263" spans="1:18" x14ac:dyDescent="0.2">
      <c r="A263" t="s">
        <v>625</v>
      </c>
      <c r="B263" s="10" t="s">
        <v>626</v>
      </c>
      <c r="C263" t="s">
        <v>201</v>
      </c>
      <c r="K263">
        <v>4</v>
      </c>
      <c r="P263" s="7">
        <f t="shared" si="13"/>
        <v>0</v>
      </c>
      <c r="Q263" s="7">
        <f t="shared" si="14"/>
        <v>0</v>
      </c>
      <c r="R263">
        <f t="shared" si="15"/>
        <v>0</v>
      </c>
    </row>
    <row r="264" spans="1:18" x14ac:dyDescent="0.2">
      <c r="A264" t="s">
        <v>627</v>
      </c>
      <c r="B264" s="10" t="s">
        <v>628</v>
      </c>
      <c r="K264">
        <v>4</v>
      </c>
      <c r="P264" s="7">
        <f t="shared" si="13"/>
        <v>0</v>
      </c>
      <c r="Q264" s="7">
        <f t="shared" si="14"/>
        <v>0</v>
      </c>
      <c r="R264">
        <f t="shared" si="15"/>
        <v>0</v>
      </c>
    </row>
    <row r="265" spans="1:18" x14ac:dyDescent="0.2">
      <c r="A265" t="s">
        <v>629</v>
      </c>
      <c r="B265" s="10" t="s">
        <v>630</v>
      </c>
      <c r="D265" s="5">
        <f>Info!$B$17</f>
        <v>0</v>
      </c>
      <c r="E265" s="5">
        <f>Info!$B$22</f>
        <v>0</v>
      </c>
      <c r="F265" s="5">
        <f>Info!$B$27</f>
        <v>0</v>
      </c>
      <c r="G265" s="5">
        <f>Info!$B$32</f>
        <v>0</v>
      </c>
      <c r="H265" s="5">
        <f>Info!$B$37</f>
        <v>0</v>
      </c>
      <c r="I265" s="5">
        <f>Info!$B$40</f>
        <v>0</v>
      </c>
      <c r="J265" s="5">
        <f>Info!$B$44</f>
        <v>0</v>
      </c>
      <c r="P265" s="7">
        <f t="shared" si="13"/>
        <v>0</v>
      </c>
      <c r="Q265" s="7">
        <f t="shared" si="14"/>
        <v>0</v>
      </c>
      <c r="R265">
        <f t="shared" si="15"/>
        <v>0</v>
      </c>
    </row>
    <row r="266" spans="1:18" x14ac:dyDescent="0.2">
      <c r="A266" t="s">
        <v>631</v>
      </c>
      <c r="B266" s="10" t="s">
        <v>632</v>
      </c>
      <c r="K266">
        <v>2</v>
      </c>
      <c r="P266" s="7">
        <f t="shared" si="13"/>
        <v>0</v>
      </c>
      <c r="Q266" s="7">
        <f t="shared" si="14"/>
        <v>0</v>
      </c>
      <c r="R266">
        <f t="shared" si="15"/>
        <v>0</v>
      </c>
    </row>
    <row r="267" spans="1:18" x14ac:dyDescent="0.2">
      <c r="A267" t="s">
        <v>633</v>
      </c>
      <c r="B267" s="10" t="s">
        <v>634</v>
      </c>
      <c r="K267">
        <v>4</v>
      </c>
      <c r="P267" s="7">
        <f t="shared" si="13"/>
        <v>0</v>
      </c>
      <c r="Q267" s="7">
        <f t="shared" si="14"/>
        <v>0</v>
      </c>
      <c r="R267">
        <f t="shared" si="15"/>
        <v>0</v>
      </c>
    </row>
    <row r="268" spans="1:18" x14ac:dyDescent="0.2">
      <c r="A268" t="s">
        <v>635</v>
      </c>
      <c r="B268" s="10" t="s">
        <v>636</v>
      </c>
      <c r="K268">
        <v>2</v>
      </c>
      <c r="P268" s="7">
        <f t="shared" si="13"/>
        <v>0</v>
      </c>
      <c r="Q268" s="7">
        <f t="shared" si="14"/>
        <v>0</v>
      </c>
      <c r="R268">
        <f t="shared" si="15"/>
        <v>0</v>
      </c>
    </row>
    <row r="269" spans="1:18" x14ac:dyDescent="0.2">
      <c r="A269" t="s">
        <v>637</v>
      </c>
      <c r="B269" s="10" t="s">
        <v>638</v>
      </c>
      <c r="D269" s="5">
        <f>Info!$B$17</f>
        <v>0</v>
      </c>
      <c r="E269" s="5">
        <f>Info!$B$22</f>
        <v>0</v>
      </c>
      <c r="F269" s="5">
        <f>Info!$B$27</f>
        <v>0</v>
      </c>
      <c r="G269" s="5">
        <f>Info!$B$32</f>
        <v>0</v>
      </c>
      <c r="H269" s="5">
        <f>Info!$B$37</f>
        <v>0</v>
      </c>
      <c r="I269" s="5">
        <f>Info!$B$40</f>
        <v>0</v>
      </c>
      <c r="J269" s="5">
        <f>Info!$B$44</f>
        <v>0</v>
      </c>
      <c r="K269">
        <v>3</v>
      </c>
      <c r="P269" s="7">
        <f t="shared" si="13"/>
        <v>0</v>
      </c>
      <c r="Q269" s="7">
        <f t="shared" si="14"/>
        <v>0</v>
      </c>
      <c r="R269">
        <f t="shared" si="15"/>
        <v>0</v>
      </c>
    </row>
    <row r="270" spans="1:18" x14ac:dyDescent="0.2">
      <c r="A270" t="s">
        <v>639</v>
      </c>
      <c r="B270" s="10" t="s">
        <v>640</v>
      </c>
      <c r="D270" s="5">
        <f>Info!$B$17</f>
        <v>0</v>
      </c>
      <c r="E270" s="5">
        <f>Info!$B$22</f>
        <v>0</v>
      </c>
      <c r="F270" s="5">
        <f>Info!$B$27</f>
        <v>0</v>
      </c>
      <c r="G270" s="5">
        <f>Info!$B$32</f>
        <v>0</v>
      </c>
      <c r="H270" s="5">
        <f>Info!$B$37</f>
        <v>0</v>
      </c>
      <c r="I270" s="5">
        <f>Info!$B$40</f>
        <v>0</v>
      </c>
      <c r="J270" s="5">
        <f>Info!$B$44</f>
        <v>0</v>
      </c>
      <c r="P270" s="7">
        <f t="shared" si="13"/>
        <v>0</v>
      </c>
      <c r="Q270" s="7">
        <f t="shared" si="14"/>
        <v>0</v>
      </c>
      <c r="R270">
        <f t="shared" si="15"/>
        <v>0</v>
      </c>
    </row>
    <row r="271" spans="1:18" x14ac:dyDescent="0.2">
      <c r="A271" t="s">
        <v>641</v>
      </c>
      <c r="B271" s="10" t="s">
        <v>642</v>
      </c>
      <c r="K271">
        <v>2</v>
      </c>
      <c r="P271" s="7">
        <f t="shared" si="13"/>
        <v>0</v>
      </c>
      <c r="Q271" s="7">
        <f t="shared" si="14"/>
        <v>0</v>
      </c>
      <c r="R271">
        <f t="shared" si="15"/>
        <v>0</v>
      </c>
    </row>
    <row r="272" spans="1:18" x14ac:dyDescent="0.2">
      <c r="A272" t="s">
        <v>643</v>
      </c>
      <c r="B272" s="10" t="s">
        <v>644</v>
      </c>
      <c r="K272">
        <v>3</v>
      </c>
      <c r="P272" s="7">
        <f t="shared" si="13"/>
        <v>0</v>
      </c>
      <c r="Q272" s="7">
        <f t="shared" si="14"/>
        <v>0</v>
      </c>
      <c r="R272">
        <f t="shared" si="15"/>
        <v>0</v>
      </c>
    </row>
    <row r="273" spans="1:18" x14ac:dyDescent="0.2">
      <c r="A273" t="s">
        <v>645</v>
      </c>
      <c r="B273" s="10" t="s">
        <v>646</v>
      </c>
      <c r="D273" s="5">
        <f>Info!$B$17</f>
        <v>0</v>
      </c>
      <c r="E273" s="5">
        <f>Info!$B$22</f>
        <v>0</v>
      </c>
      <c r="F273" s="5">
        <f>Info!$B$27</f>
        <v>0</v>
      </c>
      <c r="G273" s="5">
        <f>Info!$B$32</f>
        <v>0</v>
      </c>
      <c r="H273" s="5">
        <f>Info!$B$37</f>
        <v>0</v>
      </c>
      <c r="I273" s="5">
        <f>Info!$B$40</f>
        <v>0</v>
      </c>
      <c r="J273" s="5">
        <f>Info!$B$44</f>
        <v>0</v>
      </c>
      <c r="P273" s="7">
        <f t="shared" si="13"/>
        <v>0</v>
      </c>
      <c r="Q273" s="7">
        <f t="shared" si="14"/>
        <v>0</v>
      </c>
      <c r="R273">
        <f t="shared" si="15"/>
        <v>0</v>
      </c>
    </row>
    <row r="274" spans="1:18" x14ac:dyDescent="0.2">
      <c r="A274" t="s">
        <v>647</v>
      </c>
      <c r="B274" s="10" t="s">
        <v>648</v>
      </c>
      <c r="D274" s="5">
        <f>Info!$B$17</f>
        <v>0</v>
      </c>
      <c r="E274" s="5">
        <f>Info!$B$22</f>
        <v>0</v>
      </c>
      <c r="F274" s="5">
        <f>Info!$B$27</f>
        <v>0</v>
      </c>
      <c r="G274" s="5">
        <f>Info!$B$32</f>
        <v>0</v>
      </c>
      <c r="H274" s="5">
        <f>Info!$B$37</f>
        <v>0</v>
      </c>
      <c r="I274" s="5">
        <f>Info!$B$40</f>
        <v>0</v>
      </c>
      <c r="J274" s="5">
        <f>Info!$B$44</f>
        <v>0</v>
      </c>
      <c r="P274" s="7">
        <f t="shared" si="13"/>
        <v>0</v>
      </c>
      <c r="Q274" s="7">
        <f t="shared" si="14"/>
        <v>0</v>
      </c>
      <c r="R274">
        <f t="shared" si="15"/>
        <v>0</v>
      </c>
    </row>
    <row r="275" spans="1:18" x14ac:dyDescent="0.2">
      <c r="A275" t="s">
        <v>649</v>
      </c>
      <c r="B275" s="10" t="s">
        <v>650</v>
      </c>
      <c r="D275" s="5"/>
      <c r="E275" s="5"/>
      <c r="F275" s="5"/>
      <c r="G275" s="5"/>
      <c r="H275" s="5"/>
      <c r="I275" s="5"/>
      <c r="J275" s="5"/>
      <c r="K275">
        <v>1</v>
      </c>
      <c r="P275" s="7">
        <f t="shared" si="13"/>
        <v>0</v>
      </c>
      <c r="Q275" s="7">
        <f t="shared" si="14"/>
        <v>0</v>
      </c>
      <c r="R275">
        <f t="shared" si="15"/>
        <v>0</v>
      </c>
    </row>
    <row r="276" spans="1:18" x14ac:dyDescent="0.2">
      <c r="A276" t="s">
        <v>651</v>
      </c>
      <c r="B276" s="10" t="s">
        <v>652</v>
      </c>
      <c r="D276" s="5"/>
      <c r="E276" s="5"/>
      <c r="F276" s="5"/>
      <c r="G276" s="5"/>
      <c r="H276" s="5"/>
      <c r="I276" s="5"/>
      <c r="J276" s="5"/>
      <c r="K276">
        <v>1</v>
      </c>
      <c r="P276" s="7">
        <f t="shared" si="13"/>
        <v>0</v>
      </c>
      <c r="Q276" s="7">
        <f t="shared" si="14"/>
        <v>0</v>
      </c>
      <c r="R276">
        <f t="shared" si="15"/>
        <v>0</v>
      </c>
    </row>
    <row r="277" spans="1:18" x14ac:dyDescent="0.2">
      <c r="A277" t="s">
        <v>619</v>
      </c>
      <c r="B277" s="10" t="s">
        <v>653</v>
      </c>
      <c r="D277" s="5">
        <f>Info!$B$17</f>
        <v>0</v>
      </c>
      <c r="E277" s="5">
        <f>Info!$B$22</f>
        <v>0</v>
      </c>
      <c r="F277" s="5">
        <f>Info!$B$27</f>
        <v>0</v>
      </c>
      <c r="G277" s="5">
        <f>Info!$B$32</f>
        <v>0</v>
      </c>
      <c r="H277" s="5">
        <f>Info!$B$37</f>
        <v>0</v>
      </c>
      <c r="I277" s="5">
        <f>Info!$B$40</f>
        <v>0</v>
      </c>
      <c r="J277" s="5">
        <f>Info!$B$44</f>
        <v>0</v>
      </c>
      <c r="P277" s="7">
        <f t="shared" si="13"/>
        <v>0</v>
      </c>
      <c r="Q277" s="7">
        <f t="shared" si="14"/>
        <v>0</v>
      </c>
      <c r="R277">
        <f t="shared" si="15"/>
        <v>0</v>
      </c>
    </row>
    <row r="278" spans="1:18" x14ac:dyDescent="0.2">
      <c r="A278" t="s">
        <v>654</v>
      </c>
      <c r="B278" s="10" t="s">
        <v>655</v>
      </c>
      <c r="P278" s="7">
        <f t="shared" si="13"/>
        <v>0</v>
      </c>
      <c r="Q278" s="7">
        <f t="shared" si="14"/>
        <v>0</v>
      </c>
      <c r="R278">
        <f t="shared" si="15"/>
        <v>0</v>
      </c>
    </row>
    <row r="279" spans="1:18" x14ac:dyDescent="0.2">
      <c r="A279" t="s">
        <v>656</v>
      </c>
      <c r="B279" s="10" t="s">
        <v>657</v>
      </c>
      <c r="D279" s="5">
        <f>Info!$B$17</f>
        <v>0</v>
      </c>
      <c r="E279" s="5">
        <f>Info!$B$22</f>
        <v>0</v>
      </c>
      <c r="F279" s="5">
        <f>Info!$B$27</f>
        <v>0</v>
      </c>
      <c r="G279" s="5">
        <f>Info!$B$32</f>
        <v>0</v>
      </c>
      <c r="H279" s="5">
        <f>Info!$B$37</f>
        <v>0</v>
      </c>
      <c r="I279" s="5">
        <f>Info!$B$40</f>
        <v>0</v>
      </c>
      <c r="J279" s="5">
        <f>Info!$B$44</f>
        <v>0</v>
      </c>
      <c r="P279" s="7">
        <f t="shared" si="13"/>
        <v>0</v>
      </c>
      <c r="Q279" s="7">
        <f t="shared" si="14"/>
        <v>0</v>
      </c>
      <c r="R279">
        <f t="shared" si="15"/>
        <v>0</v>
      </c>
    </row>
    <row r="280" spans="1:18" x14ac:dyDescent="0.2">
      <c r="A280" t="s">
        <v>658</v>
      </c>
      <c r="B280" s="10" t="s">
        <v>659</v>
      </c>
      <c r="D280" s="5"/>
      <c r="E280" s="5"/>
      <c r="F280" s="5"/>
      <c r="G280" s="5"/>
      <c r="H280" s="5"/>
      <c r="I280" s="5"/>
      <c r="J280" s="5"/>
      <c r="K280">
        <v>1</v>
      </c>
      <c r="P280" s="7">
        <f t="shared" si="13"/>
        <v>0</v>
      </c>
      <c r="Q280" s="7">
        <f t="shared" si="14"/>
        <v>0</v>
      </c>
      <c r="R280">
        <f t="shared" si="15"/>
        <v>0</v>
      </c>
    </row>
    <row r="281" spans="1:18" x14ac:dyDescent="0.2">
      <c r="A281" t="s">
        <v>660</v>
      </c>
      <c r="B281" s="10" t="s">
        <v>661</v>
      </c>
      <c r="D281" s="5">
        <f>Info!$B$17</f>
        <v>0</v>
      </c>
      <c r="E281" s="5">
        <f>Info!$B$22</f>
        <v>0</v>
      </c>
      <c r="F281" s="5">
        <f>Info!$B$27</f>
        <v>0</v>
      </c>
      <c r="G281" s="5">
        <f>Info!$B$32</f>
        <v>0</v>
      </c>
      <c r="H281" s="5">
        <f>Info!$B$37</f>
        <v>0</v>
      </c>
      <c r="I281" s="5">
        <f>Info!$B$40</f>
        <v>0</v>
      </c>
      <c r="J281" s="5">
        <f>Info!$B$44</f>
        <v>0</v>
      </c>
      <c r="P281" s="7">
        <f t="shared" si="13"/>
        <v>0</v>
      </c>
      <c r="Q281" s="7">
        <f t="shared" si="14"/>
        <v>0</v>
      </c>
      <c r="R281">
        <f t="shared" si="15"/>
        <v>0</v>
      </c>
    </row>
    <row r="282" spans="1:18" x14ac:dyDescent="0.2">
      <c r="A282" t="s">
        <v>662</v>
      </c>
      <c r="B282" s="10" t="s">
        <v>663</v>
      </c>
      <c r="D282" s="5"/>
      <c r="E282" s="5"/>
      <c r="F282" s="5"/>
      <c r="G282" s="5"/>
      <c r="H282" s="5"/>
      <c r="I282" s="5"/>
      <c r="J282" s="5"/>
      <c r="K282">
        <v>3</v>
      </c>
      <c r="P282" s="7">
        <f t="shared" si="13"/>
        <v>0</v>
      </c>
      <c r="Q282" s="7">
        <f t="shared" si="14"/>
        <v>0</v>
      </c>
      <c r="R282">
        <f t="shared" si="15"/>
        <v>0</v>
      </c>
    </row>
    <row r="283" spans="1:18" x14ac:dyDescent="0.2">
      <c r="A283" t="s">
        <v>664</v>
      </c>
      <c r="B283" s="10" t="s">
        <v>665</v>
      </c>
      <c r="K283">
        <v>4</v>
      </c>
      <c r="P283" s="7">
        <f t="shared" si="13"/>
        <v>0</v>
      </c>
      <c r="Q283" s="7">
        <f t="shared" si="14"/>
        <v>0</v>
      </c>
      <c r="R283">
        <f t="shared" si="15"/>
        <v>0</v>
      </c>
    </row>
    <row r="284" spans="1:18" x14ac:dyDescent="0.2">
      <c r="A284" t="s">
        <v>666</v>
      </c>
      <c r="B284" s="10" t="s">
        <v>667</v>
      </c>
      <c r="D284" s="5">
        <f>Info!$B$17</f>
        <v>0</v>
      </c>
      <c r="E284" s="5">
        <f>Info!$B$22</f>
        <v>0</v>
      </c>
      <c r="F284" s="5">
        <f>Info!$B$27</f>
        <v>0</v>
      </c>
      <c r="G284" s="5">
        <f>Info!$B$32</f>
        <v>0</v>
      </c>
      <c r="H284" s="5">
        <f>Info!$B$37</f>
        <v>0</v>
      </c>
      <c r="I284" s="5">
        <f>Info!$B$40</f>
        <v>0</v>
      </c>
      <c r="J284" s="5">
        <f>Info!$B$44</f>
        <v>0</v>
      </c>
      <c r="K284">
        <v>1</v>
      </c>
      <c r="P284" s="7">
        <f t="shared" si="13"/>
        <v>0</v>
      </c>
      <c r="Q284" s="7">
        <f t="shared" si="14"/>
        <v>0</v>
      </c>
      <c r="R284">
        <f t="shared" si="15"/>
        <v>0</v>
      </c>
    </row>
    <row r="285" spans="1:18" x14ac:dyDescent="0.2">
      <c r="A285" t="s">
        <v>668</v>
      </c>
      <c r="B285" s="10" t="s">
        <v>669</v>
      </c>
      <c r="D285" s="5">
        <f>Info!$B$17</f>
        <v>0</v>
      </c>
      <c r="E285" s="5">
        <f>Info!$B$22</f>
        <v>0</v>
      </c>
      <c r="F285" s="5">
        <f>Info!$B$27</f>
        <v>0</v>
      </c>
      <c r="G285" s="5">
        <f>Info!$B$32</f>
        <v>0</v>
      </c>
      <c r="H285" s="5">
        <f>Info!$B$37</f>
        <v>0</v>
      </c>
      <c r="I285" s="5">
        <f>Info!$B$40</f>
        <v>0</v>
      </c>
      <c r="J285" s="5">
        <f>Info!$B$44</f>
        <v>0</v>
      </c>
      <c r="P285" s="7">
        <f t="shared" si="13"/>
        <v>0</v>
      </c>
      <c r="Q285" s="7">
        <f t="shared" si="14"/>
        <v>0</v>
      </c>
      <c r="R285">
        <f t="shared" si="15"/>
        <v>0</v>
      </c>
    </row>
    <row r="286" spans="1:18" x14ac:dyDescent="0.2">
      <c r="A286" t="s">
        <v>670</v>
      </c>
      <c r="B286" s="10" t="s">
        <v>671</v>
      </c>
      <c r="D286" s="5">
        <f>Info!$B$17</f>
        <v>0</v>
      </c>
      <c r="E286" s="5">
        <f>Info!$B$22</f>
        <v>0</v>
      </c>
      <c r="F286" s="5">
        <f>Info!$B$27</f>
        <v>0</v>
      </c>
      <c r="G286" s="5">
        <f>Info!$B$32</f>
        <v>0</v>
      </c>
      <c r="H286" s="5">
        <f>Info!$B$37</f>
        <v>0</v>
      </c>
      <c r="I286" s="5">
        <f>Info!$B$40</f>
        <v>0</v>
      </c>
      <c r="J286" s="5">
        <f>Info!$B$44</f>
        <v>0</v>
      </c>
      <c r="P286" s="7">
        <f t="shared" si="13"/>
        <v>0</v>
      </c>
      <c r="Q286" s="7">
        <f t="shared" si="14"/>
        <v>0</v>
      </c>
      <c r="R286">
        <f t="shared" si="15"/>
        <v>0</v>
      </c>
    </row>
    <row r="287" spans="1:18" x14ac:dyDescent="0.2">
      <c r="A287" t="s">
        <v>672</v>
      </c>
      <c r="B287" s="10" t="s">
        <v>673</v>
      </c>
      <c r="D287" s="5">
        <f>Info!$B$17</f>
        <v>0</v>
      </c>
      <c r="E287" s="5">
        <f>Info!$B$22</f>
        <v>0</v>
      </c>
      <c r="F287" s="5">
        <f>Info!$B$27</f>
        <v>0</v>
      </c>
      <c r="G287" s="5">
        <f>Info!$B$32</f>
        <v>0</v>
      </c>
      <c r="H287" s="5">
        <f>Info!$B$37</f>
        <v>0</v>
      </c>
      <c r="I287" s="5">
        <f>Info!$B$40</f>
        <v>0</v>
      </c>
      <c r="J287" s="5">
        <f>Info!$B$44</f>
        <v>0</v>
      </c>
      <c r="P287" s="7">
        <f t="shared" si="13"/>
        <v>0</v>
      </c>
      <c r="Q287" s="7">
        <f t="shared" si="14"/>
        <v>0</v>
      </c>
      <c r="R287">
        <f t="shared" si="15"/>
        <v>0</v>
      </c>
    </row>
    <row r="288" spans="1:18" x14ac:dyDescent="0.2">
      <c r="A288" t="s">
        <v>674</v>
      </c>
      <c r="B288" s="10" t="s">
        <v>675</v>
      </c>
      <c r="D288" s="5">
        <f>Info!$B$17</f>
        <v>0</v>
      </c>
      <c r="E288" s="5">
        <f>Info!$B$22</f>
        <v>0</v>
      </c>
      <c r="F288" s="5">
        <f>Info!$B$27</f>
        <v>0</v>
      </c>
      <c r="G288" s="5">
        <f>Info!$B$32</f>
        <v>0</v>
      </c>
      <c r="H288" s="5">
        <f>Info!$B$37</f>
        <v>0</v>
      </c>
      <c r="I288" s="5">
        <f>Info!$B$40</f>
        <v>0</v>
      </c>
      <c r="J288" s="5">
        <f>Info!$B$44</f>
        <v>0</v>
      </c>
      <c r="P288" s="7">
        <f t="shared" si="13"/>
        <v>0</v>
      </c>
      <c r="Q288" s="7">
        <f t="shared" si="14"/>
        <v>0</v>
      </c>
      <c r="R288">
        <f t="shared" si="15"/>
        <v>0</v>
      </c>
    </row>
    <row r="289" spans="1:18" x14ac:dyDescent="0.2">
      <c r="A289" t="s">
        <v>676</v>
      </c>
      <c r="B289" s="10" t="s">
        <v>677</v>
      </c>
      <c r="K289">
        <v>4</v>
      </c>
      <c r="P289" s="7">
        <f t="shared" si="13"/>
        <v>0</v>
      </c>
      <c r="Q289" s="7">
        <f t="shared" si="14"/>
        <v>0</v>
      </c>
      <c r="R289">
        <f t="shared" si="15"/>
        <v>0</v>
      </c>
    </row>
    <row r="290" spans="1:18" x14ac:dyDescent="0.2">
      <c r="A290" t="s">
        <v>678</v>
      </c>
      <c r="B290" s="10" t="s">
        <v>679</v>
      </c>
      <c r="D290" s="5">
        <f>Info!$B$17</f>
        <v>0</v>
      </c>
      <c r="E290" s="5">
        <f>Info!$B$22</f>
        <v>0</v>
      </c>
      <c r="F290" s="5">
        <f>Info!$B$27</f>
        <v>0</v>
      </c>
      <c r="G290" s="5">
        <f>Info!$B$32</f>
        <v>0</v>
      </c>
      <c r="H290" s="5">
        <f>Info!$B$37</f>
        <v>0</v>
      </c>
      <c r="I290" s="5">
        <f>Info!$B$40</f>
        <v>0</v>
      </c>
      <c r="J290" s="5">
        <f>Info!$B$44</f>
        <v>0</v>
      </c>
      <c r="P290" s="7">
        <f t="shared" si="13"/>
        <v>0</v>
      </c>
      <c r="Q290" s="7">
        <f t="shared" si="14"/>
        <v>0</v>
      </c>
      <c r="R290">
        <f t="shared" si="15"/>
        <v>0</v>
      </c>
    </row>
    <row r="291" spans="1:18" x14ac:dyDescent="0.2">
      <c r="A291" t="s">
        <v>680</v>
      </c>
      <c r="B291" s="10" t="s">
        <v>681</v>
      </c>
      <c r="K291">
        <v>4</v>
      </c>
      <c r="P291" s="7">
        <f t="shared" si="13"/>
        <v>0</v>
      </c>
      <c r="Q291" s="7">
        <f t="shared" si="14"/>
        <v>0</v>
      </c>
      <c r="R291">
        <f t="shared" si="15"/>
        <v>0</v>
      </c>
    </row>
    <row r="292" spans="1:18" x14ac:dyDescent="0.2">
      <c r="A292" t="s">
        <v>682</v>
      </c>
      <c r="B292" s="10" t="s">
        <v>683</v>
      </c>
      <c r="P292" s="7">
        <f t="shared" si="13"/>
        <v>0</v>
      </c>
      <c r="Q292" s="7">
        <f t="shared" si="14"/>
        <v>0</v>
      </c>
      <c r="R292">
        <f t="shared" si="15"/>
        <v>0</v>
      </c>
    </row>
    <row r="293" spans="1:18" x14ac:dyDescent="0.2">
      <c r="A293" t="s">
        <v>684</v>
      </c>
      <c r="B293" s="10" t="s">
        <v>685</v>
      </c>
      <c r="K293">
        <v>2</v>
      </c>
      <c r="P293" s="7">
        <f t="shared" si="13"/>
        <v>0</v>
      </c>
      <c r="Q293" s="7">
        <f t="shared" si="14"/>
        <v>0</v>
      </c>
      <c r="R293">
        <f t="shared" si="15"/>
        <v>0</v>
      </c>
    </row>
    <row r="294" spans="1:18" x14ac:dyDescent="0.2">
      <c r="A294" t="s">
        <v>686</v>
      </c>
      <c r="B294" s="10" t="s">
        <v>687</v>
      </c>
      <c r="D294" s="5"/>
      <c r="E294" s="5"/>
      <c r="F294" s="5"/>
      <c r="G294" s="5"/>
      <c r="H294" s="5"/>
      <c r="I294" s="5"/>
      <c r="J294" s="5"/>
      <c r="K294">
        <v>1</v>
      </c>
      <c r="P294" s="7">
        <f t="shared" si="13"/>
        <v>0</v>
      </c>
      <c r="Q294" s="7">
        <f t="shared" si="14"/>
        <v>0</v>
      </c>
      <c r="R294">
        <f t="shared" si="15"/>
        <v>0</v>
      </c>
    </row>
    <row r="295" spans="1:18" x14ac:dyDescent="0.2">
      <c r="A295" t="s">
        <v>688</v>
      </c>
      <c r="B295" s="10" t="s">
        <v>689</v>
      </c>
      <c r="K295">
        <v>1</v>
      </c>
      <c r="P295" s="7">
        <f t="shared" si="13"/>
        <v>0</v>
      </c>
      <c r="Q295" s="7">
        <f t="shared" si="14"/>
        <v>0</v>
      </c>
      <c r="R295">
        <f t="shared" si="15"/>
        <v>0</v>
      </c>
    </row>
    <row r="296" spans="1:18" x14ac:dyDescent="0.2">
      <c r="A296" t="s">
        <v>690</v>
      </c>
      <c r="B296" s="10" t="s">
        <v>691</v>
      </c>
      <c r="D296" s="5">
        <f>Info!$B$17</f>
        <v>0</v>
      </c>
      <c r="E296" s="5">
        <f>Info!$B$22</f>
        <v>0</v>
      </c>
      <c r="F296" s="5">
        <f>Info!$B$27</f>
        <v>0</v>
      </c>
      <c r="G296" s="5">
        <f>Info!$B$32</f>
        <v>0</v>
      </c>
      <c r="H296" s="5">
        <f>Info!$B$37</f>
        <v>0</v>
      </c>
      <c r="I296" s="5">
        <f>Info!$B$40</f>
        <v>0</v>
      </c>
      <c r="J296" s="5">
        <f>Info!$B$44</f>
        <v>0</v>
      </c>
      <c r="P296" s="7">
        <f t="shared" si="13"/>
        <v>0</v>
      </c>
      <c r="Q296" s="7">
        <f t="shared" si="14"/>
        <v>0</v>
      </c>
      <c r="R296">
        <f t="shared" si="15"/>
        <v>0</v>
      </c>
    </row>
    <row r="297" spans="1:18" x14ac:dyDescent="0.2">
      <c r="A297" t="s">
        <v>692</v>
      </c>
      <c r="B297" s="10" t="s">
        <v>693</v>
      </c>
      <c r="D297" s="5"/>
      <c r="E297" s="5"/>
      <c r="F297" s="5"/>
      <c r="G297" s="5"/>
      <c r="H297" s="5"/>
      <c r="I297" s="5"/>
      <c r="J297" s="5"/>
      <c r="K297">
        <v>3</v>
      </c>
      <c r="P297" s="7">
        <f t="shared" si="13"/>
        <v>0</v>
      </c>
      <c r="Q297" s="7">
        <f t="shared" si="14"/>
        <v>0</v>
      </c>
      <c r="R297">
        <f t="shared" si="15"/>
        <v>0</v>
      </c>
    </row>
    <row r="298" spans="1:18" x14ac:dyDescent="0.2">
      <c r="A298" t="s">
        <v>694</v>
      </c>
      <c r="B298" s="10" t="s">
        <v>695</v>
      </c>
      <c r="D298" s="5"/>
      <c r="E298" s="5"/>
      <c r="F298" s="5"/>
      <c r="G298" s="5"/>
      <c r="H298" s="5"/>
      <c r="I298" s="5"/>
      <c r="J298" s="5"/>
      <c r="K298">
        <v>3</v>
      </c>
      <c r="P298" s="7">
        <f t="shared" si="13"/>
        <v>0</v>
      </c>
      <c r="Q298" s="7">
        <f t="shared" si="14"/>
        <v>0</v>
      </c>
      <c r="R298">
        <f t="shared" si="15"/>
        <v>0</v>
      </c>
    </row>
    <row r="299" spans="1:18" x14ac:dyDescent="0.2">
      <c r="A299" t="s">
        <v>696</v>
      </c>
      <c r="B299" s="10" t="s">
        <v>697</v>
      </c>
      <c r="K299">
        <v>1</v>
      </c>
      <c r="P299" s="7">
        <f t="shared" si="13"/>
        <v>0</v>
      </c>
      <c r="Q299" s="7">
        <f t="shared" si="14"/>
        <v>0</v>
      </c>
      <c r="R299">
        <f t="shared" si="15"/>
        <v>0</v>
      </c>
    </row>
    <row r="300" spans="1:18" x14ac:dyDescent="0.2">
      <c r="A300" t="s">
        <v>698</v>
      </c>
      <c r="B300" s="10" t="s">
        <v>699</v>
      </c>
      <c r="K300">
        <v>4</v>
      </c>
      <c r="P300" s="7">
        <f t="shared" si="13"/>
        <v>0</v>
      </c>
      <c r="Q300" s="7">
        <f t="shared" si="14"/>
        <v>0</v>
      </c>
      <c r="R300">
        <f t="shared" si="15"/>
        <v>0</v>
      </c>
    </row>
    <row r="301" spans="1:18" x14ac:dyDescent="0.2">
      <c r="A301" t="s">
        <v>700</v>
      </c>
      <c r="B301" s="10" t="s">
        <v>701</v>
      </c>
      <c r="K301">
        <v>2</v>
      </c>
      <c r="P301" s="7">
        <f t="shared" si="13"/>
        <v>0</v>
      </c>
      <c r="Q301" s="7">
        <f t="shared" si="14"/>
        <v>0</v>
      </c>
      <c r="R301">
        <f t="shared" si="15"/>
        <v>0</v>
      </c>
    </row>
    <row r="302" spans="1:18" x14ac:dyDescent="0.2">
      <c r="A302" t="s">
        <v>702</v>
      </c>
      <c r="B302" s="10" t="s">
        <v>703</v>
      </c>
      <c r="K302">
        <v>2</v>
      </c>
      <c r="P302" s="7">
        <f t="shared" ref="P302:P347" si="16">(D302+E302+F302+G302+H302+I302+J302)/7</f>
        <v>0</v>
      </c>
      <c r="Q302" s="7">
        <f t="shared" si="14"/>
        <v>0</v>
      </c>
      <c r="R302">
        <f t="shared" si="15"/>
        <v>0</v>
      </c>
    </row>
    <row r="303" spans="1:18" x14ac:dyDescent="0.2">
      <c r="A303" t="s">
        <v>704</v>
      </c>
      <c r="B303" s="10" t="s">
        <v>705</v>
      </c>
      <c r="D303" s="5">
        <f>Info!$B$17</f>
        <v>0</v>
      </c>
      <c r="E303" s="5">
        <f>Info!$B$22</f>
        <v>0</v>
      </c>
      <c r="F303" s="5">
        <f>Info!$B$27</f>
        <v>0</v>
      </c>
      <c r="G303" s="5">
        <f>Info!$B$32</f>
        <v>0</v>
      </c>
      <c r="H303" s="5">
        <f>Info!$B$37</f>
        <v>0</v>
      </c>
      <c r="I303" s="5">
        <f>Info!$B$40</f>
        <v>0</v>
      </c>
      <c r="J303" s="5">
        <f>Info!$B$44</f>
        <v>0</v>
      </c>
      <c r="P303" s="7">
        <f t="shared" si="16"/>
        <v>0</v>
      </c>
      <c r="Q303" s="7">
        <f t="shared" si="14"/>
        <v>0</v>
      </c>
      <c r="R303">
        <f t="shared" si="15"/>
        <v>0</v>
      </c>
    </row>
    <row r="304" spans="1:18" x14ac:dyDescent="0.2">
      <c r="A304" t="s">
        <v>706</v>
      </c>
      <c r="B304" s="10" t="s">
        <v>707</v>
      </c>
      <c r="C304" t="s">
        <v>201</v>
      </c>
      <c r="P304" s="7">
        <f t="shared" si="16"/>
        <v>0</v>
      </c>
      <c r="Q304" s="7">
        <f t="shared" si="14"/>
        <v>0</v>
      </c>
      <c r="R304">
        <f t="shared" si="15"/>
        <v>0</v>
      </c>
    </row>
    <row r="305" spans="1:18" x14ac:dyDescent="0.2">
      <c r="A305" t="s">
        <v>708</v>
      </c>
      <c r="B305" s="10" t="s">
        <v>709</v>
      </c>
      <c r="P305" s="7">
        <f t="shared" si="16"/>
        <v>0</v>
      </c>
      <c r="Q305" s="7">
        <f t="shared" si="14"/>
        <v>0</v>
      </c>
      <c r="R305">
        <f t="shared" si="15"/>
        <v>0</v>
      </c>
    </row>
    <row r="306" spans="1:18" x14ac:dyDescent="0.2">
      <c r="A306" t="s">
        <v>710</v>
      </c>
      <c r="B306" s="10" t="s">
        <v>711</v>
      </c>
      <c r="D306" s="5">
        <f>Info!$B$17</f>
        <v>0</v>
      </c>
      <c r="E306" s="5">
        <f>Info!$B$22</f>
        <v>0</v>
      </c>
      <c r="F306" s="5">
        <f>Info!$B$27</f>
        <v>0</v>
      </c>
      <c r="G306" s="5">
        <f>Info!$B$32</f>
        <v>0</v>
      </c>
      <c r="H306" s="5">
        <f>Info!$B$37</f>
        <v>0</v>
      </c>
      <c r="I306" s="5">
        <f>Info!$B$40</f>
        <v>0</v>
      </c>
      <c r="J306" s="5">
        <f>Info!$B$44</f>
        <v>0</v>
      </c>
      <c r="P306" s="7">
        <f t="shared" si="16"/>
        <v>0</v>
      </c>
      <c r="Q306" s="7">
        <f t="shared" si="14"/>
        <v>0</v>
      </c>
      <c r="R306">
        <f t="shared" si="15"/>
        <v>0</v>
      </c>
    </row>
    <row r="307" spans="1:18" x14ac:dyDescent="0.2">
      <c r="A307" t="s">
        <v>712</v>
      </c>
      <c r="B307" s="10" t="s">
        <v>713</v>
      </c>
      <c r="K307">
        <v>2</v>
      </c>
      <c r="P307" s="7">
        <f t="shared" si="16"/>
        <v>0</v>
      </c>
      <c r="Q307" s="7">
        <f t="shared" si="14"/>
        <v>0</v>
      </c>
      <c r="R307">
        <f t="shared" si="15"/>
        <v>0</v>
      </c>
    </row>
    <row r="308" spans="1:18" x14ac:dyDescent="0.2">
      <c r="A308" t="s">
        <v>714</v>
      </c>
      <c r="B308" s="10" t="s">
        <v>715</v>
      </c>
      <c r="K308">
        <v>4</v>
      </c>
      <c r="P308" s="7">
        <f t="shared" si="16"/>
        <v>0</v>
      </c>
      <c r="Q308" s="7">
        <f t="shared" si="14"/>
        <v>0</v>
      </c>
      <c r="R308">
        <f t="shared" si="15"/>
        <v>0</v>
      </c>
    </row>
    <row r="309" spans="1:18" x14ac:dyDescent="0.2">
      <c r="A309" t="s">
        <v>716</v>
      </c>
      <c r="B309" s="10" t="s">
        <v>717</v>
      </c>
      <c r="D309" s="5"/>
      <c r="E309" s="5"/>
      <c r="F309" s="5"/>
      <c r="G309" s="5"/>
      <c r="H309" s="5"/>
      <c r="I309" s="5"/>
      <c r="J309" s="5"/>
      <c r="K309">
        <v>3</v>
      </c>
      <c r="P309" s="7">
        <f t="shared" si="16"/>
        <v>0</v>
      </c>
      <c r="Q309" s="7">
        <f t="shared" si="14"/>
        <v>0</v>
      </c>
      <c r="R309">
        <f t="shared" si="15"/>
        <v>0</v>
      </c>
    </row>
    <row r="310" spans="1:18" x14ac:dyDescent="0.2">
      <c r="A310" t="s">
        <v>718</v>
      </c>
      <c r="B310" s="10" t="s">
        <v>719</v>
      </c>
      <c r="K310">
        <v>4</v>
      </c>
      <c r="P310" s="7">
        <f t="shared" si="16"/>
        <v>0</v>
      </c>
      <c r="Q310" s="7">
        <f t="shared" si="14"/>
        <v>0</v>
      </c>
      <c r="R310">
        <f t="shared" si="15"/>
        <v>0</v>
      </c>
    </row>
    <row r="311" spans="1:18" x14ac:dyDescent="0.2">
      <c r="A311" t="s">
        <v>720</v>
      </c>
      <c r="B311" s="10" t="s">
        <v>721</v>
      </c>
      <c r="D311" s="5">
        <f>Info!$B$17</f>
        <v>0</v>
      </c>
      <c r="E311" s="5">
        <f>Info!$B$22</f>
        <v>0</v>
      </c>
      <c r="F311" s="5">
        <f>Info!$B$27</f>
        <v>0</v>
      </c>
      <c r="G311" s="5">
        <f>Info!$B$32</f>
        <v>0</v>
      </c>
      <c r="H311" s="5">
        <f>Info!$B$37</f>
        <v>0</v>
      </c>
      <c r="I311" s="5">
        <f>Info!$B$40</f>
        <v>0</v>
      </c>
      <c r="J311" s="5">
        <f>Info!$B$44</f>
        <v>0</v>
      </c>
      <c r="P311" s="7">
        <f t="shared" si="16"/>
        <v>0</v>
      </c>
      <c r="Q311" s="7">
        <f t="shared" si="14"/>
        <v>0</v>
      </c>
      <c r="R311">
        <f t="shared" si="15"/>
        <v>0</v>
      </c>
    </row>
    <row r="312" spans="1:18" x14ac:dyDescent="0.2">
      <c r="A312" t="s">
        <v>722</v>
      </c>
      <c r="B312" s="10" t="s">
        <v>723</v>
      </c>
      <c r="C312" t="s">
        <v>201</v>
      </c>
      <c r="K312">
        <v>4</v>
      </c>
      <c r="P312" s="7">
        <f t="shared" si="16"/>
        <v>0</v>
      </c>
      <c r="Q312" s="7">
        <f t="shared" si="14"/>
        <v>0</v>
      </c>
      <c r="R312">
        <f t="shared" si="15"/>
        <v>0</v>
      </c>
    </row>
    <row r="313" spans="1:18" x14ac:dyDescent="0.2">
      <c r="A313" t="s">
        <v>724</v>
      </c>
      <c r="B313" s="10" t="s">
        <v>725</v>
      </c>
      <c r="C313" t="s">
        <v>201</v>
      </c>
      <c r="K313">
        <v>4</v>
      </c>
      <c r="P313" s="7">
        <f t="shared" si="16"/>
        <v>0</v>
      </c>
      <c r="Q313" s="7">
        <f t="shared" si="14"/>
        <v>0</v>
      </c>
      <c r="R313">
        <f t="shared" si="15"/>
        <v>0</v>
      </c>
    </row>
    <row r="314" spans="1:18" x14ac:dyDescent="0.2">
      <c r="A314" t="s">
        <v>726</v>
      </c>
      <c r="B314" s="10" t="s">
        <v>727</v>
      </c>
      <c r="K314">
        <v>4</v>
      </c>
      <c r="P314" s="7">
        <f t="shared" si="16"/>
        <v>0</v>
      </c>
      <c r="Q314" s="7">
        <f t="shared" si="14"/>
        <v>0</v>
      </c>
      <c r="R314">
        <f t="shared" si="15"/>
        <v>0</v>
      </c>
    </row>
    <row r="315" spans="1:18" x14ac:dyDescent="0.2">
      <c r="A315" t="s">
        <v>728</v>
      </c>
      <c r="B315" s="10" t="s">
        <v>729</v>
      </c>
      <c r="K315">
        <v>4</v>
      </c>
      <c r="P315" s="7">
        <f t="shared" si="16"/>
        <v>0</v>
      </c>
      <c r="Q315" s="7">
        <f t="shared" si="14"/>
        <v>0</v>
      </c>
      <c r="R315">
        <f t="shared" si="15"/>
        <v>0</v>
      </c>
    </row>
    <row r="316" spans="1:18" x14ac:dyDescent="0.2">
      <c r="A316" t="s">
        <v>730</v>
      </c>
      <c r="B316" s="10" t="s">
        <v>731</v>
      </c>
      <c r="D316" s="5">
        <f>Info!$B$17</f>
        <v>0</v>
      </c>
      <c r="E316" s="5">
        <f>Info!$B$22</f>
        <v>0</v>
      </c>
      <c r="F316" s="5">
        <f>Info!$B$27</f>
        <v>0</v>
      </c>
      <c r="G316" s="5">
        <f>Info!$B$32</f>
        <v>0</v>
      </c>
      <c r="H316" s="5">
        <f>Info!$B$37</f>
        <v>0</v>
      </c>
      <c r="I316" s="5">
        <f>Info!$B$40</f>
        <v>0</v>
      </c>
      <c r="J316" s="5">
        <f>Info!$B$44</f>
        <v>0</v>
      </c>
      <c r="P316" s="7">
        <f t="shared" si="16"/>
        <v>0</v>
      </c>
      <c r="Q316" s="7">
        <f t="shared" si="14"/>
        <v>0</v>
      </c>
      <c r="R316">
        <f t="shared" si="15"/>
        <v>0</v>
      </c>
    </row>
    <row r="317" spans="1:18" x14ac:dyDescent="0.2">
      <c r="A317" t="s">
        <v>732</v>
      </c>
      <c r="B317" s="10" t="s">
        <v>733</v>
      </c>
      <c r="D317" s="5">
        <f>Info!$B$17</f>
        <v>0</v>
      </c>
      <c r="E317" s="5">
        <f>Info!$B$22</f>
        <v>0</v>
      </c>
      <c r="F317" s="5">
        <f>Info!$B$27</f>
        <v>0</v>
      </c>
      <c r="G317" s="5">
        <f>Info!$B$32</f>
        <v>0</v>
      </c>
      <c r="H317" s="5">
        <f>Info!$B$37</f>
        <v>0</v>
      </c>
      <c r="I317" s="5">
        <f>Info!$B$40</f>
        <v>0</v>
      </c>
      <c r="J317" s="5">
        <f>Info!$B$44</f>
        <v>0</v>
      </c>
      <c r="P317" s="7">
        <f t="shared" si="16"/>
        <v>0</v>
      </c>
      <c r="Q317" s="7">
        <f t="shared" si="14"/>
        <v>0</v>
      </c>
      <c r="R317">
        <f t="shared" si="15"/>
        <v>0</v>
      </c>
    </row>
    <row r="318" spans="1:18" x14ac:dyDescent="0.2">
      <c r="A318" t="s">
        <v>734</v>
      </c>
      <c r="B318" s="10" t="s">
        <v>735</v>
      </c>
      <c r="D318" s="5"/>
      <c r="E318" s="5"/>
      <c r="F318" s="5"/>
      <c r="G318" s="5"/>
      <c r="H318" s="5"/>
      <c r="I318" s="5"/>
      <c r="J318" s="5"/>
      <c r="K318">
        <v>3</v>
      </c>
      <c r="P318" s="7">
        <f t="shared" si="16"/>
        <v>0</v>
      </c>
      <c r="Q318" s="7">
        <f t="shared" si="14"/>
        <v>0</v>
      </c>
      <c r="R318">
        <f t="shared" si="15"/>
        <v>0</v>
      </c>
    </row>
    <row r="319" spans="1:18" x14ac:dyDescent="0.2">
      <c r="A319" t="s">
        <v>662</v>
      </c>
      <c r="B319" s="10" t="s">
        <v>736</v>
      </c>
      <c r="D319" s="5"/>
      <c r="E319" s="5"/>
      <c r="F319" s="5"/>
      <c r="G319" s="5"/>
      <c r="H319" s="5"/>
      <c r="I319" s="5"/>
      <c r="J319" s="5"/>
      <c r="K319">
        <v>3</v>
      </c>
      <c r="P319" s="7">
        <f t="shared" si="16"/>
        <v>0</v>
      </c>
      <c r="Q319" s="7">
        <f t="shared" si="14"/>
        <v>0</v>
      </c>
      <c r="R319">
        <f t="shared" si="15"/>
        <v>0</v>
      </c>
    </row>
    <row r="320" spans="1:18" x14ac:dyDescent="0.2">
      <c r="A320" t="s">
        <v>737</v>
      </c>
      <c r="B320" s="10" t="s">
        <v>738</v>
      </c>
      <c r="D320" s="5"/>
      <c r="E320" s="5"/>
      <c r="F320" s="5"/>
      <c r="G320" s="5"/>
      <c r="H320" s="5"/>
      <c r="I320" s="5"/>
      <c r="J320" s="5"/>
      <c r="K320">
        <v>3</v>
      </c>
      <c r="P320" s="7">
        <f t="shared" si="16"/>
        <v>0</v>
      </c>
      <c r="Q320" s="7">
        <f t="shared" si="14"/>
        <v>0</v>
      </c>
      <c r="R320">
        <f t="shared" si="15"/>
        <v>0</v>
      </c>
    </row>
    <row r="321" spans="1:18" x14ac:dyDescent="0.2">
      <c r="A321" t="s">
        <v>739</v>
      </c>
      <c r="B321" s="10" t="s">
        <v>740</v>
      </c>
      <c r="C321" t="s">
        <v>201</v>
      </c>
      <c r="D321" s="5">
        <f>Info!$B$17</f>
        <v>0</v>
      </c>
      <c r="E321" s="5">
        <f>Info!$B$22</f>
        <v>0</v>
      </c>
      <c r="F321" s="5">
        <f>Info!$B$27</f>
        <v>0</v>
      </c>
      <c r="G321" s="5">
        <f>Info!$B$32</f>
        <v>0</v>
      </c>
      <c r="H321" s="5">
        <f>Info!$B$37</f>
        <v>0</v>
      </c>
      <c r="I321" s="5">
        <f>Info!$B$40</f>
        <v>0</v>
      </c>
      <c r="J321" s="5">
        <f>Info!$B$44</f>
        <v>0</v>
      </c>
      <c r="P321" s="7">
        <f t="shared" si="16"/>
        <v>0</v>
      </c>
      <c r="Q321" s="7">
        <f t="shared" si="14"/>
        <v>0</v>
      </c>
      <c r="R321">
        <f t="shared" si="15"/>
        <v>0</v>
      </c>
    </row>
    <row r="322" spans="1:18" x14ac:dyDescent="0.2">
      <c r="A322" t="s">
        <v>692</v>
      </c>
      <c r="B322" s="10" t="s">
        <v>741</v>
      </c>
      <c r="D322" s="5"/>
      <c r="E322" s="5"/>
      <c r="F322" s="5"/>
      <c r="G322" s="5"/>
      <c r="H322" s="5"/>
      <c r="I322" s="5"/>
      <c r="J322" s="5"/>
      <c r="K322">
        <v>3</v>
      </c>
      <c r="P322" s="7">
        <f t="shared" si="16"/>
        <v>0</v>
      </c>
      <c r="Q322" s="7">
        <f t="shared" ref="Q322:Q347" si="17">(O322+P322)/2</f>
        <v>0</v>
      </c>
      <c r="R322">
        <f t="shared" ref="R322:R347" si="18">IF(_xlfn.BITAND(P322&gt;0.4999, Q322&gt;0.4999)=1,1,0)</f>
        <v>0</v>
      </c>
    </row>
    <row r="323" spans="1:18" x14ac:dyDescent="0.2">
      <c r="A323" t="s">
        <v>742</v>
      </c>
      <c r="B323" s="10" t="s">
        <v>743</v>
      </c>
      <c r="D323" s="5"/>
      <c r="E323" s="5"/>
      <c r="F323" s="5"/>
      <c r="G323" s="5"/>
      <c r="H323" s="5"/>
      <c r="I323" s="5"/>
      <c r="J323" s="5"/>
      <c r="K323">
        <v>3</v>
      </c>
      <c r="P323" s="7">
        <f t="shared" si="16"/>
        <v>0</v>
      </c>
      <c r="Q323" s="7">
        <f t="shared" si="17"/>
        <v>0</v>
      </c>
      <c r="R323">
        <f t="shared" si="18"/>
        <v>0</v>
      </c>
    </row>
    <row r="324" spans="1:18" x14ac:dyDescent="0.2">
      <c r="A324" t="s">
        <v>744</v>
      </c>
      <c r="B324" s="10" t="s">
        <v>745</v>
      </c>
      <c r="D324" s="5"/>
      <c r="E324" s="5"/>
      <c r="F324" s="5"/>
      <c r="G324" s="5"/>
      <c r="H324" s="5"/>
      <c r="I324" s="5"/>
      <c r="J324" s="5"/>
      <c r="K324">
        <v>3</v>
      </c>
      <c r="P324" s="7">
        <f t="shared" si="16"/>
        <v>0</v>
      </c>
      <c r="Q324" s="7">
        <f t="shared" si="17"/>
        <v>0</v>
      </c>
      <c r="R324">
        <f t="shared" si="18"/>
        <v>0</v>
      </c>
    </row>
    <row r="325" spans="1:18" x14ac:dyDescent="0.2">
      <c r="A325" t="s">
        <v>746</v>
      </c>
      <c r="B325" s="10" t="s">
        <v>747</v>
      </c>
      <c r="C325" t="s">
        <v>201</v>
      </c>
      <c r="D325" s="5">
        <f>Info!$B$17</f>
        <v>0</v>
      </c>
      <c r="E325" s="5">
        <f>Info!$B$22</f>
        <v>0</v>
      </c>
      <c r="F325" s="5">
        <f>Info!$B$27</f>
        <v>0</v>
      </c>
      <c r="G325" s="5">
        <f>Info!$B$32</f>
        <v>0</v>
      </c>
      <c r="H325" s="5">
        <f>Info!$B$37</f>
        <v>0</v>
      </c>
      <c r="I325" s="5">
        <f>Info!$B$40</f>
        <v>0</v>
      </c>
      <c r="J325" s="5">
        <f>Info!$B$44</f>
        <v>0</v>
      </c>
      <c r="P325" s="7">
        <f t="shared" si="16"/>
        <v>0</v>
      </c>
      <c r="Q325" s="7">
        <f t="shared" si="17"/>
        <v>0</v>
      </c>
      <c r="R325">
        <f t="shared" si="18"/>
        <v>0</v>
      </c>
    </row>
    <row r="326" spans="1:18" x14ac:dyDescent="0.2">
      <c r="A326" t="s">
        <v>748</v>
      </c>
      <c r="B326" s="10" t="s">
        <v>749</v>
      </c>
      <c r="C326" t="s">
        <v>201</v>
      </c>
      <c r="D326" s="5">
        <f>Info!$B$17</f>
        <v>0</v>
      </c>
      <c r="E326" s="5">
        <f>Info!$B$22</f>
        <v>0</v>
      </c>
      <c r="F326" s="5">
        <f>Info!$B$27</f>
        <v>0</v>
      </c>
      <c r="G326" s="5">
        <f>Info!$B$32</f>
        <v>0</v>
      </c>
      <c r="H326" s="5">
        <f>Info!$B$37</f>
        <v>0</v>
      </c>
      <c r="I326" s="5">
        <f>Info!$B$40</f>
        <v>0</v>
      </c>
      <c r="J326" s="5">
        <f>Info!$B$44</f>
        <v>0</v>
      </c>
      <c r="P326" s="7">
        <f t="shared" si="16"/>
        <v>0</v>
      </c>
      <c r="Q326" s="7">
        <f t="shared" si="17"/>
        <v>0</v>
      </c>
      <c r="R326">
        <f t="shared" si="18"/>
        <v>0</v>
      </c>
    </row>
    <row r="327" spans="1:18" x14ac:dyDescent="0.2">
      <c r="A327" t="s">
        <v>750</v>
      </c>
      <c r="B327" s="10" t="s">
        <v>751</v>
      </c>
      <c r="K327">
        <v>4</v>
      </c>
      <c r="P327" s="7">
        <f t="shared" si="16"/>
        <v>0</v>
      </c>
      <c r="Q327" s="7">
        <f t="shared" si="17"/>
        <v>0</v>
      </c>
      <c r="R327">
        <f t="shared" si="18"/>
        <v>0</v>
      </c>
    </row>
    <row r="328" spans="1:18" x14ac:dyDescent="0.2">
      <c r="A328" t="s">
        <v>752</v>
      </c>
      <c r="B328" s="10" t="s">
        <v>753</v>
      </c>
      <c r="K328">
        <v>4</v>
      </c>
      <c r="P328" s="7">
        <f t="shared" si="16"/>
        <v>0</v>
      </c>
      <c r="Q328" s="7">
        <f t="shared" si="17"/>
        <v>0</v>
      </c>
      <c r="R328">
        <f t="shared" si="18"/>
        <v>0</v>
      </c>
    </row>
    <row r="329" spans="1:18" x14ac:dyDescent="0.2">
      <c r="A329" t="s">
        <v>754</v>
      </c>
      <c r="B329" s="10" t="s">
        <v>755</v>
      </c>
      <c r="D329" s="5">
        <f>Info!$B$17</f>
        <v>0</v>
      </c>
      <c r="E329" s="5">
        <f>Info!$B$22</f>
        <v>0</v>
      </c>
      <c r="F329" s="5">
        <f>Info!$B$27</f>
        <v>0</v>
      </c>
      <c r="G329" s="5">
        <f>Info!$B$32</f>
        <v>0</v>
      </c>
      <c r="H329" s="5">
        <f>Info!$B$37</f>
        <v>0</v>
      </c>
      <c r="I329" s="5">
        <f>Info!$B$40</f>
        <v>0</v>
      </c>
      <c r="J329" s="5">
        <f>Info!$B$44</f>
        <v>0</v>
      </c>
      <c r="P329" s="7">
        <f t="shared" si="16"/>
        <v>0</v>
      </c>
      <c r="Q329" s="7">
        <f t="shared" si="17"/>
        <v>0</v>
      </c>
      <c r="R329">
        <f t="shared" si="18"/>
        <v>0</v>
      </c>
    </row>
    <row r="330" spans="1:18" x14ac:dyDescent="0.2">
      <c r="A330" t="s">
        <v>756</v>
      </c>
      <c r="B330" s="10" t="s">
        <v>757</v>
      </c>
      <c r="D330" s="5">
        <f>Info!$B$17</f>
        <v>0</v>
      </c>
      <c r="E330" s="5">
        <f>Info!$B$22</f>
        <v>0</v>
      </c>
      <c r="F330" s="5">
        <f>Info!$B$27</f>
        <v>0</v>
      </c>
      <c r="G330" s="5">
        <f>Info!$B$32</f>
        <v>0</v>
      </c>
      <c r="H330" s="5">
        <f>Info!$B$37</f>
        <v>0</v>
      </c>
      <c r="I330" s="5">
        <f>Info!$B$40</f>
        <v>0</v>
      </c>
      <c r="J330" s="5">
        <f>Info!$B$44</f>
        <v>0</v>
      </c>
      <c r="K330">
        <v>1</v>
      </c>
      <c r="P330" s="7">
        <f t="shared" si="16"/>
        <v>0</v>
      </c>
      <c r="Q330" s="7">
        <f t="shared" si="17"/>
        <v>0</v>
      </c>
      <c r="R330">
        <f t="shared" si="18"/>
        <v>0</v>
      </c>
    </row>
    <row r="331" spans="1:18" x14ac:dyDescent="0.2">
      <c r="A331" t="s">
        <v>758</v>
      </c>
      <c r="B331" s="10" t="s">
        <v>759</v>
      </c>
      <c r="D331" s="5"/>
      <c r="E331" s="5"/>
      <c r="F331" s="5"/>
      <c r="G331" s="5"/>
      <c r="H331" s="5"/>
      <c r="I331" s="5"/>
      <c r="J331" s="5"/>
      <c r="K331">
        <v>3</v>
      </c>
      <c r="P331" s="7">
        <f t="shared" si="16"/>
        <v>0</v>
      </c>
      <c r="Q331" s="7">
        <f t="shared" si="17"/>
        <v>0</v>
      </c>
      <c r="R331">
        <f t="shared" si="18"/>
        <v>0</v>
      </c>
    </row>
    <row r="332" spans="1:18" x14ac:dyDescent="0.2">
      <c r="A332" t="s">
        <v>760</v>
      </c>
      <c r="B332" s="10" t="s">
        <v>761</v>
      </c>
      <c r="D332" s="5">
        <f>Info!$B$17</f>
        <v>0</v>
      </c>
      <c r="E332" s="5">
        <f>Info!$B$22</f>
        <v>0</v>
      </c>
      <c r="F332" s="5">
        <f>Info!$B$27</f>
        <v>0</v>
      </c>
      <c r="G332" s="5">
        <f>Info!$B$32</f>
        <v>0</v>
      </c>
      <c r="H332" s="5">
        <f>Info!$B$37</f>
        <v>0</v>
      </c>
      <c r="I332" s="5">
        <f>Info!$B$40</f>
        <v>0</v>
      </c>
      <c r="J332" s="5">
        <f>Info!$B$44</f>
        <v>0</v>
      </c>
      <c r="K332">
        <v>1</v>
      </c>
      <c r="P332" s="7">
        <f t="shared" si="16"/>
        <v>0</v>
      </c>
      <c r="Q332" s="7">
        <f t="shared" si="17"/>
        <v>0</v>
      </c>
      <c r="R332">
        <f t="shared" si="18"/>
        <v>0</v>
      </c>
    </row>
    <row r="333" spans="1:18" x14ac:dyDescent="0.2">
      <c r="A333" t="s">
        <v>762</v>
      </c>
      <c r="B333" s="10" t="s">
        <v>763</v>
      </c>
      <c r="D333" s="5"/>
      <c r="E333" s="5"/>
      <c r="F333" s="5"/>
      <c r="G333" s="5"/>
      <c r="H333" s="5"/>
      <c r="I333" s="5"/>
      <c r="J333" s="5"/>
      <c r="K333">
        <v>3</v>
      </c>
      <c r="P333" s="7">
        <f t="shared" si="16"/>
        <v>0</v>
      </c>
      <c r="Q333" s="7">
        <f t="shared" si="17"/>
        <v>0</v>
      </c>
      <c r="R333">
        <f t="shared" si="18"/>
        <v>0</v>
      </c>
    </row>
    <row r="334" spans="1:18" x14ac:dyDescent="0.2">
      <c r="A334" t="s">
        <v>764</v>
      </c>
      <c r="B334" s="10" t="s">
        <v>765</v>
      </c>
      <c r="K334">
        <v>2</v>
      </c>
      <c r="P334" s="7">
        <f t="shared" si="16"/>
        <v>0</v>
      </c>
      <c r="Q334" s="7">
        <f t="shared" si="17"/>
        <v>0</v>
      </c>
      <c r="R334">
        <f t="shared" si="18"/>
        <v>0</v>
      </c>
    </row>
    <row r="335" spans="1:18" x14ac:dyDescent="0.2">
      <c r="A335" t="s">
        <v>766</v>
      </c>
      <c r="B335" s="10" t="s">
        <v>767</v>
      </c>
      <c r="D335" s="5">
        <f>Info!$B$17</f>
        <v>0</v>
      </c>
      <c r="E335" s="5">
        <f>Info!$B$22</f>
        <v>0</v>
      </c>
      <c r="F335" s="5">
        <f>Info!$B$27</f>
        <v>0</v>
      </c>
      <c r="G335" s="5">
        <f>Info!$B$32</f>
        <v>0</v>
      </c>
      <c r="H335" s="5">
        <f>Info!$B$37</f>
        <v>0</v>
      </c>
      <c r="I335" s="5">
        <f>Info!$B$40</f>
        <v>0</v>
      </c>
      <c r="J335" s="5">
        <f>Info!$B$44</f>
        <v>0</v>
      </c>
      <c r="K335">
        <v>1</v>
      </c>
      <c r="P335" s="7">
        <f t="shared" si="16"/>
        <v>0</v>
      </c>
      <c r="Q335" s="7">
        <f t="shared" si="17"/>
        <v>0</v>
      </c>
      <c r="R335">
        <f t="shared" si="18"/>
        <v>0</v>
      </c>
    </row>
    <row r="336" spans="1:18" x14ac:dyDescent="0.2">
      <c r="A336" t="s">
        <v>768</v>
      </c>
      <c r="B336" s="10" t="s">
        <v>769</v>
      </c>
      <c r="K336">
        <v>1</v>
      </c>
      <c r="P336" s="7">
        <f t="shared" si="16"/>
        <v>0</v>
      </c>
      <c r="Q336" s="7">
        <f t="shared" si="17"/>
        <v>0</v>
      </c>
      <c r="R336">
        <f t="shared" si="18"/>
        <v>0</v>
      </c>
    </row>
    <row r="337" spans="1:18" x14ac:dyDescent="0.2">
      <c r="A337" t="s">
        <v>770</v>
      </c>
      <c r="B337" s="10" t="s">
        <v>771</v>
      </c>
      <c r="D337" s="5"/>
      <c r="E337" s="5"/>
      <c r="F337" s="5"/>
      <c r="G337" s="5"/>
      <c r="H337" s="5"/>
      <c r="I337" s="5"/>
      <c r="J337" s="5"/>
      <c r="K337">
        <v>3</v>
      </c>
      <c r="P337" s="7">
        <f t="shared" si="16"/>
        <v>0</v>
      </c>
      <c r="Q337" s="7">
        <f t="shared" si="17"/>
        <v>0</v>
      </c>
      <c r="R337">
        <f t="shared" si="18"/>
        <v>0</v>
      </c>
    </row>
    <row r="338" spans="1:18" x14ac:dyDescent="0.2">
      <c r="A338" t="s">
        <v>772</v>
      </c>
      <c r="B338" s="10" t="s">
        <v>773</v>
      </c>
      <c r="K338">
        <v>3</v>
      </c>
      <c r="P338" s="7">
        <f t="shared" si="16"/>
        <v>0</v>
      </c>
      <c r="Q338" s="7">
        <f t="shared" si="17"/>
        <v>0</v>
      </c>
      <c r="R338">
        <f t="shared" si="18"/>
        <v>0</v>
      </c>
    </row>
    <row r="339" spans="1:18" x14ac:dyDescent="0.2">
      <c r="A339" t="s">
        <v>774</v>
      </c>
      <c r="B339" s="10" t="s">
        <v>775</v>
      </c>
      <c r="K339">
        <v>3</v>
      </c>
      <c r="P339" s="7">
        <f t="shared" si="16"/>
        <v>0</v>
      </c>
      <c r="Q339" s="7">
        <f t="shared" si="17"/>
        <v>0</v>
      </c>
      <c r="R339">
        <f t="shared" si="18"/>
        <v>0</v>
      </c>
    </row>
    <row r="340" spans="1:18" x14ac:dyDescent="0.2">
      <c r="A340" t="s">
        <v>776</v>
      </c>
      <c r="B340" s="10" t="s">
        <v>777</v>
      </c>
      <c r="D340" s="5">
        <f>Info!$B$17</f>
        <v>0</v>
      </c>
      <c r="E340" s="5">
        <f>Info!$B$22</f>
        <v>0</v>
      </c>
      <c r="F340" s="5">
        <f>Info!$B$27</f>
        <v>0</v>
      </c>
      <c r="G340" s="5">
        <f>Info!$B$32</f>
        <v>0</v>
      </c>
      <c r="H340" s="5">
        <f>Info!$B$37</f>
        <v>0</v>
      </c>
      <c r="I340" s="5">
        <f>Info!$B$40</f>
        <v>0</v>
      </c>
      <c r="J340" s="5">
        <f>Info!$B$44</f>
        <v>0</v>
      </c>
      <c r="K340">
        <v>1</v>
      </c>
      <c r="P340" s="7">
        <f t="shared" si="16"/>
        <v>0</v>
      </c>
      <c r="Q340" s="7">
        <f t="shared" si="17"/>
        <v>0</v>
      </c>
      <c r="R340">
        <f t="shared" si="18"/>
        <v>0</v>
      </c>
    </row>
    <row r="341" spans="1:18" x14ac:dyDescent="0.2">
      <c r="A341" t="s">
        <v>778</v>
      </c>
      <c r="B341" s="10" t="s">
        <v>779</v>
      </c>
      <c r="K341">
        <v>2</v>
      </c>
      <c r="P341" s="7">
        <f t="shared" si="16"/>
        <v>0</v>
      </c>
      <c r="Q341" s="7">
        <f t="shared" si="17"/>
        <v>0</v>
      </c>
      <c r="R341">
        <f t="shared" si="18"/>
        <v>0</v>
      </c>
    </row>
    <row r="342" spans="1:18" x14ac:dyDescent="0.2">
      <c r="A342" t="s">
        <v>778</v>
      </c>
      <c r="B342" s="10" t="s">
        <v>780</v>
      </c>
      <c r="K342">
        <v>2</v>
      </c>
      <c r="P342" s="7">
        <f t="shared" si="16"/>
        <v>0</v>
      </c>
      <c r="Q342" s="7">
        <f t="shared" si="17"/>
        <v>0</v>
      </c>
      <c r="R342">
        <f t="shared" si="18"/>
        <v>0</v>
      </c>
    </row>
    <row r="343" spans="1:18" x14ac:dyDescent="0.2">
      <c r="A343" t="s">
        <v>781</v>
      </c>
      <c r="B343" s="10" t="s">
        <v>782</v>
      </c>
      <c r="K343">
        <v>2</v>
      </c>
      <c r="P343" s="7">
        <f t="shared" si="16"/>
        <v>0</v>
      </c>
      <c r="Q343" s="7">
        <f t="shared" si="17"/>
        <v>0</v>
      </c>
      <c r="R343">
        <f t="shared" si="18"/>
        <v>0</v>
      </c>
    </row>
    <row r="344" spans="1:18" x14ac:dyDescent="0.2">
      <c r="A344" t="s">
        <v>783</v>
      </c>
      <c r="B344" s="10" t="s">
        <v>784</v>
      </c>
      <c r="K344">
        <v>2</v>
      </c>
      <c r="P344" s="7">
        <f t="shared" si="16"/>
        <v>0</v>
      </c>
      <c r="Q344" s="7">
        <f t="shared" si="17"/>
        <v>0</v>
      </c>
      <c r="R344">
        <f t="shared" si="18"/>
        <v>0</v>
      </c>
    </row>
    <row r="345" spans="1:18" x14ac:dyDescent="0.2">
      <c r="A345" t="s">
        <v>785</v>
      </c>
      <c r="B345" s="10" t="s">
        <v>786</v>
      </c>
      <c r="K345">
        <v>2</v>
      </c>
      <c r="P345" s="7">
        <f t="shared" si="16"/>
        <v>0</v>
      </c>
      <c r="Q345" s="7">
        <f t="shared" si="17"/>
        <v>0</v>
      </c>
      <c r="R345">
        <f t="shared" si="18"/>
        <v>0</v>
      </c>
    </row>
    <row r="346" spans="1:18" x14ac:dyDescent="0.2">
      <c r="A346" t="s">
        <v>787</v>
      </c>
      <c r="B346" s="10" t="s">
        <v>788</v>
      </c>
      <c r="K346">
        <v>3</v>
      </c>
      <c r="P346" s="7">
        <f t="shared" si="16"/>
        <v>0</v>
      </c>
      <c r="Q346" s="7">
        <f t="shared" si="17"/>
        <v>0</v>
      </c>
      <c r="R346">
        <f t="shared" si="18"/>
        <v>0</v>
      </c>
    </row>
    <row r="347" spans="1:18" x14ac:dyDescent="0.2">
      <c r="A347" t="s">
        <v>789</v>
      </c>
      <c r="B347" s="10" t="s">
        <v>790</v>
      </c>
      <c r="K347">
        <v>4</v>
      </c>
      <c r="P347" s="7">
        <f t="shared" si="16"/>
        <v>0</v>
      </c>
      <c r="Q347" s="7">
        <f t="shared" si="17"/>
        <v>0</v>
      </c>
      <c r="R347">
        <f t="shared" si="18"/>
        <v>0</v>
      </c>
    </row>
    <row r="472" spans="1:1" x14ac:dyDescent="0.2">
      <c r="A472" s="8"/>
    </row>
    <row r="473" spans="1:1" x14ac:dyDescent="0.2">
      <c r="A473" s="8"/>
    </row>
    <row r="474" spans="1:1" x14ac:dyDescent="0.2">
      <c r="A474" s="8"/>
    </row>
    <row r="518" spans="1:1" x14ac:dyDescent="0.2">
      <c r="A518" s="8"/>
    </row>
    <row r="519" spans="1:1" x14ac:dyDescent="0.2">
      <c r="A519" s="8"/>
    </row>
    <row r="525" spans="1:1" x14ac:dyDescent="0.2">
      <c r="A525" s="4"/>
    </row>
    <row r="526" spans="1:1" x14ac:dyDescent="0.2">
      <c r="A526" s="4"/>
    </row>
    <row r="527" spans="1:1" x14ac:dyDescent="0.2">
      <c r="A527" s="4"/>
    </row>
    <row r="528" spans="1:1" x14ac:dyDescent="0.2">
      <c r="A528" s="4"/>
    </row>
    <row r="529" spans="1:1" x14ac:dyDescent="0.2">
      <c r="A529" s="4"/>
    </row>
    <row r="530" spans="1:1" x14ac:dyDescent="0.2">
      <c r="A530" s="4"/>
    </row>
    <row r="531" spans="1:1" x14ac:dyDescent="0.2">
      <c r="A531" s="4"/>
    </row>
    <row r="532" spans="1:1" x14ac:dyDescent="0.2">
      <c r="A532" s="4"/>
    </row>
  </sheetData>
  <autoFilter ref="A1:R347" xr:uid="{892E526C-191D-43C4-BCAF-7B9D5F49C497}">
    <sortState xmlns:xlrd2="http://schemas.microsoft.com/office/spreadsheetml/2017/richdata2" ref="A2:R347">
      <sortCondition descending="1" ref="R1:R347"/>
    </sortState>
  </autoFilter>
  <sortState xmlns:xlrd2="http://schemas.microsoft.com/office/spreadsheetml/2017/richdata2" ref="A2:R559">
    <sortCondition ref="C2:C559"/>
  </sortState>
  <phoneticPr fontId="11" type="noConversion"/>
  <hyperlinks>
    <hyperlink ref="B31" r:id="rId1" xr:uid="{D79BFC7C-1C53-41C7-96DA-C826116255B0}"/>
    <hyperlink ref="B13" r:id="rId2" xr:uid="{7A886136-55B1-405D-A70C-D335311B6CC2}"/>
    <hyperlink ref="B88" r:id="rId3" xr:uid="{C1DDB24D-1B53-4EEC-B785-27AFDF8ABAAD}"/>
    <hyperlink ref="B5" r:id="rId4" xr:uid="{64017D33-6244-474F-B607-2D280A001FC0}"/>
    <hyperlink ref="B250" r:id="rId5" xr:uid="{7F5BBA54-389F-47FE-841C-B228889600EC}"/>
    <hyperlink ref="B4" r:id="rId6" xr:uid="{055D5DE1-B8A4-445B-9CF7-191BC21C9D6A}"/>
    <hyperlink ref="B86" r:id="rId7" xr:uid="{627DDE99-22C1-482C-A057-68D4413D172A}"/>
    <hyperlink ref="B251" r:id="rId8" xr:uid="{684A4D84-0F3E-4162-A043-2655534E3E15}"/>
    <hyperlink ref="B82" r:id="rId9" xr:uid="{A65D7907-4E69-4B13-B3D3-173887C7064D}"/>
    <hyperlink ref="B92" r:id="rId10" xr:uid="{B88C5C92-D8A5-4192-9C07-B07C09C339C9}"/>
    <hyperlink ref="B252" r:id="rId11" xr:uid="{39A99BD6-B32A-499C-92AB-F9EEE633AE23}"/>
    <hyperlink ref="B125" r:id="rId12" xr:uid="{4856E49D-22FB-4A52-9492-418998E7F887}"/>
    <hyperlink ref="B228" r:id="rId13" xr:uid="{3538678F-0DF3-4F18-9D72-2F2E98603A03}"/>
    <hyperlink ref="B16" r:id="rId14" xr:uid="{37C7A781-EE0E-47BA-B2B5-36B0EAF44D72}"/>
    <hyperlink ref="B90" r:id="rId15" xr:uid="{22EC2B48-3DF3-4D8A-AD9A-6373D8FB6D98}"/>
    <hyperlink ref="B25" r:id="rId16" xr:uid="{18A86A36-DF45-48CD-AB3A-B1D2912C28DE}"/>
    <hyperlink ref="B253" r:id="rId17" xr:uid="{66FCA543-7103-4274-90C0-279B78E57AC2}"/>
    <hyperlink ref="B254" r:id="rId18" xr:uid="{14393471-269F-418B-BB3E-0C25901D4677}"/>
    <hyperlink ref="B136" r:id="rId19" xr:uid="{00541004-AE57-49A1-8C37-E8088BAF9556}"/>
    <hyperlink ref="B255" r:id="rId20" xr:uid="{0CBF8E83-AC2F-408A-8AD5-BA64D8BEEF79}"/>
    <hyperlink ref="B256" r:id="rId21" xr:uid="{E6B51A08-E6A3-4EFD-B5BA-81769F37B68C}"/>
    <hyperlink ref="B27" r:id="rId22" xr:uid="{453AC9F1-CADA-4D9A-98BD-F30072790675}"/>
    <hyperlink ref="B257" r:id="rId23" xr:uid="{D917BDAD-ADC8-4983-8A9B-FE540B636501}"/>
    <hyperlink ref="B258" r:id="rId24" display="https://www.researchgate.net/profile/Abhijit-Pathak-8/publication/376787011_Blockchain-Powered_Security_and_Transparency_in_Supply_Chain_Exploring_Traceability_and_Authenticity_through_Smart_Contracts/links/6587b44f3c472d2e8e8242ac/Blockchain-Powered-Security-and-Transparency-in-Supply-Chain-Exploring-Traceability-and-Authenticity-through-Smart-Contracts.pdf" xr:uid="{093CE291-1B8B-4BD5-AD73-02201F59938E}"/>
    <hyperlink ref="B75" r:id="rId25" xr:uid="{7E168098-5185-4109-87A6-96F14BCD0950}"/>
    <hyperlink ref="B17" r:id="rId26" xr:uid="{33077529-736A-4C1A-B428-1954727837FF}"/>
    <hyperlink ref="B21" r:id="rId27" xr:uid="{6298EB6D-58AB-49E9-AB4E-0213E808599D}"/>
    <hyperlink ref="B100" r:id="rId28" xr:uid="{707EDA0C-A055-4637-A090-D20D55A3E4E7}"/>
    <hyperlink ref="B120" r:id="rId29" xr:uid="{9F129A09-155A-4681-AC31-EAF0668E7E06}"/>
    <hyperlink ref="B32" r:id="rId30" xr:uid="{1EC50ED3-43CE-4B37-9E0A-89D020705548}"/>
    <hyperlink ref="B80" r:id="rId31" xr:uid="{F66F438E-0A1E-4570-A2E2-C69243F2A4AF}"/>
    <hyperlink ref="B76" r:id="rId32" location="Tab3" xr:uid="{0C7C5192-0D8A-4792-9ED4-8306FD5C48CF}"/>
    <hyperlink ref="B40" r:id="rId33" xr:uid="{E6D7D082-12F6-49B1-86A0-CE975413E870}"/>
    <hyperlink ref="B56" r:id="rId34" xr:uid="{1FBF9F5E-8854-4256-860E-EE91E9FCC2E7}"/>
    <hyperlink ref="B78" r:id="rId35" xr:uid="{E5E94446-1594-49DD-8CD0-F6018615E5F2}"/>
    <hyperlink ref="B110" r:id="rId36" xr:uid="{0EA1C50B-9E7C-435A-8559-D46776EDD621}"/>
    <hyperlink ref="B34" r:id="rId37" xr:uid="{1A4BAB27-2758-41E3-9CA9-FE5165BEDABA}"/>
    <hyperlink ref="B97" r:id="rId38" xr:uid="{2B4770F7-A29D-4E86-BF50-E145724F522F}"/>
    <hyperlink ref="B77" r:id="rId39" xr:uid="{7CACE6EE-8828-4617-A3AA-8741957556A6}"/>
    <hyperlink ref="B83" r:id="rId40" xr:uid="{D365CBDF-B894-46B7-8877-AA642D827516}"/>
    <hyperlink ref="B12" r:id="rId41" xr:uid="{7B31D0B6-D63D-48C0-8E4C-AD923BBCD338}"/>
    <hyperlink ref="B22" r:id="rId42" xr:uid="{CEE34AF1-5827-422B-8331-54707B33AB46}"/>
    <hyperlink ref="B11" r:id="rId43" xr:uid="{89616A5E-E4D7-4699-88AB-9D48F8F14E2D}"/>
    <hyperlink ref="B79" r:id="rId44" xr:uid="{AF5F7B4C-DE75-4CC9-A296-D9772DBDCF07}"/>
    <hyperlink ref="B28" r:id="rId45" xr:uid="{509C3095-A5D0-41CF-A1B4-62725C982D3E}"/>
    <hyperlink ref="B111" r:id="rId46" xr:uid="{280F6629-3D54-46C3-B14A-BE1785AE6762}"/>
    <hyperlink ref="B8" r:id="rId47" xr:uid="{E995B11E-12A0-4EAE-8080-C3FBFAE0234E}"/>
    <hyperlink ref="B87" r:id="rId48" xr:uid="{A6E2EA14-020E-48DE-9809-286E87DD948A}"/>
    <hyperlink ref="B71" r:id="rId49" xr:uid="{5E3B8AA7-242B-46A8-8A2E-24FC5A74798E}"/>
    <hyperlink ref="B9" r:id="rId50" xr:uid="{06B07749-383F-40FE-905E-2E9070CE63D7}"/>
    <hyperlink ref="B259" r:id="rId51" xr:uid="{CD526B5B-6462-44FF-BAC5-538698D99FC4}"/>
    <hyperlink ref="B3" r:id="rId52" xr:uid="{6486F888-602D-4847-BBDB-A965DEA34374}"/>
    <hyperlink ref="B44" r:id="rId53" xr:uid="{5A6595A8-C0D8-409F-947E-B14351616BBE}"/>
    <hyperlink ref="B57" r:id="rId54" xr:uid="{1B83F814-D3B2-412D-AB54-9DFA8526993C}"/>
    <hyperlink ref="B55" r:id="rId55" xr:uid="{E06D2697-6162-4A1C-A9F7-7B5A8D2ED1AA}"/>
    <hyperlink ref="B89" r:id="rId56" display="https://www.researchgate.net/profile/Malaw-Ndiaye/publication/360624196_Security_Strengths_and_Weaknesses_of_Blockchain_Smart_Contract_System_A_Survey/links/62824c3590841d5155d7dbb7/Security-Strengths-and-Weaknesses-of-Blockchain-Smart-Contract-System-A-Survey.pdf" xr:uid="{26CB55F5-1178-4CAB-9CB1-1DD3588B9CEE}"/>
    <hyperlink ref="B30" r:id="rId57" xr:uid="{DFEF5BAD-90DC-4A3D-8A2D-5EA903676778}"/>
    <hyperlink ref="B65" r:id="rId58" xr:uid="{DB622329-F8C1-4EC5-A847-77325F3B99D0}"/>
    <hyperlink ref="B260" r:id="rId59" xr:uid="{62351A51-3C6C-48B5-A0B2-381330D63063}"/>
    <hyperlink ref="B94" r:id="rId60" xr:uid="{B626034F-3633-4653-A37E-35B3C9E2C215}"/>
    <hyperlink ref="B26" r:id="rId61" xr:uid="{41F6C142-EDE4-4F4A-BB30-640A37B581F2}"/>
    <hyperlink ref="B62" r:id="rId62" xr:uid="{78867693-E3AA-413F-A63E-D6F28489823B}"/>
    <hyperlink ref="B15" r:id="rId63" xr:uid="{EC20936A-EB92-4B09-8817-112041616DE3}"/>
    <hyperlink ref="B91" r:id="rId64" xr:uid="{697F5750-1524-4294-BFC4-9D615886D765}"/>
    <hyperlink ref="B64" r:id="rId65" xr:uid="{769B8458-2A57-479B-98DE-F07BE5CFFC59}"/>
    <hyperlink ref="B101" r:id="rId66" xr:uid="{86558465-3C27-426F-ADE3-C9BD8089CE8B}"/>
    <hyperlink ref="B93" r:id="rId67" xr:uid="{50A20817-45E0-4F00-A71E-D4A0F728F047}"/>
    <hyperlink ref="B232" r:id="rId68" xr:uid="{3A2E982B-B5BE-405E-BFB0-9968314DB88F}"/>
    <hyperlink ref="B113" r:id="rId69" xr:uid="{59FB8C63-8E88-4564-8062-A90E5962394F}"/>
    <hyperlink ref="B37" r:id="rId70" xr:uid="{30F9028F-6FEA-49E6-A646-F3E0B14F65FF}"/>
    <hyperlink ref="B41" r:id="rId71" xr:uid="{1DC9B27D-93FA-4595-85AB-80778BFA3AC7}"/>
    <hyperlink ref="B99" r:id="rId72" xr:uid="{A3F577D7-06C3-408F-8D4D-DBE5E8E193BD}"/>
    <hyperlink ref="B98" r:id="rId73" xr:uid="{154D5349-7CB5-4A33-BD0E-97CC3DFF643E}"/>
    <hyperlink ref="B6" r:id="rId74" xr:uid="{59E5DF3D-0206-4D75-8385-36835DEC063F}"/>
    <hyperlink ref="B118" r:id="rId75" xr:uid="{1E42D3FC-39E7-4F02-B486-73575062F5A6}"/>
    <hyperlink ref="B261" r:id="rId76" xr:uid="{83A7A3BA-2881-4002-B9F1-32F33FCC404D}"/>
    <hyperlink ref="B262" r:id="rId77" xr:uid="{A0D5220E-F92C-4039-8E92-8D27727E3628}"/>
    <hyperlink ref="B29" r:id="rId78" xr:uid="{454E780E-3A24-4BB3-85DE-507539010B2D}"/>
    <hyperlink ref="B38" r:id="rId79" xr:uid="{7E24ACA0-1D07-4953-85CF-ED6E67163E0F}"/>
    <hyperlink ref="B46" r:id="rId80" xr:uid="{92078B1A-ABDA-46B5-9FED-5C0BE34ED6B8}"/>
    <hyperlink ref="B81" r:id="rId81" xr:uid="{B30AD36A-2A35-422B-8D03-B3B94B556743}"/>
    <hyperlink ref="B36" r:id="rId82" xr:uid="{5C885B35-FE87-45AB-AA20-26AE93234725}"/>
    <hyperlink ref="B263" r:id="rId83" xr:uid="{F6856CD7-6F85-4A1E-A0E7-5A06BA772AFE}"/>
    <hyperlink ref="B47" r:id="rId84" xr:uid="{D08C1E36-760D-420E-9A65-F15802806887}"/>
    <hyperlink ref="B126" r:id="rId85" xr:uid="{C45BE117-D05C-4F03-878D-BD223120D200}"/>
    <hyperlink ref="B116" r:id="rId86" xr:uid="{EE9C97DB-C4E7-4632-9DEC-18C0C58480B7}"/>
    <hyperlink ref="B137" r:id="rId87" xr:uid="{353FF46E-91C5-448C-A3B3-82C7265404F5}"/>
    <hyperlink ref="B127" r:id="rId88" xr:uid="{71842996-4829-474E-8EC0-20D9BA0E6EE2}"/>
    <hyperlink ref="B264" r:id="rId89" xr:uid="{599E65BA-3A3A-440E-BB15-B1BC6CED0797}"/>
    <hyperlink ref="B233" r:id="rId90" xr:uid="{7260AEE4-D510-4CC7-BC74-66BE84703C97}"/>
    <hyperlink ref="B2" r:id="rId91" xr:uid="{C0DA5AFD-3721-4B99-918D-CD4CFDD9420A}"/>
    <hyperlink ref="B84" r:id="rId92" xr:uid="{8D1B972D-7797-448C-B425-F20F49E81B09}"/>
    <hyperlink ref="B249" r:id="rId93" xr:uid="{7E571A4E-2E18-48CF-937C-64E1750D180D}"/>
    <hyperlink ref="B42" r:id="rId94" xr:uid="{73ADB527-027F-415D-9D55-308FFABDD6DA}"/>
    <hyperlink ref="B39" r:id="rId95" xr:uid="{43CC1527-A5BD-44E1-8182-D0206D469812}"/>
    <hyperlink ref="B85" r:id="rId96" xr:uid="{C4CED5CA-BB13-4EF2-AF79-E7B12F335C33}"/>
    <hyperlink ref="B20" r:id="rId97" xr:uid="{98CD6F90-3518-4F11-98D4-833A871D52DC}"/>
    <hyperlink ref="B229" r:id="rId98" xr:uid="{1AD277E7-8970-4994-BB49-77A70041938A}"/>
    <hyperlink ref="B43" r:id="rId99" xr:uid="{93AC029E-AFA6-4C76-9D15-7D295274D5D4}"/>
    <hyperlink ref="B265" r:id="rId100" xr:uid="{D448E2CD-7F43-45D2-A7A2-BDD33D3FB680}"/>
    <hyperlink ref="B234" r:id="rId101" xr:uid="{903F6694-C4EE-40B7-8B56-9CB39A48743C}"/>
    <hyperlink ref="B115" r:id="rId102" xr:uid="{F62A1214-DB3E-4F1C-B95D-D2B384009CAF}"/>
    <hyperlink ref="B48" r:id="rId103" xr:uid="{D3FED0A0-148B-4A98-B999-A922C9C06DA7}"/>
    <hyperlink ref="B266" r:id="rId104" xr:uid="{E984DD4F-B16D-43A5-AFEA-77209A4F8438}"/>
    <hyperlink ref="B49" r:id="rId105" display="https://books.google.com/books?hl=it&amp;lr=&amp;id=4x3nEAAAQBAJ&amp;oi=fnd&amp;pg=PA276&amp;dq=+(%E2%80%9Csmart+contract%E2%80%9D+OR+%E2%80%9Csmart+contracts%E2%80%9D+OR+Ethereum)+AND+(vulnerability+OR+vulnerabilities+OR+bug+OR+bugs+OR+security+OR+analysis+OR+detection+OR+tool+OR+verification)&amp;ots=QS1SRii5yW&amp;sig=ab-mjqZulvTgEXTwBKQRY-m47d4" xr:uid="{1D1397F0-5D82-4015-83A4-3055505662BC}"/>
    <hyperlink ref="B267" r:id="rId106" location="AN=161257514&amp;db=bth" xr:uid="{57773ADC-CC8D-40FE-B6C1-D107C939BA64}"/>
    <hyperlink ref="B268" r:id="rId107" xr:uid="{589D0D93-7FF7-4B6B-8DBB-80AC5FD41812}"/>
    <hyperlink ref="B235" r:id="rId108" xr:uid="{400E54AC-5443-4FF6-B4B8-47D600BBD35B}"/>
    <hyperlink ref="B14" r:id="rId109" xr:uid="{F21F57A6-E6B8-49E9-8BA3-77A615AB169C}"/>
    <hyperlink ref="B33" r:id="rId110" xr:uid="{29303D50-6B76-452A-B3EC-5AEA6FB96213}"/>
    <hyperlink ref="B108" r:id="rId111" xr:uid="{571578E1-1974-49F5-A808-59832651D003}"/>
    <hyperlink ref="B138" r:id="rId112" xr:uid="{2B6974B3-AF13-4D2C-9F8D-7307CC583168}"/>
    <hyperlink ref="B269" r:id="rId113" xr:uid="{9E2B25C0-8842-4B1D-A041-B0AA02CC9CBC}"/>
    <hyperlink ref="B236" r:id="rId114" xr:uid="{03B212C3-16B8-4D4C-9CE1-D5BD1CF54CCE}"/>
    <hyperlink ref="B53" r:id="rId115" xr:uid="{20544D77-0FB7-4615-A7B2-6C071C20272F}"/>
    <hyperlink ref="B50" r:id="rId116" xr:uid="{F33493EE-83A3-46F4-A827-D43402C4AAF6}"/>
    <hyperlink ref="B109" r:id="rId117" xr:uid="{57E08899-42BB-4903-8580-E7B58D4234B8}"/>
    <hyperlink ref="B270" r:id="rId118" xr:uid="{8B769E29-DAD3-478F-808C-725C381D5B87}"/>
    <hyperlink ref="B237" r:id="rId119" xr:uid="{520BFBFD-7D7C-4B9D-A544-90940E122F74}"/>
    <hyperlink ref="B198" r:id="rId120" xr:uid="{1BBFA6BF-EDDF-41BC-8E1E-E12772776E11}"/>
    <hyperlink ref="B271" r:id="rId121" xr:uid="{FD231071-37D0-49EE-918D-70FE60237049}"/>
    <hyperlink ref="B199" r:id="rId122" xr:uid="{A87660F9-D787-4261-AF7B-976A57912F8A}"/>
    <hyperlink ref="B114" r:id="rId123" xr:uid="{817BAC75-11EA-4D11-86DE-9E4D3E955875}"/>
    <hyperlink ref="B128" r:id="rId124" xr:uid="{999A4007-DA93-46CA-A6F0-527FDB08B520}"/>
    <hyperlink ref="B200" r:id="rId125" xr:uid="{DB230EAA-A2F8-4CC2-8829-1528A42A0E5A}"/>
    <hyperlink ref="B66" r:id="rId126" xr:uid="{A13492DA-80E4-4A8C-8903-A102D3644E30}"/>
    <hyperlink ref="B51" r:id="rId127" xr:uid="{6F295558-1C6C-4AA1-B526-959682EA2504}"/>
    <hyperlink ref="B201" r:id="rId128" xr:uid="{F6E0B816-0AD2-43F0-9D3D-39F8DE672345}"/>
    <hyperlink ref="B67" r:id="rId129" xr:uid="{3B82F097-40F2-43D5-9286-D96A05D4A749}"/>
    <hyperlink ref="B139" r:id="rId130" xr:uid="{17789A1B-E412-45DB-BA8E-7E67BDE891D7}"/>
    <hyperlink ref="B238" r:id="rId131" xr:uid="{835F9C02-E192-4348-BDEB-A9A310215578}"/>
    <hyperlink ref="B24" r:id="rId132" xr:uid="{817EDF59-6C5D-4B5F-B219-EBA75746B6B5}"/>
    <hyperlink ref="B272" r:id="rId133" xr:uid="{F53C08E6-A6E1-4EB5-837C-4C8DEA68BADD}"/>
    <hyperlink ref="B273" r:id="rId134" xr:uid="{A9495696-0070-4C8F-8E12-F63B115AE3F1}"/>
    <hyperlink ref="B121" r:id="rId135" xr:uid="{89459A28-BFA4-4340-8AA9-C601C8653922}"/>
    <hyperlink ref="B274" r:id="rId136" display="https://www.researchgate.net/profile/Vishalkumar-Langaliya/publication/355045586_A_Comparative_and_Comprehensive_Analysis_of_Smart_Contract_Enabled_Blockchain_Applications_Smart_Contract_Enabled_Blockchain_Applications/links/62ff8097e3c7de4c3469f5e1/A-Comparative-and-Comprehensive-Analysis-of-Smart-Contract-Enabled-Blockchain-Applications-Smart-Contract-Enabled-Blockchain-Applications.pdf" xr:uid="{CA3849A0-07F2-4619-BB4D-52C25527112C}"/>
    <hyperlink ref="B68" r:id="rId137" xr:uid="{DEC09199-F43B-41BD-B373-9A313033019B}"/>
    <hyperlink ref="B129" r:id="rId138" xr:uid="{B9B7114C-2F4E-43BF-B8AA-D620BD51E05E}"/>
    <hyperlink ref="B202" r:id="rId139" xr:uid="{F5E96300-6CFF-405E-8553-3B7901060629}"/>
    <hyperlink ref="B203" r:id="rId140" xr:uid="{A0F2887A-B1ED-4430-8BE3-2B25AD50C4FC}"/>
    <hyperlink ref="B275" r:id="rId141" xr:uid="{ED8D5DAA-5B16-4D6D-9188-FD32EFDC3508}"/>
    <hyperlink ref="B130" r:id="rId142" xr:uid="{07B5B232-2FF5-4702-914C-BA9CE22BE7FC}"/>
    <hyperlink ref="B276" r:id="rId143" xr:uid="{6C35F5C5-1849-4B1E-90FC-480D80940CA0}"/>
    <hyperlink ref="B277" r:id="rId144" xr:uid="{417C4C21-EB29-4563-BB8A-BFEE9FBE52AD}"/>
    <hyperlink ref="B131" r:id="rId145" xr:uid="{F2F01F27-4FE2-4070-8F78-FE7B40DC15F3}"/>
    <hyperlink ref="B61" r:id="rId146" xr:uid="{D01BE0FE-7E61-4AF7-B893-8B20F1933494}"/>
    <hyperlink ref="B278" r:id="rId147" xr:uid="{D4471789-4EC1-4D44-BCCE-74E7AF7B1E84}"/>
    <hyperlink ref="B204" r:id="rId148" xr:uid="{79F832F3-173B-478A-92F6-BFDEEBA13738}"/>
    <hyperlink ref="B119" r:id="rId149" display="https://www.researchgate.net/profile/Ranadeep-Reddy-Palle/publication/377302689_Enhancing_Cloud-Based_Smart_Contract_Security_A_Hybrid_AI_and_Optimization_Approach_for_Vulnerability_Prediction_in_FinTech/links/659f51bbaf617b0d873bcb2a/Enhancing-Cloud-Based-Smart-Contract-Security-A-Hybrid-AI-and-Optimization-Approach-for-Vulnerability-Prediction-in-FinTech.pdf" xr:uid="{3760C574-958F-44FD-86DE-CF8606471E5A}"/>
    <hyperlink ref="B205" r:id="rId150" xr:uid="{D9A81570-0503-48DD-9E20-61A4132D1D64}"/>
    <hyperlink ref="B279" r:id="rId151" xr:uid="{EA4F7627-35AF-400C-BA2A-C9E183382A0D}"/>
    <hyperlink ref="B140" r:id="rId152" xr:uid="{7054AF06-EE5A-44BF-A1CC-1D1FE4BC933A}"/>
    <hyperlink ref="B206" r:id="rId153" xr:uid="{5FC36817-620B-4C2A-B0EF-98676646D840}"/>
    <hyperlink ref="B239" r:id="rId154" xr:uid="{FB279A34-614A-4EBA-8D6D-6C15B9189EA2}"/>
    <hyperlink ref="B207" r:id="rId155" xr:uid="{3DD81227-D6FA-49DB-A0BC-87BBD77390E3}"/>
    <hyperlink ref="B141" r:id="rId156" xr:uid="{CB934A76-EA74-4128-B9C3-E2122D4D8AC3}"/>
    <hyperlink ref="B208" r:id="rId157" xr:uid="{090BB869-865E-4BD6-9CD4-661F8F0EA1B7}"/>
    <hyperlink ref="B280" r:id="rId158" display="https://d1wqtxts1xzle7.cloudfront.net/67889801/ijeter21972021-libre.pdf?1625557204=&amp;response-content-disposition=inline%3B+filename%3DCyber_Security_Intelligence_and_Ethereum.pdf&amp;Expires=1706267310&amp;Signature=SbiwhXbhSffZdoL-2IU9X2heBvs~DAPywwo~N7L~jZG5P~tLYVFZUMnqHZ8Sp31IpLW8PzIbyvHYPFwo2iEKGYzoSZNr91I8294p4hVG5f1j2uFHCYiuVXDC~ERjU2cjryopFYweGcUsuTH~qoKnRkfHLkID4ah-CTCsDGsabA-QhmxcCwnTyoPNMNiBs4jeCgb8YUSSE64X-WfKaIGa9VpIlwKBcug6MTtB-0Qoozu30Bx~vnI-MkQ8Ync~by1I7ngboVAgfNur5CA2oECXqXoO0t-pltrlVf3Zh6iUAa5n42x0MocTTiyL5eGw6hwnzW7agD9kcQT1k9oB9wRv8Q__&amp;Key-Pair-Id=APKAJLOHF5GGSLRBV4ZA" xr:uid="{B3727EDE-FD7A-423E-B0FD-0CC79E1041E4}"/>
    <hyperlink ref="B35" r:id="rId159" xr:uid="{47F2FAB1-8816-442E-A168-F7BCA7392690}"/>
    <hyperlink ref="B281" r:id="rId160" xr:uid="{40E6109D-255C-4C9C-8B1A-8A7096B36E8F}"/>
    <hyperlink ref="B282" r:id="rId161" xr:uid="{D9CF2B05-216F-4297-8AB3-25D791C01402}"/>
    <hyperlink ref="B283" r:id="rId162" xr:uid="{79C03F73-2B04-4E3B-9C62-7105D98499B1}"/>
    <hyperlink ref="B122" r:id="rId163" xr:uid="{A8324ADB-4642-4B1C-B93E-8C381DB4D675}"/>
    <hyperlink ref="B209" r:id="rId164" xr:uid="{0FAA2216-F664-4CAB-8889-020142387D0C}"/>
    <hyperlink ref="B124" r:id="rId165" xr:uid="{C7C8FEFF-A3B4-4E31-A0B1-1FCAF12F42FA}"/>
    <hyperlink ref="B63" r:id="rId166" xr:uid="{020EDD99-C125-4B6E-A324-669EE5C0E5AA}"/>
    <hyperlink ref="B210" r:id="rId167" xr:uid="{FE62110B-45BD-4B89-8556-10146D714D4B}"/>
    <hyperlink ref="B284" r:id="rId168" xr:uid="{892B6D86-3B61-43B2-B0F2-5E93DD9F36F3}"/>
    <hyperlink ref="B117" r:id="rId169" xr:uid="{584B4509-B5AB-4692-BB61-ACAD37403A48}"/>
    <hyperlink ref="B285" r:id="rId170" xr:uid="{3512052D-7B43-44F0-B128-C65CFC30B37E}"/>
    <hyperlink ref="B286" r:id="rId171" xr:uid="{20F91A1E-3911-46A6-9949-FB7E2B112F7C}"/>
    <hyperlink ref="B23" r:id="rId172" xr:uid="{D809C755-B100-44AF-897B-7D168F2264C9}"/>
    <hyperlink ref="B95" r:id="rId173" xr:uid="{6BED599C-A79F-4960-BDBE-8DC863C39856}"/>
    <hyperlink ref="B211" r:id="rId174" xr:uid="{7678016A-4135-4B28-BEC9-93C4F21911F6}"/>
    <hyperlink ref="B230" r:id="rId175" xr:uid="{74ED4859-92D6-4F3A-96D0-9CF4BF3D6CE6}"/>
    <hyperlink ref="B45" r:id="rId176" xr:uid="{6408F04C-120C-46DE-B448-C0764B3AF559}"/>
    <hyperlink ref="B132" r:id="rId177" xr:uid="{9B4B65DA-791E-4077-9240-CEA39C233208}"/>
    <hyperlink ref="B10" r:id="rId178" xr:uid="{3B5C6F62-0483-4B5E-BD3F-96CEB8AB8697}"/>
    <hyperlink ref="B212" r:id="rId179" xr:uid="{7AF05D37-7F97-461C-8387-6030D8844AB6}"/>
    <hyperlink ref="B287" r:id="rId180" xr:uid="{6002E109-E89C-4C9C-A79E-B5C836B624D0}"/>
    <hyperlink ref="B69" r:id="rId181" xr:uid="{E21C33A3-6BA7-4DA5-85A0-A3F81585694F}"/>
    <hyperlink ref="B72" r:id="rId182" xr:uid="{59A578B7-FA2D-415B-B0B2-6AF55E0E17B8}"/>
    <hyperlink ref="B288" r:id="rId183" xr:uid="{218B93BA-D8AB-4B25-BD2A-DFBC93B0B76A}"/>
    <hyperlink ref="B213" r:id="rId184" xr:uid="{61343AF3-73E1-44FF-B961-3C2BEAB0D036}"/>
    <hyperlink ref="B19" r:id="rId185" xr:uid="{E263AA9F-8A64-4224-A27E-09FC7A930A43}"/>
    <hyperlink ref="B243" r:id="rId186" xr:uid="{28959B2A-AD63-4BE7-B7BA-741117820A29}"/>
    <hyperlink ref="B289" r:id="rId187" xr:uid="{C17FAFB9-8DB5-4FA0-890E-A385A6CF8EFC}"/>
    <hyperlink ref="B214" r:id="rId188" display="https://www.researchgate.net/profile/Sabri-Ahmad-Hisham/publication/377486941_An_interpretable_ensemble_model_framework_for_real-time_anomaly_detection_and_prediction_of_Ethereum_blockchain_transactions/links/65a92111a59bf45fc9d52ad7/An-interpretable-ensemble-model-framework-for-real-time-anomaly-detection-and-prediction-of-Ethereum-blockchain-transactions.pdf" xr:uid="{D3C69C31-ED41-48A8-B622-CEE965CD7D81}"/>
    <hyperlink ref="B290" r:id="rId189" xr:uid="{64EA6FBC-99CE-42A8-A908-2A2DE7193480}"/>
    <hyperlink ref="B291" r:id="rId190" xr:uid="{5B924A44-9F4D-49AE-B89E-504A22580C71}"/>
    <hyperlink ref="B292" r:id="rId191" xr:uid="{35CAF41A-968D-4694-BEB6-F5A8C0D21547}"/>
    <hyperlink ref="B215" r:id="rId192" xr:uid="{1F59358D-B4B6-4D1C-9134-894ED7182C18}"/>
    <hyperlink ref="B112" r:id="rId193" xr:uid="{A14B8168-803E-408A-A4F6-C7E59A687C21}"/>
    <hyperlink ref="B293" r:id="rId194" xr:uid="{47C6CE5D-6D02-4F0C-B5D2-49D7D476F27C}"/>
    <hyperlink ref="B70" r:id="rId195" xr:uid="{1DFC86C4-980D-4342-8D73-ABA643A05911}"/>
    <hyperlink ref="B294" r:id="rId196" xr:uid="{08704962-B2A2-4D71-8DB7-D6C50D1B6C6C}"/>
    <hyperlink ref="B133" r:id="rId197" xr:uid="{8B9BBF56-E191-4102-BF79-5669C4D12FB6}"/>
    <hyperlink ref="B216" r:id="rId198" xr:uid="{43F03AAA-ED81-409D-88A3-33498C3E858B}"/>
    <hyperlink ref="B217" r:id="rId199" xr:uid="{2FA87B8F-7F68-4899-962E-693CBFD5DFF8}"/>
    <hyperlink ref="B295" r:id="rId200" xr:uid="{FF020DA9-C220-4497-9A18-CC70B2CC1E4F}"/>
    <hyperlink ref="B218" r:id="rId201" xr:uid="{8CF1CADD-92A6-4108-8DD1-C5B964A89AD9}"/>
    <hyperlink ref="B296" r:id="rId202" xr:uid="{91309405-EBEE-4110-B9F4-D37F313D5D66}"/>
    <hyperlink ref="B52" r:id="rId203" xr:uid="{691F1FD2-2B93-499B-ACD0-34BD3104A14E}"/>
    <hyperlink ref="B219" r:id="rId204" xr:uid="{958BF2AC-68D1-4380-ADB7-70D4B17D5BFC}"/>
    <hyperlink ref="B297" r:id="rId205" xr:uid="{BB640C6E-513D-4A19-8E32-7CCCF62750D6}"/>
    <hyperlink ref="B220" r:id="rId206" display="https://books.google.com/books?hl=it&amp;lr=&amp;id=5Ex-EAAAQBAJ&amp;oi=fnd&amp;pg=PT5&amp;dq=+(%E2%80%9Csmart+contract%E2%80%9D+OR+%E2%80%9Csmart+contracts%E2%80%9D+OR+Ethereum)+AND+(vulnerability+OR+vulnerabilities+OR+bug+OR+bugs+OR+security+OR+analysis+OR+detection+OR+tool+OR+verification)&amp;ots=riVAuaZI4b&amp;sig=Ya4XH0iHHDz-YREIYvmt7EJlLog" xr:uid="{B20BE198-0273-404D-8809-FE2BAA562B58}"/>
    <hyperlink ref="B298" r:id="rId207" xr:uid="{250324E1-D0E7-416A-A270-4C4802CF1BE6}"/>
    <hyperlink ref="B299" r:id="rId208" xr:uid="{3D306619-255B-4618-8797-BF7FD71D132E}"/>
    <hyperlink ref="B221" r:id="rId209" display="https://books.google.com/books?hl=it&amp;lr=&amp;id=jEqkEAAAQBAJ&amp;oi=fnd&amp;pg=PA65&amp;dq=+(%E2%80%9Csmart+contract%E2%80%9D+OR+%E2%80%9Csmart+contracts%E2%80%9D+OR+Ethereum)+AND+(vulnerability+OR+vulnerabilities+OR+bug+OR+bugs+OR+security+OR+analysis+OR+detection+OR+tool+OR+verification)&amp;ots=cthK1_9OHS&amp;sig=exUuPaVNM8sasA0tsgrRzKwY7Zw" xr:uid="{99C6ADF7-48A3-4D68-91CA-38C27A8F0AD2}"/>
    <hyperlink ref="B300" r:id="rId210" location="AN=174778270&amp;db=asx" xr:uid="{16CC1DB9-B45B-44D9-A9FD-BAA39213DE8E}"/>
    <hyperlink ref="B222" r:id="rId211" xr:uid="{5397FFCE-39DE-4119-9463-0D2C232F7D18}"/>
    <hyperlink ref="B301" r:id="rId212" xr:uid="{5F57428C-1E0B-45FF-B575-E56209A6613E}"/>
    <hyperlink ref="B302" r:id="rId213" xr:uid="{FA28E2CA-CC71-427D-9EE4-2DF50AC46995}"/>
    <hyperlink ref="B223" r:id="rId214" xr:uid="{E09EB45B-BF6D-455F-9879-822DF2187BBC}"/>
    <hyperlink ref="B224" r:id="rId215" xr:uid="{97DA3A9C-AC6E-4E34-BE62-D65A17FD409A}"/>
    <hyperlink ref="B303" r:id="rId216" xr:uid="{410F61E8-2F84-497C-ABAC-2DC9477E33B5}"/>
    <hyperlink ref="B244" r:id="rId217" xr:uid="{0D493B70-D8F2-49B4-ABDB-BFC9BCFDDFEF}"/>
    <hyperlink ref="B304" r:id="rId218" xr:uid="{4EAC565D-A6D3-421F-BD6B-D2D66F8C3B74}"/>
    <hyperlink ref="B305" r:id="rId219" xr:uid="{D47B95DE-474D-4F15-8ADA-C8052D454769}"/>
    <hyperlink ref="B306" r:id="rId220" xr:uid="{32B9DB5C-C8AE-47C3-B8EB-74EFB1805D74}"/>
    <hyperlink ref="B225" r:id="rId221" xr:uid="{50050BE9-0475-4B21-A070-2E04D31AFFD3}"/>
    <hyperlink ref="B307" r:id="rId222" xr:uid="{9DC1BA1F-B954-4F64-90B9-C47A96F5C454}"/>
    <hyperlink ref="B308" r:id="rId223" xr:uid="{BB3B07F7-F910-400D-B4C0-E1A6C44C600A}"/>
    <hyperlink ref="B309" r:id="rId224" xr:uid="{34EC28F8-8B92-433A-92E6-C7ED1207F28A}"/>
    <hyperlink ref="B310" r:id="rId225" xr:uid="{C4C3B5AE-F741-4980-A00F-F8ABC0331786}"/>
    <hyperlink ref="B226" r:id="rId226" xr:uid="{D4749844-00FB-4478-918C-6BE338AD2451}"/>
    <hyperlink ref="B311" r:id="rId227" display="https://books.google.com/books?hl=it&amp;lr=&amp;id=ajZIEAAAQBAJ&amp;oi=fnd&amp;pg=PT286&amp;dq=+(%E2%80%9Csmart+contract%E2%80%9D+OR+%E2%80%9Csmart+contracts%E2%80%9D+OR+Ethereum)+AND+(vulnerability+OR+vulnerabilities+OR+bug+OR+bugs+OR+security+OR+analysis+OR+detection+OR+tool+OR+verification)&amp;ots=Guv8z9bcwJ&amp;sig=-Qs-GaQ61ERpbDYG-nLRrQey7Wc" xr:uid="{014A7A74-7418-49D1-9609-7DF298CC18DD}"/>
    <hyperlink ref="B312" r:id="rId228" xr:uid="{9FED1B6B-D14F-4F4B-BAFF-22A0B66561BB}"/>
    <hyperlink ref="B231" r:id="rId229" xr:uid="{1D184749-0323-49E2-B5CC-687F26E7FFDC}"/>
    <hyperlink ref="B313" r:id="rId230" xr:uid="{742B912D-F6DC-4322-9A16-62DC9B44740E}"/>
    <hyperlink ref="B314" r:id="rId231" xr:uid="{70DE83C5-BC5F-43B4-B909-5B15F3930123}"/>
    <hyperlink ref="B315" r:id="rId232" xr:uid="{BF5678AF-43FC-4933-B85D-76BFBD1218CB}"/>
    <hyperlink ref="B316" r:id="rId233" xr:uid="{C8EE1517-7D09-42A8-A378-0ACF0D86DC68}"/>
    <hyperlink ref="B245" r:id="rId234" xr:uid="{593197F2-74FA-4ED8-B8ED-898C2566E659}"/>
    <hyperlink ref="B246" r:id="rId235" xr:uid="{1075EAE5-8774-4381-94A3-1928E0086944}"/>
    <hyperlink ref="B247" r:id="rId236" xr:uid="{DA3800CB-334F-4BA5-BD37-F1C598DC675B}"/>
    <hyperlink ref="B317" r:id="rId237" xr:uid="{5DE80EB2-0279-4046-81B6-AD108269686D}"/>
    <hyperlink ref="B318" r:id="rId238" xr:uid="{3D82E6AC-2ACB-4C82-8E55-2CFCA8CFC7AD}"/>
    <hyperlink ref="B227" r:id="rId239" display="https://www.researchgate.net/profile/Okafor-Geraldine/publication/365039839_Blockchain_Application_in_Genomic_Data_Challenges_and_Use_of_Smart_Contracts_to_Enhance_Data_Security_Review/links/6363b6e537878b3e877bd07c/Blockchain-Application-in-Genomic-Data-Challenges-and-Use-of-Smart-Contracts-to-Enhance-Data-Security-Review.pdf" xr:uid="{3D626D8F-AFC6-418B-8E21-39911F21C39F}"/>
    <hyperlink ref="B319" r:id="rId240" xr:uid="{19492185-16D2-4F45-8F6A-D0C2CAE914BD}"/>
    <hyperlink ref="B320" r:id="rId241" xr:uid="{10A497EC-2E7B-4165-A3F7-58C80BD2A93E}"/>
    <hyperlink ref="B321" r:id="rId242" xr:uid="{B3AC3B61-5681-4E3C-B0B6-1B1A1B4313C2}"/>
    <hyperlink ref="B54" r:id="rId243" xr:uid="{6D72FB0A-9C46-4A0C-A3A5-B3295E77A2C5}"/>
    <hyperlink ref="B322" r:id="rId244" xr:uid="{EA74A5E6-DC0C-4358-A35A-6C1500EC2506}"/>
    <hyperlink ref="B323" r:id="rId245" xr:uid="{E3E6599D-C61A-43F0-9760-582BBED70A0B}"/>
    <hyperlink ref="B324" r:id="rId246" xr:uid="{B5AF86E7-A972-4CA7-9F34-52E09A3D53EB}"/>
    <hyperlink ref="B325" r:id="rId247" xr:uid="{50C84997-6C30-41DB-B2CF-781053D133F7}"/>
    <hyperlink ref="B326" r:id="rId248" xr:uid="{E842255C-B14C-471A-827E-1E2820E1916F}"/>
    <hyperlink ref="B248" r:id="rId249" xr:uid="{BCBC64EA-C659-4180-8DD9-FADD90846DA4}"/>
    <hyperlink ref="B327" r:id="rId250" xr:uid="{64AF814B-97BA-4071-9591-D3FD32ECDAB3}"/>
    <hyperlink ref="B328" r:id="rId251" xr:uid="{5C8E5529-D3F4-4499-9D40-EFAE710646CA}"/>
    <hyperlink ref="B74" r:id="rId252" xr:uid="{85BA8070-416B-4F62-A12A-F76EAEA289AE}"/>
    <hyperlink ref="B134" r:id="rId253" xr:uid="{06872A35-9AA4-4B4A-9E2A-9B90C0E6BEA6}"/>
    <hyperlink ref="B329" r:id="rId254" xr:uid="{10B4FF18-9F15-46EA-B0E8-B5609FE7C222}"/>
    <hyperlink ref="B330" r:id="rId255" xr:uid="{C81F4CCE-9219-4270-99EB-CA9B93DA4155}"/>
    <hyperlink ref="B331" r:id="rId256" xr:uid="{0AE31F53-DCF3-49D8-B692-B200842299E5}"/>
    <hyperlink ref="B332" r:id="rId257" xr:uid="{7BFF1364-4BAE-45E7-A197-71804F6949B2}"/>
    <hyperlink ref="B135" r:id="rId258" xr:uid="{3E8F830A-22E9-4633-A1E2-4C642AB10CBC}"/>
    <hyperlink ref="B333" r:id="rId259" xr:uid="{58DE2885-2CC1-4DF6-81F2-34FE142B8714}"/>
    <hyperlink ref="B334" r:id="rId260" xr:uid="{CCEAB8CC-D0F1-4A3D-ADF6-61A915695D71}"/>
    <hyperlink ref="B335" r:id="rId261" xr:uid="{9D582231-E21C-4451-A633-C9F30527DCD8}"/>
    <hyperlink ref="B336" r:id="rId262" xr:uid="{99E422BA-5DAF-4639-8A26-1BF8ADB49F45}"/>
    <hyperlink ref="B337" r:id="rId263" xr:uid="{065558DA-9C1A-42D1-9B2D-B7E28294C9E3}"/>
    <hyperlink ref="B338" r:id="rId264" xr:uid="{615AB94B-5DA4-4F6C-9AAF-D38784E11B2D}"/>
    <hyperlink ref="B339" r:id="rId265" xr:uid="{AFAD5426-D62A-44E9-94BA-5A69D1DB180E}"/>
    <hyperlink ref="B340" r:id="rId266" xr:uid="{4D00BF3C-5137-4085-8E63-E1A971D95AFF}"/>
    <hyperlink ref="B341" r:id="rId267" xr:uid="{B15765B8-E658-44BA-8282-0DEFBB76F469}"/>
    <hyperlink ref="B342" r:id="rId268" xr:uid="{9E932D75-9A42-4DF5-8A51-828E8CD1C69F}"/>
    <hyperlink ref="B343" r:id="rId269" xr:uid="{11B5D818-3155-4DBA-8B00-3BA813539793}"/>
    <hyperlink ref="B344" r:id="rId270" xr:uid="{0DAB7B7A-45FD-49DF-A2AF-0DFFCA12D6B9}"/>
    <hyperlink ref="B345" r:id="rId271" xr:uid="{54E6F353-EA91-4991-A2F5-5248BE304328}"/>
    <hyperlink ref="B96" r:id="rId272" xr:uid="{9BC15AE7-E3AF-4DDB-9BAC-52D9A36A5ACD}"/>
    <hyperlink ref="B123" r:id="rId273" xr:uid="{B74A93A2-47A1-44F6-99A2-D49E162FAB87}"/>
    <hyperlink ref="B346" r:id="rId274" xr:uid="{2FD389AB-C6F0-439E-9945-6F8E3E7B0858}"/>
    <hyperlink ref="B58" r:id="rId275" xr:uid="{2E78D0C3-9FC9-48E6-A4B2-069019376E88}"/>
    <hyperlink ref="B347" r:id="rId276" xr:uid="{1EF884A6-3CA9-496F-B879-763AE6277EE7}"/>
    <hyperlink ref="B7" r:id="rId277" xr:uid="{AE35D42B-DB13-4467-858A-6BF9E2920087}"/>
    <hyperlink ref="B102" r:id="rId278" xr:uid="{F980DD93-F33B-4434-97A0-609DD6D3C86B}"/>
    <hyperlink ref="B103" r:id="rId279" xr:uid="{0FA57484-3B3A-4C0E-8DBA-E969AD4CA1DD}"/>
    <hyperlink ref="B180" r:id="rId280" xr:uid="{D8CF152C-751E-41B0-8258-DE6C3FADDFF8}"/>
    <hyperlink ref="B179" r:id="rId281" display="https://d1wqtxts1xzle7.cloudfront.net/66211551/IJARET_11_08_089-libre.pdf?1617893166=&amp;response-content-disposition=inline%3B+filename%3DSMART_CONTRACTS_VULNERABILITIES_AND_REAL.pdf&amp;Expires=1706192787&amp;Signature=QD1tsvlMNUKAMjrIFNLlZsn0pbxQkaB2YCT-cIaNDP25xHV93FgRWXB8TpIh36F7MDWcfxHNhDSubhSJ2E-sXN3LoMrYqkP7B~IntQgPStMkwSiJF-ec6lWzuRWjaHHmtVrnRXGlDnBq3h6Cq45Wo5ITGV5CntgoQDat3lMfJKsZXieH4enHjOKt6~qdX6tyukWujTs6FL2YluntLU2GwIq61INX6zrOpLvwwCUtBmDbCh2~S-X7GE5MklHssjSfiILQJdjhPqJ-iriUhsd5xFGmF-ikOq6vuDd7-Ubni6o3~JTlFfG4gSnJZlgpWc5NRiLpUPK8PkEmvKguJN8Aeg__&amp;Key-Pair-Id=APKAJLOHF5GGSLRBV4ZA" xr:uid="{F6C559E0-3835-4922-A903-F3181072691C}"/>
    <hyperlink ref="B104" r:id="rId282" xr:uid="{6D83B230-8463-4FF5-9243-F9223025D4FF}"/>
    <hyperlink ref="B105" r:id="rId283" xr:uid="{7E365554-906D-4E7A-8209-342EC4734B15}"/>
    <hyperlink ref="B106" r:id="rId284" xr:uid="{0A625430-D63D-4EA4-B1FB-89E6E3985EF7}"/>
    <hyperlink ref="B73" r:id="rId285" xr:uid="{6AA62393-7028-4307-8A36-F8AF3FCEAA1B}"/>
    <hyperlink ref="B107" r:id="rId286" xr:uid="{768D2777-BB5A-44C1-9E6C-7F611DDF4B00}"/>
    <hyperlink ref="B59" r:id="rId287" location="page=43" xr:uid="{FB94ABD2-5824-4EE3-85B2-A547161ED0F1}"/>
    <hyperlink ref="B60" r:id="rId288" xr:uid="{46834155-D586-4142-8D29-D215EF8597C7}"/>
    <hyperlink ref="B242" r:id="rId289" xr:uid="{0EA09CB7-ED21-4B79-94C4-13C6D0751640}"/>
    <hyperlink ref="B18" r:id="rId290" xr:uid="{A26267A0-F0FF-4C7B-BF14-EE3C25F675CE}"/>
  </hyperlinks>
  <pageMargins left="0.7" right="0.7" top="0.75" bottom="0.75" header="0.3" footer="0.3"/>
  <pageSetup paperSize="9" orientation="portrait" r:id="rId29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AA3BF-02EB-4BCD-8D87-582AD8C2F14B}">
  <dimension ref="A1:R321"/>
  <sheetViews>
    <sheetView topLeftCell="A89" zoomScale="108" zoomScaleNormal="85" workbookViewId="0">
      <selection activeCell="V13" sqref="V13"/>
    </sheetView>
  </sheetViews>
  <sheetFormatPr baseColWidth="10" defaultColWidth="8.83203125" defaultRowHeight="15" x14ac:dyDescent="0.2"/>
  <cols>
    <col min="1" max="1" width="94.33203125" style="67" customWidth="1"/>
    <col min="2" max="2" width="8" style="4" customWidth="1"/>
    <col min="3" max="3" width="16.83203125" customWidth="1"/>
    <col min="4" max="10" width="3.6640625" bestFit="1" customWidth="1"/>
    <col min="11" max="11" width="7.6640625" bestFit="1" customWidth="1"/>
    <col min="12" max="12" width="7.33203125" bestFit="1" customWidth="1"/>
    <col min="13" max="14" width="7.33203125" customWidth="1"/>
    <col min="15" max="15" width="4.6640625" style="11" bestFit="1" customWidth="1"/>
    <col min="16" max="16" width="5.6640625" bestFit="1" customWidth="1"/>
    <col min="17" max="17" width="7.6640625" style="7" bestFit="1" customWidth="1"/>
  </cols>
  <sheetData>
    <row r="1" spans="1:18" x14ac:dyDescent="0.2">
      <c r="A1" s="96" t="s">
        <v>0</v>
      </c>
      <c r="B1" s="97" t="s">
        <v>1</v>
      </c>
      <c r="C1" s="97" t="s">
        <v>2</v>
      </c>
      <c r="D1" s="58" t="s">
        <v>3</v>
      </c>
      <c r="E1" s="58" t="s">
        <v>4</v>
      </c>
      <c r="F1" s="58" t="s">
        <v>5</v>
      </c>
      <c r="G1" s="58" t="s">
        <v>6</v>
      </c>
      <c r="H1" s="58" t="s">
        <v>7</v>
      </c>
      <c r="I1" s="58" t="s">
        <v>8</v>
      </c>
      <c r="J1" s="58" t="s">
        <v>9</v>
      </c>
      <c r="K1" s="58" t="s">
        <v>10</v>
      </c>
      <c r="L1" s="58" t="s">
        <v>11</v>
      </c>
      <c r="M1" s="58" t="s">
        <v>12</v>
      </c>
      <c r="N1" s="58" t="s">
        <v>13</v>
      </c>
      <c r="O1" s="64" t="s">
        <v>14</v>
      </c>
      <c r="P1" s="58" t="s">
        <v>15</v>
      </c>
      <c r="Q1" s="58" t="s">
        <v>16</v>
      </c>
      <c r="R1" s="58" t="s">
        <v>17</v>
      </c>
    </row>
    <row r="2" spans="1:18" x14ac:dyDescent="0.2">
      <c r="A2" s="67" t="s">
        <v>951</v>
      </c>
      <c r="B2" s="52" t="s">
        <v>952</v>
      </c>
      <c r="C2" t="s">
        <v>20</v>
      </c>
      <c r="D2" s="5">
        <f>Info!$B$50</f>
        <v>0.3</v>
      </c>
      <c r="E2" s="5">
        <f>Info!$B$53</f>
        <v>1</v>
      </c>
      <c r="F2" s="5"/>
      <c r="G2" s="5"/>
      <c r="H2" s="5"/>
      <c r="I2" s="5"/>
      <c r="J2" s="5"/>
      <c r="L2" s="2" t="s">
        <v>25</v>
      </c>
      <c r="M2" t="s">
        <v>21</v>
      </c>
      <c r="N2" t="s">
        <v>953</v>
      </c>
      <c r="O2" s="11">
        <v>1</v>
      </c>
      <c r="P2">
        <f>(D2+E2)/2</f>
        <v>0.65</v>
      </c>
      <c r="Q2" s="7">
        <f t="shared" ref="Q2:Q24" si="0">(O2+P2)/2</f>
        <v>0.82499999999999996</v>
      </c>
      <c r="R2">
        <f t="shared" ref="R2:R65" si="1">IF(_xlfn.BITAND(P2&gt;0.4999, Q2&gt;0.4999)=1,1,0)</f>
        <v>1</v>
      </c>
    </row>
    <row r="3" spans="1:18" x14ac:dyDescent="0.2">
      <c r="A3" s="67" t="s">
        <v>990</v>
      </c>
      <c r="B3" s="52" t="s">
        <v>991</v>
      </c>
      <c r="C3" t="s">
        <v>20</v>
      </c>
      <c r="D3" s="5">
        <f>Info!$B$50</f>
        <v>0.3</v>
      </c>
      <c r="E3" s="5">
        <f>Info!$B$53</f>
        <v>1</v>
      </c>
      <c r="F3" s="5"/>
      <c r="G3" s="5"/>
      <c r="H3" s="5"/>
      <c r="I3" s="5"/>
      <c r="J3" s="5"/>
      <c r="L3" s="2" t="s">
        <v>25</v>
      </c>
      <c r="M3" t="s">
        <v>32</v>
      </c>
      <c r="N3" t="s">
        <v>971</v>
      </c>
      <c r="O3" s="11">
        <v>1</v>
      </c>
      <c r="P3">
        <f>(D3+E3)/2</f>
        <v>0.65</v>
      </c>
      <c r="Q3" s="7">
        <f t="shared" si="0"/>
        <v>0.82499999999999996</v>
      </c>
      <c r="R3">
        <f t="shared" si="1"/>
        <v>1</v>
      </c>
    </row>
    <row r="4" spans="1:18" x14ac:dyDescent="0.2">
      <c r="A4" s="67" t="s">
        <v>978</v>
      </c>
      <c r="B4" s="52" t="s">
        <v>979</v>
      </c>
      <c r="C4" t="s">
        <v>20</v>
      </c>
      <c r="D4" s="5">
        <f>Info!$B$51</f>
        <v>0</v>
      </c>
      <c r="E4" s="5">
        <f>Info!$B$53</f>
        <v>1</v>
      </c>
      <c r="F4" s="5"/>
      <c r="G4" s="5"/>
      <c r="H4" s="5"/>
      <c r="I4" s="5"/>
      <c r="J4" s="5"/>
      <c r="L4">
        <v>2</v>
      </c>
      <c r="M4" t="s">
        <v>32</v>
      </c>
      <c r="N4" t="s">
        <v>980</v>
      </c>
      <c r="O4" s="11">
        <v>1</v>
      </c>
      <c r="P4">
        <f>(D4+E4)/2</f>
        <v>0.5</v>
      </c>
      <c r="Q4" s="7">
        <f t="shared" si="0"/>
        <v>0.75</v>
      </c>
      <c r="R4">
        <f t="shared" si="1"/>
        <v>1</v>
      </c>
    </row>
    <row r="5" spans="1:18" x14ac:dyDescent="0.2">
      <c r="A5" s="67" t="s">
        <v>969</v>
      </c>
      <c r="B5" s="52" t="s">
        <v>970</v>
      </c>
      <c r="C5" t="s">
        <v>201</v>
      </c>
      <c r="D5" s="5">
        <f>Info!$B$17</f>
        <v>0</v>
      </c>
      <c r="E5" s="5">
        <f>Info!$B$20</f>
        <v>0.6</v>
      </c>
      <c r="F5" s="5">
        <f>Info!$B$25</f>
        <v>0.6</v>
      </c>
      <c r="G5" s="5">
        <f>Info!$B$30</f>
        <v>0.6</v>
      </c>
      <c r="H5" s="5">
        <f>Info!$B$36</f>
        <v>0.3</v>
      </c>
      <c r="I5" s="5">
        <f>Info!$B$40</f>
        <v>0</v>
      </c>
      <c r="J5" s="5">
        <f>Info!$B$42</f>
        <v>1</v>
      </c>
      <c r="L5">
        <v>2</v>
      </c>
      <c r="M5" t="s">
        <v>32</v>
      </c>
      <c r="N5" t="s">
        <v>971</v>
      </c>
      <c r="O5" s="11">
        <v>1</v>
      </c>
      <c r="P5">
        <f>(D5+E5+F5+G5+H5+I5+J5)/6</f>
        <v>0.51666666666666661</v>
      </c>
      <c r="Q5" s="7">
        <f t="shared" si="0"/>
        <v>0.7583333333333333</v>
      </c>
      <c r="R5">
        <f t="shared" si="1"/>
        <v>1</v>
      </c>
    </row>
    <row r="6" spans="1:18" x14ac:dyDescent="0.2">
      <c r="A6" s="67" t="s">
        <v>1012</v>
      </c>
      <c r="B6" s="52" t="s">
        <v>1013</v>
      </c>
      <c r="C6" t="s">
        <v>201</v>
      </c>
      <c r="D6" s="5">
        <f>Info!$B$17</f>
        <v>0</v>
      </c>
      <c r="E6" s="5">
        <f>Info!$B$19</f>
        <v>1</v>
      </c>
      <c r="F6" s="5">
        <f>Info!$B$25</f>
        <v>0.6</v>
      </c>
      <c r="G6" s="5">
        <f>Info!$B$29</f>
        <v>1</v>
      </c>
      <c r="H6" s="5">
        <f>Info!$B$35</f>
        <v>0.6</v>
      </c>
      <c r="I6" s="5">
        <f>Info!$B$40</f>
        <v>0</v>
      </c>
      <c r="J6" s="5">
        <f>Info!$B$42</f>
        <v>1</v>
      </c>
      <c r="L6">
        <v>1</v>
      </c>
      <c r="M6" t="s">
        <v>32</v>
      </c>
      <c r="N6" t="s">
        <v>1014</v>
      </c>
      <c r="O6" s="11">
        <v>1</v>
      </c>
      <c r="P6">
        <f>(D6+E6+F6+G6+H6+I6+J6)/6</f>
        <v>0.70000000000000007</v>
      </c>
      <c r="Q6" s="7">
        <f t="shared" si="0"/>
        <v>0.85000000000000009</v>
      </c>
      <c r="R6">
        <f t="shared" si="1"/>
        <v>1</v>
      </c>
    </row>
    <row r="7" spans="1:18" x14ac:dyDescent="0.2">
      <c r="A7" s="67" t="s">
        <v>813</v>
      </c>
      <c r="C7" t="s">
        <v>20</v>
      </c>
      <c r="D7" s="5">
        <f>Info!$B$48</f>
        <v>1</v>
      </c>
      <c r="E7" s="5">
        <f>Info!$B$52</f>
        <v>0</v>
      </c>
      <c r="F7" s="5"/>
      <c r="G7" s="5"/>
      <c r="H7" s="5"/>
      <c r="I7" s="5"/>
      <c r="J7" s="5"/>
      <c r="L7">
        <v>2</v>
      </c>
      <c r="M7" t="s">
        <v>32</v>
      </c>
      <c r="N7" t="s">
        <v>815</v>
      </c>
      <c r="O7" s="11">
        <v>1</v>
      </c>
      <c r="P7">
        <f t="shared" ref="P7:P24" si="2">(D7+E7)/2</f>
        <v>0.5</v>
      </c>
      <c r="Q7" s="7">
        <f t="shared" si="0"/>
        <v>0.75</v>
      </c>
      <c r="R7">
        <f t="shared" si="1"/>
        <v>1</v>
      </c>
    </row>
    <row r="8" spans="1:18" x14ac:dyDescent="0.2">
      <c r="A8" s="67" t="s">
        <v>1050</v>
      </c>
      <c r="B8" s="52" t="s">
        <v>1051</v>
      </c>
      <c r="C8" t="s">
        <v>20</v>
      </c>
      <c r="D8" s="5">
        <v>1</v>
      </c>
      <c r="E8" s="5">
        <v>1</v>
      </c>
      <c r="F8" s="5"/>
      <c r="G8" s="5"/>
      <c r="H8" s="5"/>
      <c r="I8" s="5"/>
      <c r="J8" s="5"/>
      <c r="L8" s="2" t="s">
        <v>25</v>
      </c>
      <c r="M8" t="s">
        <v>32</v>
      </c>
      <c r="N8" t="s">
        <v>3531</v>
      </c>
      <c r="O8" s="11">
        <v>1</v>
      </c>
      <c r="P8">
        <f t="shared" si="2"/>
        <v>1</v>
      </c>
      <c r="Q8" s="7">
        <f t="shared" si="0"/>
        <v>1</v>
      </c>
      <c r="R8">
        <f t="shared" si="1"/>
        <v>1</v>
      </c>
    </row>
    <row r="9" spans="1:18" x14ac:dyDescent="0.2">
      <c r="A9" s="67" t="s">
        <v>954</v>
      </c>
      <c r="B9" s="52" t="s">
        <v>955</v>
      </c>
      <c r="C9" t="s">
        <v>20</v>
      </c>
      <c r="D9" s="5">
        <f>Info!$B$48</f>
        <v>1</v>
      </c>
      <c r="E9" s="5">
        <f>Info!$B$53</f>
        <v>1</v>
      </c>
      <c r="F9" s="5"/>
      <c r="G9" s="5"/>
      <c r="H9" s="5"/>
      <c r="I9" s="5"/>
      <c r="J9" s="5"/>
      <c r="L9" s="2" t="s">
        <v>25</v>
      </c>
      <c r="M9" t="s">
        <v>32</v>
      </c>
      <c r="N9" t="s">
        <v>956</v>
      </c>
      <c r="O9" s="11">
        <v>0.8</v>
      </c>
      <c r="P9">
        <f t="shared" si="2"/>
        <v>1</v>
      </c>
      <c r="Q9" s="7">
        <f t="shared" si="0"/>
        <v>0.9</v>
      </c>
      <c r="R9">
        <f t="shared" si="1"/>
        <v>1</v>
      </c>
    </row>
    <row r="10" spans="1:18" x14ac:dyDescent="0.2">
      <c r="A10" s="67" t="s">
        <v>1003</v>
      </c>
      <c r="B10" s="52" t="s">
        <v>1004</v>
      </c>
      <c r="C10" t="s">
        <v>20</v>
      </c>
      <c r="D10" s="5">
        <f>Info!$B$48</f>
        <v>1</v>
      </c>
      <c r="E10" s="5">
        <f>Info!$B$53</f>
        <v>1</v>
      </c>
      <c r="F10" s="5"/>
      <c r="G10" s="5"/>
      <c r="H10" s="5"/>
      <c r="I10" s="5"/>
      <c r="J10" s="5"/>
      <c r="L10">
        <v>2</v>
      </c>
      <c r="M10" t="s">
        <v>32</v>
      </c>
      <c r="N10" t="s">
        <v>999</v>
      </c>
      <c r="O10" s="11">
        <v>1</v>
      </c>
      <c r="P10">
        <f t="shared" si="2"/>
        <v>1</v>
      </c>
      <c r="Q10" s="7">
        <f t="shared" si="0"/>
        <v>1</v>
      </c>
      <c r="R10">
        <f t="shared" si="1"/>
        <v>1</v>
      </c>
    </row>
    <row r="11" spans="1:18" x14ac:dyDescent="0.2">
      <c r="A11" s="67" t="s">
        <v>844</v>
      </c>
      <c r="C11" t="s">
        <v>20</v>
      </c>
      <c r="D11" s="5">
        <f>Info!$B$48</f>
        <v>1</v>
      </c>
      <c r="E11" s="5">
        <f>Info!$B$53</f>
        <v>1</v>
      </c>
      <c r="F11" s="5"/>
      <c r="G11" s="5"/>
      <c r="H11" s="5"/>
      <c r="I11" s="5"/>
      <c r="J11" s="5"/>
      <c r="L11">
        <v>2</v>
      </c>
      <c r="M11" t="s">
        <v>32</v>
      </c>
      <c r="N11" t="s">
        <v>846</v>
      </c>
      <c r="O11" s="11">
        <v>0.4</v>
      </c>
      <c r="P11">
        <f t="shared" si="2"/>
        <v>1</v>
      </c>
      <c r="Q11" s="7">
        <f t="shared" si="0"/>
        <v>0.7</v>
      </c>
      <c r="R11">
        <f t="shared" si="1"/>
        <v>1</v>
      </c>
    </row>
    <row r="12" spans="1:18" x14ac:dyDescent="0.2">
      <c r="A12" s="67" t="s">
        <v>997</v>
      </c>
      <c r="B12" s="52" t="s">
        <v>998</v>
      </c>
      <c r="C12" t="s">
        <v>20</v>
      </c>
      <c r="D12" s="5">
        <f>Info!$B$51</f>
        <v>0</v>
      </c>
      <c r="E12" s="5">
        <f>Info!$B$53</f>
        <v>1</v>
      </c>
      <c r="F12" s="5"/>
      <c r="G12" s="5"/>
      <c r="H12" s="5"/>
      <c r="I12" s="5"/>
      <c r="J12" s="5"/>
      <c r="L12">
        <v>2</v>
      </c>
      <c r="M12" t="s">
        <v>32</v>
      </c>
      <c r="N12" t="s">
        <v>999</v>
      </c>
      <c r="O12" s="11">
        <v>1</v>
      </c>
      <c r="P12">
        <f t="shared" si="2"/>
        <v>0.5</v>
      </c>
      <c r="Q12" s="7">
        <f t="shared" si="0"/>
        <v>0.75</v>
      </c>
      <c r="R12">
        <f t="shared" si="1"/>
        <v>1</v>
      </c>
    </row>
    <row r="13" spans="1:18" x14ac:dyDescent="0.2">
      <c r="A13" s="67" t="s">
        <v>1021</v>
      </c>
      <c r="B13" s="52" t="s">
        <v>1022</v>
      </c>
      <c r="C13" t="s">
        <v>20</v>
      </c>
      <c r="D13">
        <v>1</v>
      </c>
      <c r="E13">
        <v>1</v>
      </c>
      <c r="L13" s="2" t="s">
        <v>25</v>
      </c>
      <c r="M13" t="s">
        <v>32</v>
      </c>
      <c r="N13" t="s">
        <v>3847</v>
      </c>
      <c r="O13" s="5">
        <v>1</v>
      </c>
      <c r="P13">
        <f t="shared" si="2"/>
        <v>1</v>
      </c>
      <c r="Q13" s="7">
        <f t="shared" si="0"/>
        <v>1</v>
      </c>
      <c r="R13">
        <f t="shared" si="1"/>
        <v>1</v>
      </c>
    </row>
    <row r="14" spans="1:18" x14ac:dyDescent="0.2">
      <c r="A14" s="67" t="s">
        <v>987</v>
      </c>
      <c r="B14" s="52" t="s">
        <v>988</v>
      </c>
      <c r="C14" t="s">
        <v>20</v>
      </c>
      <c r="D14" s="5">
        <f>Info!$B$51</f>
        <v>0</v>
      </c>
      <c r="E14" s="5">
        <f>Info!$B$53</f>
        <v>1</v>
      </c>
      <c r="F14" s="5"/>
      <c r="G14" s="5"/>
      <c r="H14" s="5"/>
      <c r="I14" s="5"/>
      <c r="J14" s="5"/>
      <c r="L14" s="2" t="s">
        <v>25</v>
      </c>
      <c r="M14" t="s">
        <v>32</v>
      </c>
      <c r="N14" s="2" t="s">
        <v>989</v>
      </c>
      <c r="O14" s="11">
        <v>1</v>
      </c>
      <c r="P14">
        <f t="shared" si="2"/>
        <v>0.5</v>
      </c>
      <c r="Q14" s="7">
        <f t="shared" si="0"/>
        <v>0.75</v>
      </c>
      <c r="R14">
        <f t="shared" si="1"/>
        <v>1</v>
      </c>
    </row>
    <row r="15" spans="1:18" x14ac:dyDescent="0.2">
      <c r="A15" s="67" t="s">
        <v>1184</v>
      </c>
      <c r="B15" s="52" t="s">
        <v>1185</v>
      </c>
      <c r="C15" t="s">
        <v>20</v>
      </c>
      <c r="D15">
        <v>1</v>
      </c>
      <c r="E15">
        <v>1</v>
      </c>
      <c r="L15">
        <v>3</v>
      </c>
      <c r="M15" t="s">
        <v>32</v>
      </c>
      <c r="N15" t="s">
        <v>3850</v>
      </c>
      <c r="O15" s="5">
        <v>1</v>
      </c>
      <c r="P15">
        <f t="shared" si="2"/>
        <v>1</v>
      </c>
      <c r="Q15" s="7">
        <f t="shared" si="0"/>
        <v>1</v>
      </c>
      <c r="R15">
        <f t="shared" si="1"/>
        <v>1</v>
      </c>
    </row>
    <row r="16" spans="1:18" x14ac:dyDescent="0.2">
      <c r="A16" s="67" t="s">
        <v>1212</v>
      </c>
      <c r="B16" s="52" t="s">
        <v>1213</v>
      </c>
      <c r="C16" t="s">
        <v>20</v>
      </c>
      <c r="D16">
        <v>1</v>
      </c>
      <c r="E16">
        <v>1</v>
      </c>
      <c r="M16" t="s">
        <v>32</v>
      </c>
      <c r="N16" t="s">
        <v>3836</v>
      </c>
      <c r="O16" s="5">
        <v>1</v>
      </c>
      <c r="P16">
        <f t="shared" si="2"/>
        <v>1</v>
      </c>
      <c r="Q16" s="7">
        <f t="shared" si="0"/>
        <v>1</v>
      </c>
      <c r="R16">
        <f t="shared" si="1"/>
        <v>1</v>
      </c>
    </row>
    <row r="17" spans="1:18" x14ac:dyDescent="0.2">
      <c r="A17" s="67" t="s">
        <v>981</v>
      </c>
      <c r="B17" s="52" t="s">
        <v>982</v>
      </c>
      <c r="C17" t="s">
        <v>20</v>
      </c>
      <c r="D17" s="5">
        <f>Info!$B$51</f>
        <v>0</v>
      </c>
      <c r="E17" s="5">
        <f>Info!$B$53</f>
        <v>1</v>
      </c>
      <c r="F17" s="5"/>
      <c r="G17" s="5"/>
      <c r="H17" s="5"/>
      <c r="I17" s="5"/>
      <c r="J17" s="5"/>
      <c r="L17" s="2" t="s">
        <v>25</v>
      </c>
      <c r="M17" t="s">
        <v>32</v>
      </c>
      <c r="N17" t="s">
        <v>983</v>
      </c>
      <c r="O17" s="11">
        <v>1</v>
      </c>
      <c r="P17">
        <f t="shared" si="2"/>
        <v>0.5</v>
      </c>
      <c r="Q17" s="7">
        <f t="shared" si="0"/>
        <v>0.75</v>
      </c>
      <c r="R17">
        <f t="shared" si="1"/>
        <v>1</v>
      </c>
    </row>
    <row r="18" spans="1:18" x14ac:dyDescent="0.2">
      <c r="A18" s="67" t="s">
        <v>963</v>
      </c>
      <c r="B18" s="52" t="s">
        <v>964</v>
      </c>
      <c r="C18" t="s">
        <v>20</v>
      </c>
      <c r="D18" s="5">
        <f>Info!$B$49</f>
        <v>0.6</v>
      </c>
      <c r="E18" s="5">
        <f>Info!$B$53</f>
        <v>1</v>
      </c>
      <c r="F18" s="5"/>
      <c r="G18" s="5"/>
      <c r="H18" s="5"/>
      <c r="I18" s="5"/>
      <c r="J18" s="5"/>
      <c r="L18">
        <v>2.2999999999999998</v>
      </c>
      <c r="M18" t="s">
        <v>32</v>
      </c>
      <c r="N18" t="s">
        <v>965</v>
      </c>
      <c r="O18" s="11">
        <v>1</v>
      </c>
      <c r="P18">
        <f t="shared" si="2"/>
        <v>0.8</v>
      </c>
      <c r="Q18" s="7">
        <f t="shared" si="0"/>
        <v>0.9</v>
      </c>
      <c r="R18">
        <f t="shared" si="1"/>
        <v>1</v>
      </c>
    </row>
    <row r="19" spans="1:18" x14ac:dyDescent="0.2">
      <c r="A19" s="67" t="s">
        <v>358</v>
      </c>
      <c r="B19" s="52" t="s">
        <v>359</v>
      </c>
      <c r="D19" s="5">
        <v>1</v>
      </c>
      <c r="E19" s="5">
        <v>1</v>
      </c>
      <c r="F19" s="5"/>
      <c r="G19" s="5"/>
      <c r="H19" s="5"/>
      <c r="I19" s="5"/>
      <c r="J19" s="5"/>
      <c r="L19">
        <v>2.2999999999999998</v>
      </c>
      <c r="M19" t="s">
        <v>32</v>
      </c>
      <c r="N19" t="s">
        <v>7130</v>
      </c>
      <c r="O19" s="11">
        <v>1</v>
      </c>
      <c r="P19">
        <f t="shared" si="2"/>
        <v>1</v>
      </c>
      <c r="Q19" s="7">
        <f t="shared" si="0"/>
        <v>1</v>
      </c>
      <c r="R19">
        <f t="shared" si="1"/>
        <v>1</v>
      </c>
    </row>
    <row r="20" spans="1:18" x14ac:dyDescent="0.2">
      <c r="A20" t="s">
        <v>3784</v>
      </c>
      <c r="B20" t="s">
        <v>3859</v>
      </c>
      <c r="C20" t="s">
        <v>20</v>
      </c>
      <c r="D20">
        <v>1</v>
      </c>
      <c r="E20">
        <v>0</v>
      </c>
      <c r="L20">
        <v>3</v>
      </c>
      <c r="M20" t="s">
        <v>21</v>
      </c>
      <c r="N20" t="s">
        <v>3783</v>
      </c>
      <c r="O20" s="5">
        <v>1</v>
      </c>
      <c r="P20">
        <f t="shared" si="2"/>
        <v>0.5</v>
      </c>
      <c r="Q20" s="7">
        <f t="shared" si="0"/>
        <v>0.75</v>
      </c>
      <c r="R20">
        <f t="shared" si="1"/>
        <v>1</v>
      </c>
    </row>
    <row r="21" spans="1:18" x14ac:dyDescent="0.2">
      <c r="A21" t="s">
        <v>3750</v>
      </c>
      <c r="B21" t="s">
        <v>3861</v>
      </c>
      <c r="C21" t="s">
        <v>20</v>
      </c>
      <c r="D21">
        <v>1</v>
      </c>
      <c r="E21">
        <v>1</v>
      </c>
      <c r="L21">
        <v>3</v>
      </c>
      <c r="M21" t="s">
        <v>32</v>
      </c>
      <c r="N21" t="s">
        <v>3757</v>
      </c>
      <c r="O21" s="5">
        <v>1</v>
      </c>
      <c r="P21">
        <f t="shared" si="2"/>
        <v>1</v>
      </c>
      <c r="Q21" s="7">
        <f t="shared" si="0"/>
        <v>1</v>
      </c>
      <c r="R21">
        <f t="shared" si="1"/>
        <v>1</v>
      </c>
    </row>
    <row r="22" spans="1:18" x14ac:dyDescent="0.2">
      <c r="A22" t="s">
        <v>3760</v>
      </c>
      <c r="B22" t="s">
        <v>3867</v>
      </c>
      <c r="C22" t="s">
        <v>20</v>
      </c>
      <c r="D22">
        <v>0</v>
      </c>
      <c r="E22">
        <v>1</v>
      </c>
      <c r="L22">
        <v>3</v>
      </c>
      <c r="M22" t="s">
        <v>32</v>
      </c>
      <c r="N22" t="s">
        <v>3757</v>
      </c>
      <c r="O22" s="5">
        <v>1</v>
      </c>
      <c r="P22">
        <f t="shared" si="2"/>
        <v>0.5</v>
      </c>
      <c r="Q22" s="7">
        <f t="shared" si="0"/>
        <v>0.75</v>
      </c>
      <c r="R22">
        <f t="shared" si="1"/>
        <v>1</v>
      </c>
    </row>
    <row r="23" spans="1:18" x14ac:dyDescent="0.2">
      <c r="A23" t="s">
        <v>3762</v>
      </c>
      <c r="B23" t="s">
        <v>3872</v>
      </c>
      <c r="C23" t="s">
        <v>20</v>
      </c>
      <c r="D23">
        <v>0</v>
      </c>
      <c r="E23">
        <v>1</v>
      </c>
      <c r="L23">
        <v>3</v>
      </c>
      <c r="M23" t="s">
        <v>32</v>
      </c>
      <c r="N23" t="s">
        <v>3757</v>
      </c>
      <c r="O23" s="5">
        <v>1</v>
      </c>
      <c r="P23">
        <f t="shared" si="2"/>
        <v>0.5</v>
      </c>
      <c r="Q23" s="7">
        <f t="shared" si="0"/>
        <v>0.75</v>
      </c>
      <c r="R23">
        <f t="shared" si="1"/>
        <v>1</v>
      </c>
    </row>
    <row r="24" spans="1:18" x14ac:dyDescent="0.2">
      <c r="A24" t="s">
        <v>3761</v>
      </c>
      <c r="B24" t="s">
        <v>3873</v>
      </c>
      <c r="C24" t="s">
        <v>20</v>
      </c>
      <c r="D24">
        <v>0</v>
      </c>
      <c r="E24">
        <v>1</v>
      </c>
      <c r="L24">
        <v>3</v>
      </c>
      <c r="M24" t="s">
        <v>32</v>
      </c>
      <c r="N24" t="s">
        <v>3757</v>
      </c>
      <c r="O24" s="5">
        <v>1</v>
      </c>
      <c r="P24">
        <f t="shared" si="2"/>
        <v>0.5</v>
      </c>
      <c r="Q24" s="7">
        <f t="shared" si="0"/>
        <v>0.75</v>
      </c>
      <c r="R24">
        <f t="shared" si="1"/>
        <v>1</v>
      </c>
    </row>
    <row r="25" spans="1:18" x14ac:dyDescent="0.2">
      <c r="A25" t="s">
        <v>3756</v>
      </c>
      <c r="B25" t="s">
        <v>3877</v>
      </c>
      <c r="C25" s="55" t="s">
        <v>20</v>
      </c>
      <c r="D25" s="55">
        <v>0</v>
      </c>
      <c r="E25" s="55">
        <v>1</v>
      </c>
      <c r="F25" s="55"/>
      <c r="G25" s="55"/>
      <c r="H25" s="55"/>
      <c r="I25" s="55"/>
      <c r="J25" s="55"/>
      <c r="K25" s="55"/>
      <c r="L25" s="55"/>
      <c r="M25" s="55" t="s">
        <v>32</v>
      </c>
      <c r="N25" s="55" t="s">
        <v>3757</v>
      </c>
      <c r="O25" s="61">
        <v>1</v>
      </c>
      <c r="P25" s="62">
        <v>0.5</v>
      </c>
      <c r="Q25" s="63">
        <v>0.75</v>
      </c>
      <c r="R25">
        <f t="shared" si="1"/>
        <v>1</v>
      </c>
    </row>
    <row r="26" spans="1:18" x14ac:dyDescent="0.2">
      <c r="A26" t="s">
        <v>3753</v>
      </c>
      <c r="B26" t="s">
        <v>3885</v>
      </c>
      <c r="C26" t="s">
        <v>20</v>
      </c>
      <c r="D26">
        <v>1</v>
      </c>
      <c r="E26">
        <v>1</v>
      </c>
      <c r="L26">
        <v>3</v>
      </c>
      <c r="M26" t="s">
        <v>32</v>
      </c>
      <c r="N26" t="s">
        <v>3757</v>
      </c>
      <c r="O26" s="5">
        <v>1</v>
      </c>
      <c r="P26">
        <f>(D26+E26)/2</f>
        <v>1</v>
      </c>
      <c r="Q26" s="7">
        <f>(O26+P26)/2</f>
        <v>1</v>
      </c>
      <c r="R26">
        <f t="shared" si="1"/>
        <v>1</v>
      </c>
    </row>
    <row r="27" spans="1:18" x14ac:dyDescent="0.2">
      <c r="A27" t="s">
        <v>3764</v>
      </c>
      <c r="B27" t="s">
        <v>3887</v>
      </c>
      <c r="C27" t="s">
        <v>20</v>
      </c>
      <c r="D27">
        <v>0</v>
      </c>
      <c r="E27">
        <v>1</v>
      </c>
      <c r="L27">
        <v>3</v>
      </c>
      <c r="M27" t="s">
        <v>32</v>
      </c>
      <c r="N27" t="s">
        <v>3757</v>
      </c>
      <c r="O27" s="5">
        <v>1</v>
      </c>
      <c r="P27">
        <f>(D27+E27)/2</f>
        <v>0.5</v>
      </c>
      <c r="Q27" s="7">
        <f>(O27+P27)/2</f>
        <v>0.75</v>
      </c>
      <c r="R27">
        <f t="shared" si="1"/>
        <v>1</v>
      </c>
    </row>
    <row r="28" spans="1:18" x14ac:dyDescent="0.2">
      <c r="A28" t="s">
        <v>3786</v>
      </c>
      <c r="B28" t="s">
        <v>3888</v>
      </c>
      <c r="C28" t="s">
        <v>20</v>
      </c>
      <c r="D28">
        <v>0</v>
      </c>
      <c r="E28">
        <v>1</v>
      </c>
      <c r="L28">
        <v>3</v>
      </c>
      <c r="M28" t="s">
        <v>21</v>
      </c>
      <c r="N28" t="s">
        <v>3783</v>
      </c>
      <c r="O28" s="5">
        <v>1</v>
      </c>
      <c r="P28">
        <f>(D28+E28)/2</f>
        <v>0.5</v>
      </c>
      <c r="Q28" s="7">
        <f>(O28+P28)/2</f>
        <v>0.75</v>
      </c>
      <c r="R28">
        <f t="shared" si="1"/>
        <v>1</v>
      </c>
    </row>
    <row r="29" spans="1:18" x14ac:dyDescent="0.2">
      <c r="A29" t="s">
        <v>3758</v>
      </c>
      <c r="B29" t="s">
        <v>3889</v>
      </c>
      <c r="C29" s="55" t="s">
        <v>20</v>
      </c>
      <c r="D29" s="55">
        <v>0</v>
      </c>
      <c r="E29" s="55">
        <v>1</v>
      </c>
      <c r="F29" s="55"/>
      <c r="G29" s="55"/>
      <c r="H29" s="55"/>
      <c r="I29" s="55"/>
      <c r="J29" s="55"/>
      <c r="K29" s="55"/>
      <c r="L29" s="55">
        <v>3</v>
      </c>
      <c r="M29" s="55" t="s">
        <v>32</v>
      </c>
      <c r="N29" s="55" t="s">
        <v>3757</v>
      </c>
      <c r="O29" s="61">
        <v>1</v>
      </c>
      <c r="P29" s="62">
        <v>0.5</v>
      </c>
      <c r="Q29" s="63">
        <v>0.75</v>
      </c>
      <c r="R29">
        <f t="shared" si="1"/>
        <v>1</v>
      </c>
    </row>
    <row r="30" spans="1:18" x14ac:dyDescent="0.2">
      <c r="A30" t="s">
        <v>3769</v>
      </c>
      <c r="B30" t="s">
        <v>3892</v>
      </c>
      <c r="C30" t="s">
        <v>20</v>
      </c>
      <c r="D30">
        <v>0.3</v>
      </c>
      <c r="E30">
        <v>1</v>
      </c>
      <c r="L30">
        <v>3</v>
      </c>
      <c r="M30" t="s">
        <v>32</v>
      </c>
      <c r="N30" t="s">
        <v>3757</v>
      </c>
      <c r="O30" s="5">
        <v>1</v>
      </c>
      <c r="P30">
        <f>(D30+E30)/2</f>
        <v>0.65</v>
      </c>
      <c r="Q30" s="7">
        <f t="shared" ref="Q30:Q93" si="3">(O30+P30)/2</f>
        <v>0.82499999999999996</v>
      </c>
      <c r="R30">
        <f t="shared" si="1"/>
        <v>1</v>
      </c>
    </row>
    <row r="31" spans="1:18" x14ac:dyDescent="0.2">
      <c r="A31" t="s">
        <v>3776</v>
      </c>
      <c r="B31" t="s">
        <v>3900</v>
      </c>
      <c r="C31" s="55" t="s">
        <v>20</v>
      </c>
      <c r="D31">
        <v>0.3</v>
      </c>
      <c r="E31">
        <v>1</v>
      </c>
      <c r="L31">
        <v>3</v>
      </c>
      <c r="M31" t="s">
        <v>32</v>
      </c>
      <c r="N31" t="s">
        <v>3757</v>
      </c>
      <c r="O31" s="5">
        <v>1</v>
      </c>
      <c r="P31">
        <f>(D31+E31)/2</f>
        <v>0.65</v>
      </c>
      <c r="Q31" s="7">
        <f t="shared" si="3"/>
        <v>0.82499999999999996</v>
      </c>
      <c r="R31">
        <f t="shared" si="1"/>
        <v>1</v>
      </c>
    </row>
    <row r="32" spans="1:18" x14ac:dyDescent="0.2">
      <c r="A32" t="s">
        <v>3763</v>
      </c>
      <c r="B32" t="s">
        <v>3904</v>
      </c>
      <c r="C32" t="s">
        <v>20</v>
      </c>
      <c r="E32">
        <v>1</v>
      </c>
      <c r="M32" s="9" t="s">
        <v>32</v>
      </c>
      <c r="N32" t="s">
        <v>3868</v>
      </c>
      <c r="O32" s="68">
        <v>1</v>
      </c>
      <c r="P32">
        <f>(D32+E32)/2</f>
        <v>0.5</v>
      </c>
      <c r="Q32" s="7">
        <f t="shared" si="3"/>
        <v>0.75</v>
      </c>
      <c r="R32">
        <f t="shared" si="1"/>
        <v>1</v>
      </c>
    </row>
    <row r="33" spans="1:18" x14ac:dyDescent="0.2">
      <c r="A33" t="s">
        <v>3770</v>
      </c>
      <c r="B33" t="s">
        <v>3906</v>
      </c>
      <c r="C33" t="s">
        <v>201</v>
      </c>
      <c r="D33">
        <v>0</v>
      </c>
      <c r="E33">
        <v>1</v>
      </c>
      <c r="F33">
        <v>1</v>
      </c>
      <c r="G33">
        <v>0</v>
      </c>
      <c r="H33">
        <v>0</v>
      </c>
      <c r="I33">
        <v>1</v>
      </c>
      <c r="J33">
        <v>1</v>
      </c>
      <c r="L33">
        <v>2.2999999999999998</v>
      </c>
      <c r="M33" t="s">
        <v>32</v>
      </c>
      <c r="N33" t="s">
        <v>3757</v>
      </c>
      <c r="O33" s="5">
        <v>1</v>
      </c>
      <c r="P33" s="7">
        <f>(D33+E33+F33+G33+H33+I33+J33)/6</f>
        <v>0.66666666666666663</v>
      </c>
      <c r="Q33" s="7">
        <f t="shared" si="3"/>
        <v>0.83333333333333326</v>
      </c>
      <c r="R33">
        <f t="shared" si="1"/>
        <v>1</v>
      </c>
    </row>
    <row r="34" spans="1:18" x14ac:dyDescent="0.2">
      <c r="A34" t="s">
        <v>3755</v>
      </c>
      <c r="B34" t="s">
        <v>3910</v>
      </c>
      <c r="C34" t="s">
        <v>20</v>
      </c>
      <c r="D34">
        <v>0.6</v>
      </c>
      <c r="E34">
        <v>1</v>
      </c>
      <c r="M34" t="s">
        <v>32</v>
      </c>
      <c r="N34" t="s">
        <v>3757</v>
      </c>
      <c r="O34" s="5">
        <v>1</v>
      </c>
      <c r="P34">
        <f>(D34+E34)/2</f>
        <v>0.8</v>
      </c>
      <c r="Q34" s="7">
        <f t="shared" si="3"/>
        <v>0.9</v>
      </c>
      <c r="R34">
        <f t="shared" si="1"/>
        <v>1</v>
      </c>
    </row>
    <row r="35" spans="1:18" x14ac:dyDescent="0.2">
      <c r="A35" t="s">
        <v>3777</v>
      </c>
      <c r="B35" t="s">
        <v>3916</v>
      </c>
      <c r="C35" t="s">
        <v>20</v>
      </c>
      <c r="E35">
        <v>1</v>
      </c>
      <c r="M35" s="9" t="s">
        <v>32</v>
      </c>
      <c r="N35" t="s">
        <v>3901</v>
      </c>
      <c r="O35" s="68">
        <v>1</v>
      </c>
      <c r="P35">
        <f>(D35+E35+F35+G35+H35+I35+J35)/2</f>
        <v>0.5</v>
      </c>
      <c r="Q35" s="7">
        <f t="shared" si="3"/>
        <v>0.75</v>
      </c>
      <c r="R35">
        <f t="shared" si="1"/>
        <v>1</v>
      </c>
    </row>
    <row r="36" spans="1:18" x14ac:dyDescent="0.2">
      <c r="A36" t="s">
        <v>2626</v>
      </c>
      <c r="B36" t="s">
        <v>3918</v>
      </c>
      <c r="C36" t="s">
        <v>20</v>
      </c>
      <c r="E36">
        <v>1</v>
      </c>
      <c r="M36" s="9" t="s">
        <v>32</v>
      </c>
      <c r="N36" t="s">
        <v>3919</v>
      </c>
      <c r="O36" s="68">
        <v>1</v>
      </c>
      <c r="P36">
        <f>(D36+E36+F36+G36+H36+I36+J36)/2</f>
        <v>0.5</v>
      </c>
      <c r="Q36" s="7">
        <f t="shared" si="3"/>
        <v>0.75</v>
      </c>
      <c r="R36">
        <f t="shared" si="1"/>
        <v>1</v>
      </c>
    </row>
    <row r="37" spans="1:18" x14ac:dyDescent="0.2">
      <c r="A37" t="s">
        <v>3759</v>
      </c>
      <c r="B37" t="s">
        <v>3922</v>
      </c>
      <c r="C37" t="s">
        <v>20</v>
      </c>
      <c r="D37">
        <v>0</v>
      </c>
      <c r="E37">
        <v>1</v>
      </c>
      <c r="L37">
        <v>3</v>
      </c>
      <c r="M37" t="s">
        <v>32</v>
      </c>
      <c r="N37" t="s">
        <v>3757</v>
      </c>
      <c r="O37" s="5">
        <v>1</v>
      </c>
      <c r="P37">
        <f>(D37+E37)/2</f>
        <v>0.5</v>
      </c>
      <c r="Q37" s="7">
        <f t="shared" si="3"/>
        <v>0.75</v>
      </c>
      <c r="R37">
        <f t="shared" si="1"/>
        <v>1</v>
      </c>
    </row>
    <row r="38" spans="1:18" x14ac:dyDescent="0.2">
      <c r="A38" t="s">
        <v>3772</v>
      </c>
      <c r="B38" t="s">
        <v>3924</v>
      </c>
      <c r="C38" t="s">
        <v>20</v>
      </c>
      <c r="D38">
        <v>0</v>
      </c>
      <c r="E38">
        <v>1</v>
      </c>
      <c r="L38">
        <v>3</v>
      </c>
      <c r="M38" t="s">
        <v>32</v>
      </c>
      <c r="N38" t="s">
        <v>3757</v>
      </c>
      <c r="O38" s="5">
        <v>1</v>
      </c>
      <c r="P38">
        <f>(D38+E38)/2</f>
        <v>0.5</v>
      </c>
      <c r="Q38" s="7">
        <f t="shared" si="3"/>
        <v>0.75</v>
      </c>
      <c r="R38">
        <f t="shared" si="1"/>
        <v>1</v>
      </c>
    </row>
    <row r="39" spans="1:18" x14ac:dyDescent="0.2">
      <c r="A39" t="s">
        <v>3775</v>
      </c>
      <c r="B39" t="s">
        <v>3927</v>
      </c>
      <c r="C39" t="s">
        <v>20</v>
      </c>
      <c r="D39">
        <v>0</v>
      </c>
      <c r="E39">
        <v>1</v>
      </c>
      <c r="L39">
        <v>3</v>
      </c>
      <c r="M39" t="s">
        <v>32</v>
      </c>
      <c r="N39" t="s">
        <v>3757</v>
      </c>
      <c r="O39" s="5">
        <v>1</v>
      </c>
      <c r="P39">
        <f>(D39+E39)/2</f>
        <v>0.5</v>
      </c>
      <c r="Q39" s="7">
        <f t="shared" si="3"/>
        <v>0.75</v>
      </c>
      <c r="R39">
        <f t="shared" si="1"/>
        <v>1</v>
      </c>
    </row>
    <row r="40" spans="1:18" x14ac:dyDescent="0.2">
      <c r="A40" t="s">
        <v>2949</v>
      </c>
      <c r="B40" t="s">
        <v>3928</v>
      </c>
      <c r="C40" t="s">
        <v>20</v>
      </c>
      <c r="D40">
        <v>0.6</v>
      </c>
      <c r="E40">
        <v>1</v>
      </c>
      <c r="L40">
        <v>3</v>
      </c>
      <c r="M40" t="s">
        <v>21</v>
      </c>
      <c r="N40" t="s">
        <v>3783</v>
      </c>
      <c r="O40" s="5">
        <v>1</v>
      </c>
      <c r="P40">
        <f>(D40+E40)/2</f>
        <v>0.8</v>
      </c>
      <c r="Q40" s="7">
        <f t="shared" si="3"/>
        <v>0.9</v>
      </c>
      <c r="R40">
        <f t="shared" si="1"/>
        <v>1</v>
      </c>
    </row>
    <row r="41" spans="1:18" x14ac:dyDescent="0.2">
      <c r="A41" t="s">
        <v>3773</v>
      </c>
      <c r="B41" t="s">
        <v>3929</v>
      </c>
      <c r="C41" t="s">
        <v>20</v>
      </c>
      <c r="D41">
        <v>0</v>
      </c>
      <c r="E41">
        <v>1</v>
      </c>
      <c r="L41">
        <v>3</v>
      </c>
      <c r="M41" t="s">
        <v>32</v>
      </c>
      <c r="N41" t="s">
        <v>3778</v>
      </c>
      <c r="O41" s="5">
        <v>1</v>
      </c>
      <c r="P41">
        <f>(D41+E41)/2</f>
        <v>0.5</v>
      </c>
      <c r="Q41" s="7">
        <f t="shared" si="3"/>
        <v>0.75</v>
      </c>
      <c r="R41">
        <f t="shared" si="1"/>
        <v>1</v>
      </c>
    </row>
    <row r="42" spans="1:18" x14ac:dyDescent="0.2">
      <c r="A42" t="s">
        <v>3751</v>
      </c>
      <c r="B42" t="s">
        <v>3932</v>
      </c>
      <c r="C42" t="s">
        <v>201</v>
      </c>
      <c r="D42">
        <v>0</v>
      </c>
      <c r="E42" s="11">
        <f>Info!$B$20</f>
        <v>0.6</v>
      </c>
      <c r="F42" s="11">
        <f>Info!$B$25</f>
        <v>0.6</v>
      </c>
      <c r="G42" s="11">
        <f>Info!$B$30</f>
        <v>0.6</v>
      </c>
      <c r="H42">
        <v>1</v>
      </c>
      <c r="I42">
        <v>1</v>
      </c>
      <c r="J42">
        <v>1</v>
      </c>
      <c r="L42">
        <v>2</v>
      </c>
      <c r="M42" t="s">
        <v>32</v>
      </c>
      <c r="N42" t="s">
        <v>3757</v>
      </c>
      <c r="O42" s="5">
        <v>1</v>
      </c>
      <c r="P42" s="7">
        <f>(D42+E42+F42+G42+H42+I42+J42)/6</f>
        <v>0.79999999999999993</v>
      </c>
      <c r="Q42" s="7">
        <f t="shared" si="3"/>
        <v>0.89999999999999991</v>
      </c>
      <c r="R42">
        <f t="shared" si="1"/>
        <v>1</v>
      </c>
    </row>
    <row r="43" spans="1:18" x14ac:dyDescent="0.2">
      <c r="A43" t="s">
        <v>3749</v>
      </c>
      <c r="B43" t="s">
        <v>3933</v>
      </c>
      <c r="C43" t="s">
        <v>201</v>
      </c>
      <c r="D43" s="11">
        <f>Info!$B$17</f>
        <v>0</v>
      </c>
      <c r="E43" s="11">
        <f>Info!$B$20</f>
        <v>0.6</v>
      </c>
      <c r="F43" s="11">
        <f>Info!$B$25</f>
        <v>0.6</v>
      </c>
      <c r="G43" s="11">
        <f>Info!$B$27</f>
        <v>0</v>
      </c>
      <c r="H43" s="11">
        <v>0</v>
      </c>
      <c r="I43" s="11">
        <v>1</v>
      </c>
      <c r="J43" s="11">
        <f>Info!$B$42</f>
        <v>1</v>
      </c>
      <c r="L43">
        <v>2</v>
      </c>
      <c r="M43" t="s">
        <v>32</v>
      </c>
      <c r="N43" t="s">
        <v>3757</v>
      </c>
      <c r="O43" s="5">
        <v>1</v>
      </c>
      <c r="P43" s="7">
        <f>(D43+E43+F43+G43+H43+I43+J43)/6</f>
        <v>0.53333333333333333</v>
      </c>
      <c r="Q43" s="7">
        <f t="shared" si="3"/>
        <v>0.76666666666666661</v>
      </c>
      <c r="R43">
        <f t="shared" si="1"/>
        <v>1</v>
      </c>
    </row>
    <row r="44" spans="1:18" x14ac:dyDescent="0.2">
      <c r="A44" s="67" t="s">
        <v>957</v>
      </c>
      <c r="B44" s="52" t="s">
        <v>958</v>
      </c>
      <c r="C44" t="s">
        <v>20</v>
      </c>
      <c r="D44" s="5">
        <f>Info!$B$51</f>
        <v>0</v>
      </c>
      <c r="E44" s="5">
        <f>Info!$B$52</f>
        <v>0</v>
      </c>
      <c r="F44" s="5"/>
      <c r="G44" s="5"/>
      <c r="H44" s="5"/>
      <c r="I44" s="5"/>
      <c r="J44" s="5"/>
      <c r="L44" s="2" t="s">
        <v>25</v>
      </c>
      <c r="M44" t="s">
        <v>32</v>
      </c>
      <c r="N44" t="s">
        <v>959</v>
      </c>
      <c r="O44" s="11">
        <v>0.5</v>
      </c>
      <c r="P44">
        <f>(D44+E44)/2</f>
        <v>0</v>
      </c>
      <c r="Q44" s="7">
        <f t="shared" si="3"/>
        <v>0.25</v>
      </c>
      <c r="R44">
        <f t="shared" si="1"/>
        <v>0</v>
      </c>
    </row>
    <row r="45" spans="1:18" x14ac:dyDescent="0.2">
      <c r="A45" s="67" t="s">
        <v>960</v>
      </c>
      <c r="B45" s="52" t="s">
        <v>961</v>
      </c>
      <c r="C45" t="s">
        <v>20</v>
      </c>
      <c r="D45" s="5">
        <f>Info!$B$51</f>
        <v>0</v>
      </c>
      <c r="E45" s="5">
        <f>Info!$B$52</f>
        <v>0</v>
      </c>
      <c r="F45" s="5"/>
      <c r="G45" s="5"/>
      <c r="H45" s="5"/>
      <c r="I45" s="5"/>
      <c r="J45" s="5"/>
      <c r="L45">
        <v>3</v>
      </c>
      <c r="M45" t="s">
        <v>32</v>
      </c>
      <c r="N45" t="s">
        <v>962</v>
      </c>
      <c r="O45" s="11">
        <v>0.2</v>
      </c>
      <c r="P45">
        <f>(D45+E45)/2</f>
        <v>0</v>
      </c>
      <c r="Q45" s="7">
        <f t="shared" si="3"/>
        <v>0.1</v>
      </c>
      <c r="R45">
        <f t="shared" si="1"/>
        <v>0</v>
      </c>
    </row>
    <row r="46" spans="1:18" x14ac:dyDescent="0.2">
      <c r="A46" s="67" t="s">
        <v>966</v>
      </c>
      <c r="B46" s="52" t="s">
        <v>967</v>
      </c>
      <c r="C46" t="s">
        <v>201</v>
      </c>
      <c r="D46" s="5">
        <f>Info!$B$17</f>
        <v>0</v>
      </c>
      <c r="E46" s="5">
        <f>Info!$B$20</f>
        <v>0.6</v>
      </c>
      <c r="F46" s="5">
        <f>Info!$B$26</f>
        <v>0.3</v>
      </c>
      <c r="G46" s="5">
        <f>Info!$B$30</f>
        <v>0.6</v>
      </c>
      <c r="H46" s="5">
        <f>Info!$B$34</f>
        <v>1</v>
      </c>
      <c r="I46" s="5">
        <f>Info!$B$40</f>
        <v>0</v>
      </c>
      <c r="J46" s="5">
        <f>Info!$B$42</f>
        <v>1</v>
      </c>
      <c r="L46">
        <v>2</v>
      </c>
      <c r="M46" t="s">
        <v>32</v>
      </c>
      <c r="N46" t="s">
        <v>968</v>
      </c>
      <c r="O46" s="11">
        <v>0.2</v>
      </c>
      <c r="P46">
        <f>(D46+E46+F46+G46+H46+I46+J46)/6</f>
        <v>0.58333333333333337</v>
      </c>
      <c r="Q46" s="7">
        <f t="shared" si="3"/>
        <v>0.39166666666666672</v>
      </c>
      <c r="R46">
        <f t="shared" si="1"/>
        <v>0</v>
      </c>
    </row>
    <row r="47" spans="1:18" x14ac:dyDescent="0.2">
      <c r="A47" s="67" t="s">
        <v>972</v>
      </c>
      <c r="B47" s="52" t="s">
        <v>973</v>
      </c>
      <c r="C47" t="s">
        <v>201</v>
      </c>
      <c r="D47" s="5">
        <f>Info!$B$17</f>
        <v>0</v>
      </c>
      <c r="E47" s="5">
        <f>Info!$B$21</f>
        <v>0.3</v>
      </c>
      <c r="F47" s="5">
        <f>Info!$B$27</f>
        <v>0</v>
      </c>
      <c r="G47" s="5">
        <f>Info!$B$30</f>
        <v>0.6</v>
      </c>
      <c r="H47" s="5">
        <f>Info!$B$36</f>
        <v>0.3</v>
      </c>
      <c r="I47" s="5">
        <f>Info!$B$40</f>
        <v>0</v>
      </c>
      <c r="J47" s="5">
        <f>Info!$B$44</f>
        <v>0</v>
      </c>
      <c r="L47">
        <v>2</v>
      </c>
      <c r="M47" t="s">
        <v>32</v>
      </c>
      <c r="N47" t="s">
        <v>974</v>
      </c>
      <c r="O47" s="11">
        <v>1</v>
      </c>
      <c r="P47">
        <f>(D47+E47+F47+G47+H47+I47+J47)/6</f>
        <v>0.19999999999999998</v>
      </c>
      <c r="Q47" s="7">
        <f t="shared" si="3"/>
        <v>0.6</v>
      </c>
      <c r="R47">
        <f t="shared" si="1"/>
        <v>0</v>
      </c>
    </row>
    <row r="48" spans="1:18" x14ac:dyDescent="0.2">
      <c r="A48" s="67" t="s">
        <v>975</v>
      </c>
      <c r="B48" s="52" t="s">
        <v>976</v>
      </c>
      <c r="C48" t="s">
        <v>201</v>
      </c>
      <c r="D48" s="5">
        <f>Info!$B$17</f>
        <v>0</v>
      </c>
      <c r="E48" s="5">
        <f>Info!$B$22</f>
        <v>0</v>
      </c>
      <c r="F48" s="5">
        <f>Info!$B$27</f>
        <v>0</v>
      </c>
      <c r="G48" s="5">
        <f>Info!$B$32</f>
        <v>0</v>
      </c>
      <c r="H48" s="5">
        <f>Info!$B$37</f>
        <v>0</v>
      </c>
      <c r="I48" s="5">
        <f>Info!$B$40</f>
        <v>0</v>
      </c>
      <c r="J48" s="5">
        <f>Info!$B$43</f>
        <v>0.5</v>
      </c>
      <c r="L48">
        <v>2</v>
      </c>
      <c r="M48" t="s">
        <v>32</v>
      </c>
      <c r="N48" t="s">
        <v>977</v>
      </c>
      <c r="O48" s="11">
        <v>0.2</v>
      </c>
      <c r="P48">
        <f>(D48+E48+F48+G48+H48+I48+J48)/6</f>
        <v>8.3333333333333329E-2</v>
      </c>
      <c r="Q48" s="7">
        <f t="shared" si="3"/>
        <v>0.14166666666666666</v>
      </c>
      <c r="R48">
        <f t="shared" si="1"/>
        <v>0</v>
      </c>
    </row>
    <row r="49" spans="1:18" x14ac:dyDescent="0.2">
      <c r="A49" s="67" t="s">
        <v>984</v>
      </c>
      <c r="B49" s="52" t="s">
        <v>985</v>
      </c>
      <c r="C49" t="s">
        <v>20</v>
      </c>
      <c r="D49" s="5">
        <f>Info!$B$50</f>
        <v>0.3</v>
      </c>
      <c r="E49" s="5">
        <f>Info!$B$52</f>
        <v>0</v>
      </c>
      <c r="F49" s="5"/>
      <c r="G49" s="5"/>
      <c r="H49" s="5"/>
      <c r="I49" s="5"/>
      <c r="J49" s="5"/>
      <c r="L49">
        <v>2</v>
      </c>
      <c r="M49" t="s">
        <v>32</v>
      </c>
      <c r="N49" t="s">
        <v>986</v>
      </c>
      <c r="O49" s="11">
        <v>0.2</v>
      </c>
      <c r="P49">
        <f t="shared" ref="P49:P54" si="4">(D49+E49)/2</f>
        <v>0.15</v>
      </c>
      <c r="Q49" s="7">
        <f t="shared" si="3"/>
        <v>0.17499999999999999</v>
      </c>
      <c r="R49">
        <f t="shared" si="1"/>
        <v>0</v>
      </c>
    </row>
    <row r="50" spans="1:18" x14ac:dyDescent="0.2">
      <c r="A50" s="67" t="s">
        <v>992</v>
      </c>
      <c r="B50" s="52" t="s">
        <v>993</v>
      </c>
      <c r="C50" t="s">
        <v>20</v>
      </c>
      <c r="D50" s="5">
        <f>Info!$B$51</f>
        <v>0</v>
      </c>
      <c r="E50" s="5">
        <f>Info!$B$52</f>
        <v>0</v>
      </c>
      <c r="F50" s="5"/>
      <c r="G50" s="5"/>
      <c r="H50" s="5"/>
      <c r="I50" s="5"/>
      <c r="J50" s="5"/>
      <c r="L50">
        <v>2</v>
      </c>
      <c r="M50" t="s">
        <v>32</v>
      </c>
      <c r="N50" t="s">
        <v>968</v>
      </c>
      <c r="O50" s="11">
        <v>0.2</v>
      </c>
      <c r="P50">
        <f t="shared" si="4"/>
        <v>0</v>
      </c>
      <c r="Q50" s="7">
        <f t="shared" si="3"/>
        <v>0.1</v>
      </c>
      <c r="R50">
        <f t="shared" si="1"/>
        <v>0</v>
      </c>
    </row>
    <row r="51" spans="1:18" x14ac:dyDescent="0.2">
      <c r="A51" s="67" t="s">
        <v>994</v>
      </c>
      <c r="B51" s="52" t="s">
        <v>995</v>
      </c>
      <c r="C51" t="s">
        <v>20</v>
      </c>
      <c r="D51" s="5">
        <f>Info!$B$51</f>
        <v>0</v>
      </c>
      <c r="E51" s="5">
        <f>Info!$B$52</f>
        <v>0</v>
      </c>
      <c r="F51" s="5"/>
      <c r="G51" s="5"/>
      <c r="H51" s="5"/>
      <c r="I51" s="5"/>
      <c r="J51" s="5"/>
      <c r="L51">
        <v>2</v>
      </c>
      <c r="M51" t="s">
        <v>32</v>
      </c>
      <c r="N51" t="s">
        <v>996</v>
      </c>
      <c r="O51" s="11">
        <v>0.2</v>
      </c>
      <c r="P51">
        <f t="shared" si="4"/>
        <v>0</v>
      </c>
      <c r="Q51" s="7">
        <f t="shared" si="3"/>
        <v>0.1</v>
      </c>
      <c r="R51">
        <f t="shared" si="1"/>
        <v>0</v>
      </c>
    </row>
    <row r="52" spans="1:18" x14ac:dyDescent="0.2">
      <c r="A52" s="67" t="s">
        <v>1000</v>
      </c>
      <c r="B52" s="52" t="s">
        <v>1001</v>
      </c>
      <c r="C52" t="s">
        <v>20</v>
      </c>
      <c r="D52" s="5">
        <f>Info!$B$51</f>
        <v>0</v>
      </c>
      <c r="E52" s="5">
        <f>Info!$B$52</f>
        <v>0</v>
      </c>
      <c r="F52" s="5"/>
      <c r="G52" s="5"/>
      <c r="H52" s="5"/>
      <c r="I52" s="5"/>
      <c r="J52" s="5"/>
      <c r="L52">
        <v>2</v>
      </c>
      <c r="M52" t="s">
        <v>32</v>
      </c>
      <c r="N52" t="s">
        <v>1002</v>
      </c>
      <c r="O52" s="11">
        <v>1</v>
      </c>
      <c r="P52">
        <f t="shared" si="4"/>
        <v>0</v>
      </c>
      <c r="Q52" s="7">
        <f t="shared" si="3"/>
        <v>0.5</v>
      </c>
      <c r="R52">
        <f t="shared" si="1"/>
        <v>0</v>
      </c>
    </row>
    <row r="53" spans="1:18" x14ac:dyDescent="0.2">
      <c r="A53" s="67" t="s">
        <v>1005</v>
      </c>
      <c r="B53" s="52" t="s">
        <v>1006</v>
      </c>
      <c r="C53" t="s">
        <v>20</v>
      </c>
      <c r="D53" s="5">
        <f>Info!$B$50</f>
        <v>0.3</v>
      </c>
      <c r="E53" s="5">
        <f>Info!$B$53</f>
        <v>1</v>
      </c>
      <c r="F53" s="5"/>
      <c r="G53" s="5"/>
      <c r="H53" s="5"/>
      <c r="I53" s="5"/>
      <c r="J53" s="5"/>
      <c r="L53">
        <v>2</v>
      </c>
      <c r="M53" t="s">
        <v>32</v>
      </c>
      <c r="N53" t="s">
        <v>1007</v>
      </c>
      <c r="O53" s="11">
        <v>0.2</v>
      </c>
      <c r="P53">
        <f t="shared" si="4"/>
        <v>0.65</v>
      </c>
      <c r="Q53" s="7">
        <f t="shared" si="3"/>
        <v>0.42500000000000004</v>
      </c>
      <c r="R53">
        <f t="shared" si="1"/>
        <v>0</v>
      </c>
    </row>
    <row r="54" spans="1:18" x14ac:dyDescent="0.2">
      <c r="A54" s="67" t="s">
        <v>1008</v>
      </c>
      <c r="B54" s="52" t="s">
        <v>1009</v>
      </c>
      <c r="C54" t="s">
        <v>20</v>
      </c>
      <c r="D54" s="5"/>
      <c r="E54" s="5"/>
      <c r="F54" s="5"/>
      <c r="G54" s="5"/>
      <c r="H54" s="5"/>
      <c r="I54" s="5"/>
      <c r="J54" s="5"/>
      <c r="K54">
        <v>1</v>
      </c>
      <c r="M54" t="s">
        <v>32</v>
      </c>
      <c r="N54" t="s">
        <v>1010</v>
      </c>
      <c r="O54" s="11">
        <v>0.2</v>
      </c>
      <c r="P54">
        <f t="shared" si="4"/>
        <v>0</v>
      </c>
      <c r="Q54" s="7">
        <f t="shared" si="3"/>
        <v>0.1</v>
      </c>
      <c r="R54">
        <f t="shared" si="1"/>
        <v>0</v>
      </c>
    </row>
    <row r="55" spans="1:18" x14ac:dyDescent="0.2">
      <c r="A55" s="67" t="s">
        <v>249</v>
      </c>
      <c r="B55" s="52" t="s">
        <v>1011</v>
      </c>
      <c r="D55" s="5"/>
      <c r="E55" s="5"/>
      <c r="F55" s="5"/>
      <c r="G55" s="5"/>
      <c r="H55" s="5"/>
      <c r="I55" s="5"/>
      <c r="J55" s="5"/>
      <c r="P55" s="7">
        <f>(D55+E55+F55+G55+H55+I55+J55)/6</f>
        <v>0</v>
      </c>
      <c r="Q55" s="7">
        <f t="shared" si="3"/>
        <v>0</v>
      </c>
      <c r="R55">
        <f t="shared" si="1"/>
        <v>0</v>
      </c>
    </row>
    <row r="56" spans="1:18" x14ac:dyDescent="0.2">
      <c r="A56" s="67" t="s">
        <v>1015</v>
      </c>
      <c r="B56" s="52" t="s">
        <v>1016</v>
      </c>
      <c r="C56" t="s">
        <v>201</v>
      </c>
      <c r="D56" s="5">
        <f>Info!$B$17</f>
        <v>0</v>
      </c>
      <c r="E56" s="5">
        <f>Info!$B$20</f>
        <v>0.6</v>
      </c>
      <c r="F56" s="5">
        <f>Info!$B$26</f>
        <v>0.3</v>
      </c>
      <c r="G56" s="5">
        <f>Info!$B$32</f>
        <v>0</v>
      </c>
      <c r="H56" s="5">
        <f>Info!$B$37</f>
        <v>0</v>
      </c>
      <c r="I56" s="5">
        <f>Info!$B$40</f>
        <v>0</v>
      </c>
      <c r="J56" s="5">
        <f>Info!$B$43</f>
        <v>0.5</v>
      </c>
      <c r="L56">
        <v>1</v>
      </c>
      <c r="M56" t="s">
        <v>32</v>
      </c>
      <c r="N56" t="s">
        <v>1017</v>
      </c>
      <c r="O56" s="11">
        <v>1</v>
      </c>
      <c r="P56">
        <f>(D56+E56+F56+G56+H56+I56+J56)/6</f>
        <v>0.23333333333333331</v>
      </c>
      <c r="Q56" s="7">
        <f t="shared" si="3"/>
        <v>0.6166666666666667</v>
      </c>
      <c r="R56">
        <f t="shared" si="1"/>
        <v>0</v>
      </c>
    </row>
    <row r="57" spans="1:18" x14ac:dyDescent="0.2">
      <c r="A57" s="67" t="s">
        <v>1018</v>
      </c>
      <c r="B57" s="52" t="s">
        <v>1019</v>
      </c>
      <c r="C57" t="s">
        <v>201</v>
      </c>
      <c r="D57" s="5">
        <f>Info!$B$17</f>
        <v>0</v>
      </c>
      <c r="E57" s="5">
        <f>Info!$B$21</f>
        <v>0.3</v>
      </c>
      <c r="F57" s="5">
        <f>Info!$B$26</f>
        <v>0.3</v>
      </c>
      <c r="G57" s="5">
        <f>Info!$B$32</f>
        <v>0</v>
      </c>
      <c r="H57" s="5">
        <f>Info!$B$37</f>
        <v>0</v>
      </c>
      <c r="I57" s="5">
        <f>Info!$B$40</f>
        <v>0</v>
      </c>
      <c r="J57" s="5">
        <f>Info!$B$44</f>
        <v>0</v>
      </c>
      <c r="L57">
        <v>1</v>
      </c>
      <c r="M57" t="s">
        <v>32</v>
      </c>
      <c r="N57" t="s">
        <v>1020</v>
      </c>
      <c r="O57" s="11">
        <v>0.2</v>
      </c>
      <c r="P57">
        <f>(D57+E57+F57+G57+H57+I57+J57)/6</f>
        <v>9.9999999999999992E-2</v>
      </c>
      <c r="Q57" s="7">
        <f t="shared" si="3"/>
        <v>0.15</v>
      </c>
      <c r="R57">
        <f t="shared" si="1"/>
        <v>0</v>
      </c>
    </row>
    <row r="58" spans="1:18" x14ac:dyDescent="0.2">
      <c r="A58" s="67" t="s">
        <v>1023</v>
      </c>
      <c r="B58" s="52" t="s">
        <v>1024</v>
      </c>
      <c r="C58" t="s">
        <v>20</v>
      </c>
      <c r="D58" s="5">
        <f>Info!$B$50</f>
        <v>0.3</v>
      </c>
      <c r="E58" s="5">
        <f>Info!$B$52</f>
        <v>0</v>
      </c>
      <c r="F58" s="5"/>
      <c r="G58" s="5"/>
      <c r="H58" s="5"/>
      <c r="I58" s="5"/>
      <c r="J58" s="5"/>
      <c r="L58">
        <v>1</v>
      </c>
      <c r="M58" t="s">
        <v>32</v>
      </c>
      <c r="N58" t="s">
        <v>1025</v>
      </c>
      <c r="O58" s="11">
        <v>0.8</v>
      </c>
      <c r="P58">
        <f>(D58+E58)/2</f>
        <v>0.15</v>
      </c>
      <c r="Q58" s="7">
        <f t="shared" si="3"/>
        <v>0.47500000000000003</v>
      </c>
      <c r="R58">
        <f t="shared" si="1"/>
        <v>0</v>
      </c>
    </row>
    <row r="59" spans="1:18" x14ac:dyDescent="0.2">
      <c r="A59" s="67" t="s">
        <v>1026</v>
      </c>
      <c r="B59" s="52" t="s">
        <v>1027</v>
      </c>
      <c r="C59" t="s">
        <v>20</v>
      </c>
      <c r="D59" s="5">
        <f>Info!$B$51</f>
        <v>0</v>
      </c>
      <c r="E59" s="5">
        <f>Info!$B$52</f>
        <v>0</v>
      </c>
      <c r="F59" s="5"/>
      <c r="G59" s="5"/>
      <c r="H59" s="5"/>
      <c r="I59" s="5"/>
      <c r="J59" s="5"/>
      <c r="L59">
        <v>1</v>
      </c>
      <c r="M59" t="s">
        <v>32</v>
      </c>
      <c r="N59" t="s">
        <v>1028</v>
      </c>
      <c r="O59" s="11">
        <v>1</v>
      </c>
      <c r="P59">
        <f>(D59+E59)/2</f>
        <v>0</v>
      </c>
      <c r="Q59" s="7">
        <f t="shared" si="3"/>
        <v>0.5</v>
      </c>
      <c r="R59">
        <f t="shared" si="1"/>
        <v>0</v>
      </c>
    </row>
    <row r="60" spans="1:18" x14ac:dyDescent="0.2">
      <c r="A60" s="67" t="s">
        <v>1029</v>
      </c>
      <c r="B60" s="52" t="s">
        <v>1030</v>
      </c>
      <c r="C60" t="s">
        <v>20</v>
      </c>
      <c r="D60" s="5"/>
      <c r="E60" s="5"/>
      <c r="F60" s="5"/>
      <c r="G60" s="5"/>
      <c r="H60" s="5"/>
      <c r="I60" s="5"/>
      <c r="J60" s="5"/>
      <c r="K60">
        <v>1</v>
      </c>
      <c r="M60" t="s">
        <v>32</v>
      </c>
      <c r="N60" t="s">
        <v>1031</v>
      </c>
      <c r="O60" s="11">
        <v>1</v>
      </c>
      <c r="P60">
        <f>(D60+E60)/2</f>
        <v>0</v>
      </c>
      <c r="Q60" s="7">
        <f t="shared" si="3"/>
        <v>0.5</v>
      </c>
      <c r="R60">
        <f t="shared" si="1"/>
        <v>0</v>
      </c>
    </row>
    <row r="61" spans="1:18" x14ac:dyDescent="0.2">
      <c r="A61" s="67" t="s">
        <v>1032</v>
      </c>
      <c r="B61" s="52" t="s">
        <v>1033</v>
      </c>
      <c r="C61" t="s">
        <v>20</v>
      </c>
      <c r="D61" s="5"/>
      <c r="E61" s="5"/>
      <c r="F61" s="5"/>
      <c r="G61" s="5"/>
      <c r="H61" s="5"/>
      <c r="I61" s="5"/>
      <c r="J61" s="5"/>
      <c r="K61">
        <v>1</v>
      </c>
      <c r="M61" t="s">
        <v>32</v>
      </c>
      <c r="N61" t="s">
        <v>999</v>
      </c>
      <c r="O61" s="11">
        <v>1</v>
      </c>
      <c r="P61">
        <f>(D61+E61)/2</f>
        <v>0</v>
      </c>
      <c r="Q61" s="7">
        <f t="shared" si="3"/>
        <v>0.5</v>
      </c>
      <c r="R61">
        <f t="shared" si="1"/>
        <v>0</v>
      </c>
    </row>
    <row r="62" spans="1:18" x14ac:dyDescent="0.2">
      <c r="A62" s="67" t="s">
        <v>1034</v>
      </c>
      <c r="B62" s="52" t="s">
        <v>1035</v>
      </c>
      <c r="D62" s="5">
        <f>Info!$B$17</f>
        <v>0</v>
      </c>
      <c r="E62" s="5">
        <f>Info!$B$20</f>
        <v>0.6</v>
      </c>
      <c r="F62" s="5">
        <f>Info!$B$26</f>
        <v>0.3</v>
      </c>
      <c r="G62" s="5">
        <f>Info!$B$31</f>
        <v>0.3</v>
      </c>
      <c r="H62" s="5">
        <f>Info!$B$37</f>
        <v>0</v>
      </c>
      <c r="I62" s="5">
        <f>Info!$B$40</f>
        <v>0</v>
      </c>
      <c r="J62" s="5">
        <f>Info!$B$42</f>
        <v>1</v>
      </c>
      <c r="P62" s="7">
        <f t="shared" ref="P62:P93" si="5">(D62+E62+F62+G62+H62+I62+J62)/7</f>
        <v>0.31428571428571433</v>
      </c>
      <c r="Q62" s="7">
        <f t="shared" si="3"/>
        <v>0.15714285714285717</v>
      </c>
      <c r="R62">
        <f t="shared" si="1"/>
        <v>0</v>
      </c>
    </row>
    <row r="63" spans="1:18" x14ac:dyDescent="0.2">
      <c r="A63" s="67" t="s">
        <v>1036</v>
      </c>
      <c r="B63" s="52" t="s">
        <v>1037</v>
      </c>
      <c r="D63" s="5">
        <f>Info!$B$17</f>
        <v>0</v>
      </c>
      <c r="E63" s="5">
        <f>Info!$B$21</f>
        <v>0.3</v>
      </c>
      <c r="F63" s="5">
        <f>Info!$B$26</f>
        <v>0.3</v>
      </c>
      <c r="G63" s="5">
        <f>Info!$B$32</f>
        <v>0</v>
      </c>
      <c r="H63" s="5">
        <f>Info!$B$37</f>
        <v>0</v>
      </c>
      <c r="I63" s="5">
        <f>Info!$B$40</f>
        <v>0</v>
      </c>
      <c r="J63" s="5">
        <f>Info!$B$42</f>
        <v>1</v>
      </c>
      <c r="P63" s="7">
        <f t="shared" si="5"/>
        <v>0.22857142857142859</v>
      </c>
      <c r="Q63" s="7">
        <f t="shared" si="3"/>
        <v>0.1142857142857143</v>
      </c>
      <c r="R63">
        <f t="shared" si="1"/>
        <v>0</v>
      </c>
    </row>
    <row r="64" spans="1:18" x14ac:dyDescent="0.2">
      <c r="A64" s="67" t="s">
        <v>1038</v>
      </c>
      <c r="B64" s="52" t="s">
        <v>1039</v>
      </c>
      <c r="D64" s="5">
        <f>Info!$B$17</f>
        <v>0</v>
      </c>
      <c r="E64" s="5">
        <f>Info!$B$21</f>
        <v>0.3</v>
      </c>
      <c r="F64" s="5">
        <f>Info!$B$27</f>
        <v>0</v>
      </c>
      <c r="G64" s="5">
        <f>Info!$B$32</f>
        <v>0</v>
      </c>
      <c r="H64" s="5">
        <f>Info!$B$37</f>
        <v>0</v>
      </c>
      <c r="I64" s="5">
        <f>Info!$B$40</f>
        <v>0</v>
      </c>
      <c r="J64" s="5">
        <f>Info!$B$42</f>
        <v>1</v>
      </c>
      <c r="P64" s="7">
        <f t="shared" si="5"/>
        <v>0.18571428571428572</v>
      </c>
      <c r="Q64" s="7">
        <f t="shared" si="3"/>
        <v>9.285714285714286E-2</v>
      </c>
      <c r="R64">
        <f t="shared" si="1"/>
        <v>0</v>
      </c>
    </row>
    <row r="65" spans="1:18" x14ac:dyDescent="0.2">
      <c r="A65" s="67" t="s">
        <v>1040</v>
      </c>
      <c r="B65" s="52" t="s">
        <v>1041</v>
      </c>
      <c r="D65" s="5">
        <f>Info!$B$17</f>
        <v>0</v>
      </c>
      <c r="E65" s="5">
        <f>Info!$B$21</f>
        <v>0.3</v>
      </c>
      <c r="F65" s="5">
        <f>Info!$B$27</f>
        <v>0</v>
      </c>
      <c r="G65" s="5">
        <f>Info!$B$32</f>
        <v>0</v>
      </c>
      <c r="H65" s="5">
        <f>Info!$B$37</f>
        <v>0</v>
      </c>
      <c r="I65" s="5">
        <f>Info!$B$40</f>
        <v>0</v>
      </c>
      <c r="J65" s="5">
        <f>Info!$B$42</f>
        <v>1</v>
      </c>
      <c r="P65" s="7">
        <f t="shared" si="5"/>
        <v>0.18571428571428572</v>
      </c>
      <c r="Q65" s="7">
        <f t="shared" si="3"/>
        <v>9.285714285714286E-2</v>
      </c>
      <c r="R65">
        <f t="shared" si="1"/>
        <v>0</v>
      </c>
    </row>
    <row r="66" spans="1:18" x14ac:dyDescent="0.2">
      <c r="A66" s="67" t="s">
        <v>1042</v>
      </c>
      <c r="B66" s="52" t="s">
        <v>1043</v>
      </c>
      <c r="D66" s="5">
        <f>Info!$B$17</f>
        <v>0</v>
      </c>
      <c r="E66" s="5">
        <f>Info!$B$21</f>
        <v>0.3</v>
      </c>
      <c r="F66" s="5">
        <f>Info!$B$27</f>
        <v>0</v>
      </c>
      <c r="G66" s="5">
        <f>Info!$B$32</f>
        <v>0</v>
      </c>
      <c r="H66" s="5">
        <f>Info!$B$37</f>
        <v>0</v>
      </c>
      <c r="I66" s="5">
        <f>Info!$B$40</f>
        <v>0</v>
      </c>
      <c r="J66" s="5">
        <f>Info!$B$42</f>
        <v>1</v>
      </c>
      <c r="P66" s="7">
        <f t="shared" si="5"/>
        <v>0.18571428571428572</v>
      </c>
      <c r="Q66" s="7">
        <f t="shared" si="3"/>
        <v>9.285714285714286E-2</v>
      </c>
      <c r="R66">
        <f t="shared" ref="R66:R129" si="6">IF(_xlfn.BITAND(P66&gt;0.4999, Q66&gt;0.4999)=1,1,0)</f>
        <v>0</v>
      </c>
    </row>
    <row r="67" spans="1:18" x14ac:dyDescent="0.2">
      <c r="A67" s="67" t="s">
        <v>1044</v>
      </c>
      <c r="B67" s="52" t="s">
        <v>1045</v>
      </c>
      <c r="D67" s="5">
        <f>Info!$B$17</f>
        <v>0</v>
      </c>
      <c r="E67" s="5">
        <f>Info!$B$21</f>
        <v>0.3</v>
      </c>
      <c r="F67" s="5">
        <f>Info!$B$27</f>
        <v>0</v>
      </c>
      <c r="G67" s="5">
        <f>Info!$B$32</f>
        <v>0</v>
      </c>
      <c r="H67" s="5">
        <f>Info!$B$37</f>
        <v>0</v>
      </c>
      <c r="I67" s="5">
        <f>Info!$B$40</f>
        <v>0</v>
      </c>
      <c r="J67" s="5">
        <f>Info!$B$42</f>
        <v>1</v>
      </c>
      <c r="P67" s="7">
        <f t="shared" si="5"/>
        <v>0.18571428571428572</v>
      </c>
      <c r="Q67" s="7">
        <f t="shared" si="3"/>
        <v>9.285714285714286E-2</v>
      </c>
      <c r="R67">
        <f t="shared" si="6"/>
        <v>0</v>
      </c>
    </row>
    <row r="68" spans="1:18" x14ac:dyDescent="0.2">
      <c r="A68" s="67" t="s">
        <v>1046</v>
      </c>
      <c r="B68" s="52" t="s">
        <v>1047</v>
      </c>
      <c r="D68" s="5">
        <f>Info!$B$17</f>
        <v>0</v>
      </c>
      <c r="E68" s="5">
        <f>Info!$B$22</f>
        <v>0</v>
      </c>
      <c r="F68" s="5">
        <f>Info!$B$27</f>
        <v>0</v>
      </c>
      <c r="G68" s="5">
        <f>Info!$B$32</f>
        <v>0</v>
      </c>
      <c r="H68" s="5">
        <f>Info!$B$37</f>
        <v>0</v>
      </c>
      <c r="I68" s="5">
        <f>Info!$B$40</f>
        <v>0</v>
      </c>
      <c r="J68" s="5">
        <f>Info!$B$42</f>
        <v>1</v>
      </c>
      <c r="P68" s="7">
        <f t="shared" si="5"/>
        <v>0.14285714285714285</v>
      </c>
      <c r="Q68" s="7">
        <f t="shared" si="3"/>
        <v>7.1428571428571425E-2</v>
      </c>
      <c r="R68">
        <f t="shared" si="6"/>
        <v>0</v>
      </c>
    </row>
    <row r="69" spans="1:18" x14ac:dyDescent="0.2">
      <c r="A69" s="67" t="s">
        <v>1048</v>
      </c>
      <c r="B69" s="52" t="s">
        <v>1049</v>
      </c>
      <c r="D69" s="5">
        <f>Info!$B$17</f>
        <v>0</v>
      </c>
      <c r="E69" s="5">
        <f>Info!$B$22</f>
        <v>0</v>
      </c>
      <c r="F69" s="5">
        <f>Info!$B$27</f>
        <v>0</v>
      </c>
      <c r="G69" s="5">
        <f>Info!$B$32</f>
        <v>0</v>
      </c>
      <c r="H69" s="5">
        <f>Info!$B$37</f>
        <v>0</v>
      </c>
      <c r="I69" s="5">
        <f>Info!$B$40</f>
        <v>0</v>
      </c>
      <c r="J69" s="5">
        <f>Info!$B$42</f>
        <v>1</v>
      </c>
      <c r="K69">
        <v>1</v>
      </c>
      <c r="P69" s="7">
        <f t="shared" si="5"/>
        <v>0.14285714285714285</v>
      </c>
      <c r="Q69" s="7">
        <f t="shared" si="3"/>
        <v>7.1428571428571425E-2</v>
      </c>
      <c r="R69">
        <f t="shared" si="6"/>
        <v>0</v>
      </c>
    </row>
    <row r="70" spans="1:18" x14ac:dyDescent="0.2">
      <c r="A70" s="67" t="s">
        <v>1052</v>
      </c>
      <c r="B70" s="52" t="s">
        <v>1053</v>
      </c>
      <c r="D70" s="5">
        <f>Info!$B$17</f>
        <v>0</v>
      </c>
      <c r="E70" s="5">
        <f>Info!$B$22</f>
        <v>0</v>
      </c>
      <c r="F70" s="5">
        <f>Info!$B$27</f>
        <v>0</v>
      </c>
      <c r="G70" s="5">
        <f>Info!$B$32</f>
        <v>0</v>
      </c>
      <c r="H70" s="5">
        <f>Info!$B$37</f>
        <v>0</v>
      </c>
      <c r="I70" s="5">
        <f>Info!$B$40</f>
        <v>0</v>
      </c>
      <c r="J70" s="5">
        <f>Info!$B$42</f>
        <v>1</v>
      </c>
      <c r="P70" s="7">
        <f t="shared" si="5"/>
        <v>0.14285714285714285</v>
      </c>
      <c r="Q70" s="7">
        <f t="shared" si="3"/>
        <v>7.1428571428571425E-2</v>
      </c>
      <c r="R70">
        <f t="shared" si="6"/>
        <v>0</v>
      </c>
    </row>
    <row r="71" spans="1:18" x14ac:dyDescent="0.2">
      <c r="A71" s="67" t="s">
        <v>1054</v>
      </c>
      <c r="B71" s="52" t="s">
        <v>1055</v>
      </c>
      <c r="D71" s="5">
        <f>Info!$B$17</f>
        <v>0</v>
      </c>
      <c r="E71" s="5">
        <f>Info!$B$22</f>
        <v>0</v>
      </c>
      <c r="F71" s="5">
        <f>Info!$B$27</f>
        <v>0</v>
      </c>
      <c r="G71" s="5">
        <f>Info!$B$32</f>
        <v>0</v>
      </c>
      <c r="H71" s="5">
        <f>Info!$B$37</f>
        <v>0</v>
      </c>
      <c r="I71" s="5">
        <f>Info!$B$40</f>
        <v>0</v>
      </c>
      <c r="J71" s="5">
        <f>Info!$B$42</f>
        <v>1</v>
      </c>
      <c r="P71" s="7">
        <f t="shared" si="5"/>
        <v>0.14285714285714285</v>
      </c>
      <c r="Q71" s="7">
        <f t="shared" si="3"/>
        <v>7.1428571428571425E-2</v>
      </c>
      <c r="R71">
        <f t="shared" si="6"/>
        <v>0</v>
      </c>
    </row>
    <row r="72" spans="1:18" x14ac:dyDescent="0.2">
      <c r="A72" s="67" t="s">
        <v>1056</v>
      </c>
      <c r="B72" s="52" t="s">
        <v>1057</v>
      </c>
      <c r="D72" s="5">
        <f>Info!$B$17</f>
        <v>0</v>
      </c>
      <c r="E72" s="5">
        <f>Info!$B$22</f>
        <v>0</v>
      </c>
      <c r="F72" s="5">
        <f>Info!$B$27</f>
        <v>0</v>
      </c>
      <c r="G72" s="5">
        <f>Info!$B$32</f>
        <v>0</v>
      </c>
      <c r="H72" s="5">
        <f>Info!$B$37</f>
        <v>0</v>
      </c>
      <c r="I72" s="5">
        <f>Info!$B$40</f>
        <v>0</v>
      </c>
      <c r="J72" s="5">
        <f>Info!$B$42</f>
        <v>1</v>
      </c>
      <c r="P72" s="7">
        <f t="shared" si="5"/>
        <v>0.14285714285714285</v>
      </c>
      <c r="Q72" s="7">
        <f t="shared" si="3"/>
        <v>7.1428571428571425E-2</v>
      </c>
      <c r="R72">
        <f t="shared" si="6"/>
        <v>0</v>
      </c>
    </row>
    <row r="73" spans="1:18" x14ac:dyDescent="0.2">
      <c r="A73" s="67" t="s">
        <v>1058</v>
      </c>
      <c r="B73" s="52" t="s">
        <v>1059</v>
      </c>
      <c r="D73" s="5">
        <f>Info!$B$17</f>
        <v>0</v>
      </c>
      <c r="E73" s="5">
        <f>Info!$B$22</f>
        <v>0</v>
      </c>
      <c r="F73" s="5">
        <f>Info!$B$27</f>
        <v>0</v>
      </c>
      <c r="G73" s="5">
        <f>Info!$B$32</f>
        <v>0</v>
      </c>
      <c r="H73" s="5">
        <f>Info!$B$37</f>
        <v>0</v>
      </c>
      <c r="I73" s="5">
        <f>Info!$B$40</f>
        <v>0</v>
      </c>
      <c r="J73" s="5">
        <f>Info!$B$42</f>
        <v>1</v>
      </c>
      <c r="P73" s="7">
        <f t="shared" si="5"/>
        <v>0.14285714285714285</v>
      </c>
      <c r="Q73" s="7">
        <f t="shared" si="3"/>
        <v>7.1428571428571425E-2</v>
      </c>
      <c r="R73">
        <f t="shared" si="6"/>
        <v>0</v>
      </c>
    </row>
    <row r="74" spans="1:18" x14ac:dyDescent="0.2">
      <c r="A74" s="67" t="s">
        <v>1060</v>
      </c>
      <c r="B74" s="52" t="s">
        <v>1061</v>
      </c>
      <c r="D74" s="5">
        <f>Info!$B$17</f>
        <v>0</v>
      </c>
      <c r="E74" s="5">
        <f>Info!$B$22</f>
        <v>0</v>
      </c>
      <c r="F74" s="5">
        <f>Info!$B$27</f>
        <v>0</v>
      </c>
      <c r="G74" s="5">
        <f>Info!$B$32</f>
        <v>0</v>
      </c>
      <c r="H74" s="5">
        <f>Info!$B$37</f>
        <v>0</v>
      </c>
      <c r="I74" s="5">
        <f>Info!$B$40</f>
        <v>0</v>
      </c>
      <c r="J74" s="5">
        <f>Info!$B$42</f>
        <v>1</v>
      </c>
      <c r="P74" s="7">
        <f t="shared" si="5"/>
        <v>0.14285714285714285</v>
      </c>
      <c r="Q74" s="7">
        <f t="shared" si="3"/>
        <v>7.1428571428571425E-2</v>
      </c>
      <c r="R74">
        <f t="shared" si="6"/>
        <v>0</v>
      </c>
    </row>
    <row r="75" spans="1:18" x14ac:dyDescent="0.2">
      <c r="A75" s="67" t="s">
        <v>1062</v>
      </c>
      <c r="B75" s="52" t="s">
        <v>1063</v>
      </c>
      <c r="D75" s="5">
        <f>Info!$B$17</f>
        <v>0</v>
      </c>
      <c r="E75" s="5">
        <f>Info!$B$22</f>
        <v>0</v>
      </c>
      <c r="F75" s="5">
        <f>Info!$B$27</f>
        <v>0</v>
      </c>
      <c r="G75" s="5">
        <f>Info!$B$32</f>
        <v>0</v>
      </c>
      <c r="H75" s="5">
        <f>Info!$B$37</f>
        <v>0</v>
      </c>
      <c r="I75" s="5">
        <f>Info!$B$40</f>
        <v>0</v>
      </c>
      <c r="J75" s="5">
        <f>Info!$B$42</f>
        <v>1</v>
      </c>
      <c r="P75" s="7">
        <f t="shared" si="5"/>
        <v>0.14285714285714285</v>
      </c>
      <c r="Q75" s="7">
        <f t="shared" si="3"/>
        <v>7.1428571428571425E-2</v>
      </c>
      <c r="R75">
        <f t="shared" si="6"/>
        <v>0</v>
      </c>
    </row>
    <row r="76" spans="1:18" x14ac:dyDescent="0.2">
      <c r="A76" s="67" t="s">
        <v>1064</v>
      </c>
      <c r="B76" s="52" t="s">
        <v>1065</v>
      </c>
      <c r="D76" s="5">
        <f>Info!$B$17</f>
        <v>0</v>
      </c>
      <c r="E76" s="5">
        <f>Info!$B$22</f>
        <v>0</v>
      </c>
      <c r="F76" s="5">
        <f>Info!$B$27</f>
        <v>0</v>
      </c>
      <c r="G76" s="5">
        <f>Info!$B$32</f>
        <v>0</v>
      </c>
      <c r="H76" s="5">
        <f>Info!$B$37</f>
        <v>0</v>
      </c>
      <c r="I76" s="5">
        <f>Info!$B$40</f>
        <v>0</v>
      </c>
      <c r="J76" s="5">
        <f>Info!$B$42</f>
        <v>1</v>
      </c>
      <c r="P76" s="7">
        <f t="shared" si="5"/>
        <v>0.14285714285714285</v>
      </c>
      <c r="Q76" s="7">
        <f t="shared" si="3"/>
        <v>7.1428571428571425E-2</v>
      </c>
      <c r="R76">
        <f t="shared" si="6"/>
        <v>0</v>
      </c>
    </row>
    <row r="77" spans="1:18" x14ac:dyDescent="0.2">
      <c r="A77" s="67" t="s">
        <v>1066</v>
      </c>
      <c r="B77" s="52" t="s">
        <v>1067</v>
      </c>
      <c r="D77" s="5">
        <f>Info!$B$17</f>
        <v>0</v>
      </c>
      <c r="E77" s="5">
        <f>Info!$B$22</f>
        <v>0</v>
      </c>
      <c r="F77" s="5">
        <f>Info!$B$27</f>
        <v>0</v>
      </c>
      <c r="G77" s="5">
        <f>Info!$B$32</f>
        <v>0</v>
      </c>
      <c r="H77" s="5">
        <f>Info!$B$37</f>
        <v>0</v>
      </c>
      <c r="I77" s="5">
        <f>Info!$B$40</f>
        <v>0</v>
      </c>
      <c r="J77" s="5">
        <f>Info!$B$42</f>
        <v>1</v>
      </c>
      <c r="P77" s="7">
        <f t="shared" si="5"/>
        <v>0.14285714285714285</v>
      </c>
      <c r="Q77" s="7">
        <f t="shared" si="3"/>
        <v>7.1428571428571425E-2</v>
      </c>
      <c r="R77">
        <f t="shared" si="6"/>
        <v>0</v>
      </c>
    </row>
    <row r="78" spans="1:18" x14ac:dyDescent="0.2">
      <c r="A78" s="67" t="s">
        <v>1068</v>
      </c>
      <c r="B78" s="52" t="s">
        <v>1069</v>
      </c>
      <c r="D78" s="5">
        <f>Info!$B$17</f>
        <v>0</v>
      </c>
      <c r="E78" s="5">
        <f>Info!$B$22</f>
        <v>0</v>
      </c>
      <c r="F78" s="5">
        <f>Info!$B$27</f>
        <v>0</v>
      </c>
      <c r="G78" s="5">
        <f>Info!$B$32</f>
        <v>0</v>
      </c>
      <c r="H78" s="5">
        <f>Info!$B$37</f>
        <v>0</v>
      </c>
      <c r="I78" s="5">
        <f>Info!$B$40</f>
        <v>0</v>
      </c>
      <c r="J78" s="5">
        <f>Info!$B$42</f>
        <v>1</v>
      </c>
      <c r="P78" s="7">
        <f t="shared" si="5"/>
        <v>0.14285714285714285</v>
      </c>
      <c r="Q78" s="7">
        <f t="shared" si="3"/>
        <v>7.1428571428571425E-2</v>
      </c>
      <c r="R78">
        <f t="shared" si="6"/>
        <v>0</v>
      </c>
    </row>
    <row r="79" spans="1:18" x14ac:dyDescent="0.2">
      <c r="A79" s="67" t="s">
        <v>1070</v>
      </c>
      <c r="B79" s="52" t="s">
        <v>1071</v>
      </c>
      <c r="D79" s="5">
        <f>Info!$B$17</f>
        <v>0</v>
      </c>
      <c r="E79" s="5">
        <f>Info!$B$22</f>
        <v>0</v>
      </c>
      <c r="F79" s="5">
        <f>Info!$B$27</f>
        <v>0</v>
      </c>
      <c r="G79" s="5">
        <f>Info!$B$32</f>
        <v>0</v>
      </c>
      <c r="H79" s="5">
        <f>Info!$B$37</f>
        <v>0</v>
      </c>
      <c r="I79" s="5">
        <f>Info!$B$40</f>
        <v>0</v>
      </c>
      <c r="J79" s="5">
        <f>Info!$B$42</f>
        <v>1</v>
      </c>
      <c r="P79" s="7">
        <f t="shared" si="5"/>
        <v>0.14285714285714285</v>
      </c>
      <c r="Q79" s="7">
        <f t="shared" si="3"/>
        <v>7.1428571428571425E-2</v>
      </c>
      <c r="R79">
        <f t="shared" si="6"/>
        <v>0</v>
      </c>
    </row>
    <row r="80" spans="1:18" x14ac:dyDescent="0.2">
      <c r="A80" s="67" t="s">
        <v>1072</v>
      </c>
      <c r="B80" s="52" t="s">
        <v>1073</v>
      </c>
      <c r="D80" s="5">
        <f>Info!$B$17</f>
        <v>0</v>
      </c>
      <c r="E80" s="5">
        <f>Info!$B$22</f>
        <v>0</v>
      </c>
      <c r="F80" s="5">
        <f>Info!$B$27</f>
        <v>0</v>
      </c>
      <c r="G80" s="5">
        <f>Info!$B$32</f>
        <v>0</v>
      </c>
      <c r="H80" s="5">
        <f>Info!$B$37</f>
        <v>0</v>
      </c>
      <c r="I80" s="5">
        <f>Info!$B$40</f>
        <v>0</v>
      </c>
      <c r="J80" s="5">
        <f>Info!$B$42</f>
        <v>1</v>
      </c>
      <c r="P80" s="7">
        <f t="shared" si="5"/>
        <v>0.14285714285714285</v>
      </c>
      <c r="Q80" s="7">
        <f t="shared" si="3"/>
        <v>7.1428571428571425E-2</v>
      </c>
      <c r="R80">
        <f t="shared" si="6"/>
        <v>0</v>
      </c>
    </row>
    <row r="81" spans="1:18" x14ac:dyDescent="0.2">
      <c r="A81" s="67" t="s">
        <v>1074</v>
      </c>
      <c r="B81" s="52" t="s">
        <v>1075</v>
      </c>
      <c r="D81" s="5">
        <f>Info!$B$17</f>
        <v>0</v>
      </c>
      <c r="E81" s="5">
        <f>Info!$B$22</f>
        <v>0</v>
      </c>
      <c r="F81" s="5">
        <f>Info!$B$27</f>
        <v>0</v>
      </c>
      <c r="G81" s="5">
        <f>Info!$B$32</f>
        <v>0</v>
      </c>
      <c r="H81" s="5">
        <f>Info!$B$37</f>
        <v>0</v>
      </c>
      <c r="I81" s="5">
        <f>Info!$B$40</f>
        <v>0</v>
      </c>
      <c r="J81" s="5">
        <f>Info!$B$42</f>
        <v>1</v>
      </c>
      <c r="P81" s="7">
        <f t="shared" si="5"/>
        <v>0.14285714285714285</v>
      </c>
      <c r="Q81" s="7">
        <f t="shared" si="3"/>
        <v>7.1428571428571425E-2</v>
      </c>
      <c r="R81">
        <f t="shared" si="6"/>
        <v>0</v>
      </c>
    </row>
    <row r="82" spans="1:18" x14ac:dyDescent="0.2">
      <c r="A82" s="67" t="s">
        <v>1076</v>
      </c>
      <c r="B82" s="52" t="s">
        <v>1077</v>
      </c>
      <c r="D82" s="5">
        <f>Info!$B$17</f>
        <v>0</v>
      </c>
      <c r="E82" s="5">
        <f>Info!$B$22</f>
        <v>0</v>
      </c>
      <c r="F82" s="5">
        <f>Info!$B$27</f>
        <v>0</v>
      </c>
      <c r="G82" s="5">
        <f>Info!$B$32</f>
        <v>0</v>
      </c>
      <c r="H82" s="5">
        <f>Info!$B$37</f>
        <v>0</v>
      </c>
      <c r="I82" s="5">
        <f>Info!$B$40</f>
        <v>0</v>
      </c>
      <c r="J82" s="5">
        <f>Info!$B$42</f>
        <v>1</v>
      </c>
      <c r="P82" s="7">
        <f t="shared" si="5"/>
        <v>0.14285714285714285</v>
      </c>
      <c r="Q82" s="7">
        <f t="shared" si="3"/>
        <v>7.1428571428571425E-2</v>
      </c>
      <c r="R82">
        <f t="shared" si="6"/>
        <v>0</v>
      </c>
    </row>
    <row r="83" spans="1:18" x14ac:dyDescent="0.2">
      <c r="A83" s="67" t="s">
        <v>1078</v>
      </c>
      <c r="B83" s="52" t="s">
        <v>1079</v>
      </c>
      <c r="D83" s="5">
        <f>Info!$B$17</f>
        <v>0</v>
      </c>
      <c r="E83" s="5">
        <f>Info!$B$22</f>
        <v>0</v>
      </c>
      <c r="F83" s="5">
        <f>Info!$B$27</f>
        <v>0</v>
      </c>
      <c r="G83" s="5">
        <f>Info!$B$32</f>
        <v>0</v>
      </c>
      <c r="H83" s="5">
        <f>Info!$B$37</f>
        <v>0</v>
      </c>
      <c r="I83" s="5">
        <f>Info!$B$40</f>
        <v>0</v>
      </c>
      <c r="J83" s="5">
        <f>Info!$B$42</f>
        <v>1</v>
      </c>
      <c r="P83" s="7">
        <f t="shared" si="5"/>
        <v>0.14285714285714285</v>
      </c>
      <c r="Q83" s="7">
        <f t="shared" si="3"/>
        <v>7.1428571428571425E-2</v>
      </c>
      <c r="R83">
        <f t="shared" si="6"/>
        <v>0</v>
      </c>
    </row>
    <row r="84" spans="1:18" x14ac:dyDescent="0.2">
      <c r="A84" s="67" t="s">
        <v>1080</v>
      </c>
      <c r="B84" s="52" t="s">
        <v>1081</v>
      </c>
      <c r="D84" s="5">
        <f>Info!$B$17</f>
        <v>0</v>
      </c>
      <c r="E84" s="5">
        <f>Info!$B$22</f>
        <v>0</v>
      </c>
      <c r="F84" s="5">
        <f>Info!$B$27</f>
        <v>0</v>
      </c>
      <c r="G84" s="5">
        <f>Info!$B$32</f>
        <v>0</v>
      </c>
      <c r="H84" s="5">
        <f>Info!$B$37</f>
        <v>0</v>
      </c>
      <c r="I84" s="5">
        <f>Info!$B$40</f>
        <v>0</v>
      </c>
      <c r="J84" s="5">
        <f>Info!$B$42</f>
        <v>1</v>
      </c>
      <c r="P84" s="7">
        <f t="shared" si="5"/>
        <v>0.14285714285714285</v>
      </c>
      <c r="Q84" s="7">
        <f t="shared" si="3"/>
        <v>7.1428571428571425E-2</v>
      </c>
      <c r="R84">
        <f t="shared" si="6"/>
        <v>0</v>
      </c>
    </row>
    <row r="85" spans="1:18" x14ac:dyDescent="0.2">
      <c r="A85" s="67" t="s">
        <v>1082</v>
      </c>
      <c r="B85" s="52" t="s">
        <v>1083</v>
      </c>
      <c r="D85" s="5">
        <f>Info!$B$17</f>
        <v>0</v>
      </c>
      <c r="E85" s="5">
        <f>Info!$B$22</f>
        <v>0</v>
      </c>
      <c r="F85" s="5">
        <f>Info!$B$27</f>
        <v>0</v>
      </c>
      <c r="G85" s="5">
        <f>Info!$B$32</f>
        <v>0</v>
      </c>
      <c r="H85" s="5">
        <f>Info!$B$37</f>
        <v>0</v>
      </c>
      <c r="I85" s="5">
        <f>Info!$B$40</f>
        <v>0</v>
      </c>
      <c r="J85" s="5">
        <f>Info!$B$42</f>
        <v>1</v>
      </c>
      <c r="P85" s="7">
        <f t="shared" si="5"/>
        <v>0.14285714285714285</v>
      </c>
      <c r="Q85" s="7">
        <f t="shared" si="3"/>
        <v>7.1428571428571425E-2</v>
      </c>
      <c r="R85">
        <f t="shared" si="6"/>
        <v>0</v>
      </c>
    </row>
    <row r="86" spans="1:18" x14ac:dyDescent="0.2">
      <c r="A86" s="67" t="s">
        <v>1084</v>
      </c>
      <c r="B86" s="52" t="s">
        <v>1085</v>
      </c>
      <c r="D86" s="5">
        <f>Info!$B$17</f>
        <v>0</v>
      </c>
      <c r="E86" s="5">
        <f>Info!$B$22</f>
        <v>0</v>
      </c>
      <c r="F86" s="5">
        <f>Info!$B$27</f>
        <v>0</v>
      </c>
      <c r="G86" s="5">
        <f>Info!$B$32</f>
        <v>0</v>
      </c>
      <c r="H86" s="5">
        <f>Info!$B$37</f>
        <v>0</v>
      </c>
      <c r="I86" s="5">
        <f>Info!$B$40</f>
        <v>0</v>
      </c>
      <c r="J86" s="5">
        <f>Info!$B$42</f>
        <v>1</v>
      </c>
      <c r="P86" s="7">
        <f t="shared" si="5"/>
        <v>0.14285714285714285</v>
      </c>
      <c r="Q86" s="7">
        <f t="shared" si="3"/>
        <v>7.1428571428571425E-2</v>
      </c>
      <c r="R86">
        <f t="shared" si="6"/>
        <v>0</v>
      </c>
    </row>
    <row r="87" spans="1:18" x14ac:dyDescent="0.2">
      <c r="A87" s="67" t="s">
        <v>1086</v>
      </c>
      <c r="B87" s="52" t="s">
        <v>1087</v>
      </c>
      <c r="D87" s="5">
        <f>Info!$B$17</f>
        <v>0</v>
      </c>
      <c r="E87" s="5">
        <f>Info!$B$22</f>
        <v>0</v>
      </c>
      <c r="F87" s="5">
        <f>Info!$B$27</f>
        <v>0</v>
      </c>
      <c r="G87" s="5">
        <f>Info!$B$32</f>
        <v>0</v>
      </c>
      <c r="H87" s="5">
        <f>Info!$B$37</f>
        <v>0</v>
      </c>
      <c r="I87" s="5">
        <f>Info!$B$40</f>
        <v>0</v>
      </c>
      <c r="J87" s="5">
        <f>Info!$B$42</f>
        <v>1</v>
      </c>
      <c r="P87" s="7">
        <f t="shared" si="5"/>
        <v>0.14285714285714285</v>
      </c>
      <c r="Q87" s="7">
        <f t="shared" si="3"/>
        <v>7.1428571428571425E-2</v>
      </c>
      <c r="R87">
        <f t="shared" si="6"/>
        <v>0</v>
      </c>
    </row>
    <row r="88" spans="1:18" x14ac:dyDescent="0.2">
      <c r="A88" s="67" t="s">
        <v>1088</v>
      </c>
      <c r="B88" s="52" t="s">
        <v>1089</v>
      </c>
      <c r="D88" s="5">
        <f>Info!$B$17</f>
        <v>0</v>
      </c>
      <c r="E88" s="5">
        <f>Info!$B$22</f>
        <v>0</v>
      </c>
      <c r="F88" s="5">
        <f>Info!$B$27</f>
        <v>0</v>
      </c>
      <c r="G88" s="5">
        <f>Info!$B$32</f>
        <v>0</v>
      </c>
      <c r="H88" s="5">
        <f>Info!$B$37</f>
        <v>0</v>
      </c>
      <c r="I88" s="5">
        <f>Info!$B$40</f>
        <v>0</v>
      </c>
      <c r="J88" s="5">
        <f>Info!$B$42</f>
        <v>1</v>
      </c>
      <c r="P88" s="7">
        <f t="shared" si="5"/>
        <v>0.14285714285714285</v>
      </c>
      <c r="Q88" s="7">
        <f t="shared" si="3"/>
        <v>7.1428571428571425E-2</v>
      </c>
      <c r="R88">
        <f t="shared" si="6"/>
        <v>0</v>
      </c>
    </row>
    <row r="89" spans="1:18" x14ac:dyDescent="0.2">
      <c r="A89" s="67" t="s">
        <v>1090</v>
      </c>
      <c r="B89" s="52" t="s">
        <v>1091</v>
      </c>
      <c r="D89" s="5">
        <f>Info!$B$17</f>
        <v>0</v>
      </c>
      <c r="E89" s="5">
        <f>Info!$B$22</f>
        <v>0</v>
      </c>
      <c r="F89" s="5">
        <f>Info!$B$27</f>
        <v>0</v>
      </c>
      <c r="G89" s="5">
        <f>Info!$B$32</f>
        <v>0</v>
      </c>
      <c r="H89" s="5">
        <f>Info!$B$37</f>
        <v>0</v>
      </c>
      <c r="I89" s="5">
        <f>Info!$B$40</f>
        <v>0</v>
      </c>
      <c r="J89" s="5">
        <f>Info!$B$42</f>
        <v>1</v>
      </c>
      <c r="P89" s="7">
        <f t="shared" si="5"/>
        <v>0.14285714285714285</v>
      </c>
      <c r="Q89" s="7">
        <f t="shared" si="3"/>
        <v>7.1428571428571425E-2</v>
      </c>
      <c r="R89">
        <f t="shared" si="6"/>
        <v>0</v>
      </c>
    </row>
    <row r="90" spans="1:18" x14ac:dyDescent="0.2">
      <c r="A90" s="67" t="s">
        <v>1092</v>
      </c>
      <c r="B90" s="52" t="s">
        <v>1093</v>
      </c>
      <c r="D90" s="5">
        <f>Info!$B$17</f>
        <v>0</v>
      </c>
      <c r="E90" s="5">
        <f>Info!$B$22</f>
        <v>0</v>
      </c>
      <c r="F90" s="5">
        <f>Info!$B$27</f>
        <v>0</v>
      </c>
      <c r="G90" s="5">
        <f>Info!$B$32</f>
        <v>0</v>
      </c>
      <c r="H90" s="5">
        <f>Info!$B$37</f>
        <v>0</v>
      </c>
      <c r="I90" s="5">
        <f>Info!$B$40</f>
        <v>0</v>
      </c>
      <c r="J90" s="5">
        <f>Info!$B$42</f>
        <v>1</v>
      </c>
      <c r="P90" s="7">
        <f t="shared" si="5"/>
        <v>0.14285714285714285</v>
      </c>
      <c r="Q90" s="7">
        <f t="shared" si="3"/>
        <v>7.1428571428571425E-2</v>
      </c>
      <c r="R90">
        <f t="shared" si="6"/>
        <v>0</v>
      </c>
    </row>
    <row r="91" spans="1:18" x14ac:dyDescent="0.2">
      <c r="A91" s="67" t="s">
        <v>1094</v>
      </c>
      <c r="B91" s="52" t="s">
        <v>1095</v>
      </c>
      <c r="D91" s="5">
        <f>Info!$B$17</f>
        <v>0</v>
      </c>
      <c r="E91" s="5">
        <f>Info!$B$22</f>
        <v>0</v>
      </c>
      <c r="F91" s="5">
        <f>Info!$B$27</f>
        <v>0</v>
      </c>
      <c r="G91" s="5">
        <f>Info!$B$32</f>
        <v>0</v>
      </c>
      <c r="H91" s="5">
        <f>Info!$B$37</f>
        <v>0</v>
      </c>
      <c r="I91" s="5">
        <f>Info!$B$40</f>
        <v>0</v>
      </c>
      <c r="J91" s="5">
        <f>Info!$B$42</f>
        <v>1</v>
      </c>
      <c r="P91" s="7">
        <f t="shared" si="5"/>
        <v>0.14285714285714285</v>
      </c>
      <c r="Q91" s="7">
        <f t="shared" si="3"/>
        <v>7.1428571428571425E-2</v>
      </c>
      <c r="R91">
        <f t="shared" si="6"/>
        <v>0</v>
      </c>
    </row>
    <row r="92" spans="1:18" x14ac:dyDescent="0.2">
      <c r="A92" s="67" t="s">
        <v>1096</v>
      </c>
      <c r="B92" s="52" t="s">
        <v>1097</v>
      </c>
      <c r="D92" s="5">
        <f>Info!$B$17</f>
        <v>0</v>
      </c>
      <c r="E92" s="5">
        <f>Info!$B$22</f>
        <v>0</v>
      </c>
      <c r="F92" s="5">
        <f>Info!$B$27</f>
        <v>0</v>
      </c>
      <c r="G92" s="5">
        <f>Info!$B$32</f>
        <v>0</v>
      </c>
      <c r="H92" s="5">
        <f>Info!$B$37</f>
        <v>0</v>
      </c>
      <c r="I92" s="5">
        <f>Info!$B$40</f>
        <v>0</v>
      </c>
      <c r="J92" s="5">
        <f>Info!$B$42</f>
        <v>1</v>
      </c>
      <c r="P92" s="7">
        <f t="shared" si="5"/>
        <v>0.14285714285714285</v>
      </c>
      <c r="Q92" s="7">
        <f t="shared" si="3"/>
        <v>7.1428571428571425E-2</v>
      </c>
      <c r="R92">
        <f t="shared" si="6"/>
        <v>0</v>
      </c>
    </row>
    <row r="93" spans="1:18" x14ac:dyDescent="0.2">
      <c r="A93" s="67" t="s">
        <v>1098</v>
      </c>
      <c r="B93" s="52" t="s">
        <v>1099</v>
      </c>
      <c r="D93" s="5">
        <f>Info!$B$17</f>
        <v>0</v>
      </c>
      <c r="E93" s="5">
        <f>Info!$B$22</f>
        <v>0</v>
      </c>
      <c r="F93" s="5">
        <f>Info!$B$27</f>
        <v>0</v>
      </c>
      <c r="G93" s="5">
        <f>Info!$B$32</f>
        <v>0</v>
      </c>
      <c r="H93" s="5">
        <f>Info!$B$37</f>
        <v>0</v>
      </c>
      <c r="I93" s="5">
        <f>Info!$B$40</f>
        <v>0</v>
      </c>
      <c r="J93" s="5">
        <f>Info!$B$42</f>
        <v>1</v>
      </c>
      <c r="P93" s="7">
        <f t="shared" si="5"/>
        <v>0.14285714285714285</v>
      </c>
      <c r="Q93" s="7">
        <f t="shared" si="3"/>
        <v>7.1428571428571425E-2</v>
      </c>
      <c r="R93">
        <f t="shared" si="6"/>
        <v>0</v>
      </c>
    </row>
    <row r="94" spans="1:18" x14ac:dyDescent="0.2">
      <c r="A94" s="67" t="s">
        <v>1100</v>
      </c>
      <c r="B94" s="52" t="s">
        <v>1101</v>
      </c>
      <c r="D94" s="5">
        <f>Info!$B$17</f>
        <v>0</v>
      </c>
      <c r="E94" s="5">
        <f>Info!$B$22</f>
        <v>0</v>
      </c>
      <c r="F94" s="5">
        <f>Info!$B$27</f>
        <v>0</v>
      </c>
      <c r="G94" s="5">
        <f>Info!$B$32</f>
        <v>0</v>
      </c>
      <c r="H94" s="5">
        <f>Info!$B$37</f>
        <v>0</v>
      </c>
      <c r="I94" s="5">
        <f>Info!$B$40</f>
        <v>0</v>
      </c>
      <c r="J94" s="5">
        <f>Info!$B$42</f>
        <v>1</v>
      </c>
      <c r="P94" s="7">
        <f t="shared" ref="P94:P125" si="7">(D94+E94+F94+G94+H94+I94+J94)/7</f>
        <v>0.14285714285714285</v>
      </c>
      <c r="Q94" s="7">
        <f t="shared" ref="Q94:Q157" si="8">(O94+P94)/2</f>
        <v>7.1428571428571425E-2</v>
      </c>
      <c r="R94">
        <f t="shared" si="6"/>
        <v>0</v>
      </c>
    </row>
    <row r="95" spans="1:18" x14ac:dyDescent="0.2">
      <c r="A95" s="67" t="s">
        <v>1102</v>
      </c>
      <c r="B95" s="52" t="s">
        <v>1103</v>
      </c>
      <c r="D95" s="5">
        <f>Info!$B$17</f>
        <v>0</v>
      </c>
      <c r="E95" s="5">
        <f>Info!$B$22</f>
        <v>0</v>
      </c>
      <c r="F95" s="5">
        <f>Info!$B$27</f>
        <v>0</v>
      </c>
      <c r="G95" s="5">
        <f>Info!$B$32</f>
        <v>0</v>
      </c>
      <c r="H95" s="5">
        <f>Info!$B$37</f>
        <v>0</v>
      </c>
      <c r="I95" s="5">
        <f>Info!$B$40</f>
        <v>0</v>
      </c>
      <c r="J95" s="5">
        <f>Info!$B$42</f>
        <v>1</v>
      </c>
      <c r="P95" s="7">
        <f t="shared" si="7"/>
        <v>0.14285714285714285</v>
      </c>
      <c r="Q95" s="7">
        <f t="shared" si="8"/>
        <v>7.1428571428571425E-2</v>
      </c>
      <c r="R95">
        <f t="shared" si="6"/>
        <v>0</v>
      </c>
    </row>
    <row r="96" spans="1:18" x14ac:dyDescent="0.2">
      <c r="A96" s="67" t="s">
        <v>1104</v>
      </c>
      <c r="B96" s="52" t="s">
        <v>1105</v>
      </c>
      <c r="D96" s="5">
        <f>Info!$B$17</f>
        <v>0</v>
      </c>
      <c r="E96" s="5">
        <f>Info!$B$22</f>
        <v>0</v>
      </c>
      <c r="F96" s="5">
        <f>Info!$B$27</f>
        <v>0</v>
      </c>
      <c r="G96" s="5">
        <f>Info!$B$32</f>
        <v>0</v>
      </c>
      <c r="H96" s="5">
        <f>Info!$B$37</f>
        <v>0</v>
      </c>
      <c r="I96" s="5">
        <f>Info!$B$40</f>
        <v>0</v>
      </c>
      <c r="J96" s="5">
        <f>Info!$B$42</f>
        <v>1</v>
      </c>
      <c r="P96" s="7">
        <f t="shared" si="7"/>
        <v>0.14285714285714285</v>
      </c>
      <c r="Q96" s="7">
        <f t="shared" si="8"/>
        <v>7.1428571428571425E-2</v>
      </c>
      <c r="R96">
        <f t="shared" si="6"/>
        <v>0</v>
      </c>
    </row>
    <row r="97" spans="1:18" x14ac:dyDescent="0.2">
      <c r="A97" s="67" t="s">
        <v>1106</v>
      </c>
      <c r="B97" s="52" t="s">
        <v>1107</v>
      </c>
      <c r="D97" s="5">
        <f>Info!$B$17</f>
        <v>0</v>
      </c>
      <c r="E97" s="5">
        <f>Info!$B$22</f>
        <v>0</v>
      </c>
      <c r="F97" s="5">
        <f>Info!$B$27</f>
        <v>0</v>
      </c>
      <c r="G97" s="5">
        <f>Info!$B$32</f>
        <v>0</v>
      </c>
      <c r="H97" s="5">
        <f>Info!$B$37</f>
        <v>0</v>
      </c>
      <c r="I97" s="5">
        <f>Info!$B$40</f>
        <v>0</v>
      </c>
      <c r="J97" s="5">
        <f>Info!$B$42</f>
        <v>1</v>
      </c>
      <c r="P97" s="7">
        <f t="shared" si="7"/>
        <v>0.14285714285714285</v>
      </c>
      <c r="Q97" s="7">
        <f t="shared" si="8"/>
        <v>7.1428571428571425E-2</v>
      </c>
      <c r="R97">
        <f t="shared" si="6"/>
        <v>0</v>
      </c>
    </row>
    <row r="98" spans="1:18" x14ac:dyDescent="0.2">
      <c r="A98" s="67" t="s">
        <v>1108</v>
      </c>
      <c r="B98" s="52" t="s">
        <v>1109</v>
      </c>
      <c r="D98" s="5">
        <f>Info!$B$17</f>
        <v>0</v>
      </c>
      <c r="E98" s="5">
        <f>Info!$B$22</f>
        <v>0</v>
      </c>
      <c r="F98" s="5">
        <f>Info!$B$27</f>
        <v>0</v>
      </c>
      <c r="G98" s="5">
        <f>Info!$B$32</f>
        <v>0</v>
      </c>
      <c r="H98" s="5">
        <f>Info!$B$37</f>
        <v>0</v>
      </c>
      <c r="I98" s="5">
        <f>Info!$B$40</f>
        <v>0</v>
      </c>
      <c r="J98" s="5">
        <f>Info!$B$42</f>
        <v>1</v>
      </c>
      <c r="P98" s="7">
        <f t="shared" si="7"/>
        <v>0.14285714285714285</v>
      </c>
      <c r="Q98" s="7">
        <f t="shared" si="8"/>
        <v>7.1428571428571425E-2</v>
      </c>
      <c r="R98">
        <f t="shared" si="6"/>
        <v>0</v>
      </c>
    </row>
    <row r="99" spans="1:18" x14ac:dyDescent="0.2">
      <c r="A99" s="67" t="s">
        <v>1110</v>
      </c>
      <c r="B99" s="52" t="s">
        <v>1111</v>
      </c>
      <c r="D99" s="5">
        <f>Info!$B$17</f>
        <v>0</v>
      </c>
      <c r="E99" s="5">
        <f>Info!$B$22</f>
        <v>0</v>
      </c>
      <c r="F99" s="5">
        <f>Info!$B$27</f>
        <v>0</v>
      </c>
      <c r="G99" s="5">
        <f>Info!$B$32</f>
        <v>0</v>
      </c>
      <c r="H99" s="5">
        <f>Info!$B$37</f>
        <v>0</v>
      </c>
      <c r="I99" s="5">
        <f>Info!$B$40</f>
        <v>0</v>
      </c>
      <c r="J99" s="5">
        <f>Info!$B$42</f>
        <v>1</v>
      </c>
      <c r="P99" s="7">
        <f t="shared" si="7"/>
        <v>0.14285714285714285</v>
      </c>
      <c r="Q99" s="7">
        <f t="shared" si="8"/>
        <v>7.1428571428571425E-2</v>
      </c>
      <c r="R99">
        <f t="shared" si="6"/>
        <v>0</v>
      </c>
    </row>
    <row r="100" spans="1:18" x14ac:dyDescent="0.2">
      <c r="A100" s="67" t="s">
        <v>1112</v>
      </c>
      <c r="B100" s="52" t="s">
        <v>1113</v>
      </c>
      <c r="D100" s="5">
        <f>Info!$B$17</f>
        <v>0</v>
      </c>
      <c r="E100" s="5">
        <f>Info!$B$22</f>
        <v>0</v>
      </c>
      <c r="F100" s="5">
        <f>Info!$B$27</f>
        <v>0</v>
      </c>
      <c r="G100" s="5">
        <f>Info!$B$32</f>
        <v>0</v>
      </c>
      <c r="H100" s="5">
        <f>Info!$B$37</f>
        <v>0</v>
      </c>
      <c r="I100" s="5">
        <f>Info!$B$40</f>
        <v>0</v>
      </c>
      <c r="J100" s="5">
        <f>Info!$B$42</f>
        <v>1</v>
      </c>
      <c r="P100" s="7">
        <f t="shared" si="7"/>
        <v>0.14285714285714285</v>
      </c>
      <c r="Q100" s="7">
        <f t="shared" si="8"/>
        <v>7.1428571428571425E-2</v>
      </c>
      <c r="R100">
        <f t="shared" si="6"/>
        <v>0</v>
      </c>
    </row>
    <row r="101" spans="1:18" x14ac:dyDescent="0.2">
      <c r="A101" s="67" t="s">
        <v>1114</v>
      </c>
      <c r="B101" s="52" t="s">
        <v>1115</v>
      </c>
      <c r="D101" s="5">
        <f>Info!$B$17</f>
        <v>0</v>
      </c>
      <c r="E101" s="5">
        <f>Info!$B$22</f>
        <v>0</v>
      </c>
      <c r="F101" s="5">
        <f>Info!$B$27</f>
        <v>0</v>
      </c>
      <c r="G101" s="5">
        <f>Info!$B$32</f>
        <v>0</v>
      </c>
      <c r="H101" s="5">
        <f>Info!$B$37</f>
        <v>0</v>
      </c>
      <c r="I101" s="5">
        <f>Info!$B$40</f>
        <v>0</v>
      </c>
      <c r="J101" s="5">
        <f>Info!$B$42</f>
        <v>1</v>
      </c>
      <c r="P101" s="7">
        <f t="shared" si="7"/>
        <v>0.14285714285714285</v>
      </c>
      <c r="Q101" s="7">
        <f t="shared" si="8"/>
        <v>7.1428571428571425E-2</v>
      </c>
      <c r="R101">
        <f t="shared" si="6"/>
        <v>0</v>
      </c>
    </row>
    <row r="102" spans="1:18" x14ac:dyDescent="0.2">
      <c r="A102" s="67" t="s">
        <v>1116</v>
      </c>
      <c r="B102" s="52" t="s">
        <v>1117</v>
      </c>
      <c r="D102" s="5">
        <f>Info!$B$17</f>
        <v>0</v>
      </c>
      <c r="E102" s="5">
        <f>Info!$B$22</f>
        <v>0</v>
      </c>
      <c r="F102" s="5">
        <f>Info!$B$27</f>
        <v>0</v>
      </c>
      <c r="G102" s="5">
        <f>Info!$B$32</f>
        <v>0</v>
      </c>
      <c r="H102" s="5">
        <f>Info!$B$37</f>
        <v>0</v>
      </c>
      <c r="I102" s="5">
        <f>Info!$B$40</f>
        <v>0</v>
      </c>
      <c r="J102" s="5">
        <f>Info!$B$42</f>
        <v>1</v>
      </c>
      <c r="P102" s="7">
        <f t="shared" si="7"/>
        <v>0.14285714285714285</v>
      </c>
      <c r="Q102" s="7">
        <f t="shared" si="8"/>
        <v>7.1428571428571425E-2</v>
      </c>
      <c r="R102">
        <f t="shared" si="6"/>
        <v>0</v>
      </c>
    </row>
    <row r="103" spans="1:18" x14ac:dyDescent="0.2">
      <c r="A103" s="67" t="s">
        <v>1118</v>
      </c>
      <c r="B103" s="52" t="s">
        <v>1119</v>
      </c>
      <c r="D103" s="5">
        <f>Info!$B$17</f>
        <v>0</v>
      </c>
      <c r="E103" s="5">
        <f>Info!$B$22</f>
        <v>0</v>
      </c>
      <c r="F103" s="5">
        <f>Info!$B$27</f>
        <v>0</v>
      </c>
      <c r="G103" s="5">
        <f>Info!$B$32</f>
        <v>0</v>
      </c>
      <c r="H103" s="5">
        <f>Info!$B$37</f>
        <v>0</v>
      </c>
      <c r="I103" s="5">
        <f>Info!$B$40</f>
        <v>0</v>
      </c>
      <c r="J103" s="5">
        <f>Info!$B$42</f>
        <v>1</v>
      </c>
      <c r="P103" s="7">
        <f t="shared" si="7"/>
        <v>0.14285714285714285</v>
      </c>
      <c r="Q103" s="7">
        <f t="shared" si="8"/>
        <v>7.1428571428571425E-2</v>
      </c>
      <c r="R103">
        <f t="shared" si="6"/>
        <v>0</v>
      </c>
    </row>
    <row r="104" spans="1:18" x14ac:dyDescent="0.2">
      <c r="A104" s="67" t="s">
        <v>1120</v>
      </c>
      <c r="B104" s="52" t="s">
        <v>1121</v>
      </c>
      <c r="D104" s="5">
        <f>Info!$B$17</f>
        <v>0</v>
      </c>
      <c r="E104" s="5">
        <f>Info!$B$22</f>
        <v>0</v>
      </c>
      <c r="F104" s="5">
        <f>Info!$B$27</f>
        <v>0</v>
      </c>
      <c r="G104" s="5">
        <f>Info!$B$32</f>
        <v>0</v>
      </c>
      <c r="H104" s="5">
        <f>Info!$B$37</f>
        <v>0</v>
      </c>
      <c r="I104" s="5">
        <f>Info!$B$40</f>
        <v>0</v>
      </c>
      <c r="J104" s="5">
        <f>Info!$B$42</f>
        <v>1</v>
      </c>
      <c r="P104" s="7">
        <f t="shared" si="7"/>
        <v>0.14285714285714285</v>
      </c>
      <c r="Q104" s="7">
        <f t="shared" si="8"/>
        <v>7.1428571428571425E-2</v>
      </c>
      <c r="R104">
        <f t="shared" si="6"/>
        <v>0</v>
      </c>
    </row>
    <row r="105" spans="1:18" x14ac:dyDescent="0.2">
      <c r="A105" s="67" t="s">
        <v>1122</v>
      </c>
      <c r="B105" s="52" t="s">
        <v>1123</v>
      </c>
      <c r="D105" s="5">
        <f>Info!$B$17</f>
        <v>0</v>
      </c>
      <c r="E105" s="5">
        <f>Info!$B$22</f>
        <v>0</v>
      </c>
      <c r="F105" s="5">
        <f>Info!$B$27</f>
        <v>0</v>
      </c>
      <c r="G105" s="5">
        <f>Info!$B$32</f>
        <v>0</v>
      </c>
      <c r="H105" s="5">
        <f>Info!$B$37</f>
        <v>0</v>
      </c>
      <c r="I105" s="5">
        <f>Info!$B$40</f>
        <v>0</v>
      </c>
      <c r="J105" s="5">
        <f>Info!$B$42</f>
        <v>1</v>
      </c>
      <c r="P105" s="7">
        <f t="shared" si="7"/>
        <v>0.14285714285714285</v>
      </c>
      <c r="Q105" s="7">
        <f t="shared" si="8"/>
        <v>7.1428571428571425E-2</v>
      </c>
      <c r="R105">
        <f t="shared" si="6"/>
        <v>0</v>
      </c>
    </row>
    <row r="106" spans="1:18" x14ac:dyDescent="0.2">
      <c r="A106" s="67" t="s">
        <v>1124</v>
      </c>
      <c r="B106" s="52" t="s">
        <v>1125</v>
      </c>
      <c r="D106" s="5">
        <f>Info!$B$17</f>
        <v>0</v>
      </c>
      <c r="E106" s="5">
        <f>Info!$B$22</f>
        <v>0</v>
      </c>
      <c r="F106" s="5">
        <f>Info!$B$27</f>
        <v>0</v>
      </c>
      <c r="G106" s="5">
        <f>Info!$B$32</f>
        <v>0</v>
      </c>
      <c r="H106" s="5">
        <f>Info!$B$37</f>
        <v>0</v>
      </c>
      <c r="I106" s="5">
        <f>Info!$B$40</f>
        <v>0</v>
      </c>
      <c r="J106" s="5">
        <f>Info!$B$42</f>
        <v>1</v>
      </c>
      <c r="P106" s="7">
        <f t="shared" si="7"/>
        <v>0.14285714285714285</v>
      </c>
      <c r="Q106" s="7">
        <f t="shared" si="8"/>
        <v>7.1428571428571425E-2</v>
      </c>
      <c r="R106">
        <f t="shared" si="6"/>
        <v>0</v>
      </c>
    </row>
    <row r="107" spans="1:18" x14ac:dyDescent="0.2">
      <c r="A107" s="67" t="s">
        <v>1126</v>
      </c>
      <c r="B107" s="52" t="s">
        <v>1127</v>
      </c>
      <c r="D107" s="5">
        <f>Info!$B$17</f>
        <v>0</v>
      </c>
      <c r="E107" s="5">
        <f>Info!$B$22</f>
        <v>0</v>
      </c>
      <c r="F107" s="5">
        <f>Info!$B$27</f>
        <v>0</v>
      </c>
      <c r="G107" s="5">
        <f>Info!$B$32</f>
        <v>0</v>
      </c>
      <c r="H107" s="5">
        <f>Info!$B$37</f>
        <v>0</v>
      </c>
      <c r="I107" s="5">
        <f>Info!$B$40</f>
        <v>0</v>
      </c>
      <c r="J107" s="5">
        <f>Info!$B$42</f>
        <v>1</v>
      </c>
      <c r="P107" s="7">
        <f t="shared" si="7"/>
        <v>0.14285714285714285</v>
      </c>
      <c r="Q107" s="7">
        <f t="shared" si="8"/>
        <v>7.1428571428571425E-2</v>
      </c>
      <c r="R107">
        <f t="shared" si="6"/>
        <v>0</v>
      </c>
    </row>
    <row r="108" spans="1:18" x14ac:dyDescent="0.2">
      <c r="A108" s="67" t="s">
        <v>1128</v>
      </c>
      <c r="B108" s="52" t="s">
        <v>1129</v>
      </c>
      <c r="D108" s="5">
        <f>Info!$B$17</f>
        <v>0</v>
      </c>
      <c r="E108" s="5">
        <f>Info!$B$22</f>
        <v>0</v>
      </c>
      <c r="F108" s="5">
        <f>Info!$B$27</f>
        <v>0</v>
      </c>
      <c r="G108" s="5">
        <f>Info!$B$32</f>
        <v>0</v>
      </c>
      <c r="H108" s="5">
        <f>Info!$B$37</f>
        <v>0</v>
      </c>
      <c r="I108" s="5">
        <f>Info!$B$40</f>
        <v>0</v>
      </c>
      <c r="J108" s="5">
        <f>Info!$B$42</f>
        <v>1</v>
      </c>
      <c r="P108" s="7">
        <f t="shared" si="7"/>
        <v>0.14285714285714285</v>
      </c>
      <c r="Q108" s="7">
        <f t="shared" si="8"/>
        <v>7.1428571428571425E-2</v>
      </c>
      <c r="R108">
        <f t="shared" si="6"/>
        <v>0</v>
      </c>
    </row>
    <row r="109" spans="1:18" x14ac:dyDescent="0.2">
      <c r="A109" s="67" t="s">
        <v>1130</v>
      </c>
      <c r="B109" s="52" t="s">
        <v>1131</v>
      </c>
      <c r="D109" s="5">
        <f>Info!$B$17</f>
        <v>0</v>
      </c>
      <c r="E109" s="5">
        <f>Info!$B$22</f>
        <v>0</v>
      </c>
      <c r="F109" s="5">
        <f>Info!$B$27</f>
        <v>0</v>
      </c>
      <c r="G109" s="5">
        <f>Info!$B$32</f>
        <v>0</v>
      </c>
      <c r="H109" s="5">
        <f>Info!$B$37</f>
        <v>0</v>
      </c>
      <c r="I109" s="5">
        <f>Info!$B$40</f>
        <v>0</v>
      </c>
      <c r="J109" s="5">
        <f>Info!$B$42</f>
        <v>1</v>
      </c>
      <c r="P109" s="7">
        <f t="shared" si="7"/>
        <v>0.14285714285714285</v>
      </c>
      <c r="Q109" s="7">
        <f t="shared" si="8"/>
        <v>7.1428571428571425E-2</v>
      </c>
      <c r="R109">
        <f t="shared" si="6"/>
        <v>0</v>
      </c>
    </row>
    <row r="110" spans="1:18" x14ac:dyDescent="0.2">
      <c r="A110" s="67" t="s">
        <v>1132</v>
      </c>
      <c r="B110" s="52" t="s">
        <v>1133</v>
      </c>
      <c r="D110" s="5">
        <f>Info!$B$17</f>
        <v>0</v>
      </c>
      <c r="E110" s="5">
        <f>Info!$B$22</f>
        <v>0</v>
      </c>
      <c r="F110" s="5">
        <f>Info!$B$27</f>
        <v>0</v>
      </c>
      <c r="G110" s="5">
        <f>Info!$B$32</f>
        <v>0</v>
      </c>
      <c r="H110" s="5">
        <f>Info!$B$37</f>
        <v>0</v>
      </c>
      <c r="I110" s="5">
        <f>Info!$B$40</f>
        <v>0</v>
      </c>
      <c r="J110" s="5">
        <f>Info!$B$42</f>
        <v>1</v>
      </c>
      <c r="P110" s="7">
        <f t="shared" si="7"/>
        <v>0.14285714285714285</v>
      </c>
      <c r="Q110" s="7">
        <f t="shared" si="8"/>
        <v>7.1428571428571425E-2</v>
      </c>
      <c r="R110">
        <f t="shared" si="6"/>
        <v>0</v>
      </c>
    </row>
    <row r="111" spans="1:18" x14ac:dyDescent="0.2">
      <c r="A111" s="67" t="s">
        <v>1134</v>
      </c>
      <c r="B111" s="52" t="s">
        <v>1135</v>
      </c>
      <c r="D111" s="5">
        <f>Info!$B$17</f>
        <v>0</v>
      </c>
      <c r="E111" s="5">
        <f>Info!$B$22</f>
        <v>0</v>
      </c>
      <c r="F111" s="5">
        <f>Info!$B$27</f>
        <v>0</v>
      </c>
      <c r="G111" s="5">
        <f>Info!$B$32</f>
        <v>0</v>
      </c>
      <c r="H111" s="5">
        <f>Info!$B$37</f>
        <v>0</v>
      </c>
      <c r="I111" s="5">
        <f>Info!$B$40</f>
        <v>0</v>
      </c>
      <c r="J111" s="5">
        <f>Info!$B$42</f>
        <v>1</v>
      </c>
      <c r="P111" s="7">
        <f t="shared" si="7"/>
        <v>0.14285714285714285</v>
      </c>
      <c r="Q111" s="7">
        <f t="shared" si="8"/>
        <v>7.1428571428571425E-2</v>
      </c>
      <c r="R111">
        <f t="shared" si="6"/>
        <v>0</v>
      </c>
    </row>
    <row r="112" spans="1:18" x14ac:dyDescent="0.2">
      <c r="A112" s="67" t="s">
        <v>1136</v>
      </c>
      <c r="B112" s="52" t="s">
        <v>1137</v>
      </c>
      <c r="D112" s="5">
        <f>Info!$B$17</f>
        <v>0</v>
      </c>
      <c r="E112" s="5">
        <f>Info!$B$22</f>
        <v>0</v>
      </c>
      <c r="F112" s="5">
        <f>Info!$B$27</f>
        <v>0</v>
      </c>
      <c r="G112" s="5">
        <f>Info!$B$32</f>
        <v>0</v>
      </c>
      <c r="H112" s="5">
        <f>Info!$B$37</f>
        <v>0</v>
      </c>
      <c r="I112" s="5">
        <f>Info!$B$40</f>
        <v>0</v>
      </c>
      <c r="J112" s="5">
        <f>Info!$B$42</f>
        <v>1</v>
      </c>
      <c r="P112" s="7">
        <f t="shared" si="7"/>
        <v>0.14285714285714285</v>
      </c>
      <c r="Q112" s="7">
        <f t="shared" si="8"/>
        <v>7.1428571428571425E-2</v>
      </c>
      <c r="R112">
        <f t="shared" si="6"/>
        <v>0</v>
      </c>
    </row>
    <row r="113" spans="1:18" x14ac:dyDescent="0.2">
      <c r="A113" s="67" t="s">
        <v>1138</v>
      </c>
      <c r="B113" s="52" t="s">
        <v>1139</v>
      </c>
      <c r="D113" s="5">
        <f>Info!$B$17</f>
        <v>0</v>
      </c>
      <c r="E113" s="5">
        <f>Info!$B$22</f>
        <v>0</v>
      </c>
      <c r="F113" s="5">
        <f>Info!$B$27</f>
        <v>0</v>
      </c>
      <c r="G113" s="5">
        <f>Info!$B$32</f>
        <v>0</v>
      </c>
      <c r="H113" s="5">
        <f>Info!$B$37</f>
        <v>0</v>
      </c>
      <c r="I113" s="5">
        <f>Info!$B$40</f>
        <v>0</v>
      </c>
      <c r="J113" s="5">
        <f>Info!$B$42</f>
        <v>1</v>
      </c>
      <c r="P113" s="7">
        <f t="shared" si="7"/>
        <v>0.14285714285714285</v>
      </c>
      <c r="Q113" s="7">
        <f t="shared" si="8"/>
        <v>7.1428571428571425E-2</v>
      </c>
      <c r="R113">
        <f t="shared" si="6"/>
        <v>0</v>
      </c>
    </row>
    <row r="114" spans="1:18" x14ac:dyDescent="0.2">
      <c r="A114" s="67" t="s">
        <v>1140</v>
      </c>
      <c r="B114" s="52" t="s">
        <v>1141</v>
      </c>
      <c r="D114" s="5">
        <f>Info!$B$17</f>
        <v>0</v>
      </c>
      <c r="E114" s="5">
        <f>Info!$B$22</f>
        <v>0</v>
      </c>
      <c r="F114" s="5">
        <f>Info!$B$27</f>
        <v>0</v>
      </c>
      <c r="G114" s="5">
        <f>Info!$B$32</f>
        <v>0</v>
      </c>
      <c r="H114" s="5">
        <f>Info!$B$37</f>
        <v>0</v>
      </c>
      <c r="I114" s="5">
        <f>Info!$B$40</f>
        <v>0</v>
      </c>
      <c r="J114" s="5">
        <f>Info!$B$42</f>
        <v>1</v>
      </c>
      <c r="P114" s="7">
        <f t="shared" si="7"/>
        <v>0.14285714285714285</v>
      </c>
      <c r="Q114" s="7">
        <f t="shared" si="8"/>
        <v>7.1428571428571425E-2</v>
      </c>
      <c r="R114">
        <f t="shared" si="6"/>
        <v>0</v>
      </c>
    </row>
    <row r="115" spans="1:18" x14ac:dyDescent="0.2">
      <c r="A115" s="67" t="s">
        <v>1142</v>
      </c>
      <c r="B115" s="52" t="s">
        <v>1143</v>
      </c>
      <c r="D115" s="5">
        <f>Info!$B$17</f>
        <v>0</v>
      </c>
      <c r="E115" s="5">
        <f>Info!$B$21</f>
        <v>0.3</v>
      </c>
      <c r="F115" s="5">
        <f>Info!$B$26</f>
        <v>0.3</v>
      </c>
      <c r="G115" s="5">
        <f>Info!$B$32</f>
        <v>0</v>
      </c>
      <c r="H115" s="5">
        <f>Info!$B$37</f>
        <v>0</v>
      </c>
      <c r="I115" s="5">
        <f>Info!$B$40</f>
        <v>0</v>
      </c>
      <c r="J115" s="5">
        <f>Info!$B$44</f>
        <v>0</v>
      </c>
      <c r="P115" s="7">
        <f t="shared" si="7"/>
        <v>8.5714285714285715E-2</v>
      </c>
      <c r="Q115" s="7">
        <f t="shared" si="8"/>
        <v>4.2857142857142858E-2</v>
      </c>
      <c r="R115">
        <f t="shared" si="6"/>
        <v>0</v>
      </c>
    </row>
    <row r="116" spans="1:18" x14ac:dyDescent="0.2">
      <c r="A116" s="67" t="s">
        <v>1144</v>
      </c>
      <c r="B116" s="52" t="s">
        <v>1145</v>
      </c>
      <c r="D116" s="5">
        <f>Info!$B$17</f>
        <v>0</v>
      </c>
      <c r="E116" s="5">
        <f>Info!$B$21</f>
        <v>0.3</v>
      </c>
      <c r="F116" s="5">
        <f>Info!$B$26</f>
        <v>0.3</v>
      </c>
      <c r="G116" s="5">
        <f>Info!$B$32</f>
        <v>0</v>
      </c>
      <c r="H116" s="5">
        <f>Info!$B$37</f>
        <v>0</v>
      </c>
      <c r="I116" s="5">
        <f>Info!$B$40</f>
        <v>0</v>
      </c>
      <c r="J116" s="5">
        <f>Info!$B$44</f>
        <v>0</v>
      </c>
      <c r="P116" s="7">
        <f t="shared" si="7"/>
        <v>8.5714285714285715E-2</v>
      </c>
      <c r="Q116" s="7">
        <f t="shared" si="8"/>
        <v>4.2857142857142858E-2</v>
      </c>
      <c r="R116">
        <f t="shared" si="6"/>
        <v>0</v>
      </c>
    </row>
    <row r="117" spans="1:18" x14ac:dyDescent="0.2">
      <c r="A117" s="67" t="s">
        <v>1146</v>
      </c>
      <c r="B117" s="52" t="s">
        <v>1147</v>
      </c>
      <c r="D117" s="5">
        <f>Info!$B$17</f>
        <v>0</v>
      </c>
      <c r="E117" s="5">
        <f>Info!$B$21</f>
        <v>0.3</v>
      </c>
      <c r="F117" s="5">
        <f>Info!$B$26</f>
        <v>0.3</v>
      </c>
      <c r="G117" s="5">
        <f>Info!$B$32</f>
        <v>0</v>
      </c>
      <c r="H117" s="5">
        <f>Info!$B$37</f>
        <v>0</v>
      </c>
      <c r="I117" s="5">
        <f>Info!$B$40</f>
        <v>0</v>
      </c>
      <c r="J117" s="5">
        <f>Info!$B$44</f>
        <v>0</v>
      </c>
      <c r="P117" s="7">
        <f t="shared" si="7"/>
        <v>8.5714285714285715E-2</v>
      </c>
      <c r="Q117" s="7">
        <f t="shared" si="8"/>
        <v>4.2857142857142858E-2</v>
      </c>
      <c r="R117">
        <f t="shared" si="6"/>
        <v>0</v>
      </c>
    </row>
    <row r="118" spans="1:18" x14ac:dyDescent="0.2">
      <c r="A118" s="67" t="s">
        <v>1148</v>
      </c>
      <c r="B118" s="52" t="s">
        <v>1149</v>
      </c>
      <c r="D118" s="5">
        <f>Info!$B$17</f>
        <v>0</v>
      </c>
      <c r="E118" s="5">
        <f>Info!$B$21</f>
        <v>0.3</v>
      </c>
      <c r="F118" s="5">
        <f>Info!$B$26</f>
        <v>0.3</v>
      </c>
      <c r="G118" s="5">
        <f>Info!$B$32</f>
        <v>0</v>
      </c>
      <c r="H118" s="5">
        <f>Info!$B$37</f>
        <v>0</v>
      </c>
      <c r="I118" s="5">
        <f>Info!$B$40</f>
        <v>0</v>
      </c>
      <c r="J118" s="5">
        <f>Info!$B$44</f>
        <v>0</v>
      </c>
      <c r="P118" s="7">
        <f t="shared" si="7"/>
        <v>8.5714285714285715E-2</v>
      </c>
      <c r="Q118" s="7">
        <f t="shared" si="8"/>
        <v>4.2857142857142858E-2</v>
      </c>
      <c r="R118">
        <f t="shared" si="6"/>
        <v>0</v>
      </c>
    </row>
    <row r="119" spans="1:18" x14ac:dyDescent="0.2">
      <c r="A119" s="67" t="s">
        <v>1150</v>
      </c>
      <c r="B119" s="52" t="s">
        <v>1151</v>
      </c>
      <c r="D119" s="5">
        <f>Info!$B$17</f>
        <v>0</v>
      </c>
      <c r="E119" s="5">
        <f>Info!$B$21</f>
        <v>0.3</v>
      </c>
      <c r="F119" s="5">
        <f>Info!$B$26</f>
        <v>0.3</v>
      </c>
      <c r="G119" s="5">
        <f>Info!$B$32</f>
        <v>0</v>
      </c>
      <c r="H119" s="5">
        <f>Info!$B$37</f>
        <v>0</v>
      </c>
      <c r="I119" s="5">
        <f>Info!$B$40</f>
        <v>0</v>
      </c>
      <c r="J119" s="5">
        <f>Info!$B$44</f>
        <v>0</v>
      </c>
      <c r="P119" s="7">
        <f t="shared" si="7"/>
        <v>8.5714285714285715E-2</v>
      </c>
      <c r="Q119" s="7">
        <f t="shared" si="8"/>
        <v>4.2857142857142858E-2</v>
      </c>
      <c r="R119">
        <f t="shared" si="6"/>
        <v>0</v>
      </c>
    </row>
    <row r="120" spans="1:18" x14ac:dyDescent="0.2">
      <c r="A120" s="67" t="s">
        <v>1152</v>
      </c>
      <c r="B120" s="52" t="s">
        <v>1153</v>
      </c>
      <c r="D120" s="5">
        <f>Info!$B$17</f>
        <v>0</v>
      </c>
      <c r="E120" s="5">
        <f>Info!$B$22</f>
        <v>0</v>
      </c>
      <c r="F120" s="5">
        <f>Info!$B$27</f>
        <v>0</v>
      </c>
      <c r="G120" s="5">
        <f>Info!$B$32</f>
        <v>0</v>
      </c>
      <c r="H120" s="5">
        <f>Info!$B$37</f>
        <v>0</v>
      </c>
      <c r="I120" s="5">
        <f>Info!$B$40</f>
        <v>0</v>
      </c>
      <c r="J120" s="5">
        <f>Info!$B$43</f>
        <v>0.5</v>
      </c>
      <c r="P120" s="7">
        <f t="shared" si="7"/>
        <v>7.1428571428571425E-2</v>
      </c>
      <c r="Q120" s="7">
        <f t="shared" si="8"/>
        <v>3.5714285714285712E-2</v>
      </c>
      <c r="R120">
        <f t="shared" si="6"/>
        <v>0</v>
      </c>
    </row>
    <row r="121" spans="1:18" x14ac:dyDescent="0.2">
      <c r="A121" s="67" t="s">
        <v>1154</v>
      </c>
      <c r="B121" s="52" t="s">
        <v>1155</v>
      </c>
      <c r="D121" s="5">
        <f>Info!$B$17</f>
        <v>0</v>
      </c>
      <c r="E121" s="5">
        <f>Info!$B$22</f>
        <v>0</v>
      </c>
      <c r="F121" s="5">
        <f>Info!$B$27</f>
        <v>0</v>
      </c>
      <c r="G121" s="5">
        <f>Info!$B$32</f>
        <v>0</v>
      </c>
      <c r="H121" s="5">
        <f>Info!$B$37</f>
        <v>0</v>
      </c>
      <c r="I121" s="5">
        <f>Info!$B$40</f>
        <v>0</v>
      </c>
      <c r="J121" s="5">
        <f>Info!$B$43</f>
        <v>0.5</v>
      </c>
      <c r="P121" s="7">
        <f t="shared" si="7"/>
        <v>7.1428571428571425E-2</v>
      </c>
      <c r="Q121" s="7">
        <f t="shared" si="8"/>
        <v>3.5714285714285712E-2</v>
      </c>
      <c r="R121">
        <f t="shared" si="6"/>
        <v>0</v>
      </c>
    </row>
    <row r="122" spans="1:18" x14ac:dyDescent="0.2">
      <c r="A122" s="67" t="s">
        <v>1156</v>
      </c>
      <c r="B122" s="52" t="s">
        <v>1157</v>
      </c>
      <c r="D122" s="5">
        <f>Info!$B$17</f>
        <v>0</v>
      </c>
      <c r="E122" s="5">
        <f>Info!$B$22</f>
        <v>0</v>
      </c>
      <c r="F122" s="5">
        <f>Info!$B$27</f>
        <v>0</v>
      </c>
      <c r="G122" s="5">
        <f>Info!$B$32</f>
        <v>0</v>
      </c>
      <c r="H122" s="5">
        <f>Info!$B$37</f>
        <v>0</v>
      </c>
      <c r="I122" s="5">
        <f>Info!$B$40</f>
        <v>0</v>
      </c>
      <c r="J122" s="5">
        <f>Info!$B$43</f>
        <v>0.5</v>
      </c>
      <c r="P122" s="7">
        <f t="shared" si="7"/>
        <v>7.1428571428571425E-2</v>
      </c>
      <c r="Q122" s="7">
        <f t="shared" si="8"/>
        <v>3.5714285714285712E-2</v>
      </c>
      <c r="R122">
        <f t="shared" si="6"/>
        <v>0</v>
      </c>
    </row>
    <row r="123" spans="1:18" x14ac:dyDescent="0.2">
      <c r="A123" s="67" t="s">
        <v>1158</v>
      </c>
      <c r="B123" s="52" t="s">
        <v>1159</v>
      </c>
      <c r="D123" s="5">
        <f>Info!$B$17</f>
        <v>0</v>
      </c>
      <c r="E123" s="5">
        <f>Info!$B$22</f>
        <v>0</v>
      </c>
      <c r="F123" s="5">
        <f>Info!$B$27</f>
        <v>0</v>
      </c>
      <c r="G123" s="5">
        <f>Info!$B$32</f>
        <v>0</v>
      </c>
      <c r="H123" s="5">
        <f>Info!$B$37</f>
        <v>0</v>
      </c>
      <c r="I123" s="5">
        <f>Info!$B$40</f>
        <v>0</v>
      </c>
      <c r="J123" s="5">
        <f>Info!$B$43</f>
        <v>0.5</v>
      </c>
      <c r="P123" s="7">
        <f t="shared" si="7"/>
        <v>7.1428571428571425E-2</v>
      </c>
      <c r="Q123" s="7">
        <f t="shared" si="8"/>
        <v>3.5714285714285712E-2</v>
      </c>
      <c r="R123">
        <f t="shared" si="6"/>
        <v>0</v>
      </c>
    </row>
    <row r="124" spans="1:18" x14ac:dyDescent="0.2">
      <c r="A124" s="67" t="s">
        <v>1160</v>
      </c>
      <c r="B124" s="52" t="s">
        <v>1161</v>
      </c>
      <c r="D124" s="5">
        <f>Info!$B$17</f>
        <v>0</v>
      </c>
      <c r="E124" s="5">
        <f>Info!$B$22</f>
        <v>0</v>
      </c>
      <c r="F124" s="5">
        <f>Info!$B$27</f>
        <v>0</v>
      </c>
      <c r="G124" s="5">
        <f>Info!$B$32</f>
        <v>0</v>
      </c>
      <c r="H124" s="5">
        <f>Info!$B$37</f>
        <v>0</v>
      </c>
      <c r="I124" s="5">
        <f>Info!$B$40</f>
        <v>0</v>
      </c>
      <c r="J124" s="5">
        <f>Info!$B$43</f>
        <v>0.5</v>
      </c>
      <c r="P124" s="7">
        <f t="shared" si="7"/>
        <v>7.1428571428571425E-2</v>
      </c>
      <c r="Q124" s="7">
        <f t="shared" si="8"/>
        <v>3.5714285714285712E-2</v>
      </c>
      <c r="R124">
        <f t="shared" si="6"/>
        <v>0</v>
      </c>
    </row>
    <row r="125" spans="1:18" x14ac:dyDescent="0.2">
      <c r="A125" s="67" t="s">
        <v>1162</v>
      </c>
      <c r="B125" s="52" t="s">
        <v>1163</v>
      </c>
      <c r="D125" s="5">
        <f>Info!$B$17</f>
        <v>0</v>
      </c>
      <c r="E125" s="5">
        <f>Info!$B$22</f>
        <v>0</v>
      </c>
      <c r="F125" s="5">
        <f>Info!$B$27</f>
        <v>0</v>
      </c>
      <c r="G125" s="5">
        <f>Info!$B$32</f>
        <v>0</v>
      </c>
      <c r="H125" s="5">
        <f>Info!$B$37</f>
        <v>0</v>
      </c>
      <c r="I125" s="5">
        <f>Info!$B$40</f>
        <v>0</v>
      </c>
      <c r="J125" s="5">
        <f>Info!$B$43</f>
        <v>0.5</v>
      </c>
      <c r="P125" s="7">
        <f t="shared" si="7"/>
        <v>7.1428571428571425E-2</v>
      </c>
      <c r="Q125" s="7">
        <f t="shared" si="8"/>
        <v>3.5714285714285712E-2</v>
      </c>
      <c r="R125">
        <f t="shared" si="6"/>
        <v>0</v>
      </c>
    </row>
    <row r="126" spans="1:18" x14ac:dyDescent="0.2">
      <c r="A126" s="67" t="s">
        <v>1164</v>
      </c>
      <c r="B126" s="52" t="s">
        <v>1165</v>
      </c>
      <c r="D126" s="5">
        <f>Info!$B$17</f>
        <v>0</v>
      </c>
      <c r="E126" s="5">
        <f>Info!$B$22</f>
        <v>0</v>
      </c>
      <c r="F126" s="5">
        <f>Info!$B$27</f>
        <v>0</v>
      </c>
      <c r="G126" s="5">
        <f>Info!$B$32</f>
        <v>0</v>
      </c>
      <c r="H126" s="5">
        <f>Info!$B$37</f>
        <v>0</v>
      </c>
      <c r="I126" s="5">
        <f>Info!$B$40</f>
        <v>0</v>
      </c>
      <c r="J126" s="5">
        <f>Info!$B$43</f>
        <v>0.5</v>
      </c>
      <c r="P126" s="7">
        <f t="shared" ref="P126:P157" si="9">(D126+E126+F126+G126+H126+I126+J126)/7</f>
        <v>7.1428571428571425E-2</v>
      </c>
      <c r="Q126" s="7">
        <f t="shared" si="8"/>
        <v>3.5714285714285712E-2</v>
      </c>
      <c r="R126">
        <f t="shared" si="6"/>
        <v>0</v>
      </c>
    </row>
    <row r="127" spans="1:18" x14ac:dyDescent="0.2">
      <c r="A127" s="67" t="s">
        <v>1166</v>
      </c>
      <c r="B127" s="52" t="s">
        <v>1167</v>
      </c>
      <c r="D127" s="5">
        <f>Info!$B$17</f>
        <v>0</v>
      </c>
      <c r="E127" s="5">
        <f>Info!$B$22</f>
        <v>0</v>
      </c>
      <c r="F127" s="5">
        <f>Info!$B$27</f>
        <v>0</v>
      </c>
      <c r="G127" s="5">
        <f>Info!$B$32</f>
        <v>0</v>
      </c>
      <c r="H127" s="5">
        <f>Info!$B$37</f>
        <v>0</v>
      </c>
      <c r="I127" s="5">
        <f>Info!$B$40</f>
        <v>0</v>
      </c>
      <c r="J127" s="5">
        <f>Info!$B$43</f>
        <v>0.5</v>
      </c>
      <c r="P127" s="7">
        <f t="shared" si="9"/>
        <v>7.1428571428571425E-2</v>
      </c>
      <c r="Q127" s="7">
        <f t="shared" si="8"/>
        <v>3.5714285714285712E-2</v>
      </c>
      <c r="R127">
        <f t="shared" si="6"/>
        <v>0</v>
      </c>
    </row>
    <row r="128" spans="1:18" x14ac:dyDescent="0.2">
      <c r="A128" s="67" t="s">
        <v>1168</v>
      </c>
      <c r="B128" s="52" t="s">
        <v>1169</v>
      </c>
      <c r="D128" s="5">
        <f>Info!$B$17</f>
        <v>0</v>
      </c>
      <c r="E128" s="5">
        <f>Info!$B$22</f>
        <v>0</v>
      </c>
      <c r="F128" s="5">
        <f>Info!$B$27</f>
        <v>0</v>
      </c>
      <c r="G128" s="5">
        <f>Info!$B$32</f>
        <v>0</v>
      </c>
      <c r="H128" s="5">
        <f>Info!$B$37</f>
        <v>0</v>
      </c>
      <c r="I128" s="5">
        <f>Info!$B$40</f>
        <v>0</v>
      </c>
      <c r="J128" s="5">
        <f>Info!$B$43</f>
        <v>0.5</v>
      </c>
      <c r="P128" s="7">
        <f t="shared" si="9"/>
        <v>7.1428571428571425E-2</v>
      </c>
      <c r="Q128" s="7">
        <f t="shared" si="8"/>
        <v>3.5714285714285712E-2</v>
      </c>
      <c r="R128">
        <f t="shared" si="6"/>
        <v>0</v>
      </c>
    </row>
    <row r="129" spans="1:18" x14ac:dyDescent="0.2">
      <c r="A129" s="67" t="s">
        <v>1170</v>
      </c>
      <c r="B129" s="52" t="s">
        <v>1171</v>
      </c>
      <c r="D129" s="5">
        <f>Info!$B$17</f>
        <v>0</v>
      </c>
      <c r="E129" s="5">
        <f>Info!$B$22</f>
        <v>0</v>
      </c>
      <c r="F129" s="5">
        <f>Info!$B$27</f>
        <v>0</v>
      </c>
      <c r="G129" s="5">
        <f>Info!$B$32</f>
        <v>0</v>
      </c>
      <c r="H129" s="5">
        <f>Info!$B$37</f>
        <v>0</v>
      </c>
      <c r="I129" s="5">
        <f>Info!$B$40</f>
        <v>0</v>
      </c>
      <c r="J129" s="5">
        <f>Info!$B$43</f>
        <v>0.5</v>
      </c>
      <c r="P129" s="7">
        <f t="shared" si="9"/>
        <v>7.1428571428571425E-2</v>
      </c>
      <c r="Q129" s="7">
        <f t="shared" si="8"/>
        <v>3.5714285714285712E-2</v>
      </c>
      <c r="R129">
        <f t="shared" si="6"/>
        <v>0</v>
      </c>
    </row>
    <row r="130" spans="1:18" x14ac:dyDescent="0.2">
      <c r="A130" s="67" t="s">
        <v>1172</v>
      </c>
      <c r="B130" s="52" t="s">
        <v>1173</v>
      </c>
      <c r="D130" s="5">
        <f>Info!$B$17</f>
        <v>0</v>
      </c>
      <c r="E130" s="5">
        <f>Info!$B$22</f>
        <v>0</v>
      </c>
      <c r="F130" s="5">
        <f>Info!$B$27</f>
        <v>0</v>
      </c>
      <c r="G130" s="5">
        <f>Info!$B$32</f>
        <v>0</v>
      </c>
      <c r="H130" s="5">
        <f>Info!$B$37</f>
        <v>0</v>
      </c>
      <c r="I130" s="5">
        <f>Info!$B$40</f>
        <v>0</v>
      </c>
      <c r="J130" s="5">
        <f>Info!$B$43</f>
        <v>0.5</v>
      </c>
      <c r="P130" s="7">
        <f t="shared" si="9"/>
        <v>7.1428571428571425E-2</v>
      </c>
      <c r="Q130" s="7">
        <f t="shared" si="8"/>
        <v>3.5714285714285712E-2</v>
      </c>
      <c r="R130">
        <f t="shared" ref="R130:R193" si="10">IF(_xlfn.BITAND(P130&gt;0.4999, Q130&gt;0.4999)=1,1,0)</f>
        <v>0</v>
      </c>
    </row>
    <row r="131" spans="1:18" x14ac:dyDescent="0.2">
      <c r="A131" s="67" t="s">
        <v>1174</v>
      </c>
      <c r="B131" s="52" t="s">
        <v>1175</v>
      </c>
      <c r="D131" s="5">
        <f>Info!$B$17</f>
        <v>0</v>
      </c>
      <c r="E131" s="5">
        <f>Info!$B$22</f>
        <v>0</v>
      </c>
      <c r="F131" s="5">
        <f>Info!$B$27</f>
        <v>0</v>
      </c>
      <c r="G131" s="5">
        <f>Info!$B$32</f>
        <v>0</v>
      </c>
      <c r="H131" s="5">
        <f>Info!$B$37</f>
        <v>0</v>
      </c>
      <c r="I131" s="5">
        <f>Info!$B$40</f>
        <v>0</v>
      </c>
      <c r="J131" s="5">
        <f>Info!$B$43</f>
        <v>0.5</v>
      </c>
      <c r="P131" s="7">
        <f t="shared" si="9"/>
        <v>7.1428571428571425E-2</v>
      </c>
      <c r="Q131" s="7">
        <f t="shared" si="8"/>
        <v>3.5714285714285712E-2</v>
      </c>
      <c r="R131">
        <f t="shared" si="10"/>
        <v>0</v>
      </c>
    </row>
    <row r="132" spans="1:18" x14ac:dyDescent="0.2">
      <c r="A132" s="67" t="s">
        <v>1176</v>
      </c>
      <c r="B132" s="52" t="s">
        <v>1177</v>
      </c>
      <c r="D132" s="5">
        <f>Info!$B$17</f>
        <v>0</v>
      </c>
      <c r="E132" s="5">
        <f>Info!$B$22</f>
        <v>0</v>
      </c>
      <c r="F132" s="5">
        <f>Info!$B$27</f>
        <v>0</v>
      </c>
      <c r="G132" s="5">
        <f>Info!$B$32</f>
        <v>0</v>
      </c>
      <c r="H132" s="5">
        <f>Info!$B$37</f>
        <v>0</v>
      </c>
      <c r="I132" s="5">
        <f>Info!$B$40</f>
        <v>0</v>
      </c>
      <c r="J132" s="5">
        <f>Info!$B$43</f>
        <v>0.5</v>
      </c>
      <c r="P132" s="7">
        <f t="shared" si="9"/>
        <v>7.1428571428571425E-2</v>
      </c>
      <c r="Q132" s="7">
        <f t="shared" si="8"/>
        <v>3.5714285714285712E-2</v>
      </c>
      <c r="R132">
        <f t="shared" si="10"/>
        <v>0</v>
      </c>
    </row>
    <row r="133" spans="1:18" x14ac:dyDescent="0.2">
      <c r="A133" s="67" t="s">
        <v>1178</v>
      </c>
      <c r="B133" s="52" t="s">
        <v>1179</v>
      </c>
      <c r="D133" s="5">
        <f>Info!$B$17</f>
        <v>0</v>
      </c>
      <c r="E133" s="5">
        <f>Info!$B$22</f>
        <v>0</v>
      </c>
      <c r="F133" s="5">
        <f>Info!$B$27</f>
        <v>0</v>
      </c>
      <c r="G133" s="5">
        <f>Info!$B$32</f>
        <v>0</v>
      </c>
      <c r="H133" s="5">
        <f>Info!$B$37</f>
        <v>0</v>
      </c>
      <c r="I133" s="5">
        <f>Info!$B$40</f>
        <v>0</v>
      </c>
      <c r="J133" s="5">
        <f>Info!$B$43</f>
        <v>0.5</v>
      </c>
      <c r="P133" s="7">
        <f t="shared" si="9"/>
        <v>7.1428571428571425E-2</v>
      </c>
      <c r="Q133" s="7">
        <f t="shared" si="8"/>
        <v>3.5714285714285712E-2</v>
      </c>
      <c r="R133">
        <f t="shared" si="10"/>
        <v>0</v>
      </c>
    </row>
    <row r="134" spans="1:18" x14ac:dyDescent="0.2">
      <c r="A134" s="67" t="s">
        <v>1180</v>
      </c>
      <c r="B134" s="52" t="s">
        <v>1181</v>
      </c>
      <c r="D134" s="5">
        <f>Info!$B$17</f>
        <v>0</v>
      </c>
      <c r="E134" s="5">
        <f>Info!$B$22</f>
        <v>0</v>
      </c>
      <c r="F134" s="5">
        <f>Info!$B$27</f>
        <v>0</v>
      </c>
      <c r="G134" s="5">
        <f>Info!$B$32</f>
        <v>0</v>
      </c>
      <c r="H134" s="5">
        <f>Info!$B$37</f>
        <v>0</v>
      </c>
      <c r="I134" s="5">
        <f>Info!$B$40</f>
        <v>0</v>
      </c>
      <c r="J134" s="5">
        <f>Info!$B$43</f>
        <v>0.5</v>
      </c>
      <c r="P134" s="7">
        <f t="shared" si="9"/>
        <v>7.1428571428571425E-2</v>
      </c>
      <c r="Q134" s="7">
        <f t="shared" si="8"/>
        <v>3.5714285714285712E-2</v>
      </c>
      <c r="R134">
        <f t="shared" si="10"/>
        <v>0</v>
      </c>
    </row>
    <row r="135" spans="1:18" x14ac:dyDescent="0.2">
      <c r="A135" s="67" t="s">
        <v>1182</v>
      </c>
      <c r="B135" s="52" t="s">
        <v>1183</v>
      </c>
      <c r="D135" s="5">
        <f>Info!$B$17</f>
        <v>0</v>
      </c>
      <c r="E135" s="5">
        <f>Info!$B$22</f>
        <v>0</v>
      </c>
      <c r="F135" s="5">
        <f>Info!$B$27</f>
        <v>0</v>
      </c>
      <c r="G135" s="5">
        <f>Info!$B$32</f>
        <v>0</v>
      </c>
      <c r="H135" s="5">
        <f>Info!$B$37</f>
        <v>0</v>
      </c>
      <c r="I135" s="5">
        <f>Info!$B$40</f>
        <v>0</v>
      </c>
      <c r="J135" s="5">
        <f>Info!$B$43</f>
        <v>0.5</v>
      </c>
      <c r="P135" s="7">
        <f t="shared" si="9"/>
        <v>7.1428571428571425E-2</v>
      </c>
      <c r="Q135" s="7">
        <f t="shared" si="8"/>
        <v>3.5714285714285712E-2</v>
      </c>
      <c r="R135">
        <f t="shared" si="10"/>
        <v>0</v>
      </c>
    </row>
    <row r="136" spans="1:18" x14ac:dyDescent="0.2">
      <c r="A136" s="67" t="s">
        <v>1186</v>
      </c>
      <c r="B136" s="52" t="s">
        <v>1187</v>
      </c>
      <c r="D136" s="5">
        <f>Info!$B$17</f>
        <v>0</v>
      </c>
      <c r="E136" s="5">
        <f>Info!$B$22</f>
        <v>0</v>
      </c>
      <c r="F136" s="5">
        <f>Info!$B$27</f>
        <v>0</v>
      </c>
      <c r="G136" s="5">
        <f>Info!$B$32</f>
        <v>0</v>
      </c>
      <c r="H136" s="5">
        <f>Info!$B$37</f>
        <v>0</v>
      </c>
      <c r="I136" s="5">
        <f>Info!$B$40</f>
        <v>0</v>
      </c>
      <c r="J136" s="5">
        <f>Info!$B$43</f>
        <v>0.5</v>
      </c>
      <c r="P136" s="7">
        <f t="shared" si="9"/>
        <v>7.1428571428571425E-2</v>
      </c>
      <c r="Q136" s="7">
        <f t="shared" si="8"/>
        <v>3.5714285714285712E-2</v>
      </c>
      <c r="R136">
        <f t="shared" si="10"/>
        <v>0</v>
      </c>
    </row>
    <row r="137" spans="1:18" x14ac:dyDescent="0.2">
      <c r="A137" s="67" t="s">
        <v>1188</v>
      </c>
      <c r="B137" s="52" t="s">
        <v>1189</v>
      </c>
      <c r="D137" s="5">
        <f>Info!$B$17</f>
        <v>0</v>
      </c>
      <c r="E137" s="5">
        <f>Info!$B$22</f>
        <v>0</v>
      </c>
      <c r="F137" s="5">
        <f>Info!$B$27</f>
        <v>0</v>
      </c>
      <c r="G137" s="5">
        <f>Info!$B$32</f>
        <v>0</v>
      </c>
      <c r="H137" s="5">
        <f>Info!$B$37</f>
        <v>0</v>
      </c>
      <c r="I137" s="5">
        <f>Info!$B$40</f>
        <v>0</v>
      </c>
      <c r="J137" s="5">
        <f>Info!$B$43</f>
        <v>0.5</v>
      </c>
      <c r="P137" s="7">
        <f t="shared" si="9"/>
        <v>7.1428571428571425E-2</v>
      </c>
      <c r="Q137" s="7">
        <f t="shared" si="8"/>
        <v>3.5714285714285712E-2</v>
      </c>
      <c r="R137">
        <f t="shared" si="10"/>
        <v>0</v>
      </c>
    </row>
    <row r="138" spans="1:18" x14ac:dyDescent="0.2">
      <c r="A138" s="67" t="s">
        <v>1190</v>
      </c>
      <c r="B138" s="52" t="s">
        <v>1191</v>
      </c>
      <c r="D138" s="5">
        <f>Info!$B$17</f>
        <v>0</v>
      </c>
      <c r="E138" s="5">
        <f>Info!$B$22</f>
        <v>0</v>
      </c>
      <c r="F138" s="5">
        <f>Info!$B$27</f>
        <v>0</v>
      </c>
      <c r="G138" s="5">
        <f>Info!$B$32</f>
        <v>0</v>
      </c>
      <c r="H138" s="5">
        <f>Info!$B$37</f>
        <v>0</v>
      </c>
      <c r="I138" s="5">
        <f>Info!$B$40</f>
        <v>0</v>
      </c>
      <c r="J138" s="5">
        <f>Info!$B$43</f>
        <v>0.5</v>
      </c>
      <c r="P138" s="7">
        <f t="shared" si="9"/>
        <v>7.1428571428571425E-2</v>
      </c>
      <c r="Q138" s="7">
        <f t="shared" si="8"/>
        <v>3.5714285714285712E-2</v>
      </c>
      <c r="R138">
        <f t="shared" si="10"/>
        <v>0</v>
      </c>
    </row>
    <row r="139" spans="1:18" x14ac:dyDescent="0.2">
      <c r="A139" s="67" t="s">
        <v>1192</v>
      </c>
      <c r="B139" s="52" t="s">
        <v>1193</v>
      </c>
      <c r="D139" s="5">
        <f>Info!$B$17</f>
        <v>0</v>
      </c>
      <c r="E139" s="5">
        <f>Info!$B$22</f>
        <v>0</v>
      </c>
      <c r="F139" s="5">
        <f>Info!$B$27</f>
        <v>0</v>
      </c>
      <c r="G139" s="5">
        <f>Info!$B$32</f>
        <v>0</v>
      </c>
      <c r="H139" s="5">
        <f>Info!$B$37</f>
        <v>0</v>
      </c>
      <c r="I139" s="5">
        <f>Info!$B$40</f>
        <v>0</v>
      </c>
      <c r="J139" s="5">
        <f>Info!$B$43</f>
        <v>0.5</v>
      </c>
      <c r="P139" s="7">
        <f t="shared" si="9"/>
        <v>7.1428571428571425E-2</v>
      </c>
      <c r="Q139" s="7">
        <f t="shared" si="8"/>
        <v>3.5714285714285712E-2</v>
      </c>
      <c r="R139">
        <f t="shared" si="10"/>
        <v>0</v>
      </c>
    </row>
    <row r="140" spans="1:18" x14ac:dyDescent="0.2">
      <c r="A140" s="67" t="s">
        <v>1194</v>
      </c>
      <c r="B140" s="52" t="s">
        <v>1195</v>
      </c>
      <c r="D140" s="5">
        <f>Info!$B$17</f>
        <v>0</v>
      </c>
      <c r="E140" s="5">
        <f>Info!$B$22</f>
        <v>0</v>
      </c>
      <c r="F140" s="5">
        <f>Info!$B$27</f>
        <v>0</v>
      </c>
      <c r="G140" s="5">
        <f>Info!$B$32</f>
        <v>0</v>
      </c>
      <c r="H140" s="5">
        <f>Info!$B$37</f>
        <v>0</v>
      </c>
      <c r="I140" s="5">
        <f>Info!$B$40</f>
        <v>0</v>
      </c>
      <c r="J140" s="5">
        <f>Info!$B$43</f>
        <v>0.5</v>
      </c>
      <c r="P140" s="7">
        <f t="shared" si="9"/>
        <v>7.1428571428571425E-2</v>
      </c>
      <c r="Q140" s="7">
        <f t="shared" si="8"/>
        <v>3.5714285714285712E-2</v>
      </c>
      <c r="R140">
        <f t="shared" si="10"/>
        <v>0</v>
      </c>
    </row>
    <row r="141" spans="1:18" x14ac:dyDescent="0.2">
      <c r="A141" s="67" t="s">
        <v>1196</v>
      </c>
      <c r="B141" s="52" t="s">
        <v>1197</v>
      </c>
      <c r="D141" s="5">
        <f>Info!$B$17</f>
        <v>0</v>
      </c>
      <c r="E141" s="5">
        <f>Info!$B$22</f>
        <v>0</v>
      </c>
      <c r="F141" s="5">
        <f>Info!$B$27</f>
        <v>0</v>
      </c>
      <c r="G141" s="5">
        <f>Info!$B$32</f>
        <v>0</v>
      </c>
      <c r="H141" s="5">
        <f>Info!$B$37</f>
        <v>0</v>
      </c>
      <c r="I141" s="5">
        <f>Info!$B$40</f>
        <v>0</v>
      </c>
      <c r="J141" s="5">
        <f>Info!$B$43</f>
        <v>0.5</v>
      </c>
      <c r="P141" s="7">
        <f t="shared" si="9"/>
        <v>7.1428571428571425E-2</v>
      </c>
      <c r="Q141" s="7">
        <f t="shared" si="8"/>
        <v>3.5714285714285712E-2</v>
      </c>
      <c r="R141">
        <f t="shared" si="10"/>
        <v>0</v>
      </c>
    </row>
    <row r="142" spans="1:18" x14ac:dyDescent="0.2">
      <c r="A142" s="67" t="s">
        <v>1198</v>
      </c>
      <c r="B142" s="52" t="s">
        <v>1199</v>
      </c>
      <c r="D142" s="5">
        <f>Info!$B$17</f>
        <v>0</v>
      </c>
      <c r="E142" s="5">
        <f>Info!$B$22</f>
        <v>0</v>
      </c>
      <c r="F142" s="5">
        <f>Info!$B$27</f>
        <v>0</v>
      </c>
      <c r="G142" s="5">
        <f>Info!$B$32</f>
        <v>0</v>
      </c>
      <c r="H142" s="5">
        <f>Info!$B$37</f>
        <v>0</v>
      </c>
      <c r="I142" s="5">
        <f>Info!$B$40</f>
        <v>0</v>
      </c>
      <c r="J142" s="5">
        <f>Info!$B$43</f>
        <v>0.5</v>
      </c>
      <c r="P142" s="7">
        <f t="shared" si="9"/>
        <v>7.1428571428571425E-2</v>
      </c>
      <c r="Q142" s="7">
        <f t="shared" si="8"/>
        <v>3.5714285714285712E-2</v>
      </c>
      <c r="R142">
        <f t="shared" si="10"/>
        <v>0</v>
      </c>
    </row>
    <row r="143" spans="1:18" x14ac:dyDescent="0.2">
      <c r="A143" s="67" t="s">
        <v>1200</v>
      </c>
      <c r="B143" s="52" t="s">
        <v>1201</v>
      </c>
      <c r="D143" s="5">
        <f>Info!$B$17</f>
        <v>0</v>
      </c>
      <c r="E143" s="5">
        <f>Info!$B$22</f>
        <v>0</v>
      </c>
      <c r="F143" s="5">
        <f>Info!$B$27</f>
        <v>0</v>
      </c>
      <c r="G143" s="5">
        <f>Info!$B$32</f>
        <v>0</v>
      </c>
      <c r="H143" s="5">
        <f>Info!$B$37</f>
        <v>0</v>
      </c>
      <c r="I143" s="5">
        <f>Info!$B$40</f>
        <v>0</v>
      </c>
      <c r="J143" s="5">
        <f>Info!$B$43</f>
        <v>0.5</v>
      </c>
      <c r="P143" s="7">
        <f t="shared" si="9"/>
        <v>7.1428571428571425E-2</v>
      </c>
      <c r="Q143" s="7">
        <f t="shared" si="8"/>
        <v>3.5714285714285712E-2</v>
      </c>
      <c r="R143">
        <f t="shared" si="10"/>
        <v>0</v>
      </c>
    </row>
    <row r="144" spans="1:18" x14ac:dyDescent="0.2">
      <c r="A144" s="67" t="s">
        <v>1202</v>
      </c>
      <c r="B144" s="52" t="s">
        <v>1203</v>
      </c>
      <c r="D144" s="5">
        <f>Info!$B$17</f>
        <v>0</v>
      </c>
      <c r="E144" s="5">
        <f>Info!$B$22</f>
        <v>0</v>
      </c>
      <c r="F144" s="5">
        <f>Info!$B$27</f>
        <v>0</v>
      </c>
      <c r="G144" s="5">
        <f>Info!$B$32</f>
        <v>0</v>
      </c>
      <c r="H144" s="5">
        <f>Info!$B$37</f>
        <v>0</v>
      </c>
      <c r="I144" s="5">
        <f>Info!$B$40</f>
        <v>0</v>
      </c>
      <c r="J144" s="5">
        <f>Info!$B$43</f>
        <v>0.5</v>
      </c>
      <c r="P144" s="7">
        <f t="shared" si="9"/>
        <v>7.1428571428571425E-2</v>
      </c>
      <c r="Q144" s="7">
        <f t="shared" si="8"/>
        <v>3.5714285714285712E-2</v>
      </c>
      <c r="R144">
        <f t="shared" si="10"/>
        <v>0</v>
      </c>
    </row>
    <row r="145" spans="1:18" x14ac:dyDescent="0.2">
      <c r="A145" s="67" t="s">
        <v>1204</v>
      </c>
      <c r="B145" s="52" t="s">
        <v>1205</v>
      </c>
      <c r="D145" s="5">
        <f>Info!$B$17</f>
        <v>0</v>
      </c>
      <c r="E145" s="5">
        <f>Info!$B$22</f>
        <v>0</v>
      </c>
      <c r="F145" s="5">
        <f>Info!$B$27</f>
        <v>0</v>
      </c>
      <c r="G145" s="5">
        <f>Info!$B$32</f>
        <v>0</v>
      </c>
      <c r="H145" s="5">
        <f>Info!$B$37</f>
        <v>0</v>
      </c>
      <c r="I145" s="5">
        <f>Info!$B$40</f>
        <v>0</v>
      </c>
      <c r="J145" s="5">
        <f>Info!$B$43</f>
        <v>0.5</v>
      </c>
      <c r="P145" s="7">
        <f t="shared" si="9"/>
        <v>7.1428571428571425E-2</v>
      </c>
      <c r="Q145" s="7">
        <f t="shared" si="8"/>
        <v>3.5714285714285712E-2</v>
      </c>
      <c r="R145">
        <f t="shared" si="10"/>
        <v>0</v>
      </c>
    </row>
    <row r="146" spans="1:18" x14ac:dyDescent="0.2">
      <c r="A146" s="67" t="s">
        <v>1206</v>
      </c>
      <c r="B146" s="52" t="s">
        <v>1207</v>
      </c>
      <c r="D146" s="5">
        <f>Info!$B$17</f>
        <v>0</v>
      </c>
      <c r="E146" s="5">
        <f>Info!$B$22</f>
        <v>0</v>
      </c>
      <c r="F146" s="5">
        <f>Info!$B$27</f>
        <v>0</v>
      </c>
      <c r="G146" s="5">
        <f>Info!$B$32</f>
        <v>0</v>
      </c>
      <c r="H146" s="5">
        <f>Info!$B$37</f>
        <v>0</v>
      </c>
      <c r="I146" s="5">
        <f>Info!$B$40</f>
        <v>0</v>
      </c>
      <c r="J146" s="5">
        <f>Info!$B$43</f>
        <v>0.5</v>
      </c>
      <c r="P146" s="7">
        <f t="shared" si="9"/>
        <v>7.1428571428571425E-2</v>
      </c>
      <c r="Q146" s="7">
        <f t="shared" si="8"/>
        <v>3.5714285714285712E-2</v>
      </c>
      <c r="R146">
        <f t="shared" si="10"/>
        <v>0</v>
      </c>
    </row>
    <row r="147" spans="1:18" x14ac:dyDescent="0.2">
      <c r="A147" s="67" t="s">
        <v>1208</v>
      </c>
      <c r="B147" s="52" t="s">
        <v>1209</v>
      </c>
      <c r="D147" s="5">
        <f>Info!$B$17</f>
        <v>0</v>
      </c>
      <c r="E147" s="5">
        <f>Info!$B$22</f>
        <v>0</v>
      </c>
      <c r="F147" s="5">
        <f>Info!$B$27</f>
        <v>0</v>
      </c>
      <c r="G147" s="5">
        <f>Info!$B$32</f>
        <v>0</v>
      </c>
      <c r="H147" s="5">
        <f>Info!$B$37</f>
        <v>0</v>
      </c>
      <c r="I147" s="5">
        <f>Info!$B$40</f>
        <v>0</v>
      </c>
      <c r="J147" s="5">
        <f>Info!$B$43</f>
        <v>0.5</v>
      </c>
      <c r="P147" s="7">
        <f t="shared" si="9"/>
        <v>7.1428571428571425E-2</v>
      </c>
      <c r="Q147" s="7">
        <f t="shared" si="8"/>
        <v>3.5714285714285712E-2</v>
      </c>
      <c r="R147">
        <f t="shared" si="10"/>
        <v>0</v>
      </c>
    </row>
    <row r="148" spans="1:18" x14ac:dyDescent="0.2">
      <c r="A148" s="67" t="s">
        <v>1210</v>
      </c>
      <c r="B148" s="52" t="s">
        <v>1211</v>
      </c>
      <c r="D148" s="5">
        <f>Info!$B$17</f>
        <v>0</v>
      </c>
      <c r="E148" s="5">
        <f>Info!$B$22</f>
        <v>0</v>
      </c>
      <c r="F148" s="5">
        <f>Info!$B$27</f>
        <v>0</v>
      </c>
      <c r="G148" s="5">
        <f>Info!$B$32</f>
        <v>0</v>
      </c>
      <c r="H148" s="5">
        <f>Info!$B$37</f>
        <v>0</v>
      </c>
      <c r="I148" s="5">
        <f>Info!$B$40</f>
        <v>0</v>
      </c>
      <c r="J148" s="5">
        <f>Info!$B$43</f>
        <v>0.5</v>
      </c>
      <c r="P148" s="7">
        <f t="shared" si="9"/>
        <v>7.1428571428571425E-2</v>
      </c>
      <c r="Q148" s="7">
        <f t="shared" si="8"/>
        <v>3.5714285714285712E-2</v>
      </c>
      <c r="R148">
        <f t="shared" si="10"/>
        <v>0</v>
      </c>
    </row>
    <row r="149" spans="1:18" x14ac:dyDescent="0.2">
      <c r="A149" s="67" t="s">
        <v>1214</v>
      </c>
      <c r="B149" s="52" t="s">
        <v>1215</v>
      </c>
      <c r="D149" s="5">
        <f>Info!$B$17</f>
        <v>0</v>
      </c>
      <c r="E149" s="5">
        <f>Info!$B$22</f>
        <v>0</v>
      </c>
      <c r="F149" s="5">
        <f>Info!$B$27</f>
        <v>0</v>
      </c>
      <c r="G149" s="5">
        <f>Info!$B$32</f>
        <v>0</v>
      </c>
      <c r="H149" s="5">
        <f>Info!$B$37</f>
        <v>0</v>
      </c>
      <c r="I149" s="5">
        <f>Info!$B$40</f>
        <v>0</v>
      </c>
      <c r="J149" s="5">
        <f>Info!$B$43</f>
        <v>0.5</v>
      </c>
      <c r="P149" s="7">
        <f t="shared" si="9"/>
        <v>7.1428571428571425E-2</v>
      </c>
      <c r="Q149" s="7">
        <f t="shared" si="8"/>
        <v>3.5714285714285712E-2</v>
      </c>
      <c r="R149">
        <f t="shared" si="10"/>
        <v>0</v>
      </c>
    </row>
    <row r="150" spans="1:18" x14ac:dyDescent="0.2">
      <c r="A150" s="67" t="s">
        <v>1216</v>
      </c>
      <c r="B150" s="52" t="s">
        <v>1217</v>
      </c>
      <c r="D150" s="5">
        <f>Info!$B$17</f>
        <v>0</v>
      </c>
      <c r="E150" s="5">
        <f>Info!$B$22</f>
        <v>0</v>
      </c>
      <c r="F150" s="5">
        <f>Info!$B$27</f>
        <v>0</v>
      </c>
      <c r="G150" s="5">
        <f>Info!$B$32</f>
        <v>0</v>
      </c>
      <c r="H150" s="5">
        <f>Info!$B$37</f>
        <v>0</v>
      </c>
      <c r="I150" s="5">
        <f>Info!$B$40</f>
        <v>0</v>
      </c>
      <c r="J150" s="5">
        <f>Info!$B$43</f>
        <v>0.5</v>
      </c>
      <c r="P150" s="7">
        <f t="shared" si="9"/>
        <v>7.1428571428571425E-2</v>
      </c>
      <c r="Q150" s="7">
        <f t="shared" si="8"/>
        <v>3.5714285714285712E-2</v>
      </c>
      <c r="R150">
        <f t="shared" si="10"/>
        <v>0</v>
      </c>
    </row>
    <row r="151" spans="1:18" x14ac:dyDescent="0.2">
      <c r="A151" s="67" t="s">
        <v>1218</v>
      </c>
      <c r="B151" s="52" t="s">
        <v>1219</v>
      </c>
      <c r="D151" s="5">
        <f>Info!$B$17</f>
        <v>0</v>
      </c>
      <c r="E151" s="5">
        <f>Info!$B$21</f>
        <v>0.3</v>
      </c>
      <c r="F151" s="5">
        <f>Info!$B$27</f>
        <v>0</v>
      </c>
      <c r="G151" s="5">
        <f>Info!$B$32</f>
        <v>0</v>
      </c>
      <c r="H151" s="5">
        <f>Info!$B$37</f>
        <v>0</v>
      </c>
      <c r="I151" s="5">
        <f>Info!$B$40</f>
        <v>0</v>
      </c>
      <c r="J151" s="5">
        <f>Info!$B$44</f>
        <v>0</v>
      </c>
      <c r="P151" s="7">
        <f t="shared" si="9"/>
        <v>4.2857142857142858E-2</v>
      </c>
      <c r="Q151" s="7">
        <f t="shared" si="8"/>
        <v>2.1428571428571429E-2</v>
      </c>
      <c r="R151">
        <f t="shared" si="10"/>
        <v>0</v>
      </c>
    </row>
    <row r="152" spans="1:18" x14ac:dyDescent="0.2">
      <c r="A152" s="67" t="s">
        <v>1220</v>
      </c>
      <c r="B152" s="52" t="s">
        <v>1221</v>
      </c>
      <c r="D152" s="5">
        <f>Info!$B$17</f>
        <v>0</v>
      </c>
      <c r="E152" s="5">
        <f>Info!$B$21</f>
        <v>0.3</v>
      </c>
      <c r="F152" s="5">
        <f>Info!$B$27</f>
        <v>0</v>
      </c>
      <c r="G152" s="5">
        <f>Info!$B$32</f>
        <v>0</v>
      </c>
      <c r="H152" s="5">
        <f>Info!$B$37</f>
        <v>0</v>
      </c>
      <c r="I152" s="5">
        <f>Info!$B$40</f>
        <v>0</v>
      </c>
      <c r="J152" s="5">
        <f>Info!$B$44</f>
        <v>0</v>
      </c>
      <c r="P152" s="7">
        <f t="shared" si="9"/>
        <v>4.2857142857142858E-2</v>
      </c>
      <c r="Q152" s="7">
        <f t="shared" si="8"/>
        <v>2.1428571428571429E-2</v>
      </c>
      <c r="R152">
        <f t="shared" si="10"/>
        <v>0</v>
      </c>
    </row>
    <row r="153" spans="1:18" x14ac:dyDescent="0.2">
      <c r="A153" s="67" t="s">
        <v>1222</v>
      </c>
      <c r="B153" s="52" t="s">
        <v>1223</v>
      </c>
      <c r="D153" s="5">
        <f>Info!$B$17</f>
        <v>0</v>
      </c>
      <c r="E153" s="5">
        <f>Info!$B$21</f>
        <v>0.3</v>
      </c>
      <c r="F153" s="5">
        <f>Info!$B$27</f>
        <v>0</v>
      </c>
      <c r="G153" s="5">
        <f>Info!$B$32</f>
        <v>0</v>
      </c>
      <c r="H153" s="5">
        <f>Info!$B$37</f>
        <v>0</v>
      </c>
      <c r="I153" s="5">
        <f>Info!$B$40</f>
        <v>0</v>
      </c>
      <c r="J153" s="5">
        <f>Info!$B$44</f>
        <v>0</v>
      </c>
      <c r="P153" s="7">
        <f t="shared" si="9"/>
        <v>4.2857142857142858E-2</v>
      </c>
      <c r="Q153" s="7">
        <f t="shared" si="8"/>
        <v>2.1428571428571429E-2</v>
      </c>
      <c r="R153">
        <f t="shared" si="10"/>
        <v>0</v>
      </c>
    </row>
    <row r="154" spans="1:18" x14ac:dyDescent="0.2">
      <c r="A154" s="67" t="s">
        <v>1224</v>
      </c>
      <c r="B154" s="52" t="s">
        <v>1225</v>
      </c>
      <c r="D154" s="5">
        <f>Info!$B$17</f>
        <v>0</v>
      </c>
      <c r="E154" s="5">
        <f>Info!$B$21</f>
        <v>0.3</v>
      </c>
      <c r="F154" s="5">
        <f>Info!$B$27</f>
        <v>0</v>
      </c>
      <c r="G154" s="5">
        <f>Info!$B$32</f>
        <v>0</v>
      </c>
      <c r="H154" s="5">
        <f>Info!$B$37</f>
        <v>0</v>
      </c>
      <c r="I154" s="5">
        <f>Info!$B$40</f>
        <v>0</v>
      </c>
      <c r="J154" s="5">
        <f>Info!$B$44</f>
        <v>0</v>
      </c>
      <c r="P154" s="7">
        <f t="shared" si="9"/>
        <v>4.2857142857142858E-2</v>
      </c>
      <c r="Q154" s="7">
        <f t="shared" si="8"/>
        <v>2.1428571428571429E-2</v>
      </c>
      <c r="R154">
        <f t="shared" si="10"/>
        <v>0</v>
      </c>
    </row>
    <row r="155" spans="1:18" x14ac:dyDescent="0.2">
      <c r="A155" s="67" t="s">
        <v>1226</v>
      </c>
      <c r="B155" s="52" t="s">
        <v>1227</v>
      </c>
      <c r="D155" s="5">
        <f>Info!$B$17</f>
        <v>0</v>
      </c>
      <c r="E155" s="5">
        <f>Info!$B$21</f>
        <v>0.3</v>
      </c>
      <c r="F155" s="5">
        <f>Info!$B$27</f>
        <v>0</v>
      </c>
      <c r="G155" s="5">
        <f>Info!$B$32</f>
        <v>0</v>
      </c>
      <c r="H155" s="5">
        <f>Info!$B$37</f>
        <v>0</v>
      </c>
      <c r="I155" s="5">
        <f>Info!$B$40</f>
        <v>0</v>
      </c>
      <c r="J155" s="5">
        <f>Info!$B$44</f>
        <v>0</v>
      </c>
      <c r="P155" s="7">
        <f t="shared" si="9"/>
        <v>4.2857142857142858E-2</v>
      </c>
      <c r="Q155" s="7">
        <f t="shared" si="8"/>
        <v>2.1428571428571429E-2</v>
      </c>
      <c r="R155">
        <f t="shared" si="10"/>
        <v>0</v>
      </c>
    </row>
    <row r="156" spans="1:18" x14ac:dyDescent="0.2">
      <c r="A156" s="67" t="s">
        <v>1228</v>
      </c>
      <c r="B156" s="52" t="s">
        <v>1229</v>
      </c>
      <c r="D156" s="5">
        <f>Info!$B$17</f>
        <v>0</v>
      </c>
      <c r="E156" s="5">
        <f>Info!$B$21</f>
        <v>0.3</v>
      </c>
      <c r="F156" s="5">
        <f>Info!$B$27</f>
        <v>0</v>
      </c>
      <c r="G156" s="5">
        <f>Info!$B$32</f>
        <v>0</v>
      </c>
      <c r="H156" s="5">
        <f>Info!$B$37</f>
        <v>0</v>
      </c>
      <c r="I156" s="5">
        <f>Info!$B$40</f>
        <v>0</v>
      </c>
      <c r="J156" s="5">
        <f>Info!$B$44</f>
        <v>0</v>
      </c>
      <c r="P156" s="7">
        <f t="shared" si="9"/>
        <v>4.2857142857142858E-2</v>
      </c>
      <c r="Q156" s="7">
        <f t="shared" si="8"/>
        <v>2.1428571428571429E-2</v>
      </c>
      <c r="R156">
        <f t="shared" si="10"/>
        <v>0</v>
      </c>
    </row>
    <row r="157" spans="1:18" x14ac:dyDescent="0.2">
      <c r="A157" s="67" t="s">
        <v>1230</v>
      </c>
      <c r="B157" s="52"/>
      <c r="D157" s="5"/>
      <c r="E157" s="5"/>
      <c r="F157" s="5"/>
      <c r="G157" s="5"/>
      <c r="H157" s="5"/>
      <c r="I157" s="5"/>
      <c r="J157" s="5"/>
      <c r="P157" s="7">
        <f t="shared" si="9"/>
        <v>0</v>
      </c>
      <c r="Q157" s="7">
        <f t="shared" si="8"/>
        <v>0</v>
      </c>
      <c r="R157">
        <f t="shared" si="10"/>
        <v>0</v>
      </c>
    </row>
    <row r="158" spans="1:18" x14ac:dyDescent="0.2">
      <c r="A158" s="67" t="s">
        <v>1231</v>
      </c>
      <c r="B158" s="52" t="s">
        <v>1232</v>
      </c>
      <c r="K158">
        <v>1</v>
      </c>
      <c r="P158" s="7">
        <f t="shared" ref="P158:P189" si="11">(D158+E158+F158+G158+H158+I158+J158)/7</f>
        <v>0</v>
      </c>
      <c r="Q158" s="7">
        <f t="shared" ref="Q158:Q221" si="12">(O158+P158)/2</f>
        <v>0</v>
      </c>
      <c r="R158">
        <f t="shared" si="10"/>
        <v>0</v>
      </c>
    </row>
    <row r="159" spans="1:18" x14ac:dyDescent="0.2">
      <c r="A159" s="67" t="s">
        <v>617</v>
      </c>
      <c r="J159" s="5"/>
      <c r="K159">
        <v>1</v>
      </c>
      <c r="P159" s="7">
        <f t="shared" si="11"/>
        <v>0</v>
      </c>
      <c r="Q159" s="7">
        <f t="shared" si="12"/>
        <v>0</v>
      </c>
      <c r="R159">
        <f t="shared" si="10"/>
        <v>0</v>
      </c>
    </row>
    <row r="160" spans="1:18" x14ac:dyDescent="0.2">
      <c r="A160" s="67" t="s">
        <v>101</v>
      </c>
      <c r="D160" s="5"/>
      <c r="E160" s="5"/>
      <c r="F160" s="5"/>
      <c r="G160" s="5"/>
      <c r="H160" s="5"/>
      <c r="I160" s="5"/>
      <c r="J160" s="5"/>
      <c r="P160" s="7">
        <f t="shared" si="11"/>
        <v>0</v>
      </c>
      <c r="Q160" s="7">
        <f t="shared" si="12"/>
        <v>0</v>
      </c>
      <c r="R160">
        <f t="shared" si="10"/>
        <v>0</v>
      </c>
    </row>
    <row r="161" spans="1:18" x14ac:dyDescent="0.2">
      <c r="A161" s="67" t="s">
        <v>1233</v>
      </c>
      <c r="B161" s="52" t="s">
        <v>1234</v>
      </c>
      <c r="D161" s="5">
        <f>Info!$B$17</f>
        <v>0</v>
      </c>
      <c r="E161" s="5">
        <f>Info!$B$22</f>
        <v>0</v>
      </c>
      <c r="F161" s="5">
        <f>Info!$B$27</f>
        <v>0</v>
      </c>
      <c r="G161" s="5">
        <f>Info!$B$32</f>
        <v>0</v>
      </c>
      <c r="H161" s="5">
        <f>Info!$B$37</f>
        <v>0</v>
      </c>
      <c r="I161" s="5">
        <f>Info!$B$40</f>
        <v>0</v>
      </c>
      <c r="J161" s="5">
        <f>Info!$B$44</f>
        <v>0</v>
      </c>
      <c r="P161" s="7">
        <f t="shared" si="11"/>
        <v>0</v>
      </c>
      <c r="Q161" s="7">
        <f t="shared" si="12"/>
        <v>0</v>
      </c>
      <c r="R161">
        <f t="shared" si="10"/>
        <v>0</v>
      </c>
    </row>
    <row r="162" spans="1:18" x14ac:dyDescent="0.2">
      <c r="A162" s="67" t="s">
        <v>34</v>
      </c>
      <c r="D162" s="5"/>
      <c r="E162" s="5"/>
      <c r="F162" s="5"/>
      <c r="G162" s="5"/>
      <c r="H162" s="5"/>
      <c r="I162" s="5"/>
      <c r="J162" s="5"/>
      <c r="P162" s="7">
        <f t="shared" si="11"/>
        <v>0</v>
      </c>
      <c r="Q162" s="7">
        <f t="shared" si="12"/>
        <v>0</v>
      </c>
      <c r="R162">
        <f t="shared" si="10"/>
        <v>0</v>
      </c>
    </row>
    <row r="163" spans="1:18" x14ac:dyDescent="0.2">
      <c r="A163" s="67" t="s">
        <v>935</v>
      </c>
      <c r="D163" s="5"/>
      <c r="E163" s="5"/>
      <c r="F163" s="5"/>
      <c r="G163" s="5"/>
      <c r="H163" s="5"/>
      <c r="I163" s="5"/>
      <c r="J163" s="5"/>
      <c r="P163" s="7">
        <f t="shared" si="11"/>
        <v>0</v>
      </c>
      <c r="Q163" s="7">
        <f t="shared" si="12"/>
        <v>0</v>
      </c>
      <c r="R163">
        <f t="shared" si="10"/>
        <v>0</v>
      </c>
    </row>
    <row r="164" spans="1:18" x14ac:dyDescent="0.2">
      <c r="A164" s="67" t="s">
        <v>257</v>
      </c>
      <c r="P164" s="7">
        <f t="shared" si="11"/>
        <v>0</v>
      </c>
      <c r="Q164" s="7">
        <f t="shared" si="12"/>
        <v>0</v>
      </c>
      <c r="R164">
        <f t="shared" si="10"/>
        <v>0</v>
      </c>
    </row>
    <row r="165" spans="1:18" x14ac:dyDescent="0.2">
      <c r="A165" s="67" t="s">
        <v>1235</v>
      </c>
      <c r="B165" s="52" t="s">
        <v>1236</v>
      </c>
      <c r="K165">
        <v>1</v>
      </c>
      <c r="P165" s="7">
        <f t="shared" si="11"/>
        <v>0</v>
      </c>
      <c r="Q165" s="7">
        <f t="shared" si="12"/>
        <v>0</v>
      </c>
      <c r="R165">
        <f t="shared" si="10"/>
        <v>0</v>
      </c>
    </row>
    <row r="166" spans="1:18" x14ac:dyDescent="0.2">
      <c r="A166" s="67" t="s">
        <v>266</v>
      </c>
      <c r="P166" s="7">
        <f t="shared" si="11"/>
        <v>0</v>
      </c>
      <c r="Q166" s="7">
        <f t="shared" si="12"/>
        <v>0</v>
      </c>
      <c r="R166">
        <f t="shared" si="10"/>
        <v>0</v>
      </c>
    </row>
    <row r="167" spans="1:18" x14ac:dyDescent="0.2">
      <c r="A167" s="67" t="s">
        <v>1237</v>
      </c>
      <c r="B167" s="52" t="s">
        <v>1238</v>
      </c>
      <c r="K167">
        <v>1</v>
      </c>
      <c r="P167" s="7">
        <f t="shared" si="11"/>
        <v>0</v>
      </c>
      <c r="Q167" s="7">
        <f t="shared" si="12"/>
        <v>0</v>
      </c>
      <c r="R167">
        <f t="shared" si="10"/>
        <v>0</v>
      </c>
    </row>
    <row r="168" spans="1:18" x14ac:dyDescent="0.2">
      <c r="A168" s="67" t="s">
        <v>645</v>
      </c>
      <c r="P168" s="7">
        <f t="shared" si="11"/>
        <v>0</v>
      </c>
      <c r="Q168" s="7">
        <f t="shared" si="12"/>
        <v>0</v>
      </c>
      <c r="R168">
        <f t="shared" si="10"/>
        <v>0</v>
      </c>
    </row>
    <row r="169" spans="1:18" x14ac:dyDescent="0.2">
      <c r="A169" s="67" t="s">
        <v>1239</v>
      </c>
      <c r="B169" s="52" t="s">
        <v>1240</v>
      </c>
      <c r="D169" s="5">
        <f>Info!$B$17</f>
        <v>0</v>
      </c>
      <c r="E169" s="5">
        <f>Info!$B$22</f>
        <v>0</v>
      </c>
      <c r="F169" s="5">
        <f>Info!$B$27</f>
        <v>0</v>
      </c>
      <c r="G169" s="5">
        <f>Info!$B$32</f>
        <v>0</v>
      </c>
      <c r="H169" s="5">
        <f>Info!$B$37</f>
        <v>0</v>
      </c>
      <c r="I169" s="5">
        <f>Info!$B$40</f>
        <v>0</v>
      </c>
      <c r="J169" s="5">
        <f>Info!$B$44</f>
        <v>0</v>
      </c>
      <c r="P169" s="7">
        <f t="shared" si="11"/>
        <v>0</v>
      </c>
      <c r="Q169" s="7">
        <f t="shared" si="12"/>
        <v>0</v>
      </c>
      <c r="R169">
        <f t="shared" si="10"/>
        <v>0</v>
      </c>
    </row>
    <row r="170" spans="1:18" x14ac:dyDescent="0.2">
      <c r="A170" s="67" t="s">
        <v>1241</v>
      </c>
      <c r="B170" s="52" t="s">
        <v>1242</v>
      </c>
      <c r="D170" s="5">
        <f>Info!$B$17</f>
        <v>0</v>
      </c>
      <c r="E170" s="5">
        <f>Info!$B$22</f>
        <v>0</v>
      </c>
      <c r="F170" s="5">
        <f>Info!$B$27</f>
        <v>0</v>
      </c>
      <c r="G170" s="5">
        <f>Info!$B$32</f>
        <v>0</v>
      </c>
      <c r="H170" s="5">
        <f>Info!$B$37</f>
        <v>0</v>
      </c>
      <c r="I170" s="5">
        <f>Info!$B$40</f>
        <v>0</v>
      </c>
      <c r="J170" s="5">
        <f>Info!$B$44</f>
        <v>0</v>
      </c>
      <c r="P170" s="7">
        <f t="shared" si="11"/>
        <v>0</v>
      </c>
      <c r="Q170" s="7">
        <f t="shared" si="12"/>
        <v>0</v>
      </c>
      <c r="R170">
        <f t="shared" si="10"/>
        <v>0</v>
      </c>
    </row>
    <row r="171" spans="1:18" x14ac:dyDescent="0.2">
      <c r="A171" s="67" t="s">
        <v>1243</v>
      </c>
      <c r="B171" s="52" t="s">
        <v>1244</v>
      </c>
      <c r="D171" s="5">
        <f>Info!$B$17</f>
        <v>0</v>
      </c>
      <c r="E171" s="5">
        <f>Info!$B$22</f>
        <v>0</v>
      </c>
      <c r="F171" s="5">
        <f>Info!$B$27</f>
        <v>0</v>
      </c>
      <c r="G171" s="5">
        <f>Info!$B$32</f>
        <v>0</v>
      </c>
      <c r="H171" s="5">
        <f>Info!$B$37</f>
        <v>0</v>
      </c>
      <c r="I171" s="5">
        <f>Info!$B$40</f>
        <v>0</v>
      </c>
      <c r="J171" s="5">
        <f>Info!$B$44</f>
        <v>0</v>
      </c>
      <c r="P171" s="7">
        <f t="shared" si="11"/>
        <v>0</v>
      </c>
      <c r="Q171" s="7">
        <f t="shared" si="12"/>
        <v>0</v>
      </c>
      <c r="R171">
        <f t="shared" si="10"/>
        <v>0</v>
      </c>
    </row>
    <row r="172" spans="1:18" x14ac:dyDescent="0.2">
      <c r="A172" s="67" t="s">
        <v>913</v>
      </c>
      <c r="P172" s="7">
        <f t="shared" si="11"/>
        <v>0</v>
      </c>
      <c r="Q172" s="7">
        <f t="shared" si="12"/>
        <v>0</v>
      </c>
      <c r="R172">
        <f t="shared" si="10"/>
        <v>0</v>
      </c>
    </row>
    <row r="173" spans="1:18" x14ac:dyDescent="0.2">
      <c r="A173" s="67" t="s">
        <v>937</v>
      </c>
      <c r="P173" s="7">
        <f t="shared" si="11"/>
        <v>0</v>
      </c>
      <c r="Q173" s="7">
        <f t="shared" si="12"/>
        <v>0</v>
      </c>
      <c r="R173">
        <f t="shared" si="10"/>
        <v>0</v>
      </c>
    </row>
    <row r="174" spans="1:18" x14ac:dyDescent="0.2">
      <c r="A174" s="67" t="s">
        <v>356</v>
      </c>
      <c r="P174" s="7">
        <f t="shared" si="11"/>
        <v>0</v>
      </c>
      <c r="Q174" s="7">
        <f t="shared" si="12"/>
        <v>0</v>
      </c>
      <c r="R174">
        <f t="shared" si="10"/>
        <v>0</v>
      </c>
    </row>
    <row r="175" spans="1:18" x14ac:dyDescent="0.2">
      <c r="A175" s="67" t="s">
        <v>441</v>
      </c>
      <c r="P175" s="7">
        <f t="shared" si="11"/>
        <v>0</v>
      </c>
      <c r="Q175" s="7">
        <f t="shared" si="12"/>
        <v>0</v>
      </c>
      <c r="R175">
        <f t="shared" si="10"/>
        <v>0</v>
      </c>
    </row>
    <row r="176" spans="1:18" x14ac:dyDescent="0.2">
      <c r="A176" s="67" t="s">
        <v>1245</v>
      </c>
      <c r="B176" s="52" t="s">
        <v>1246</v>
      </c>
      <c r="D176" s="5">
        <f>Info!$B$17</f>
        <v>0</v>
      </c>
      <c r="E176" s="5">
        <f>Info!$B$22</f>
        <v>0</v>
      </c>
      <c r="F176" s="5">
        <f>Info!$B$27</f>
        <v>0</v>
      </c>
      <c r="G176" s="5">
        <f>Info!$B$32</f>
        <v>0</v>
      </c>
      <c r="H176" s="5">
        <f>Info!$B$37</f>
        <v>0</v>
      </c>
      <c r="I176" s="5">
        <f>Info!$B$40</f>
        <v>0</v>
      </c>
      <c r="J176" s="5">
        <f>Info!$B$44</f>
        <v>0</v>
      </c>
      <c r="P176" s="7">
        <f t="shared" si="11"/>
        <v>0</v>
      </c>
      <c r="Q176" s="7">
        <f t="shared" si="12"/>
        <v>0</v>
      </c>
      <c r="R176">
        <f t="shared" si="10"/>
        <v>0</v>
      </c>
    </row>
    <row r="177" spans="1:18" x14ac:dyDescent="0.2">
      <c r="A177" s="67" t="s">
        <v>3693</v>
      </c>
      <c r="P177" s="7">
        <f t="shared" si="11"/>
        <v>0</v>
      </c>
      <c r="Q177" s="7">
        <f t="shared" si="12"/>
        <v>0</v>
      </c>
      <c r="R177">
        <f t="shared" si="10"/>
        <v>0</v>
      </c>
    </row>
    <row r="178" spans="1:18" x14ac:dyDescent="0.2">
      <c r="A178" s="67" t="s">
        <v>1247</v>
      </c>
      <c r="B178" s="52" t="s">
        <v>1248</v>
      </c>
      <c r="D178" s="5">
        <f>Info!$B$17</f>
        <v>0</v>
      </c>
      <c r="E178" s="5">
        <f>Info!$B$22</f>
        <v>0</v>
      </c>
      <c r="F178" s="5">
        <f>Info!$B$27</f>
        <v>0</v>
      </c>
      <c r="G178" s="5">
        <f>Info!$B$32</f>
        <v>0</v>
      </c>
      <c r="H178" s="5">
        <f>Info!$B$37</f>
        <v>0</v>
      </c>
      <c r="I178" s="5">
        <f>Info!$B$40</f>
        <v>0</v>
      </c>
      <c r="J178" s="5">
        <f>Info!$B$44</f>
        <v>0</v>
      </c>
      <c r="P178" s="7">
        <f t="shared" si="11"/>
        <v>0</v>
      </c>
      <c r="Q178" s="7">
        <f t="shared" si="12"/>
        <v>0</v>
      </c>
      <c r="R178">
        <f t="shared" si="10"/>
        <v>0</v>
      </c>
    </row>
    <row r="179" spans="1:18" x14ac:dyDescent="0.2">
      <c r="A179" s="67" t="s">
        <v>899</v>
      </c>
      <c r="P179" s="7">
        <f t="shared" si="11"/>
        <v>0</v>
      </c>
      <c r="Q179" s="7">
        <f t="shared" si="12"/>
        <v>0</v>
      </c>
      <c r="R179">
        <f t="shared" si="10"/>
        <v>0</v>
      </c>
    </row>
    <row r="180" spans="1:18" x14ac:dyDescent="0.2">
      <c r="A180" s="67" t="s">
        <v>1249</v>
      </c>
      <c r="B180" s="52" t="s">
        <v>1250</v>
      </c>
      <c r="D180" s="5">
        <f>Info!$B$17</f>
        <v>0</v>
      </c>
      <c r="E180" s="5">
        <f>Info!$B$22</f>
        <v>0</v>
      </c>
      <c r="F180" s="5">
        <f>Info!$B$27</f>
        <v>0</v>
      </c>
      <c r="G180" s="5">
        <f>Info!$B$32</f>
        <v>0</v>
      </c>
      <c r="H180" s="5">
        <f>Info!$B$37</f>
        <v>0</v>
      </c>
      <c r="I180" s="5">
        <f>Info!$B$40</f>
        <v>0</v>
      </c>
      <c r="J180" s="5">
        <f>Info!$B$44</f>
        <v>0</v>
      </c>
      <c r="P180" s="7">
        <f t="shared" si="11"/>
        <v>0</v>
      </c>
      <c r="Q180" s="7">
        <f t="shared" si="12"/>
        <v>0</v>
      </c>
      <c r="R180">
        <f t="shared" si="10"/>
        <v>0</v>
      </c>
    </row>
    <row r="181" spans="1:18" x14ac:dyDescent="0.2">
      <c r="A181" s="67" t="s">
        <v>1251</v>
      </c>
      <c r="B181" s="52" t="s">
        <v>1252</v>
      </c>
      <c r="D181" s="5">
        <f>Info!$B$17</f>
        <v>0</v>
      </c>
      <c r="E181" s="5">
        <f>Info!$B$22</f>
        <v>0</v>
      </c>
      <c r="F181" s="5">
        <f>Info!$B$27</f>
        <v>0</v>
      </c>
      <c r="G181" s="5">
        <f>Info!$B$32</f>
        <v>0</v>
      </c>
      <c r="H181" s="5">
        <f>Info!$B$37</f>
        <v>0</v>
      </c>
      <c r="I181" s="5">
        <f>Info!$B$40</f>
        <v>0</v>
      </c>
      <c r="J181" s="5"/>
      <c r="K181">
        <v>1</v>
      </c>
      <c r="P181" s="7">
        <f t="shared" si="11"/>
        <v>0</v>
      </c>
      <c r="Q181" s="7">
        <f t="shared" si="12"/>
        <v>0</v>
      </c>
      <c r="R181">
        <f t="shared" si="10"/>
        <v>0</v>
      </c>
    </row>
    <row r="182" spans="1:18" x14ac:dyDescent="0.2">
      <c r="A182" s="67" t="s">
        <v>1253</v>
      </c>
      <c r="B182" s="52" t="s">
        <v>1254</v>
      </c>
      <c r="D182" s="5">
        <f>Info!$B$17</f>
        <v>0</v>
      </c>
      <c r="E182" s="5">
        <f>Info!$B$22</f>
        <v>0</v>
      </c>
      <c r="F182" s="5">
        <f>Info!$B$27</f>
        <v>0</v>
      </c>
      <c r="G182" s="5">
        <f>Info!$B$32</f>
        <v>0</v>
      </c>
      <c r="H182" s="5">
        <f>Info!$B$37</f>
        <v>0</v>
      </c>
      <c r="I182" s="5">
        <f>Info!$B$40</f>
        <v>0</v>
      </c>
      <c r="J182" s="5">
        <f>Info!$B$44</f>
        <v>0</v>
      </c>
      <c r="P182" s="7">
        <f t="shared" si="11"/>
        <v>0</v>
      </c>
      <c r="Q182" s="7">
        <f t="shared" si="12"/>
        <v>0</v>
      </c>
      <c r="R182">
        <f t="shared" si="10"/>
        <v>0</v>
      </c>
    </row>
    <row r="183" spans="1:18" x14ac:dyDescent="0.2">
      <c r="A183" s="67" t="s">
        <v>1255</v>
      </c>
      <c r="B183" s="52" t="s">
        <v>1256</v>
      </c>
      <c r="D183" s="5">
        <f>Info!$B$17</f>
        <v>0</v>
      </c>
      <c r="E183" s="5">
        <f>Info!$B$22</f>
        <v>0</v>
      </c>
      <c r="F183" s="5">
        <f>Info!$B$27</f>
        <v>0</v>
      </c>
      <c r="G183" s="5">
        <f>Info!$B$32</f>
        <v>0</v>
      </c>
      <c r="H183" s="5">
        <f>Info!$B$37</f>
        <v>0</v>
      </c>
      <c r="I183" s="5">
        <f>Info!$B$40</f>
        <v>0</v>
      </c>
      <c r="J183" s="5">
        <f>Info!$B$44</f>
        <v>0</v>
      </c>
      <c r="P183" s="7">
        <f t="shared" si="11"/>
        <v>0</v>
      </c>
      <c r="Q183" s="7">
        <f t="shared" si="12"/>
        <v>0</v>
      </c>
      <c r="R183">
        <f t="shared" si="10"/>
        <v>0</v>
      </c>
    </row>
    <row r="184" spans="1:18" x14ac:dyDescent="0.2">
      <c r="A184" s="67" t="s">
        <v>901</v>
      </c>
      <c r="P184" s="7">
        <f t="shared" si="11"/>
        <v>0</v>
      </c>
      <c r="Q184" s="7">
        <f t="shared" si="12"/>
        <v>0</v>
      </c>
      <c r="R184">
        <f t="shared" si="10"/>
        <v>0</v>
      </c>
    </row>
    <row r="185" spans="1:18" x14ac:dyDescent="0.2">
      <c r="A185" s="67" t="s">
        <v>1257</v>
      </c>
      <c r="B185" s="52" t="s">
        <v>1258</v>
      </c>
      <c r="D185" s="5">
        <f>Info!$B$17</f>
        <v>0</v>
      </c>
      <c r="E185" s="5">
        <f>Info!$B$22</f>
        <v>0</v>
      </c>
      <c r="F185" s="5">
        <f>Info!$B$27</f>
        <v>0</v>
      </c>
      <c r="G185" s="5">
        <f>Info!$B$32</f>
        <v>0</v>
      </c>
      <c r="H185" s="5">
        <f>Info!$B$37</f>
        <v>0</v>
      </c>
      <c r="I185" s="5">
        <f>Info!$B$40</f>
        <v>0</v>
      </c>
      <c r="J185" s="5">
        <f>Info!$B$44</f>
        <v>0</v>
      </c>
      <c r="P185" s="7">
        <f t="shared" si="11"/>
        <v>0</v>
      </c>
      <c r="Q185" s="7">
        <f t="shared" si="12"/>
        <v>0</v>
      </c>
      <c r="R185">
        <f t="shared" si="10"/>
        <v>0</v>
      </c>
    </row>
    <row r="186" spans="1:18" x14ac:dyDescent="0.2">
      <c r="A186" s="67" t="s">
        <v>1259</v>
      </c>
      <c r="B186" s="52" t="s">
        <v>1260</v>
      </c>
      <c r="D186" s="5">
        <f>Info!$B$17</f>
        <v>0</v>
      </c>
      <c r="E186" s="5">
        <f>Info!$B$22</f>
        <v>0</v>
      </c>
      <c r="F186" s="5">
        <f>Info!$B$27</f>
        <v>0</v>
      </c>
      <c r="G186" s="5">
        <f>Info!$B$32</f>
        <v>0</v>
      </c>
      <c r="H186" s="5">
        <f>Info!$B$37</f>
        <v>0</v>
      </c>
      <c r="I186" s="5">
        <f>Info!$B$40</f>
        <v>0</v>
      </c>
      <c r="J186" s="5">
        <f>Info!$B$44</f>
        <v>0</v>
      </c>
      <c r="P186" s="7">
        <f t="shared" si="11"/>
        <v>0</v>
      </c>
      <c r="Q186" s="7">
        <f t="shared" si="12"/>
        <v>0</v>
      </c>
      <c r="R186">
        <f t="shared" si="10"/>
        <v>0</v>
      </c>
    </row>
    <row r="187" spans="1:18" x14ac:dyDescent="0.2">
      <c r="A187" s="67" t="s">
        <v>1261</v>
      </c>
      <c r="B187" s="52" t="s">
        <v>1262</v>
      </c>
      <c r="D187" s="5">
        <f>Info!$B$17</f>
        <v>0</v>
      </c>
      <c r="E187" s="5">
        <f>Info!$B$22</f>
        <v>0</v>
      </c>
      <c r="F187" s="5">
        <f>Info!$B$27</f>
        <v>0</v>
      </c>
      <c r="G187" s="5">
        <f>Info!$B$32</f>
        <v>0</v>
      </c>
      <c r="H187" s="5">
        <f>Info!$B$37</f>
        <v>0</v>
      </c>
      <c r="I187" s="5">
        <f>Info!$B$40</f>
        <v>0</v>
      </c>
      <c r="J187" s="5">
        <f>Info!$B$44</f>
        <v>0</v>
      </c>
      <c r="P187" s="7">
        <f t="shared" si="11"/>
        <v>0</v>
      </c>
      <c r="Q187" s="7">
        <f t="shared" si="12"/>
        <v>0</v>
      </c>
      <c r="R187">
        <f t="shared" si="10"/>
        <v>0</v>
      </c>
    </row>
    <row r="188" spans="1:18" x14ac:dyDescent="0.2">
      <c r="A188" s="67" t="s">
        <v>1263</v>
      </c>
      <c r="B188" s="52" t="s">
        <v>1264</v>
      </c>
      <c r="D188" s="5">
        <f>Info!$B$17</f>
        <v>0</v>
      </c>
      <c r="E188" s="5">
        <f>Info!$B$22</f>
        <v>0</v>
      </c>
      <c r="F188" s="5">
        <f>Info!$B$27</f>
        <v>0</v>
      </c>
      <c r="G188" s="5">
        <f>Info!$B$32</f>
        <v>0</v>
      </c>
      <c r="H188" s="5">
        <f>Info!$B$37</f>
        <v>0</v>
      </c>
      <c r="I188" s="5">
        <f>Info!$B$40</f>
        <v>0</v>
      </c>
      <c r="J188" s="5">
        <f>Info!$B$44</f>
        <v>0</v>
      </c>
      <c r="P188" s="7">
        <f t="shared" si="11"/>
        <v>0</v>
      </c>
      <c r="Q188" s="7">
        <f t="shared" si="12"/>
        <v>0</v>
      </c>
      <c r="R188">
        <f t="shared" si="10"/>
        <v>0</v>
      </c>
    </row>
    <row r="189" spans="1:18" x14ac:dyDescent="0.2">
      <c r="A189" s="67" t="s">
        <v>1265</v>
      </c>
      <c r="B189" s="52" t="s">
        <v>1266</v>
      </c>
      <c r="J189" s="5"/>
      <c r="P189" s="7">
        <f t="shared" si="11"/>
        <v>0</v>
      </c>
      <c r="Q189" s="7">
        <f t="shared" si="12"/>
        <v>0</v>
      </c>
      <c r="R189">
        <f t="shared" si="10"/>
        <v>0</v>
      </c>
    </row>
    <row r="190" spans="1:18" x14ac:dyDescent="0.2">
      <c r="A190" s="67" t="s">
        <v>1267</v>
      </c>
      <c r="B190" s="52" t="s">
        <v>1268</v>
      </c>
      <c r="P190" s="7">
        <f t="shared" ref="P190:P221" si="13">(D190+E190+F190+G190+H190+I190+J190)/7</f>
        <v>0</v>
      </c>
      <c r="Q190" s="7">
        <f t="shared" si="12"/>
        <v>0</v>
      </c>
      <c r="R190">
        <f t="shared" si="10"/>
        <v>0</v>
      </c>
    </row>
    <row r="191" spans="1:18" x14ac:dyDescent="0.2">
      <c r="A191" s="67" t="s">
        <v>1269</v>
      </c>
      <c r="B191" s="52" t="s">
        <v>1270</v>
      </c>
      <c r="D191" s="5">
        <f>Info!$B$17</f>
        <v>0</v>
      </c>
      <c r="E191" s="5">
        <f>Info!$B$22</f>
        <v>0</v>
      </c>
      <c r="F191" s="5">
        <f>Info!$B$27</f>
        <v>0</v>
      </c>
      <c r="G191" s="5">
        <f>Info!$B$32</f>
        <v>0</v>
      </c>
      <c r="H191" s="5">
        <f>Info!$B$37</f>
        <v>0</v>
      </c>
      <c r="I191" s="5">
        <f>Info!$B$40</f>
        <v>0</v>
      </c>
      <c r="J191" s="5">
        <f>Info!$B$44</f>
        <v>0</v>
      </c>
      <c r="P191" s="7">
        <f t="shared" si="13"/>
        <v>0</v>
      </c>
      <c r="Q191" s="7">
        <f t="shared" si="12"/>
        <v>0</v>
      </c>
      <c r="R191">
        <f t="shared" si="10"/>
        <v>0</v>
      </c>
    </row>
    <row r="192" spans="1:18" x14ac:dyDescent="0.2">
      <c r="A192" s="67" t="s">
        <v>1271</v>
      </c>
      <c r="B192" s="52" t="s">
        <v>1272</v>
      </c>
      <c r="D192" s="5">
        <f>Info!$B$17</f>
        <v>0</v>
      </c>
      <c r="E192" s="5">
        <f>Info!$B$22</f>
        <v>0</v>
      </c>
      <c r="F192" s="5">
        <f>Info!$B$27</f>
        <v>0</v>
      </c>
      <c r="G192" s="5">
        <f>Info!$B$32</f>
        <v>0</v>
      </c>
      <c r="H192" s="5">
        <f>Info!$B$37</f>
        <v>0</v>
      </c>
      <c r="I192" s="5">
        <f>Info!$B$40</f>
        <v>0</v>
      </c>
      <c r="J192" s="5">
        <f>Info!$B$44</f>
        <v>0</v>
      </c>
      <c r="P192" s="7">
        <f t="shared" si="13"/>
        <v>0</v>
      </c>
      <c r="Q192" s="7">
        <f t="shared" si="12"/>
        <v>0</v>
      </c>
      <c r="R192">
        <f t="shared" si="10"/>
        <v>0</v>
      </c>
    </row>
    <row r="193" spans="1:18" x14ac:dyDescent="0.2">
      <c r="A193" s="67" t="s">
        <v>1273</v>
      </c>
      <c r="B193" s="52" t="s">
        <v>1274</v>
      </c>
      <c r="D193" s="5">
        <f>Info!$B$17</f>
        <v>0</v>
      </c>
      <c r="E193" s="5">
        <f>Info!$B$22</f>
        <v>0</v>
      </c>
      <c r="F193" s="5">
        <f>Info!$B$27</f>
        <v>0</v>
      </c>
      <c r="G193" s="5">
        <f>Info!$B$32</f>
        <v>0</v>
      </c>
      <c r="H193" s="5">
        <f>Info!$B$37</f>
        <v>0</v>
      </c>
      <c r="I193" s="5">
        <f>Info!$B$40</f>
        <v>0</v>
      </c>
      <c r="J193" s="5">
        <f>Info!$B$44</f>
        <v>0</v>
      </c>
      <c r="P193" s="7">
        <f t="shared" si="13"/>
        <v>0</v>
      </c>
      <c r="Q193" s="7">
        <f t="shared" si="12"/>
        <v>0</v>
      </c>
      <c r="R193">
        <f t="shared" si="10"/>
        <v>0</v>
      </c>
    </row>
    <row r="194" spans="1:18" x14ac:dyDescent="0.2">
      <c r="A194" s="67" t="s">
        <v>1275</v>
      </c>
      <c r="B194" s="52" t="s">
        <v>1276</v>
      </c>
      <c r="D194" s="5">
        <f>Info!$B$17</f>
        <v>0</v>
      </c>
      <c r="E194" s="5">
        <f>Info!$B$22</f>
        <v>0</v>
      </c>
      <c r="F194" s="5">
        <f>Info!$B$27</f>
        <v>0</v>
      </c>
      <c r="G194" s="5">
        <f>Info!$B$32</f>
        <v>0</v>
      </c>
      <c r="H194" s="5">
        <f>Info!$B$37</f>
        <v>0</v>
      </c>
      <c r="I194" s="5">
        <f>Info!$B$40</f>
        <v>0</v>
      </c>
      <c r="J194" s="5">
        <f>Info!$B$44</f>
        <v>0</v>
      </c>
      <c r="P194" s="7">
        <f t="shared" si="13"/>
        <v>0</v>
      </c>
      <c r="Q194" s="7">
        <f t="shared" si="12"/>
        <v>0</v>
      </c>
      <c r="R194">
        <f t="shared" ref="R194:R257" si="14">IF(_xlfn.BITAND(P194&gt;0.4999, Q194&gt;0.4999)=1,1,0)</f>
        <v>0</v>
      </c>
    </row>
    <row r="195" spans="1:18" x14ac:dyDescent="0.2">
      <c r="A195" s="67" t="s">
        <v>1277</v>
      </c>
      <c r="B195" s="52" t="s">
        <v>1278</v>
      </c>
      <c r="D195" s="5">
        <f>Info!$B$17</f>
        <v>0</v>
      </c>
      <c r="E195" s="5">
        <f>Info!$B$22</f>
        <v>0</v>
      </c>
      <c r="F195" s="5">
        <f>Info!$B$27</f>
        <v>0</v>
      </c>
      <c r="G195" s="5">
        <f>Info!$B$32</f>
        <v>0</v>
      </c>
      <c r="H195" s="5">
        <f>Info!$B$37</f>
        <v>0</v>
      </c>
      <c r="I195" s="5">
        <f>Info!$B$40</f>
        <v>0</v>
      </c>
      <c r="J195" s="5">
        <f>Info!$B$44</f>
        <v>0</v>
      </c>
      <c r="P195" s="7">
        <f t="shared" si="13"/>
        <v>0</v>
      </c>
      <c r="Q195" s="7">
        <f t="shared" si="12"/>
        <v>0</v>
      </c>
      <c r="R195">
        <f t="shared" si="14"/>
        <v>0</v>
      </c>
    </row>
    <row r="196" spans="1:18" x14ac:dyDescent="0.2">
      <c r="A196" s="67" t="s">
        <v>1279</v>
      </c>
      <c r="B196" s="52" t="s">
        <v>1280</v>
      </c>
      <c r="D196" s="5">
        <f>Info!$B$17</f>
        <v>0</v>
      </c>
      <c r="E196" s="5">
        <f>Info!$B$22</f>
        <v>0</v>
      </c>
      <c r="F196" s="5">
        <f>Info!$B$27</f>
        <v>0</v>
      </c>
      <c r="G196" s="5">
        <f>Info!$B$32</f>
        <v>0</v>
      </c>
      <c r="H196" s="5">
        <f>Info!$B$37</f>
        <v>0</v>
      </c>
      <c r="I196" s="5">
        <f>Info!$B$40</f>
        <v>0</v>
      </c>
      <c r="J196" s="5">
        <f>Info!$B$44</f>
        <v>0</v>
      </c>
      <c r="P196" s="7">
        <f t="shared" si="13"/>
        <v>0</v>
      </c>
      <c r="Q196" s="7">
        <f t="shared" si="12"/>
        <v>0</v>
      </c>
      <c r="R196">
        <f t="shared" si="14"/>
        <v>0</v>
      </c>
    </row>
    <row r="197" spans="1:18" x14ac:dyDescent="0.2">
      <c r="A197" s="67" t="s">
        <v>1281</v>
      </c>
      <c r="B197" s="52" t="s">
        <v>1282</v>
      </c>
      <c r="D197" s="5">
        <f>Info!$B$17</f>
        <v>0</v>
      </c>
      <c r="E197" s="5">
        <f>Info!$B$22</f>
        <v>0</v>
      </c>
      <c r="F197" s="5">
        <f>Info!$B$27</f>
        <v>0</v>
      </c>
      <c r="G197" s="5">
        <f>Info!$B$32</f>
        <v>0</v>
      </c>
      <c r="H197" s="5">
        <f>Info!$B$37</f>
        <v>0</v>
      </c>
      <c r="I197" s="5">
        <f>Info!$B$40</f>
        <v>0</v>
      </c>
      <c r="J197" s="5">
        <f>Info!$B$44</f>
        <v>0</v>
      </c>
      <c r="P197" s="7">
        <f t="shared" si="13"/>
        <v>0</v>
      </c>
      <c r="Q197" s="7">
        <f t="shared" si="12"/>
        <v>0</v>
      </c>
      <c r="R197">
        <f t="shared" si="14"/>
        <v>0</v>
      </c>
    </row>
    <row r="198" spans="1:18" x14ac:dyDescent="0.2">
      <c r="A198" s="67" t="s">
        <v>1283</v>
      </c>
      <c r="B198" s="52" t="s">
        <v>1284</v>
      </c>
      <c r="D198" s="5">
        <f>Info!$B$17</f>
        <v>0</v>
      </c>
      <c r="E198" s="5">
        <f>Info!$B$22</f>
        <v>0</v>
      </c>
      <c r="F198" s="5">
        <f>Info!$B$27</f>
        <v>0</v>
      </c>
      <c r="G198" s="5">
        <f>Info!$B$32</f>
        <v>0</v>
      </c>
      <c r="H198" s="5">
        <f>Info!$B$37</f>
        <v>0</v>
      </c>
      <c r="I198" s="5">
        <f>Info!$B$40</f>
        <v>0</v>
      </c>
      <c r="J198" s="5">
        <f>Info!$B$44</f>
        <v>0</v>
      </c>
      <c r="P198" s="7">
        <f t="shared" si="13"/>
        <v>0</v>
      </c>
      <c r="Q198" s="7">
        <f t="shared" si="12"/>
        <v>0</v>
      </c>
      <c r="R198">
        <f t="shared" si="14"/>
        <v>0</v>
      </c>
    </row>
    <row r="199" spans="1:18" x14ac:dyDescent="0.2">
      <c r="A199" s="67" t="s">
        <v>1285</v>
      </c>
      <c r="B199" s="52" t="s">
        <v>1286</v>
      </c>
      <c r="D199" s="5">
        <f>Info!$B$17</f>
        <v>0</v>
      </c>
      <c r="E199" s="5">
        <f>Info!$B$22</f>
        <v>0</v>
      </c>
      <c r="F199" s="5">
        <f>Info!$B$27</f>
        <v>0</v>
      </c>
      <c r="G199" s="5">
        <f>Info!$B$32</f>
        <v>0</v>
      </c>
      <c r="H199" s="5">
        <f>Info!$B$37</f>
        <v>0</v>
      </c>
      <c r="I199" s="5">
        <f>Info!$B$40</f>
        <v>0</v>
      </c>
      <c r="J199" s="5">
        <f>Info!$B$44</f>
        <v>0</v>
      </c>
      <c r="P199" s="7">
        <f t="shared" si="13"/>
        <v>0</v>
      </c>
      <c r="Q199" s="7">
        <f t="shared" si="12"/>
        <v>0</v>
      </c>
      <c r="R199">
        <f t="shared" si="14"/>
        <v>0</v>
      </c>
    </row>
    <row r="200" spans="1:18" x14ac:dyDescent="0.2">
      <c r="A200" s="67" t="s">
        <v>1287</v>
      </c>
      <c r="B200" s="52" t="s">
        <v>1288</v>
      </c>
      <c r="D200" s="5">
        <f>Info!$B$17</f>
        <v>0</v>
      </c>
      <c r="E200" s="5">
        <f>Info!$B$22</f>
        <v>0</v>
      </c>
      <c r="F200" s="5">
        <f>Info!$B$27</f>
        <v>0</v>
      </c>
      <c r="G200" s="5">
        <f>Info!$B$32</f>
        <v>0</v>
      </c>
      <c r="H200" s="5">
        <f>Info!$B$37</f>
        <v>0</v>
      </c>
      <c r="I200" s="5">
        <f>Info!$B$40</f>
        <v>0</v>
      </c>
      <c r="J200" s="5">
        <f>Info!$B$44</f>
        <v>0</v>
      </c>
      <c r="P200" s="7">
        <f t="shared" si="13"/>
        <v>0</v>
      </c>
      <c r="Q200" s="7">
        <f t="shared" si="12"/>
        <v>0</v>
      </c>
      <c r="R200">
        <f t="shared" si="14"/>
        <v>0</v>
      </c>
    </row>
    <row r="201" spans="1:18" x14ac:dyDescent="0.2">
      <c r="A201" s="67" t="s">
        <v>1289</v>
      </c>
      <c r="B201" s="52" t="s">
        <v>1290</v>
      </c>
      <c r="D201" s="5">
        <f>Info!$B$17</f>
        <v>0</v>
      </c>
      <c r="E201" s="5">
        <f>Info!$B$22</f>
        <v>0</v>
      </c>
      <c r="F201" s="5">
        <f>Info!$B$27</f>
        <v>0</v>
      </c>
      <c r="G201" s="5">
        <f>Info!$B$32</f>
        <v>0</v>
      </c>
      <c r="H201" s="5">
        <f>Info!$B$37</f>
        <v>0</v>
      </c>
      <c r="I201" s="5">
        <f>Info!$B$40</f>
        <v>0</v>
      </c>
      <c r="J201" s="5">
        <f>Info!$B$44</f>
        <v>0</v>
      </c>
      <c r="P201" s="7">
        <f t="shared" si="13"/>
        <v>0</v>
      </c>
      <c r="Q201" s="7">
        <f t="shared" si="12"/>
        <v>0</v>
      </c>
      <c r="R201">
        <f t="shared" si="14"/>
        <v>0</v>
      </c>
    </row>
    <row r="202" spans="1:18" x14ac:dyDescent="0.2">
      <c r="A202" s="67" t="s">
        <v>1291</v>
      </c>
      <c r="B202" s="52" t="s">
        <v>1292</v>
      </c>
      <c r="D202" s="5">
        <f>Info!$B$17</f>
        <v>0</v>
      </c>
      <c r="E202" s="5">
        <f>Info!$B$22</f>
        <v>0</v>
      </c>
      <c r="F202" s="5">
        <f>Info!$B$27</f>
        <v>0</v>
      </c>
      <c r="G202" s="5">
        <f>Info!$B$32</f>
        <v>0</v>
      </c>
      <c r="H202" s="5">
        <f>Info!$B$37</f>
        <v>0</v>
      </c>
      <c r="I202" s="5">
        <f>Info!$B$40</f>
        <v>0</v>
      </c>
      <c r="J202" s="5">
        <f>Info!$B$44</f>
        <v>0</v>
      </c>
      <c r="P202" s="7">
        <f t="shared" si="13"/>
        <v>0</v>
      </c>
      <c r="Q202" s="7">
        <f t="shared" si="12"/>
        <v>0</v>
      </c>
      <c r="R202">
        <f t="shared" si="14"/>
        <v>0</v>
      </c>
    </row>
    <row r="203" spans="1:18" x14ac:dyDescent="0.2">
      <c r="A203" s="67" t="s">
        <v>1293</v>
      </c>
      <c r="B203" s="52" t="s">
        <v>1294</v>
      </c>
      <c r="D203" s="5">
        <f>Info!$B$17</f>
        <v>0</v>
      </c>
      <c r="E203" s="5">
        <f>Info!$B$22</f>
        <v>0</v>
      </c>
      <c r="F203" s="5">
        <f>Info!$B$27</f>
        <v>0</v>
      </c>
      <c r="G203" s="5">
        <f>Info!$B$32</f>
        <v>0</v>
      </c>
      <c r="H203" s="5">
        <f>Info!$B$37</f>
        <v>0</v>
      </c>
      <c r="I203" s="5">
        <f>Info!$B$40</f>
        <v>0</v>
      </c>
      <c r="J203" s="5">
        <f>Info!$B$44</f>
        <v>0</v>
      </c>
      <c r="P203" s="7">
        <f t="shared" si="13"/>
        <v>0</v>
      </c>
      <c r="Q203" s="7">
        <f t="shared" si="12"/>
        <v>0</v>
      </c>
      <c r="R203">
        <f t="shared" si="14"/>
        <v>0</v>
      </c>
    </row>
    <row r="204" spans="1:18" x14ac:dyDescent="0.2">
      <c r="A204" s="67" t="s">
        <v>1295</v>
      </c>
      <c r="B204" s="52" t="s">
        <v>1296</v>
      </c>
      <c r="D204" s="5">
        <f>Info!$B$17</f>
        <v>0</v>
      </c>
      <c r="E204" s="5">
        <f>Info!$B$22</f>
        <v>0</v>
      </c>
      <c r="F204" s="5">
        <f>Info!$B$27</f>
        <v>0</v>
      </c>
      <c r="G204" s="5">
        <f>Info!$B$32</f>
        <v>0</v>
      </c>
      <c r="H204" s="5">
        <f>Info!$B$37</f>
        <v>0</v>
      </c>
      <c r="I204" s="5">
        <f>Info!$B$40</f>
        <v>0</v>
      </c>
      <c r="J204" s="5">
        <f>Info!$B$44</f>
        <v>0</v>
      </c>
      <c r="P204" s="7">
        <f t="shared" si="13"/>
        <v>0</v>
      </c>
      <c r="Q204" s="7">
        <f t="shared" si="12"/>
        <v>0</v>
      </c>
      <c r="R204">
        <f t="shared" si="14"/>
        <v>0</v>
      </c>
    </row>
    <row r="205" spans="1:18" x14ac:dyDescent="0.2">
      <c r="A205" s="67" t="s">
        <v>1297</v>
      </c>
      <c r="B205" s="52" t="s">
        <v>1298</v>
      </c>
      <c r="D205" s="5">
        <f>Info!$B$17</f>
        <v>0</v>
      </c>
      <c r="E205" s="5">
        <f>Info!$B$22</f>
        <v>0</v>
      </c>
      <c r="F205" s="5">
        <f>Info!$B$27</f>
        <v>0</v>
      </c>
      <c r="G205" s="5">
        <f>Info!$B$32</f>
        <v>0</v>
      </c>
      <c r="H205" s="5">
        <f>Info!$B$37</f>
        <v>0</v>
      </c>
      <c r="I205" s="5">
        <f>Info!$B$40</f>
        <v>0</v>
      </c>
      <c r="J205" s="5">
        <f>Info!$B$44</f>
        <v>0</v>
      </c>
      <c r="P205" s="7">
        <f t="shared" si="13"/>
        <v>0</v>
      </c>
      <c r="Q205" s="7">
        <f t="shared" si="12"/>
        <v>0</v>
      </c>
      <c r="R205">
        <f t="shared" si="14"/>
        <v>0</v>
      </c>
    </row>
    <row r="206" spans="1:18" x14ac:dyDescent="0.2">
      <c r="A206" s="67" t="s">
        <v>1299</v>
      </c>
      <c r="B206" s="52" t="s">
        <v>1300</v>
      </c>
      <c r="D206" s="5">
        <f>Info!$B$17</f>
        <v>0</v>
      </c>
      <c r="E206" s="5">
        <f>Info!$B$22</f>
        <v>0</v>
      </c>
      <c r="F206" s="5">
        <f>Info!$B$27</f>
        <v>0</v>
      </c>
      <c r="G206" s="5">
        <f>Info!$B$32</f>
        <v>0</v>
      </c>
      <c r="H206" s="5">
        <f>Info!$B$37</f>
        <v>0</v>
      </c>
      <c r="I206" s="5">
        <f>Info!$B$40</f>
        <v>0</v>
      </c>
      <c r="J206" s="5">
        <f>Info!$B$44</f>
        <v>0</v>
      </c>
      <c r="P206" s="7">
        <f t="shared" si="13"/>
        <v>0</v>
      </c>
      <c r="Q206" s="7">
        <f t="shared" si="12"/>
        <v>0</v>
      </c>
      <c r="R206">
        <f t="shared" si="14"/>
        <v>0</v>
      </c>
    </row>
    <row r="207" spans="1:18" x14ac:dyDescent="0.2">
      <c r="A207" s="67" t="s">
        <v>1301</v>
      </c>
      <c r="B207" s="52" t="s">
        <v>1302</v>
      </c>
      <c r="D207" s="5">
        <f>Info!$B$17</f>
        <v>0</v>
      </c>
      <c r="E207" s="5">
        <f>Info!$B$22</f>
        <v>0</v>
      </c>
      <c r="F207" s="5">
        <f>Info!$B$27</f>
        <v>0</v>
      </c>
      <c r="G207" s="5">
        <f>Info!$B$32</f>
        <v>0</v>
      </c>
      <c r="H207" s="5">
        <f>Info!$B$37</f>
        <v>0</v>
      </c>
      <c r="I207" s="5">
        <f>Info!$B$40</f>
        <v>0</v>
      </c>
      <c r="J207" s="5">
        <f>Info!$B$44</f>
        <v>0</v>
      </c>
      <c r="P207" s="7">
        <f t="shared" si="13"/>
        <v>0</v>
      </c>
      <c r="Q207" s="7">
        <f t="shared" si="12"/>
        <v>0</v>
      </c>
      <c r="R207">
        <f t="shared" si="14"/>
        <v>0</v>
      </c>
    </row>
    <row r="208" spans="1:18" x14ac:dyDescent="0.2">
      <c r="A208" s="67" t="s">
        <v>1303</v>
      </c>
      <c r="B208" s="52" t="s">
        <v>1304</v>
      </c>
      <c r="D208" s="5">
        <f>Info!$B$17</f>
        <v>0</v>
      </c>
      <c r="E208" s="5">
        <f>Info!$B$22</f>
        <v>0</v>
      </c>
      <c r="F208" s="5">
        <f>Info!$B$27</f>
        <v>0</v>
      </c>
      <c r="G208" s="5">
        <f>Info!$B$32</f>
        <v>0</v>
      </c>
      <c r="H208" s="5">
        <f>Info!$B$37</f>
        <v>0</v>
      </c>
      <c r="I208" s="5">
        <f>Info!$B$40</f>
        <v>0</v>
      </c>
      <c r="J208" s="5">
        <f>Info!$B$44</f>
        <v>0</v>
      </c>
      <c r="P208" s="7">
        <f t="shared" si="13"/>
        <v>0</v>
      </c>
      <c r="Q208" s="7">
        <f t="shared" si="12"/>
        <v>0</v>
      </c>
      <c r="R208">
        <f t="shared" si="14"/>
        <v>0</v>
      </c>
    </row>
    <row r="209" spans="1:18" x14ac:dyDescent="0.2">
      <c r="A209" t="s">
        <v>3940</v>
      </c>
      <c r="B209" t="s">
        <v>3941</v>
      </c>
      <c r="M209" s="9" t="s">
        <v>32</v>
      </c>
      <c r="N209" t="s">
        <v>3942</v>
      </c>
      <c r="O209" s="68"/>
      <c r="P209" s="7">
        <f t="shared" si="13"/>
        <v>0</v>
      </c>
      <c r="Q209" s="7">
        <f t="shared" si="12"/>
        <v>0</v>
      </c>
      <c r="R209">
        <f t="shared" si="14"/>
        <v>0</v>
      </c>
    </row>
    <row r="210" spans="1:18" x14ac:dyDescent="0.2">
      <c r="A210" t="s">
        <v>3943</v>
      </c>
      <c r="B210" t="s">
        <v>3944</v>
      </c>
      <c r="M210" s="9" t="s">
        <v>21</v>
      </c>
      <c r="N210" t="s">
        <v>3945</v>
      </c>
      <c r="O210" s="68"/>
      <c r="P210" s="7">
        <f t="shared" si="13"/>
        <v>0</v>
      </c>
      <c r="Q210" s="7">
        <f t="shared" si="12"/>
        <v>0</v>
      </c>
      <c r="R210">
        <f t="shared" si="14"/>
        <v>0</v>
      </c>
    </row>
    <row r="211" spans="1:18" x14ac:dyDescent="0.2">
      <c r="A211" t="s">
        <v>3946</v>
      </c>
      <c r="B211" t="s">
        <v>3947</v>
      </c>
      <c r="C211" t="s">
        <v>201</v>
      </c>
      <c r="M211" s="9" t="s">
        <v>21</v>
      </c>
      <c r="N211" t="s">
        <v>3945</v>
      </c>
      <c r="O211" s="68"/>
      <c r="P211" s="7">
        <f t="shared" si="13"/>
        <v>0</v>
      </c>
      <c r="Q211" s="7">
        <f t="shared" si="12"/>
        <v>0</v>
      </c>
      <c r="R211">
        <f t="shared" si="14"/>
        <v>0</v>
      </c>
    </row>
    <row r="212" spans="1:18" x14ac:dyDescent="0.2">
      <c r="A212" t="s">
        <v>3948</v>
      </c>
      <c r="B212" t="s">
        <v>3949</v>
      </c>
      <c r="M212" s="9" t="s">
        <v>21</v>
      </c>
      <c r="N212" t="s">
        <v>3950</v>
      </c>
      <c r="O212" s="68"/>
      <c r="P212" s="7">
        <f t="shared" si="13"/>
        <v>0</v>
      </c>
      <c r="Q212" s="7">
        <f t="shared" si="12"/>
        <v>0</v>
      </c>
      <c r="R212">
        <f t="shared" si="14"/>
        <v>0</v>
      </c>
    </row>
    <row r="213" spans="1:18" x14ac:dyDescent="0.2">
      <c r="A213" t="s">
        <v>3844</v>
      </c>
      <c r="B213" t="s">
        <v>3863</v>
      </c>
      <c r="M213" s="9" t="s">
        <v>21</v>
      </c>
      <c r="N213" t="s">
        <v>3864</v>
      </c>
      <c r="O213" s="68">
        <v>1</v>
      </c>
      <c r="P213">
        <f t="shared" si="13"/>
        <v>0</v>
      </c>
      <c r="Q213" s="7">
        <f t="shared" si="12"/>
        <v>0.5</v>
      </c>
      <c r="R213">
        <f t="shared" si="14"/>
        <v>0</v>
      </c>
    </row>
    <row r="214" spans="1:18" x14ac:dyDescent="0.2">
      <c r="A214" t="s">
        <v>3951</v>
      </c>
      <c r="B214" t="s">
        <v>3952</v>
      </c>
      <c r="M214" s="9" t="s">
        <v>32</v>
      </c>
      <c r="N214" t="s">
        <v>3953</v>
      </c>
      <c r="O214" s="68"/>
      <c r="P214" s="7">
        <f t="shared" si="13"/>
        <v>0</v>
      </c>
      <c r="Q214" s="7">
        <f t="shared" si="12"/>
        <v>0</v>
      </c>
      <c r="R214">
        <f t="shared" si="14"/>
        <v>0</v>
      </c>
    </row>
    <row r="215" spans="1:18" x14ac:dyDescent="0.2">
      <c r="A215" t="s">
        <v>3663</v>
      </c>
      <c r="B215" t="s">
        <v>3865</v>
      </c>
      <c r="C215" t="s">
        <v>201</v>
      </c>
      <c r="M215" s="9" t="s">
        <v>21</v>
      </c>
      <c r="N215" t="s">
        <v>3866</v>
      </c>
      <c r="O215" s="68">
        <v>1</v>
      </c>
      <c r="P215">
        <f t="shared" si="13"/>
        <v>0</v>
      </c>
      <c r="Q215" s="7">
        <f t="shared" si="12"/>
        <v>0.5</v>
      </c>
      <c r="R215">
        <f t="shared" si="14"/>
        <v>0</v>
      </c>
    </row>
    <row r="216" spans="1:18" x14ac:dyDescent="0.2">
      <c r="A216" t="s">
        <v>3768</v>
      </c>
      <c r="B216" t="s">
        <v>3954</v>
      </c>
      <c r="M216" s="9" t="s">
        <v>32</v>
      </c>
      <c r="N216" t="s">
        <v>3955</v>
      </c>
      <c r="O216" s="68"/>
      <c r="P216" s="7">
        <f t="shared" si="13"/>
        <v>0</v>
      </c>
      <c r="Q216" s="7">
        <f t="shared" si="12"/>
        <v>0</v>
      </c>
      <c r="R216">
        <f t="shared" si="14"/>
        <v>0</v>
      </c>
    </row>
    <row r="217" spans="1:18" x14ac:dyDescent="0.2">
      <c r="A217" t="s">
        <v>3869</v>
      </c>
      <c r="B217" t="s">
        <v>3870</v>
      </c>
      <c r="M217" s="9" t="s">
        <v>32</v>
      </c>
      <c r="N217" t="s">
        <v>3871</v>
      </c>
      <c r="O217" s="68">
        <v>0.8</v>
      </c>
      <c r="P217">
        <f t="shared" si="13"/>
        <v>0</v>
      </c>
      <c r="Q217" s="7">
        <f t="shared" si="12"/>
        <v>0.4</v>
      </c>
      <c r="R217">
        <f t="shared" si="14"/>
        <v>0</v>
      </c>
    </row>
    <row r="218" spans="1:18" x14ac:dyDescent="0.2">
      <c r="A218" t="s">
        <v>3956</v>
      </c>
      <c r="B218" t="s">
        <v>3957</v>
      </c>
      <c r="M218" s="9" t="s">
        <v>21</v>
      </c>
      <c r="N218" t="s">
        <v>3945</v>
      </c>
      <c r="O218" s="68"/>
      <c r="P218" s="7">
        <f t="shared" si="13"/>
        <v>0</v>
      </c>
      <c r="Q218" s="7">
        <f t="shared" si="12"/>
        <v>0</v>
      </c>
      <c r="R218">
        <f t="shared" si="14"/>
        <v>0</v>
      </c>
    </row>
    <row r="219" spans="1:18" x14ac:dyDescent="0.2">
      <c r="A219" t="s">
        <v>3874</v>
      </c>
      <c r="B219" t="s">
        <v>3875</v>
      </c>
      <c r="M219" s="9" t="s">
        <v>32</v>
      </c>
      <c r="N219" t="s">
        <v>3876</v>
      </c>
      <c r="O219" s="68">
        <v>1</v>
      </c>
      <c r="P219">
        <f t="shared" si="13"/>
        <v>0</v>
      </c>
      <c r="Q219" s="7">
        <f t="shared" si="12"/>
        <v>0.5</v>
      </c>
      <c r="R219">
        <f t="shared" si="14"/>
        <v>0</v>
      </c>
    </row>
    <row r="220" spans="1:18" x14ac:dyDescent="0.2">
      <c r="A220" t="s">
        <v>3754</v>
      </c>
      <c r="B220" t="s">
        <v>3878</v>
      </c>
      <c r="M220" s="9" t="s">
        <v>32</v>
      </c>
      <c r="N220" t="s">
        <v>3862</v>
      </c>
      <c r="O220" s="68">
        <v>1</v>
      </c>
      <c r="P220">
        <f t="shared" si="13"/>
        <v>0</v>
      </c>
      <c r="Q220" s="7">
        <f t="shared" si="12"/>
        <v>0.5</v>
      </c>
      <c r="R220">
        <f t="shared" si="14"/>
        <v>0</v>
      </c>
    </row>
    <row r="221" spans="1:18" x14ac:dyDescent="0.2">
      <c r="A221" t="s">
        <v>3958</v>
      </c>
      <c r="B221" t="s">
        <v>3959</v>
      </c>
      <c r="M221" s="9" t="s">
        <v>21</v>
      </c>
      <c r="O221" s="68"/>
      <c r="P221" s="7">
        <f t="shared" si="13"/>
        <v>0</v>
      </c>
      <c r="Q221" s="7">
        <f t="shared" si="12"/>
        <v>0</v>
      </c>
      <c r="R221">
        <f t="shared" si="14"/>
        <v>0</v>
      </c>
    </row>
    <row r="222" spans="1:18" x14ac:dyDescent="0.2">
      <c r="A222" t="s">
        <v>3879</v>
      </c>
      <c r="B222" t="s">
        <v>3880</v>
      </c>
      <c r="M222" s="9" t="s">
        <v>32</v>
      </c>
      <c r="N222" t="s">
        <v>3881</v>
      </c>
      <c r="O222" s="68">
        <v>1</v>
      </c>
      <c r="P222">
        <f t="shared" ref="P222:P248" si="15">(D222+E222+F222+G222+H222+I222+J222)/7</f>
        <v>0</v>
      </c>
      <c r="Q222" s="7">
        <f t="shared" ref="Q222:Q285" si="16">(O222+P222)/2</f>
        <v>0.5</v>
      </c>
      <c r="R222">
        <f t="shared" si="14"/>
        <v>0</v>
      </c>
    </row>
    <row r="223" spans="1:18" x14ac:dyDescent="0.2">
      <c r="A223" t="s">
        <v>3960</v>
      </c>
      <c r="B223" t="s">
        <v>3961</v>
      </c>
      <c r="M223" s="9" t="s">
        <v>32</v>
      </c>
      <c r="N223" t="s">
        <v>3962</v>
      </c>
      <c r="O223" s="68"/>
      <c r="P223" s="7">
        <f t="shared" si="15"/>
        <v>0</v>
      </c>
      <c r="Q223" s="7">
        <f t="shared" si="16"/>
        <v>0</v>
      </c>
      <c r="R223">
        <f t="shared" si="14"/>
        <v>0</v>
      </c>
    </row>
    <row r="224" spans="1:18" x14ac:dyDescent="0.2">
      <c r="A224" t="s">
        <v>3882</v>
      </c>
      <c r="B224" t="s">
        <v>3883</v>
      </c>
      <c r="M224" s="9" t="s">
        <v>32</v>
      </c>
      <c r="N224" t="s">
        <v>3884</v>
      </c>
      <c r="O224" s="68">
        <v>0.8</v>
      </c>
      <c r="P224">
        <f t="shared" si="15"/>
        <v>0</v>
      </c>
      <c r="Q224" s="7">
        <f t="shared" si="16"/>
        <v>0.4</v>
      </c>
      <c r="R224">
        <f t="shared" si="14"/>
        <v>0</v>
      </c>
    </row>
    <row r="225" spans="1:18" x14ac:dyDescent="0.2">
      <c r="A225" t="s">
        <v>3843</v>
      </c>
      <c r="B225" t="s">
        <v>3886</v>
      </c>
      <c r="M225" s="9" t="s">
        <v>21</v>
      </c>
      <c r="N225" t="s">
        <v>3864</v>
      </c>
      <c r="O225" s="68">
        <v>1</v>
      </c>
      <c r="P225">
        <f t="shared" si="15"/>
        <v>0</v>
      </c>
      <c r="Q225" s="7">
        <f t="shared" si="16"/>
        <v>0.5</v>
      </c>
      <c r="R225">
        <f t="shared" si="14"/>
        <v>0</v>
      </c>
    </row>
    <row r="226" spans="1:18" x14ac:dyDescent="0.2">
      <c r="A226" t="s">
        <v>3963</v>
      </c>
      <c r="B226" t="s">
        <v>3964</v>
      </c>
      <c r="M226" s="9" t="s">
        <v>32</v>
      </c>
      <c r="N226" t="s">
        <v>3965</v>
      </c>
      <c r="O226" s="68"/>
      <c r="P226" s="7">
        <f t="shared" si="15"/>
        <v>0</v>
      </c>
      <c r="Q226" s="7">
        <f t="shared" si="16"/>
        <v>0</v>
      </c>
      <c r="R226">
        <f t="shared" si="14"/>
        <v>0</v>
      </c>
    </row>
    <row r="227" spans="1:18" x14ac:dyDescent="0.2">
      <c r="A227" t="s">
        <v>3748</v>
      </c>
      <c r="B227" t="s">
        <v>3890</v>
      </c>
      <c r="M227" s="9" t="s">
        <v>32</v>
      </c>
      <c r="N227" t="s">
        <v>3891</v>
      </c>
      <c r="O227" s="68">
        <v>1</v>
      </c>
      <c r="P227">
        <f t="shared" si="15"/>
        <v>0</v>
      </c>
      <c r="Q227" s="7">
        <f t="shared" si="16"/>
        <v>0.5</v>
      </c>
      <c r="R227">
        <f t="shared" si="14"/>
        <v>0</v>
      </c>
    </row>
    <row r="228" spans="1:18" x14ac:dyDescent="0.2">
      <c r="A228" t="s">
        <v>3893</v>
      </c>
      <c r="B228" t="s">
        <v>3894</v>
      </c>
      <c r="M228" s="9" t="s">
        <v>32</v>
      </c>
      <c r="N228" t="s">
        <v>3895</v>
      </c>
      <c r="O228" s="68">
        <v>0.5</v>
      </c>
      <c r="P228">
        <f t="shared" si="15"/>
        <v>0</v>
      </c>
      <c r="Q228" s="7">
        <f t="shared" si="16"/>
        <v>0.25</v>
      </c>
      <c r="R228">
        <f t="shared" si="14"/>
        <v>0</v>
      </c>
    </row>
    <row r="229" spans="1:18" x14ac:dyDescent="0.2">
      <c r="A229" t="s">
        <v>3897</v>
      </c>
      <c r="B229" s="69" t="s">
        <v>3898</v>
      </c>
      <c r="C229" t="s">
        <v>20</v>
      </c>
      <c r="D229">
        <v>1</v>
      </c>
      <c r="E229">
        <v>1</v>
      </c>
      <c r="L229">
        <v>2</v>
      </c>
      <c r="M229" s="9" t="s">
        <v>21</v>
      </c>
      <c r="N229" t="s">
        <v>3860</v>
      </c>
      <c r="O229" s="68">
        <v>1</v>
      </c>
      <c r="P229">
        <f t="shared" si="15"/>
        <v>0.2857142857142857</v>
      </c>
      <c r="Q229" s="7">
        <f t="shared" si="16"/>
        <v>0.64285714285714279</v>
      </c>
      <c r="R229">
        <f t="shared" si="14"/>
        <v>0</v>
      </c>
    </row>
    <row r="230" spans="1:18" x14ac:dyDescent="0.2">
      <c r="A230" t="s">
        <v>3966</v>
      </c>
      <c r="B230" t="s">
        <v>3967</v>
      </c>
      <c r="M230" s="9" t="s">
        <v>32</v>
      </c>
      <c r="N230" t="s">
        <v>3968</v>
      </c>
      <c r="O230" s="68"/>
      <c r="P230" s="7">
        <f t="shared" si="15"/>
        <v>0</v>
      </c>
      <c r="Q230" s="7">
        <f t="shared" si="16"/>
        <v>0</v>
      </c>
      <c r="R230">
        <f t="shared" si="14"/>
        <v>0</v>
      </c>
    </row>
    <row r="231" spans="1:18" x14ac:dyDescent="0.2">
      <c r="A231" t="s">
        <v>3838</v>
      </c>
      <c r="B231" t="s">
        <v>3899</v>
      </c>
      <c r="M231" s="9" t="s">
        <v>32</v>
      </c>
      <c r="N231" t="s">
        <v>3862</v>
      </c>
      <c r="O231" s="68">
        <v>1</v>
      </c>
      <c r="P231">
        <f t="shared" si="15"/>
        <v>0</v>
      </c>
      <c r="Q231" s="7">
        <f t="shared" si="16"/>
        <v>0.5</v>
      </c>
      <c r="R231">
        <f t="shared" si="14"/>
        <v>0</v>
      </c>
    </row>
    <row r="232" spans="1:18" x14ac:dyDescent="0.2">
      <c r="A232" t="s">
        <v>3969</v>
      </c>
      <c r="B232" t="s">
        <v>3970</v>
      </c>
      <c r="M232" s="9" t="s">
        <v>21</v>
      </c>
      <c r="N232" t="s">
        <v>3945</v>
      </c>
      <c r="O232" s="68"/>
      <c r="P232" s="7">
        <f t="shared" si="15"/>
        <v>0</v>
      </c>
      <c r="Q232" s="7">
        <f t="shared" si="16"/>
        <v>0</v>
      </c>
      <c r="R232">
        <f t="shared" si="14"/>
        <v>0</v>
      </c>
    </row>
    <row r="233" spans="1:18" x14ac:dyDescent="0.2">
      <c r="A233" t="s">
        <v>3971</v>
      </c>
      <c r="B233" t="s">
        <v>3972</v>
      </c>
      <c r="M233" s="9" t="s">
        <v>32</v>
      </c>
      <c r="N233" t="s">
        <v>3973</v>
      </c>
      <c r="O233" s="68"/>
      <c r="P233" s="7">
        <f t="shared" si="15"/>
        <v>0</v>
      </c>
      <c r="Q233" s="7">
        <f t="shared" si="16"/>
        <v>0</v>
      </c>
      <c r="R233">
        <f t="shared" si="14"/>
        <v>0</v>
      </c>
    </row>
    <row r="234" spans="1:18" x14ac:dyDescent="0.2">
      <c r="A234" t="s">
        <v>3974</v>
      </c>
      <c r="B234" t="s">
        <v>3975</v>
      </c>
      <c r="M234" s="9" t="s">
        <v>32</v>
      </c>
      <c r="N234" t="s">
        <v>3976</v>
      </c>
      <c r="O234" s="68"/>
      <c r="P234" s="7">
        <f t="shared" si="15"/>
        <v>0</v>
      </c>
      <c r="Q234" s="7">
        <f t="shared" si="16"/>
        <v>0</v>
      </c>
      <c r="R234">
        <f t="shared" si="14"/>
        <v>0</v>
      </c>
    </row>
    <row r="235" spans="1:18" x14ac:dyDescent="0.2">
      <c r="A235" t="s">
        <v>3902</v>
      </c>
      <c r="B235" t="s">
        <v>3903</v>
      </c>
      <c r="K235">
        <v>1</v>
      </c>
      <c r="M235" s="9" t="s">
        <v>32</v>
      </c>
      <c r="N235" t="s">
        <v>3881</v>
      </c>
      <c r="O235" s="68">
        <v>1</v>
      </c>
      <c r="P235">
        <f t="shared" si="15"/>
        <v>0</v>
      </c>
      <c r="Q235" s="7">
        <f t="shared" si="16"/>
        <v>0.5</v>
      </c>
      <c r="R235">
        <f t="shared" si="14"/>
        <v>0</v>
      </c>
    </row>
    <row r="236" spans="1:18" x14ac:dyDescent="0.2">
      <c r="A236" t="s">
        <v>3977</v>
      </c>
      <c r="B236" t="s">
        <v>3978</v>
      </c>
      <c r="K236">
        <v>1</v>
      </c>
      <c r="M236" s="9" t="s">
        <v>32</v>
      </c>
      <c r="N236" t="s">
        <v>3979</v>
      </c>
      <c r="O236" s="68"/>
      <c r="P236" s="7">
        <f t="shared" si="15"/>
        <v>0</v>
      </c>
      <c r="Q236" s="7">
        <f t="shared" si="16"/>
        <v>0</v>
      </c>
      <c r="R236">
        <f t="shared" si="14"/>
        <v>0</v>
      </c>
    </row>
    <row r="237" spans="1:18" x14ac:dyDescent="0.2">
      <c r="A237" t="s">
        <v>3980</v>
      </c>
      <c r="B237" t="s">
        <v>3981</v>
      </c>
      <c r="M237" s="9" t="s">
        <v>21</v>
      </c>
      <c r="N237" t="s">
        <v>3982</v>
      </c>
      <c r="O237" s="68"/>
      <c r="P237" s="7">
        <f t="shared" si="15"/>
        <v>0</v>
      </c>
      <c r="Q237" s="7">
        <f t="shared" si="16"/>
        <v>0</v>
      </c>
      <c r="R237">
        <f t="shared" si="14"/>
        <v>0</v>
      </c>
    </row>
    <row r="238" spans="1:18" x14ac:dyDescent="0.2">
      <c r="A238" t="s">
        <v>3983</v>
      </c>
      <c r="B238" t="s">
        <v>3984</v>
      </c>
      <c r="M238" s="9" t="s">
        <v>32</v>
      </c>
      <c r="N238" t="s">
        <v>3985</v>
      </c>
      <c r="O238" s="68"/>
      <c r="P238" s="7">
        <f t="shared" si="15"/>
        <v>0</v>
      </c>
      <c r="Q238" s="7">
        <f t="shared" si="16"/>
        <v>0</v>
      </c>
      <c r="R238">
        <f t="shared" si="14"/>
        <v>0</v>
      </c>
    </row>
    <row r="239" spans="1:18" x14ac:dyDescent="0.2">
      <c r="A239" t="s">
        <v>3785</v>
      </c>
      <c r="B239" t="s">
        <v>3905</v>
      </c>
      <c r="M239" s="9" t="s">
        <v>21</v>
      </c>
      <c r="N239" t="s">
        <v>3860</v>
      </c>
      <c r="O239" s="68">
        <v>1</v>
      </c>
      <c r="P239">
        <f t="shared" si="15"/>
        <v>0</v>
      </c>
      <c r="Q239" s="7">
        <f t="shared" si="16"/>
        <v>0.5</v>
      </c>
      <c r="R239">
        <f t="shared" si="14"/>
        <v>0</v>
      </c>
    </row>
    <row r="240" spans="1:18" x14ac:dyDescent="0.2">
      <c r="A240" t="s">
        <v>3907</v>
      </c>
      <c r="B240" t="s">
        <v>3908</v>
      </c>
      <c r="M240" s="9" t="s">
        <v>32</v>
      </c>
      <c r="N240" t="s">
        <v>3909</v>
      </c>
      <c r="O240" s="68">
        <v>0.5</v>
      </c>
      <c r="P240">
        <f t="shared" si="15"/>
        <v>0</v>
      </c>
      <c r="Q240" s="7">
        <f t="shared" si="16"/>
        <v>0.25</v>
      </c>
      <c r="R240">
        <f t="shared" si="14"/>
        <v>0</v>
      </c>
    </row>
    <row r="241" spans="1:18" x14ac:dyDescent="0.2">
      <c r="A241" t="s">
        <v>3752</v>
      </c>
      <c r="B241" t="s">
        <v>3911</v>
      </c>
      <c r="M241" s="9" t="s">
        <v>32</v>
      </c>
      <c r="N241" t="s">
        <v>3862</v>
      </c>
      <c r="O241" s="68">
        <v>1</v>
      </c>
      <c r="P241">
        <f t="shared" si="15"/>
        <v>0</v>
      </c>
      <c r="Q241" s="7">
        <f t="shared" si="16"/>
        <v>0.5</v>
      </c>
      <c r="R241">
        <f t="shared" si="14"/>
        <v>0</v>
      </c>
    </row>
    <row r="242" spans="1:18" x14ac:dyDescent="0.2">
      <c r="A242" t="s">
        <v>3912</v>
      </c>
      <c r="B242" t="s">
        <v>3913</v>
      </c>
      <c r="M242" s="9" t="s">
        <v>32</v>
      </c>
      <c r="N242" t="s">
        <v>3884</v>
      </c>
      <c r="O242" s="68">
        <v>0.8</v>
      </c>
      <c r="P242">
        <f t="shared" si="15"/>
        <v>0</v>
      </c>
      <c r="Q242" s="7">
        <f t="shared" si="16"/>
        <v>0.4</v>
      </c>
      <c r="R242">
        <f t="shared" si="14"/>
        <v>0</v>
      </c>
    </row>
    <row r="243" spans="1:18" x14ac:dyDescent="0.2">
      <c r="A243" t="s">
        <v>3986</v>
      </c>
      <c r="B243" t="s">
        <v>3987</v>
      </c>
      <c r="M243" s="9" t="s">
        <v>32</v>
      </c>
      <c r="N243" t="s">
        <v>3988</v>
      </c>
      <c r="O243" s="68"/>
      <c r="P243" s="7">
        <f t="shared" si="15"/>
        <v>0</v>
      </c>
      <c r="Q243" s="7">
        <f t="shared" si="16"/>
        <v>0</v>
      </c>
      <c r="R243">
        <f t="shared" si="14"/>
        <v>0</v>
      </c>
    </row>
    <row r="244" spans="1:18" x14ac:dyDescent="0.2">
      <c r="A244" t="s">
        <v>3746</v>
      </c>
      <c r="B244" t="s">
        <v>3914</v>
      </c>
      <c r="L244">
        <v>1</v>
      </c>
      <c r="M244" s="9" t="s">
        <v>32</v>
      </c>
      <c r="N244" t="s">
        <v>3915</v>
      </c>
      <c r="O244" s="68">
        <v>1</v>
      </c>
      <c r="P244">
        <f t="shared" si="15"/>
        <v>0</v>
      </c>
      <c r="Q244" s="7">
        <f t="shared" si="16"/>
        <v>0.5</v>
      </c>
      <c r="R244">
        <f t="shared" si="14"/>
        <v>0</v>
      </c>
    </row>
    <row r="245" spans="1:18" x14ac:dyDescent="0.2">
      <c r="A245" t="s">
        <v>3989</v>
      </c>
      <c r="B245" t="s">
        <v>3990</v>
      </c>
      <c r="M245" s="9" t="s">
        <v>32</v>
      </c>
      <c r="N245" t="s">
        <v>3991</v>
      </c>
      <c r="O245" s="68"/>
      <c r="P245" s="7">
        <f t="shared" si="15"/>
        <v>0</v>
      </c>
      <c r="Q245" s="7">
        <f t="shared" si="16"/>
        <v>0</v>
      </c>
      <c r="R245">
        <f t="shared" si="14"/>
        <v>0</v>
      </c>
    </row>
    <row r="246" spans="1:18" x14ac:dyDescent="0.2">
      <c r="A246" t="s">
        <v>3992</v>
      </c>
      <c r="B246" t="s">
        <v>3993</v>
      </c>
      <c r="L246">
        <v>1</v>
      </c>
      <c r="M246" s="9" t="s">
        <v>32</v>
      </c>
      <c r="N246" t="s">
        <v>3985</v>
      </c>
      <c r="O246" s="68"/>
      <c r="P246" s="7">
        <f t="shared" si="15"/>
        <v>0</v>
      </c>
      <c r="Q246" s="7">
        <f t="shared" si="16"/>
        <v>0</v>
      </c>
      <c r="R246">
        <f t="shared" si="14"/>
        <v>0</v>
      </c>
    </row>
    <row r="247" spans="1:18" x14ac:dyDescent="0.2">
      <c r="A247" t="s">
        <v>3766</v>
      </c>
      <c r="B247" t="s">
        <v>3994</v>
      </c>
      <c r="M247" s="9" t="s">
        <v>32</v>
      </c>
      <c r="N247" t="s">
        <v>3995</v>
      </c>
      <c r="O247" s="68"/>
      <c r="P247" s="7">
        <f t="shared" si="15"/>
        <v>0</v>
      </c>
      <c r="Q247" s="7">
        <f t="shared" si="16"/>
        <v>0</v>
      </c>
      <c r="R247">
        <f t="shared" si="14"/>
        <v>0</v>
      </c>
    </row>
    <row r="248" spans="1:18" x14ac:dyDescent="0.2">
      <c r="A248" t="s">
        <v>3996</v>
      </c>
      <c r="B248" t="s">
        <v>3997</v>
      </c>
      <c r="M248" s="9" t="s">
        <v>32</v>
      </c>
      <c r="N248" t="s">
        <v>3998</v>
      </c>
      <c r="O248" s="68"/>
      <c r="P248" s="7">
        <f t="shared" si="15"/>
        <v>0</v>
      </c>
      <c r="Q248" s="7">
        <f t="shared" si="16"/>
        <v>0</v>
      </c>
      <c r="R248">
        <f t="shared" si="14"/>
        <v>0</v>
      </c>
    </row>
    <row r="249" spans="1:18" x14ac:dyDescent="0.2">
      <c r="A249" t="s">
        <v>318</v>
      </c>
      <c r="B249" t="s">
        <v>3917</v>
      </c>
      <c r="M249" s="9" t="s">
        <v>32</v>
      </c>
      <c r="N249" t="s">
        <v>3862</v>
      </c>
      <c r="O249" s="68">
        <v>1</v>
      </c>
      <c r="P249">
        <f>(D249+E249+F249+G249+H249+I249+J249)/2</f>
        <v>0</v>
      </c>
      <c r="Q249" s="7">
        <f t="shared" si="16"/>
        <v>0.5</v>
      </c>
      <c r="R249">
        <f t="shared" si="14"/>
        <v>0</v>
      </c>
    </row>
    <row r="250" spans="1:18" x14ac:dyDescent="0.2">
      <c r="A250" t="s">
        <v>3999</v>
      </c>
      <c r="B250" t="s">
        <v>4000</v>
      </c>
      <c r="K250">
        <v>1</v>
      </c>
      <c r="M250" s="9" t="s">
        <v>32</v>
      </c>
      <c r="N250" t="s">
        <v>4001</v>
      </c>
      <c r="O250" s="68"/>
      <c r="P250" s="7">
        <f t="shared" ref="P250:P289" si="17">(D250+E250+F250+G250+H250+I250+J250)/7</f>
        <v>0</v>
      </c>
      <c r="Q250" s="7">
        <f t="shared" si="16"/>
        <v>0</v>
      </c>
      <c r="R250">
        <f t="shared" si="14"/>
        <v>0</v>
      </c>
    </row>
    <row r="251" spans="1:18" x14ac:dyDescent="0.2">
      <c r="A251" t="s">
        <v>1080</v>
      </c>
      <c r="B251" t="s">
        <v>4002</v>
      </c>
      <c r="K251">
        <v>1</v>
      </c>
      <c r="M251" s="9" t="s">
        <v>21</v>
      </c>
      <c r="N251" t="s">
        <v>3945</v>
      </c>
      <c r="O251" s="68"/>
      <c r="P251" s="7">
        <f t="shared" si="17"/>
        <v>0</v>
      </c>
      <c r="Q251" s="7">
        <f t="shared" si="16"/>
        <v>0</v>
      </c>
      <c r="R251">
        <f t="shared" si="14"/>
        <v>0</v>
      </c>
    </row>
    <row r="252" spans="1:18" x14ac:dyDescent="0.2">
      <c r="A252" t="s">
        <v>4003</v>
      </c>
      <c r="B252"/>
      <c r="C252" t="s">
        <v>184</v>
      </c>
      <c r="M252" s="9" t="s">
        <v>21</v>
      </c>
      <c r="N252" t="s">
        <v>3945</v>
      </c>
      <c r="O252" s="68"/>
      <c r="P252" s="7">
        <f t="shared" si="17"/>
        <v>0</v>
      </c>
      <c r="Q252" s="7">
        <f t="shared" si="16"/>
        <v>0</v>
      </c>
      <c r="R252">
        <f t="shared" si="14"/>
        <v>0</v>
      </c>
    </row>
    <row r="253" spans="1:18" x14ac:dyDescent="0.2">
      <c r="A253" t="s">
        <v>4004</v>
      </c>
      <c r="B253" t="s">
        <v>4005</v>
      </c>
      <c r="M253" s="9" t="s">
        <v>32</v>
      </c>
      <c r="N253" t="s">
        <v>3979</v>
      </c>
      <c r="O253" s="68"/>
      <c r="P253" s="7">
        <f t="shared" si="17"/>
        <v>0</v>
      </c>
      <c r="Q253" s="7">
        <f t="shared" si="16"/>
        <v>0</v>
      </c>
      <c r="R253">
        <f t="shared" si="14"/>
        <v>0</v>
      </c>
    </row>
    <row r="254" spans="1:18" x14ac:dyDescent="0.2">
      <c r="A254" t="s">
        <v>3920</v>
      </c>
      <c r="B254" t="s">
        <v>3921</v>
      </c>
      <c r="M254" s="9" t="s">
        <v>32</v>
      </c>
      <c r="N254" t="s">
        <v>3895</v>
      </c>
      <c r="O254" s="68">
        <v>0.5</v>
      </c>
      <c r="P254">
        <f t="shared" si="17"/>
        <v>0</v>
      </c>
      <c r="Q254" s="7">
        <f t="shared" si="16"/>
        <v>0.25</v>
      </c>
      <c r="R254">
        <f t="shared" si="14"/>
        <v>0</v>
      </c>
    </row>
    <row r="255" spans="1:18" x14ac:dyDescent="0.2">
      <c r="A255" t="s">
        <v>4006</v>
      </c>
      <c r="B255" t="s">
        <v>4007</v>
      </c>
      <c r="M255" s="9" t="s">
        <v>32</v>
      </c>
      <c r="N255" t="s">
        <v>4008</v>
      </c>
      <c r="O255" s="68"/>
      <c r="P255" s="7">
        <f t="shared" si="17"/>
        <v>0</v>
      </c>
      <c r="Q255" s="7">
        <f t="shared" si="16"/>
        <v>0</v>
      </c>
      <c r="R255">
        <f t="shared" si="14"/>
        <v>0</v>
      </c>
    </row>
    <row r="256" spans="1:18" x14ac:dyDescent="0.2">
      <c r="A256" t="s">
        <v>4009</v>
      </c>
      <c r="B256" t="s">
        <v>4010</v>
      </c>
      <c r="M256" s="9" t="s">
        <v>32</v>
      </c>
      <c r="N256" t="s">
        <v>4011</v>
      </c>
      <c r="O256" s="68"/>
      <c r="P256" s="7">
        <f t="shared" si="17"/>
        <v>0</v>
      </c>
      <c r="Q256" s="7">
        <f t="shared" si="16"/>
        <v>0</v>
      </c>
      <c r="R256">
        <f t="shared" si="14"/>
        <v>0</v>
      </c>
    </row>
    <row r="257" spans="1:18" x14ac:dyDescent="0.2">
      <c r="A257" t="s">
        <v>3747</v>
      </c>
      <c r="B257" t="s">
        <v>3923</v>
      </c>
      <c r="M257" s="9" t="s">
        <v>32</v>
      </c>
      <c r="N257" t="s">
        <v>3915</v>
      </c>
      <c r="O257" s="68">
        <v>1</v>
      </c>
      <c r="P257">
        <f t="shared" si="17"/>
        <v>0</v>
      </c>
      <c r="Q257" s="7">
        <f t="shared" si="16"/>
        <v>0.5</v>
      </c>
      <c r="R257">
        <f t="shared" si="14"/>
        <v>0</v>
      </c>
    </row>
    <row r="258" spans="1:18" x14ac:dyDescent="0.2">
      <c r="A258" t="s">
        <v>4012</v>
      </c>
      <c r="B258" t="s">
        <v>4013</v>
      </c>
      <c r="K258">
        <v>1</v>
      </c>
      <c r="M258" s="9" t="s">
        <v>21</v>
      </c>
      <c r="N258" t="s">
        <v>3945</v>
      </c>
      <c r="O258" s="68"/>
      <c r="P258" s="7">
        <f t="shared" si="17"/>
        <v>0</v>
      </c>
      <c r="Q258" s="7">
        <f t="shared" si="16"/>
        <v>0</v>
      </c>
      <c r="R258">
        <f t="shared" ref="R258:R289" si="18">IF(_xlfn.BITAND(P258&gt;0.4999, Q258&gt;0.4999)=1,1,0)</f>
        <v>0</v>
      </c>
    </row>
    <row r="259" spans="1:18" x14ac:dyDescent="0.2">
      <c r="A259" t="s">
        <v>4014</v>
      </c>
      <c r="B259" t="s">
        <v>4015</v>
      </c>
      <c r="M259" s="9" t="s">
        <v>32</v>
      </c>
      <c r="N259" t="s">
        <v>4016</v>
      </c>
      <c r="O259" s="68"/>
      <c r="P259" s="7">
        <f t="shared" si="17"/>
        <v>0</v>
      </c>
      <c r="Q259" s="7">
        <f t="shared" si="16"/>
        <v>0</v>
      </c>
      <c r="R259">
        <f t="shared" si="18"/>
        <v>0</v>
      </c>
    </row>
    <row r="260" spans="1:18" x14ac:dyDescent="0.2">
      <c r="A260" t="s">
        <v>4017</v>
      </c>
      <c r="B260" t="s">
        <v>4018</v>
      </c>
      <c r="M260" s="9" t="s">
        <v>21</v>
      </c>
      <c r="N260" t="s">
        <v>3982</v>
      </c>
      <c r="O260" s="68"/>
      <c r="P260" s="7">
        <f t="shared" si="17"/>
        <v>0</v>
      </c>
      <c r="Q260" s="7">
        <f t="shared" si="16"/>
        <v>0</v>
      </c>
      <c r="R260">
        <f t="shared" si="18"/>
        <v>0</v>
      </c>
    </row>
    <row r="261" spans="1:18" x14ac:dyDescent="0.2">
      <c r="A261" t="s">
        <v>4019</v>
      </c>
      <c r="B261" t="s">
        <v>4020</v>
      </c>
      <c r="M261" s="9" t="s">
        <v>32</v>
      </c>
      <c r="N261" t="s">
        <v>3973</v>
      </c>
      <c r="O261" s="68"/>
      <c r="P261" s="7">
        <f t="shared" si="17"/>
        <v>0</v>
      </c>
      <c r="Q261" s="7">
        <f t="shared" si="16"/>
        <v>0</v>
      </c>
      <c r="R261">
        <f t="shared" si="18"/>
        <v>0</v>
      </c>
    </row>
    <row r="262" spans="1:18" x14ac:dyDescent="0.2">
      <c r="A262" t="s">
        <v>4021</v>
      </c>
      <c r="B262" t="s">
        <v>4022</v>
      </c>
      <c r="M262" s="9" t="s">
        <v>21</v>
      </c>
      <c r="N262" t="s">
        <v>3945</v>
      </c>
      <c r="O262" s="68"/>
      <c r="P262" s="7">
        <f t="shared" si="17"/>
        <v>0</v>
      </c>
      <c r="Q262" s="7">
        <f t="shared" si="16"/>
        <v>0</v>
      </c>
      <c r="R262">
        <f t="shared" si="18"/>
        <v>0</v>
      </c>
    </row>
    <row r="263" spans="1:18" x14ac:dyDescent="0.2">
      <c r="A263" t="s">
        <v>4023</v>
      </c>
      <c r="B263" t="s">
        <v>4024</v>
      </c>
      <c r="M263" s="9" t="s">
        <v>32</v>
      </c>
      <c r="N263" t="s">
        <v>3976</v>
      </c>
      <c r="O263" s="68"/>
      <c r="P263" s="7">
        <f t="shared" si="17"/>
        <v>0</v>
      </c>
      <c r="Q263" s="7">
        <f t="shared" si="16"/>
        <v>0</v>
      </c>
      <c r="R263">
        <f t="shared" si="18"/>
        <v>0</v>
      </c>
    </row>
    <row r="264" spans="1:18" x14ac:dyDescent="0.2">
      <c r="A264" t="s">
        <v>4025</v>
      </c>
      <c r="B264" t="s">
        <v>4026</v>
      </c>
      <c r="K264">
        <v>1</v>
      </c>
      <c r="M264" s="9" t="s">
        <v>32</v>
      </c>
      <c r="N264" t="s">
        <v>4027</v>
      </c>
      <c r="O264" s="68"/>
      <c r="P264" s="7">
        <f t="shared" si="17"/>
        <v>0</v>
      </c>
      <c r="Q264" s="7">
        <f t="shared" si="16"/>
        <v>0</v>
      </c>
      <c r="R264">
        <f t="shared" si="18"/>
        <v>0</v>
      </c>
    </row>
    <row r="265" spans="1:18" x14ac:dyDescent="0.2">
      <c r="A265" t="s">
        <v>3925</v>
      </c>
      <c r="B265" t="s">
        <v>3926</v>
      </c>
      <c r="M265" s="9" t="s">
        <v>32</v>
      </c>
      <c r="N265" t="s">
        <v>3884</v>
      </c>
      <c r="O265" s="68">
        <v>0.8</v>
      </c>
      <c r="P265">
        <f t="shared" si="17"/>
        <v>0</v>
      </c>
      <c r="Q265" s="7">
        <f t="shared" si="16"/>
        <v>0.4</v>
      </c>
      <c r="R265">
        <f t="shared" si="18"/>
        <v>0</v>
      </c>
    </row>
    <row r="266" spans="1:18" x14ac:dyDescent="0.2">
      <c r="A266" t="s">
        <v>4028</v>
      </c>
      <c r="B266" t="s">
        <v>4029</v>
      </c>
      <c r="M266" s="9" t="s">
        <v>32</v>
      </c>
      <c r="N266" t="s">
        <v>4001</v>
      </c>
      <c r="O266" s="68"/>
      <c r="P266" s="7">
        <f t="shared" si="17"/>
        <v>0</v>
      </c>
      <c r="Q266" s="7">
        <f t="shared" si="16"/>
        <v>0</v>
      </c>
      <c r="R266">
        <f t="shared" si="18"/>
        <v>0</v>
      </c>
    </row>
    <row r="267" spans="1:18" x14ac:dyDescent="0.2">
      <c r="A267" t="s">
        <v>4030</v>
      </c>
      <c r="B267" t="s">
        <v>4031</v>
      </c>
      <c r="M267" s="9" t="s">
        <v>32</v>
      </c>
      <c r="N267" t="s">
        <v>4032</v>
      </c>
      <c r="O267" s="68"/>
      <c r="P267" s="7">
        <f t="shared" si="17"/>
        <v>0</v>
      </c>
      <c r="Q267" s="7">
        <f t="shared" si="16"/>
        <v>0</v>
      </c>
      <c r="R267">
        <f t="shared" si="18"/>
        <v>0</v>
      </c>
    </row>
    <row r="268" spans="1:18" x14ac:dyDescent="0.2">
      <c r="A268" t="s">
        <v>4033</v>
      </c>
      <c r="B268" t="s">
        <v>4034</v>
      </c>
      <c r="M268" s="9" t="s">
        <v>32</v>
      </c>
      <c r="N268" t="s">
        <v>4035</v>
      </c>
      <c r="O268" s="68"/>
      <c r="P268" s="7">
        <f t="shared" si="17"/>
        <v>0</v>
      </c>
      <c r="Q268" s="7">
        <f t="shared" si="16"/>
        <v>0</v>
      </c>
      <c r="R268">
        <f t="shared" si="18"/>
        <v>0</v>
      </c>
    </row>
    <row r="269" spans="1:18" x14ac:dyDescent="0.2">
      <c r="A269" t="s">
        <v>4036</v>
      </c>
      <c r="B269" t="s">
        <v>4037</v>
      </c>
      <c r="K269">
        <v>1</v>
      </c>
      <c r="M269" s="9" t="s">
        <v>21</v>
      </c>
      <c r="N269" t="s">
        <v>3945</v>
      </c>
      <c r="O269" s="68"/>
      <c r="P269" s="7">
        <f t="shared" si="17"/>
        <v>0</v>
      </c>
      <c r="Q269" s="7">
        <f t="shared" si="16"/>
        <v>0</v>
      </c>
      <c r="R269">
        <f t="shared" si="18"/>
        <v>0</v>
      </c>
    </row>
    <row r="270" spans="1:18" x14ac:dyDescent="0.2">
      <c r="A270" t="s">
        <v>4038</v>
      </c>
      <c r="B270" t="s">
        <v>4039</v>
      </c>
      <c r="M270" s="9" t="s">
        <v>32</v>
      </c>
      <c r="N270" t="s">
        <v>4040</v>
      </c>
      <c r="O270" s="68"/>
      <c r="P270" s="7">
        <f t="shared" si="17"/>
        <v>0</v>
      </c>
      <c r="Q270" s="7">
        <f t="shared" si="16"/>
        <v>0</v>
      </c>
      <c r="R270">
        <f t="shared" si="18"/>
        <v>0</v>
      </c>
    </row>
    <row r="271" spans="1:18" x14ac:dyDescent="0.2">
      <c r="A271" t="s">
        <v>3930</v>
      </c>
      <c r="B271" t="s">
        <v>3931</v>
      </c>
      <c r="M271" s="9" t="s">
        <v>32</v>
      </c>
      <c r="N271" t="s">
        <v>3895</v>
      </c>
      <c r="O271" s="68">
        <v>0.5</v>
      </c>
      <c r="P271">
        <f t="shared" si="17"/>
        <v>0</v>
      </c>
      <c r="Q271" s="7">
        <f t="shared" si="16"/>
        <v>0.25</v>
      </c>
      <c r="R271">
        <f t="shared" si="18"/>
        <v>0</v>
      </c>
    </row>
    <row r="272" spans="1:18" x14ac:dyDescent="0.2">
      <c r="A272" t="s">
        <v>4041</v>
      </c>
      <c r="B272" t="s">
        <v>4042</v>
      </c>
      <c r="M272" s="9" t="s">
        <v>32</v>
      </c>
      <c r="N272" t="s">
        <v>3891</v>
      </c>
      <c r="O272" s="68"/>
      <c r="P272" s="7">
        <f t="shared" si="17"/>
        <v>0</v>
      </c>
      <c r="Q272" s="7">
        <f t="shared" si="16"/>
        <v>0</v>
      </c>
      <c r="R272">
        <f t="shared" si="18"/>
        <v>0</v>
      </c>
    </row>
    <row r="273" spans="1:18" x14ac:dyDescent="0.2">
      <c r="A273" t="s">
        <v>4043</v>
      </c>
      <c r="B273" t="s">
        <v>4044</v>
      </c>
      <c r="M273" s="9" t="s">
        <v>32</v>
      </c>
      <c r="N273" t="s">
        <v>3985</v>
      </c>
      <c r="O273" s="68"/>
      <c r="P273" s="7">
        <f t="shared" si="17"/>
        <v>0</v>
      </c>
      <c r="Q273" s="7">
        <f t="shared" si="16"/>
        <v>0</v>
      </c>
      <c r="R273">
        <f t="shared" si="18"/>
        <v>0</v>
      </c>
    </row>
    <row r="274" spans="1:18" x14ac:dyDescent="0.2">
      <c r="A274" t="s">
        <v>4045</v>
      </c>
      <c r="B274" t="s">
        <v>4046</v>
      </c>
      <c r="M274" s="9" t="s">
        <v>21</v>
      </c>
      <c r="N274" t="s">
        <v>4047</v>
      </c>
      <c r="O274" s="68"/>
      <c r="P274" s="7">
        <f t="shared" si="17"/>
        <v>0</v>
      </c>
      <c r="Q274" s="7">
        <f t="shared" si="16"/>
        <v>0</v>
      </c>
      <c r="R274">
        <f t="shared" si="18"/>
        <v>0</v>
      </c>
    </row>
    <row r="275" spans="1:18" x14ac:dyDescent="0.2">
      <c r="A275" t="s">
        <v>1114</v>
      </c>
      <c r="B275" t="s">
        <v>4048</v>
      </c>
      <c r="M275" s="9" t="s">
        <v>21</v>
      </c>
      <c r="N275" t="s">
        <v>3945</v>
      </c>
      <c r="O275" s="68"/>
      <c r="P275" s="7">
        <f t="shared" si="17"/>
        <v>0</v>
      </c>
      <c r="Q275" s="7">
        <f t="shared" si="16"/>
        <v>0</v>
      </c>
      <c r="R275">
        <f t="shared" si="18"/>
        <v>0</v>
      </c>
    </row>
    <row r="276" spans="1:18" x14ac:dyDescent="0.2">
      <c r="A276" t="s">
        <v>4049</v>
      </c>
      <c r="B276" t="s">
        <v>4050</v>
      </c>
      <c r="M276" s="9" t="s">
        <v>32</v>
      </c>
      <c r="N276" t="s">
        <v>4051</v>
      </c>
      <c r="O276" s="68"/>
      <c r="P276" s="7">
        <f t="shared" si="17"/>
        <v>0</v>
      </c>
      <c r="Q276" s="7">
        <f t="shared" si="16"/>
        <v>0</v>
      </c>
      <c r="R276">
        <f t="shared" si="18"/>
        <v>0</v>
      </c>
    </row>
    <row r="277" spans="1:18" x14ac:dyDescent="0.2">
      <c r="A277" t="s">
        <v>4052</v>
      </c>
      <c r="B277" t="s">
        <v>4053</v>
      </c>
      <c r="K277">
        <v>1</v>
      </c>
      <c r="M277" s="9" t="s">
        <v>32</v>
      </c>
      <c r="N277" t="s">
        <v>4054</v>
      </c>
      <c r="O277" s="68"/>
      <c r="P277" s="7">
        <f t="shared" si="17"/>
        <v>0</v>
      </c>
      <c r="Q277" s="7">
        <f t="shared" si="16"/>
        <v>0</v>
      </c>
      <c r="R277">
        <f t="shared" si="18"/>
        <v>0</v>
      </c>
    </row>
    <row r="278" spans="1:18" x14ac:dyDescent="0.2">
      <c r="A278" t="s">
        <v>4055</v>
      </c>
      <c r="B278" t="s">
        <v>4056</v>
      </c>
      <c r="K278">
        <v>1</v>
      </c>
      <c r="M278" s="9" t="s">
        <v>32</v>
      </c>
      <c r="N278" t="s">
        <v>4057</v>
      </c>
      <c r="O278" s="68"/>
      <c r="P278" s="7">
        <f t="shared" si="17"/>
        <v>0</v>
      </c>
      <c r="Q278" s="7">
        <f t="shared" si="16"/>
        <v>0</v>
      </c>
      <c r="R278">
        <f t="shared" si="18"/>
        <v>0</v>
      </c>
    </row>
    <row r="279" spans="1:18" x14ac:dyDescent="0.2">
      <c r="A279" t="s">
        <v>3767</v>
      </c>
      <c r="B279" t="s">
        <v>4058</v>
      </c>
      <c r="M279" s="9" t="s">
        <v>32</v>
      </c>
      <c r="N279" t="s">
        <v>3955</v>
      </c>
      <c r="O279" s="68"/>
      <c r="P279" s="7">
        <f t="shared" si="17"/>
        <v>0</v>
      </c>
      <c r="Q279" s="7">
        <f t="shared" si="16"/>
        <v>0</v>
      </c>
      <c r="R279">
        <f t="shared" si="18"/>
        <v>0</v>
      </c>
    </row>
    <row r="280" spans="1:18" x14ac:dyDescent="0.2">
      <c r="A280" t="s">
        <v>4059</v>
      </c>
      <c r="B280" t="s">
        <v>4060</v>
      </c>
      <c r="M280" s="9" t="s">
        <v>32</v>
      </c>
      <c r="N280" t="s">
        <v>3965</v>
      </c>
      <c r="O280" s="68"/>
      <c r="P280" s="7">
        <f t="shared" si="17"/>
        <v>0</v>
      </c>
      <c r="Q280" s="7">
        <f t="shared" si="16"/>
        <v>0</v>
      </c>
      <c r="R280">
        <f t="shared" si="18"/>
        <v>0</v>
      </c>
    </row>
    <row r="281" spans="1:18" x14ac:dyDescent="0.2">
      <c r="A281" t="s">
        <v>4061</v>
      </c>
      <c r="B281" t="s">
        <v>4062</v>
      </c>
      <c r="K281">
        <v>1</v>
      </c>
      <c r="M281" s="9" t="s">
        <v>32</v>
      </c>
      <c r="N281" t="s">
        <v>4063</v>
      </c>
      <c r="O281" s="68"/>
      <c r="P281" s="7">
        <f t="shared" si="17"/>
        <v>0</v>
      </c>
      <c r="Q281" s="7">
        <f t="shared" si="16"/>
        <v>0</v>
      </c>
      <c r="R281">
        <f t="shared" si="18"/>
        <v>0</v>
      </c>
    </row>
    <row r="282" spans="1:18" x14ac:dyDescent="0.2">
      <c r="A282" t="s">
        <v>3704</v>
      </c>
      <c r="B282" t="s">
        <v>3934</v>
      </c>
      <c r="M282" s="9" t="s">
        <v>32</v>
      </c>
      <c r="N282" t="s">
        <v>3919</v>
      </c>
      <c r="O282" s="68">
        <v>1</v>
      </c>
      <c r="P282">
        <f t="shared" si="17"/>
        <v>0</v>
      </c>
      <c r="Q282" s="7">
        <f t="shared" si="16"/>
        <v>0.5</v>
      </c>
      <c r="R282">
        <f t="shared" si="18"/>
        <v>0</v>
      </c>
    </row>
    <row r="283" spans="1:18" x14ac:dyDescent="0.2">
      <c r="A283" t="s">
        <v>3935</v>
      </c>
      <c r="B283" t="s">
        <v>3936</v>
      </c>
      <c r="C283" t="s">
        <v>201</v>
      </c>
      <c r="M283" s="9" t="s">
        <v>21</v>
      </c>
      <c r="N283" t="s">
        <v>3866</v>
      </c>
      <c r="O283" s="68">
        <v>1</v>
      </c>
      <c r="P283">
        <f t="shared" si="17"/>
        <v>0</v>
      </c>
      <c r="Q283" s="7">
        <f t="shared" si="16"/>
        <v>0.5</v>
      </c>
      <c r="R283">
        <f t="shared" si="18"/>
        <v>0</v>
      </c>
    </row>
    <row r="284" spans="1:18" x14ac:dyDescent="0.2">
      <c r="A284" t="s">
        <v>4064</v>
      </c>
      <c r="B284" t="s">
        <v>4065</v>
      </c>
      <c r="M284" s="9" t="s">
        <v>32</v>
      </c>
      <c r="N284" t="s">
        <v>3953</v>
      </c>
      <c r="O284" s="68"/>
      <c r="P284" s="7">
        <f t="shared" si="17"/>
        <v>0</v>
      </c>
      <c r="Q284" s="7">
        <f t="shared" si="16"/>
        <v>0</v>
      </c>
      <c r="R284">
        <f t="shared" si="18"/>
        <v>0</v>
      </c>
    </row>
    <row r="285" spans="1:18" x14ac:dyDescent="0.2">
      <c r="A285" t="s">
        <v>4066</v>
      </c>
      <c r="B285" t="s">
        <v>4067</v>
      </c>
      <c r="M285" s="9" t="s">
        <v>32</v>
      </c>
      <c r="N285" t="s">
        <v>4068</v>
      </c>
      <c r="O285" s="68"/>
      <c r="P285" s="7">
        <f t="shared" si="17"/>
        <v>0</v>
      </c>
      <c r="Q285" s="7">
        <f t="shared" si="16"/>
        <v>0</v>
      </c>
      <c r="R285">
        <f t="shared" si="18"/>
        <v>0</v>
      </c>
    </row>
    <row r="286" spans="1:18" x14ac:dyDescent="0.2">
      <c r="A286" t="s">
        <v>4069</v>
      </c>
      <c r="B286" t="s">
        <v>4070</v>
      </c>
      <c r="M286" s="9" t="s">
        <v>32</v>
      </c>
      <c r="N286" t="s">
        <v>4071</v>
      </c>
      <c r="O286" s="68"/>
      <c r="P286" s="7">
        <f t="shared" si="17"/>
        <v>0</v>
      </c>
      <c r="Q286" s="7">
        <f t="shared" ref="Q286:Q289" si="19">(O286+P286)/2</f>
        <v>0</v>
      </c>
      <c r="R286">
        <f t="shared" si="18"/>
        <v>0</v>
      </c>
    </row>
    <row r="287" spans="1:18" x14ac:dyDescent="0.2">
      <c r="A287" t="s">
        <v>1136</v>
      </c>
      <c r="B287" t="s">
        <v>4072</v>
      </c>
      <c r="M287" s="9" t="s">
        <v>21</v>
      </c>
      <c r="N287" t="s">
        <v>4073</v>
      </c>
      <c r="O287" s="68"/>
      <c r="P287" s="7">
        <f t="shared" si="17"/>
        <v>0</v>
      </c>
      <c r="Q287" s="7">
        <f t="shared" si="19"/>
        <v>0</v>
      </c>
      <c r="R287">
        <f t="shared" si="18"/>
        <v>0</v>
      </c>
    </row>
    <row r="288" spans="1:18" x14ac:dyDescent="0.2">
      <c r="A288" t="s">
        <v>3937</v>
      </c>
      <c r="B288" t="s">
        <v>3938</v>
      </c>
      <c r="M288" s="9" t="s">
        <v>32</v>
      </c>
      <c r="N288" t="s">
        <v>3939</v>
      </c>
      <c r="O288" s="68">
        <v>1</v>
      </c>
      <c r="P288">
        <f t="shared" si="17"/>
        <v>0</v>
      </c>
      <c r="Q288" s="7">
        <f t="shared" si="19"/>
        <v>0.5</v>
      </c>
      <c r="R288">
        <f t="shared" si="18"/>
        <v>0</v>
      </c>
    </row>
    <row r="289" spans="1:18" x14ac:dyDescent="0.2">
      <c r="A289" t="s">
        <v>4074</v>
      </c>
      <c r="B289" t="s">
        <v>4075</v>
      </c>
      <c r="M289" s="9" t="s">
        <v>32</v>
      </c>
      <c r="N289" t="s">
        <v>4076</v>
      </c>
      <c r="O289" s="68"/>
      <c r="P289" s="7">
        <f t="shared" si="17"/>
        <v>0</v>
      </c>
      <c r="Q289" s="7">
        <f t="shared" si="19"/>
        <v>0</v>
      </c>
      <c r="R289">
        <f t="shared" si="18"/>
        <v>0</v>
      </c>
    </row>
    <row r="304" spans="1:18" x14ac:dyDescent="0.2">
      <c r="A304" s="95"/>
    </row>
    <row r="305" spans="1:1" x14ac:dyDescent="0.2">
      <c r="A305" s="95"/>
    </row>
    <row r="306" spans="1:1" x14ac:dyDescent="0.2">
      <c r="A306" s="95"/>
    </row>
    <row r="307" spans="1:1" x14ac:dyDescent="0.2">
      <c r="A307" s="95"/>
    </row>
    <row r="308" spans="1:1" x14ac:dyDescent="0.2">
      <c r="A308" s="95"/>
    </row>
    <row r="309" spans="1:1" x14ac:dyDescent="0.2">
      <c r="A309" s="95"/>
    </row>
    <row r="310" spans="1:1" x14ac:dyDescent="0.2">
      <c r="A310" s="55"/>
    </row>
    <row r="311" spans="1:1" x14ac:dyDescent="0.2">
      <c r="A311" s="55"/>
    </row>
    <row r="312" spans="1:1" x14ac:dyDescent="0.2">
      <c r="A312" s="55"/>
    </row>
    <row r="313" spans="1:1" x14ac:dyDescent="0.2">
      <c r="A313" s="55"/>
    </row>
    <row r="314" spans="1:1" x14ac:dyDescent="0.2">
      <c r="A314" s="55"/>
    </row>
    <row r="315" spans="1:1" x14ac:dyDescent="0.2">
      <c r="A315" s="55"/>
    </row>
    <row r="316" spans="1:1" x14ac:dyDescent="0.2">
      <c r="A316" s="55"/>
    </row>
    <row r="317" spans="1:1" x14ac:dyDescent="0.2">
      <c r="A317" s="55"/>
    </row>
    <row r="318" spans="1:1" x14ac:dyDescent="0.2">
      <c r="A318" s="55"/>
    </row>
    <row r="319" spans="1:1" x14ac:dyDescent="0.2">
      <c r="A319" s="55"/>
    </row>
    <row r="320" spans="1:1" x14ac:dyDescent="0.2">
      <c r="A320" s="55"/>
    </row>
    <row r="321" spans="1:1" x14ac:dyDescent="0.2">
      <c r="A321" s="55"/>
    </row>
  </sheetData>
  <autoFilter ref="A1:R289" xr:uid="{17EAA3BF-02EB-4BCD-8D87-582AD8C2F14B}">
    <sortState xmlns:xlrd2="http://schemas.microsoft.com/office/spreadsheetml/2017/richdata2" ref="A2:R289">
      <sortCondition descending="1" ref="R1:R289"/>
    </sortState>
  </autoFilter>
  <sortState xmlns:xlrd2="http://schemas.microsoft.com/office/spreadsheetml/2017/richdata2" ref="A2:R260">
    <sortCondition descending="1" ref="L2:L260"/>
  </sortState>
  <hyperlinks>
    <hyperlink ref="B14" r:id="rId1" xr:uid="{CA43A4DC-ECB3-4933-9DEA-BABF43EF272E}"/>
    <hyperlink ref="B54" r:id="rId2" xr:uid="{9E5DC3CC-2E5D-4C01-89F9-ACB9CCA13D0F}"/>
    <hyperlink ref="B56" r:id="rId3" xr:uid="{31EF2C68-0331-43F0-B666-7D92D96C7461}"/>
    <hyperlink ref="B55" r:id="rId4" xr:uid="{5ABE547D-B484-4369-944E-766B7EC68112}"/>
    <hyperlink ref="B48" r:id="rId5" xr:uid="{668F88E8-AED9-4469-B604-FAA1185C3903}"/>
    <hyperlink ref="B10" r:id="rId6" xr:uid="{F9111169-FF59-4B7C-AA28-616CB823DE63}"/>
    <hyperlink ref="B61" r:id="rId7" xr:uid="{9552B480-CC98-4115-B7B4-5AD64828CAE9}"/>
    <hyperlink ref="B158" r:id="rId8" xr:uid="{E2627283-EF29-415C-9480-7CEF7559AF76}"/>
    <hyperlink ref="B46" r:id="rId9" xr:uid="{420C49AC-A933-4DE2-B107-F74BD2788067}"/>
    <hyperlink ref="B51" r:id="rId10" xr:uid="{D986176A-7EC9-4988-B12F-313F54D7B6D6}"/>
    <hyperlink ref="B3" r:id="rId11" xr:uid="{A0D9A9DB-9602-4F98-8B0D-3479556CDEB3}"/>
    <hyperlink ref="B6" r:id="rId12" xr:uid="{19107DC0-F42E-4917-818E-36EC276EA79B}"/>
    <hyperlink ref="B60" r:id="rId13" xr:uid="{3E569428-EBA4-411C-9C9F-7229E31DF11D}"/>
    <hyperlink ref="B17" r:id="rId14" xr:uid="{2D6A3240-67C3-4C63-B94B-BBD302565749}"/>
    <hyperlink ref="B59" r:id="rId15" xr:uid="{492B17F5-9A45-49B4-ADB6-2AB0FB0A3504}"/>
    <hyperlink ref="B50" r:id="rId16" xr:uid="{ADD54537-0029-437D-9460-F2298BFE36D1}"/>
    <hyperlink ref="B58" r:id="rId17" xr:uid="{C705BC59-3F87-4616-A0AF-9E7105BD8224}"/>
    <hyperlink ref="B4" r:id="rId18" xr:uid="{28056A89-98D8-478A-95F9-7076C9282D54}"/>
    <hyperlink ref="B12" r:id="rId19" xr:uid="{D54EE839-46D5-40C5-BAB0-E5E51E38A155}"/>
    <hyperlink ref="B49" r:id="rId20" xr:uid="{6C4D3563-8FB8-43A2-84E2-5FB156E1378D}"/>
    <hyperlink ref="B161" r:id="rId21" xr:uid="{016C3FA8-A919-482D-BC5E-5152906D3EAD}"/>
    <hyperlink ref="B57" r:id="rId22" xr:uid="{4B6B5207-0DD7-41BA-9E89-FE97E194B986}"/>
    <hyperlink ref="B2" r:id="rId23" xr:uid="{BF6EAC87-7089-4CCB-80D3-A746315A3272}"/>
    <hyperlink ref="B120" r:id="rId24" xr:uid="{4E2BF4E8-6647-481E-8B1B-032975BB2E46}"/>
    <hyperlink ref="B53" r:id="rId25" xr:uid="{D49BC355-0E22-4CE6-82DF-AED219FB7227}"/>
    <hyperlink ref="B151" r:id="rId26" xr:uid="{D9B5C364-E80D-4641-87C1-5AA84FFF92D0}"/>
    <hyperlink ref="B13" r:id="rId27" xr:uid="{17E5BB13-0C0D-4B23-B9C6-843C6EEF2F57}"/>
    <hyperlink ref="B47" r:id="rId28" xr:uid="{10E2A292-C492-40FE-9513-A843BAAB7D97}"/>
    <hyperlink ref="B68" r:id="rId29" xr:uid="{BF63113F-CB6C-43CC-B7BF-36A2E23287E3}"/>
    <hyperlink ref="B52" r:id="rId30" xr:uid="{7E438067-1DAD-4C5F-BF31-DCB2DCED12A3}"/>
    <hyperlink ref="B152" r:id="rId31" xr:uid="{127E6813-A4D2-4486-8601-4A79D8719B31}"/>
    <hyperlink ref="B121" r:id="rId32" xr:uid="{49B2C3E0-CF9A-4DDE-A84E-E5B5EFDDB4B9}"/>
    <hyperlink ref="B115" r:id="rId33" xr:uid="{13FD0224-62C7-4BD1-83F4-CEFA2AD34EA4}"/>
    <hyperlink ref="B69" r:id="rId34" xr:uid="{AD9D6470-F4ED-4F4A-83C1-FBEE4A2BBB40}"/>
    <hyperlink ref="B9" r:id="rId35" xr:uid="{9AACE8BD-48F1-41D6-901C-38DF1FFA75D3}"/>
    <hyperlink ref="B63" r:id="rId36" xr:uid="{A6F79F6C-1D39-4438-B581-D2F800C32451}"/>
    <hyperlink ref="B122" r:id="rId37" xr:uid="{F8472271-C9D5-4560-89A8-9F4421386A76}"/>
    <hyperlink ref="B153" r:id="rId38" xr:uid="{E18C9583-75A8-4D16-9966-D4508E9B1415}"/>
    <hyperlink ref="B123" r:id="rId39" xr:uid="{B445ACD6-42D7-4E9E-850E-3EB802EFD49D}"/>
    <hyperlink ref="B8" r:id="rId40" xr:uid="{11F0D14C-37CE-4020-AB05-0C1694311015}"/>
    <hyperlink ref="B124" r:id="rId41" xr:uid="{274A706C-3D2C-4779-85A6-BEB8EF5EEB0C}"/>
    <hyperlink ref="B116" r:id="rId42" xr:uid="{2B422EEF-8955-4ACF-8A37-944E243A810F}"/>
    <hyperlink ref="B117" r:id="rId43" xr:uid="{5D20C8B1-2F13-40C9-A8E9-A85093BC85B5}"/>
    <hyperlink ref="B165" r:id="rId44" xr:uid="{6C4073E9-2755-4C5B-9822-F3A21D93F464}"/>
    <hyperlink ref="B118" r:id="rId45" xr:uid="{BDAA3C94-0AC8-429C-A633-72809BFD2813}"/>
    <hyperlink ref="B44" r:id="rId46" xr:uid="{B40BD0CD-C432-49E0-A2B9-6721E7C22556}"/>
    <hyperlink ref="B45" r:id="rId47" xr:uid="{E1C9B59D-A3EB-4437-90BD-83E15F00BB18}"/>
    <hyperlink ref="B167" r:id="rId48" xr:uid="{5FE8F78F-9BDF-4167-877B-FD4FC9833D86}"/>
    <hyperlink ref="B70" r:id="rId49" xr:uid="{F2BFB13B-0665-4270-A730-3C6F0F45A0B7}"/>
    <hyperlink ref="B71" r:id="rId50" xr:uid="{053F6368-1EDC-4BEB-9AF7-C8EE912F2EEB}"/>
    <hyperlink ref="B72" r:id="rId51" xr:uid="{CA1383E9-003A-46B0-87D6-B9CC84A9EB5A}"/>
    <hyperlink ref="B64" r:id="rId52" xr:uid="{04009042-A3A8-4A75-9D3A-EBD7CADAD5E3}"/>
    <hyperlink ref="B125" r:id="rId53" xr:uid="{14CCDD30-F0A0-4C8A-9B75-6BB0A924F4FD}"/>
    <hyperlink ref="B73" r:id="rId54" xr:uid="{52AF5CCE-4461-432F-BD92-DEC87DC2DB6F}"/>
    <hyperlink ref="B65" r:id="rId55" xr:uid="{45C1D038-958A-4E3B-A0BD-740E27201246}"/>
    <hyperlink ref="B169" r:id="rId56" xr:uid="{B3D582C8-4275-483A-9E7D-523527774693}"/>
    <hyperlink ref="B74" r:id="rId57" xr:uid="{9126C931-99DC-4100-AEAF-566CA9B34422}"/>
    <hyperlink ref="B170" r:id="rId58" xr:uid="{5FD6B750-7894-4423-A8A1-5EE949B49296}"/>
    <hyperlink ref="B75" r:id="rId59" xr:uid="{FBCA972A-0036-473D-8AD1-4BEB52D70280}"/>
    <hyperlink ref="B76" r:id="rId60" xr:uid="{6A4F3E85-B643-431C-A892-6ED8F5B1391B}"/>
    <hyperlink ref="B126" r:id="rId61" xr:uid="{8400CEAF-0BBC-49C2-9558-94CC1B3919C2}"/>
    <hyperlink ref="B154" r:id="rId62" xr:uid="{9B9F51B7-065E-4DC3-B39B-379A63B9FA04}"/>
    <hyperlink ref="B155" r:id="rId63" xr:uid="{701F3903-0DC7-498C-9F2D-0F7B615F03C6}"/>
    <hyperlink ref="B171" r:id="rId64" xr:uid="{099BF4A7-BAF4-4547-A770-94DB9CA5FD64}"/>
    <hyperlink ref="B66" r:id="rId65" xr:uid="{F41FEB86-64E9-4273-B322-D9DD1763EA0D}"/>
    <hyperlink ref="B62" r:id="rId66" xr:uid="{16704F55-A69A-4F43-A432-C0F5CF6790C6}"/>
    <hyperlink ref="B119" r:id="rId67" xr:uid="{07E4C29A-879B-4FE4-AE3C-B75F2736A882}"/>
    <hyperlink ref="B176" r:id="rId68" xr:uid="{0FEF8E38-6C6C-4FB0-BBC0-A999688DD4A7}"/>
    <hyperlink ref="B77" r:id="rId69" xr:uid="{B7DA033E-F781-47AA-95D9-7BDCC0A927D1}"/>
    <hyperlink ref="B127" r:id="rId70" xr:uid="{77206FD1-BE9B-41DA-9389-EE8D63939BB6}"/>
    <hyperlink ref="B128" r:id="rId71" xr:uid="{C8FF0342-243F-46E9-B3C4-0AB41D4F64F5}"/>
    <hyperlink ref="B129" r:id="rId72" xr:uid="{38562BB2-EE77-4AE5-9D9D-387B2827FF00}"/>
    <hyperlink ref="B178" r:id="rId73" xr:uid="{884183CF-0CE0-486B-BF6F-2815D5546A98}"/>
    <hyperlink ref="B78" r:id="rId74" xr:uid="{2CC676FD-D291-410E-877C-79EF60B9AC4E}"/>
    <hyperlink ref="B79" r:id="rId75" xr:uid="{515E20E1-575D-4791-B4DC-3F19C14B8555}"/>
    <hyperlink ref="B180" r:id="rId76" xr:uid="{A21A8284-715C-487A-A6A8-E9508597B37E}"/>
    <hyperlink ref="B80" r:id="rId77" xr:uid="{E57E903E-BA4B-4B30-893F-205C31C0ED04}"/>
    <hyperlink ref="B130" r:id="rId78" xr:uid="{CFA42674-4F15-464D-B863-DF99874A169C}"/>
    <hyperlink ref="B131" r:id="rId79" xr:uid="{F870264D-EB98-4BBA-A6CB-F91687A8A602}"/>
    <hyperlink ref="B181" r:id="rId80" xr:uid="{EC0C2E1C-8DEB-4357-9C9B-69F735808DC3}"/>
    <hyperlink ref="B182" r:id="rId81" xr:uid="{0D20DCAB-676E-49AB-951C-AB02C08F2DB7}"/>
    <hyperlink ref="B81" r:id="rId82" xr:uid="{EEF5AA5E-1902-4836-B941-AB85E6FF4C3E}"/>
    <hyperlink ref="B183" r:id="rId83" xr:uid="{19866B7B-B82E-4BA4-98F2-BD238A8AD327}"/>
    <hyperlink ref="B82" r:id="rId84" xr:uid="{5FDB7F7F-D990-4995-97A0-C60EF178E837}"/>
    <hyperlink ref="B83" r:id="rId85" xr:uid="{25D7F912-8846-462D-AB1A-35F96C28AC5F}"/>
    <hyperlink ref="B132" r:id="rId86" xr:uid="{F215F8CC-50A6-4448-BDAF-43E290EF4075}"/>
    <hyperlink ref="B67" r:id="rId87" xr:uid="{B627269A-3BF7-412C-9150-0060A98C0B8C}"/>
    <hyperlink ref="B133" r:id="rId88" xr:uid="{00603947-DB8F-40C7-BCF2-8BD123001CEE}"/>
    <hyperlink ref="B84" r:id="rId89" xr:uid="{27347161-DD29-4479-AC65-95F2919EE9B1}"/>
    <hyperlink ref="B156" r:id="rId90" xr:uid="{BE0FCDB2-015B-4252-AC3A-9040D279B24A}"/>
    <hyperlink ref="B185" r:id="rId91" xr:uid="{70151966-7359-49EA-A3A0-FECA4EE7FFEE}"/>
    <hyperlink ref="B85" r:id="rId92" xr:uid="{6A9D02DF-928C-4EE4-B91D-F5763D0E5308}"/>
    <hyperlink ref="B186" r:id="rId93" xr:uid="{F9D6F39B-8B76-4B85-AA89-00B8BF00AC5C}"/>
    <hyperlink ref="B86" r:id="rId94" xr:uid="{EF58472D-A751-48CD-844D-F5972A158BE7}"/>
    <hyperlink ref="B134" r:id="rId95" xr:uid="{6E4392B8-6525-45D4-8D2C-0D76DEA5CDCA}"/>
    <hyperlink ref="B87" r:id="rId96" xr:uid="{53FD10DD-F3F3-46CC-A8FD-1D65B7DF05E8}"/>
    <hyperlink ref="B88" r:id="rId97" xr:uid="{43A8B42E-DAED-4873-AA7A-6419568D4025}"/>
    <hyperlink ref="B187" r:id="rId98" xr:uid="{088DF9C8-7C85-4FA6-98EB-47A9EEF78A57}"/>
    <hyperlink ref="B5" r:id="rId99" xr:uid="{CBFBE819-938F-4E8C-AF5B-048CF55A0ED1}"/>
    <hyperlink ref="B188" r:id="rId100" xr:uid="{013C6FC5-233B-4C00-8C08-9682ED8DC381}"/>
    <hyperlink ref="B89" r:id="rId101" xr:uid="{6E2FCD55-802F-4403-B8BC-02DD6AD4E7DF}"/>
    <hyperlink ref="B90" r:id="rId102" xr:uid="{0AB40B5F-F4A8-4E44-81E7-1F5F7B054EE9}"/>
    <hyperlink ref="B135" r:id="rId103" xr:uid="{5F300B1A-123F-49E2-90D1-388F104913E4}"/>
    <hyperlink ref="B91" r:id="rId104" xr:uid="{A446C542-5F99-4D24-8874-9389DDAAD12A}"/>
    <hyperlink ref="B189" r:id="rId105" xr:uid="{80146326-8AD5-43F4-A825-51DF67A39B77}"/>
    <hyperlink ref="B190" r:id="rId106" xr:uid="{DA570EB2-1C61-4E2D-8BE6-2A99CB82490D}"/>
    <hyperlink ref="B92" r:id="rId107" xr:uid="{0B24BA57-4DA8-4E05-8A4F-599321DC1E99}"/>
    <hyperlink ref="B15" r:id="rId108" xr:uid="{A52459BA-1FEA-4EEF-B620-7C39160F1581}"/>
    <hyperlink ref="B191" r:id="rId109" xr:uid="{28148C9B-C9D9-4A05-B3FD-5636B47B978C}"/>
    <hyperlink ref="B93" r:id="rId110" xr:uid="{4C46A815-CC62-4092-80E1-1288CCCCA003}"/>
    <hyperlink ref="B136" r:id="rId111" xr:uid="{DFCA9179-5A43-4D52-9155-B54A04B1336C}"/>
    <hyperlink ref="B94" r:id="rId112" xr:uid="{AA9450B3-BC94-4F38-827F-EBD2A7777345}"/>
    <hyperlink ref="B192" r:id="rId113" xr:uid="{FBFD41D2-198D-41A7-A9DD-BAE68312ED92}"/>
    <hyperlink ref="B95" r:id="rId114" xr:uid="{B73ACE66-F719-40FC-A5AB-65A26DA5EB31}"/>
    <hyperlink ref="B96" r:id="rId115" xr:uid="{3A08139F-69E5-47C7-88A7-939BEB61F5F4}"/>
    <hyperlink ref="B137" r:id="rId116" xr:uid="{939A902D-8E61-4821-AE6F-6D12833128A4}"/>
    <hyperlink ref="B97" r:id="rId117" xr:uid="{580380FE-2D21-48DB-8A79-1D642ED84A5D}"/>
    <hyperlink ref="B138" r:id="rId118" xr:uid="{2F25995E-FA97-4476-98D2-5E4F21988255}"/>
    <hyperlink ref="B98" r:id="rId119" xr:uid="{CCE5721E-B4C5-4694-8539-F3320F149C45}"/>
    <hyperlink ref="B139" r:id="rId120" xr:uid="{556EA2A6-4BF4-49BF-AA5B-9D956FDC1E5A}"/>
    <hyperlink ref="B99" r:id="rId121" xr:uid="{201A32E0-E72A-406A-A964-A4DE95AEDCED}"/>
    <hyperlink ref="B100" r:id="rId122" xr:uid="{A322BC9C-8B91-41BD-8A2C-978BDED5A580}"/>
    <hyperlink ref="B101" r:id="rId123" xr:uid="{9278BC71-4C2A-44C7-9F79-FEADAA4B70D0}"/>
    <hyperlink ref="B193" r:id="rId124" xr:uid="{4593930B-247C-4B80-B7F7-2A48AB2FE043}"/>
    <hyperlink ref="B194" r:id="rId125" xr:uid="{C9856CF6-404F-47AD-9ED1-8A7AF80F60E5}"/>
    <hyperlink ref="B102" r:id="rId126" xr:uid="{54FFADDD-6F47-4AF9-9A7A-60FC679B3FBA}"/>
    <hyperlink ref="B195" r:id="rId127" xr:uid="{0A38BE34-8365-4A83-9512-2BD0B450C6E2}"/>
    <hyperlink ref="B196" r:id="rId128" xr:uid="{4CF44FF7-4016-4626-88FA-680524DBA893}"/>
    <hyperlink ref="B140" r:id="rId129" xr:uid="{D4C33954-C6FC-472C-8D36-BE881201EEFD}"/>
    <hyperlink ref="B103" r:id="rId130" xr:uid="{80784AA2-A508-48E0-93EF-DBC24D79433A}"/>
    <hyperlink ref="B141" r:id="rId131" xr:uid="{8934E0F2-5E3C-4F4A-A0DB-DFFDC27B3F0B}"/>
    <hyperlink ref="B104" r:id="rId132" xr:uid="{556379AF-96A9-4086-914A-A5E0D04C5054}"/>
    <hyperlink ref="B197" r:id="rId133" xr:uid="{0947EAEC-9155-4C03-8966-BBD88F88EDB4}"/>
    <hyperlink ref="B105" r:id="rId134" xr:uid="{F89AF1CD-77A8-44B2-B71F-AF4D8F7CC562}"/>
    <hyperlink ref="B198" r:id="rId135" xr:uid="{1C844F7C-78D2-4777-8E61-C1E2B5574AC4}"/>
    <hyperlink ref="B199" r:id="rId136" xr:uid="{24B0E3D6-1775-489B-A7CF-78A71ACAAAC8}"/>
    <hyperlink ref="B106" r:id="rId137" xr:uid="{BDD898B4-65DA-466E-83CB-677550C01345}"/>
    <hyperlink ref="B200" r:id="rId138" xr:uid="{EA07AA55-63E7-413C-9E4A-D1687043EF0A}"/>
    <hyperlink ref="B142" r:id="rId139" xr:uid="{0083C195-8627-4C1F-AF72-833CCBE9901C}"/>
    <hyperlink ref="B107" r:id="rId140" xr:uid="{061FBC76-920A-4F03-942B-75D35809505A}"/>
    <hyperlink ref="B201" r:id="rId141" xr:uid="{7807524A-3E3B-41D5-B55D-1D1DC28FCC1E}"/>
    <hyperlink ref="B108" r:id="rId142" xr:uid="{638FB50F-DD04-421C-A0A2-10906329A1FC}"/>
    <hyperlink ref="B109" r:id="rId143" xr:uid="{0F1A856A-6D90-48F2-BC3E-92EB6AA4CBFA}"/>
    <hyperlink ref="B143" r:id="rId144" xr:uid="{BE82B611-1D14-4584-80CF-8E9FFBA8283A}"/>
    <hyperlink ref="B144" r:id="rId145" xr:uid="{D9B909B9-63A8-48D8-8C55-40C536D47E83}"/>
    <hyperlink ref="B110" r:id="rId146" xr:uid="{17F8363A-E576-422B-A152-07C162DE7EEA}"/>
    <hyperlink ref="B145" r:id="rId147" xr:uid="{C6DE69E8-01A8-4EB2-BC99-E80C4B816805}"/>
    <hyperlink ref="B111" r:id="rId148" xr:uid="{340957C4-6FC1-4548-8DDF-4067122D71C6}"/>
    <hyperlink ref="B146" r:id="rId149" xr:uid="{D91E6EA3-E8C7-4A24-9AB3-FA64C59D27A3}"/>
    <hyperlink ref="B202" r:id="rId150" xr:uid="{DEE5674E-6194-4976-ACF8-3D211A104F67}"/>
    <hyperlink ref="B203" r:id="rId151" xr:uid="{6CF0746E-2101-44DD-B87D-842A7D6DDE94}"/>
    <hyperlink ref="B204" r:id="rId152" xr:uid="{BCF71BC4-BAE6-4821-A90D-3B12639624AB}"/>
    <hyperlink ref="B112" r:id="rId153" xr:uid="{8AC95885-E69B-4199-8BD1-F49D83EBB1EE}"/>
    <hyperlink ref="B205" r:id="rId154" xr:uid="{2569A2FE-F042-46BB-B998-D26943783D2E}"/>
    <hyperlink ref="B113" r:id="rId155" xr:uid="{7984D06F-A939-4776-8538-B9248EB752C6}"/>
    <hyperlink ref="B147" r:id="rId156" xr:uid="{861CDD7E-A8FB-4862-B1D0-CCE24C9FD440}"/>
    <hyperlink ref="B148" r:id="rId157" xr:uid="{194B8D8C-CFED-4558-85B8-DC0BEF898099}"/>
    <hyperlink ref="B16" r:id="rId158" xr:uid="{26C65518-C115-4740-9FC9-256D0B8474B7}"/>
    <hyperlink ref="B149" r:id="rId159" xr:uid="{9C058CA5-290D-4D22-9852-2CE08BAB4CA7}"/>
    <hyperlink ref="B150" r:id="rId160" xr:uid="{13BAC352-A921-46C6-A899-EE448B985141}"/>
    <hyperlink ref="B18" r:id="rId161" xr:uid="{FB22779F-2FFA-4034-B159-05A06C20E4BB}"/>
    <hyperlink ref="B206" r:id="rId162" xr:uid="{17E64596-B5DF-4B1D-8EF4-3423E0BFB7BE}"/>
    <hyperlink ref="B114" r:id="rId163" xr:uid="{6CBB0FF0-3C82-4D82-9746-7990C7AF8CFF}"/>
    <hyperlink ref="B207" r:id="rId164" xr:uid="{A96B5D39-B0E8-4687-A332-4B15EF1606F8}"/>
    <hyperlink ref="B208" r:id="rId165" xr:uid="{5EBB05CE-59AF-40EA-A532-02DA8756F7B3}"/>
    <hyperlink ref="B229" r:id="rId166" xr:uid="{907953D9-1F16-A748-9FF3-B7C91BF785F0}"/>
    <hyperlink ref="B19" r:id="rId167" xr:uid="{FA199E43-8DB2-7A46-AF57-EDF8194370B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9AE6E-2F06-477C-9309-26C082D3A3DC}">
  <dimension ref="A1:U613"/>
  <sheetViews>
    <sheetView zoomScale="141" workbookViewId="0">
      <selection activeCell="S12" sqref="S12"/>
    </sheetView>
  </sheetViews>
  <sheetFormatPr baseColWidth="10" defaultColWidth="8.83203125" defaultRowHeight="15" x14ac:dyDescent="0.2"/>
  <cols>
    <col min="1" max="1" width="28.6640625" customWidth="1"/>
    <col min="2" max="2" width="18.83203125" style="4" customWidth="1"/>
    <col min="3" max="3" width="4.83203125" bestFit="1" customWidth="1"/>
    <col min="4" max="10" width="3.83203125" bestFit="1" customWidth="1"/>
    <col min="15" max="15" width="4.6640625" style="5" bestFit="1" customWidth="1"/>
    <col min="16" max="17" width="4.83203125" bestFit="1" customWidth="1"/>
    <col min="18" max="18" width="9" bestFit="1" customWidth="1"/>
  </cols>
  <sheetData>
    <row r="1" spans="1:18" x14ac:dyDescent="0.2">
      <c r="A1" s="58" t="s">
        <v>0</v>
      </c>
      <c r="B1" s="58" t="s">
        <v>1</v>
      </c>
      <c r="C1" s="58" t="s">
        <v>2</v>
      </c>
      <c r="D1" s="58" t="s">
        <v>3</v>
      </c>
      <c r="E1" s="58" t="s">
        <v>4</v>
      </c>
      <c r="F1" s="58" t="s">
        <v>5</v>
      </c>
      <c r="G1" s="58" t="s">
        <v>6</v>
      </c>
      <c r="H1" s="58" t="s">
        <v>7</v>
      </c>
      <c r="I1" s="58" t="s">
        <v>8</v>
      </c>
      <c r="J1" s="58" t="s">
        <v>9</v>
      </c>
      <c r="K1" s="58" t="s">
        <v>10</v>
      </c>
      <c r="L1" s="58" t="s">
        <v>11</v>
      </c>
      <c r="M1" s="58" t="s">
        <v>12</v>
      </c>
      <c r="N1" s="58" t="s">
        <v>13</v>
      </c>
      <c r="O1" s="59" t="s">
        <v>14</v>
      </c>
      <c r="P1" s="58" t="s">
        <v>15</v>
      </c>
      <c r="Q1" s="58" t="s">
        <v>16</v>
      </c>
      <c r="R1" s="58" t="s">
        <v>17</v>
      </c>
    </row>
    <row r="2" spans="1:18" x14ac:dyDescent="0.2">
      <c r="A2" t="s">
        <v>4168</v>
      </c>
      <c r="B2" t="s">
        <v>4169</v>
      </c>
      <c r="C2" t="s">
        <v>20</v>
      </c>
      <c r="D2">
        <v>0</v>
      </c>
      <c r="E2">
        <v>1</v>
      </c>
      <c r="L2" t="s">
        <v>7131</v>
      </c>
      <c r="M2" s="9" t="s">
        <v>4079</v>
      </c>
      <c r="N2" t="s">
        <v>4170</v>
      </c>
      <c r="O2" s="2">
        <v>1</v>
      </c>
      <c r="P2">
        <v>0.5</v>
      </c>
      <c r="Q2">
        <v>0.75</v>
      </c>
      <c r="R2">
        <f t="shared" ref="R2:R65" si="0">IF(_xlfn.BITAND(P2&gt;0.4999, Q2&gt;0.4999)=1,1,0)</f>
        <v>1</v>
      </c>
    </row>
    <row r="3" spans="1:18" x14ac:dyDescent="0.2">
      <c r="A3" t="s">
        <v>4171</v>
      </c>
      <c r="B3" t="s">
        <v>4172</v>
      </c>
      <c r="C3" t="s">
        <v>20</v>
      </c>
      <c r="D3">
        <v>0</v>
      </c>
      <c r="E3">
        <v>1</v>
      </c>
      <c r="L3" t="s">
        <v>7131</v>
      </c>
      <c r="M3" s="9" t="s">
        <v>4079</v>
      </c>
      <c r="N3" t="s">
        <v>4112</v>
      </c>
      <c r="O3" s="2">
        <v>1</v>
      </c>
      <c r="P3">
        <v>0.5</v>
      </c>
      <c r="Q3">
        <v>0.75</v>
      </c>
      <c r="R3">
        <f t="shared" si="0"/>
        <v>1</v>
      </c>
    </row>
    <row r="4" spans="1:18" x14ac:dyDescent="0.2">
      <c r="A4" t="s">
        <v>4197</v>
      </c>
      <c r="B4" t="s">
        <v>4198</v>
      </c>
      <c r="C4" t="s">
        <v>20</v>
      </c>
      <c r="D4">
        <v>0</v>
      </c>
      <c r="E4">
        <v>1</v>
      </c>
      <c r="L4" t="s">
        <v>7131</v>
      </c>
      <c r="M4" s="9" t="s">
        <v>4079</v>
      </c>
      <c r="N4" t="s">
        <v>4181</v>
      </c>
      <c r="O4" s="2">
        <v>0.8</v>
      </c>
      <c r="P4">
        <v>0.5</v>
      </c>
      <c r="Q4">
        <v>0.65</v>
      </c>
      <c r="R4">
        <f t="shared" si="0"/>
        <v>1</v>
      </c>
    </row>
    <row r="5" spans="1:18" x14ac:dyDescent="0.2">
      <c r="A5" t="s">
        <v>4210</v>
      </c>
      <c r="B5" t="s">
        <v>4211</v>
      </c>
      <c r="C5" t="s">
        <v>20</v>
      </c>
      <c r="D5">
        <v>0</v>
      </c>
      <c r="E5">
        <v>1</v>
      </c>
      <c r="L5" t="s">
        <v>7131</v>
      </c>
      <c r="M5" s="9" t="s">
        <v>4079</v>
      </c>
      <c r="N5" t="s">
        <v>4212</v>
      </c>
      <c r="O5" s="2">
        <v>1</v>
      </c>
      <c r="P5">
        <v>0.5</v>
      </c>
      <c r="Q5">
        <v>0.75</v>
      </c>
      <c r="R5">
        <f t="shared" si="0"/>
        <v>1</v>
      </c>
    </row>
    <row r="6" spans="1:18" x14ac:dyDescent="0.2">
      <c r="A6" t="s">
        <v>89</v>
      </c>
      <c r="B6" t="s">
        <v>4221</v>
      </c>
      <c r="C6" t="s">
        <v>20</v>
      </c>
      <c r="D6">
        <v>0</v>
      </c>
      <c r="E6">
        <v>1</v>
      </c>
      <c r="L6" t="s">
        <v>7131</v>
      </c>
      <c r="M6" s="9" t="s">
        <v>21</v>
      </c>
      <c r="N6" t="s">
        <v>91</v>
      </c>
      <c r="O6" s="2">
        <v>1</v>
      </c>
      <c r="P6">
        <v>0.5</v>
      </c>
      <c r="Q6">
        <v>0.75</v>
      </c>
      <c r="R6">
        <f t="shared" si="0"/>
        <v>1</v>
      </c>
    </row>
    <row r="7" spans="1:18" x14ac:dyDescent="0.2">
      <c r="A7" t="s">
        <v>4224</v>
      </c>
      <c r="B7" s="56" t="s">
        <v>4225</v>
      </c>
      <c r="C7" t="s">
        <v>4226</v>
      </c>
      <c r="D7">
        <v>0</v>
      </c>
      <c r="E7">
        <v>0.6</v>
      </c>
      <c r="F7">
        <v>0.6</v>
      </c>
      <c r="G7">
        <v>0.6</v>
      </c>
      <c r="H7">
        <v>0.6</v>
      </c>
      <c r="I7">
        <v>0</v>
      </c>
      <c r="J7">
        <v>1</v>
      </c>
      <c r="L7" t="s">
        <v>7132</v>
      </c>
      <c r="M7" s="9" t="s">
        <v>4079</v>
      </c>
      <c r="N7" t="s">
        <v>4227</v>
      </c>
      <c r="O7" s="2">
        <v>0.5</v>
      </c>
      <c r="P7">
        <v>0.56666666666666665</v>
      </c>
      <c r="Q7">
        <v>0.53333333333333333</v>
      </c>
      <c r="R7">
        <f t="shared" si="0"/>
        <v>1</v>
      </c>
    </row>
    <row r="8" spans="1:18" x14ac:dyDescent="0.2">
      <c r="A8" t="s">
        <v>3748</v>
      </c>
      <c r="B8" t="s">
        <v>4245</v>
      </c>
      <c r="C8" t="s">
        <v>20</v>
      </c>
      <c r="D8">
        <v>0</v>
      </c>
      <c r="E8">
        <v>1</v>
      </c>
      <c r="L8" t="s">
        <v>7131</v>
      </c>
      <c r="M8" s="9" t="s">
        <v>4079</v>
      </c>
      <c r="N8" t="s">
        <v>4246</v>
      </c>
      <c r="O8" s="2">
        <v>1</v>
      </c>
      <c r="P8">
        <v>0.5</v>
      </c>
      <c r="Q8">
        <v>0.75</v>
      </c>
      <c r="R8">
        <f t="shared" si="0"/>
        <v>1</v>
      </c>
    </row>
    <row r="9" spans="1:18" x14ac:dyDescent="0.2">
      <c r="A9" t="s">
        <v>4250</v>
      </c>
      <c r="B9" t="s">
        <v>4251</v>
      </c>
      <c r="C9" t="s">
        <v>20</v>
      </c>
      <c r="D9">
        <v>0</v>
      </c>
      <c r="E9">
        <v>1</v>
      </c>
      <c r="L9" t="s">
        <v>7131</v>
      </c>
      <c r="M9" s="9" t="s">
        <v>4079</v>
      </c>
      <c r="N9" t="s">
        <v>4183</v>
      </c>
      <c r="O9" s="2">
        <v>1</v>
      </c>
      <c r="P9">
        <v>0.5</v>
      </c>
      <c r="Q9">
        <v>0.75</v>
      </c>
      <c r="R9">
        <f t="shared" si="0"/>
        <v>1</v>
      </c>
    </row>
    <row r="10" spans="1:18" x14ac:dyDescent="0.2">
      <c r="A10" t="s">
        <v>4252</v>
      </c>
      <c r="B10" t="s">
        <v>4253</v>
      </c>
      <c r="C10" t="s">
        <v>20</v>
      </c>
      <c r="D10">
        <v>0</v>
      </c>
      <c r="E10">
        <v>1</v>
      </c>
      <c r="L10" t="s">
        <v>7131</v>
      </c>
      <c r="M10" s="9" t="s">
        <v>4079</v>
      </c>
      <c r="N10" t="s">
        <v>4254</v>
      </c>
      <c r="O10" s="2">
        <v>0.5</v>
      </c>
      <c r="P10">
        <v>0.5</v>
      </c>
      <c r="Q10">
        <v>0.5</v>
      </c>
      <c r="R10">
        <f t="shared" si="0"/>
        <v>1</v>
      </c>
    </row>
    <row r="11" spans="1:18" x14ac:dyDescent="0.2">
      <c r="A11" t="s">
        <v>4257</v>
      </c>
      <c r="B11" t="s">
        <v>4258</v>
      </c>
      <c r="C11" t="s">
        <v>20</v>
      </c>
      <c r="D11">
        <v>0</v>
      </c>
      <c r="E11">
        <v>1</v>
      </c>
      <c r="L11" t="s">
        <v>7131</v>
      </c>
      <c r="M11" s="9" t="s">
        <v>21</v>
      </c>
      <c r="N11" t="s">
        <v>4259</v>
      </c>
      <c r="O11" s="2">
        <v>1</v>
      </c>
      <c r="P11">
        <v>0.5</v>
      </c>
      <c r="Q11">
        <v>0.75</v>
      </c>
      <c r="R11">
        <f t="shared" si="0"/>
        <v>1</v>
      </c>
    </row>
    <row r="12" spans="1:18" x14ac:dyDescent="0.2">
      <c r="A12" t="s">
        <v>4267</v>
      </c>
      <c r="B12" t="s">
        <v>4268</v>
      </c>
      <c r="C12" t="s">
        <v>20</v>
      </c>
      <c r="D12">
        <v>0</v>
      </c>
      <c r="E12">
        <v>1</v>
      </c>
      <c r="K12" t="s">
        <v>7131</v>
      </c>
      <c r="M12" s="9" t="s">
        <v>4079</v>
      </c>
      <c r="N12" t="s">
        <v>4269</v>
      </c>
      <c r="O12" s="2">
        <v>1</v>
      </c>
      <c r="P12">
        <v>0.5</v>
      </c>
      <c r="Q12">
        <v>0.75</v>
      </c>
      <c r="R12">
        <f t="shared" si="0"/>
        <v>1</v>
      </c>
    </row>
    <row r="13" spans="1:18" x14ac:dyDescent="0.2">
      <c r="A13" t="s">
        <v>4297</v>
      </c>
      <c r="B13" t="s">
        <v>4298</v>
      </c>
      <c r="C13" t="s">
        <v>20</v>
      </c>
      <c r="D13">
        <v>0.3</v>
      </c>
      <c r="E13">
        <v>1</v>
      </c>
      <c r="K13" t="s">
        <v>7131</v>
      </c>
      <c r="M13" s="9" t="s">
        <v>21</v>
      </c>
      <c r="N13" t="s">
        <v>211</v>
      </c>
      <c r="O13" s="2">
        <v>1</v>
      </c>
      <c r="P13">
        <v>0.65</v>
      </c>
      <c r="Q13">
        <v>0.82499999999999996</v>
      </c>
      <c r="R13">
        <f t="shared" si="0"/>
        <v>1</v>
      </c>
    </row>
    <row r="14" spans="1:18" x14ac:dyDescent="0.2">
      <c r="A14" t="s">
        <v>4314</v>
      </c>
      <c r="B14" t="s">
        <v>4315</v>
      </c>
      <c r="C14" t="s">
        <v>20</v>
      </c>
      <c r="D14">
        <v>0</v>
      </c>
      <c r="E14">
        <v>1</v>
      </c>
      <c r="K14" t="s">
        <v>7131</v>
      </c>
      <c r="M14" s="9" t="s">
        <v>4079</v>
      </c>
      <c r="N14" t="s">
        <v>4296</v>
      </c>
      <c r="O14" s="2">
        <v>0.5</v>
      </c>
      <c r="P14">
        <v>0.5</v>
      </c>
      <c r="Q14">
        <v>0.5</v>
      </c>
      <c r="R14">
        <f t="shared" si="0"/>
        <v>1</v>
      </c>
    </row>
    <row r="15" spans="1:18" x14ac:dyDescent="0.2">
      <c r="A15" t="s">
        <v>4319</v>
      </c>
      <c r="B15" t="s">
        <v>4320</v>
      </c>
      <c r="C15" t="s">
        <v>184</v>
      </c>
      <c r="D15">
        <v>1</v>
      </c>
      <c r="E15">
        <v>0.6</v>
      </c>
      <c r="F15">
        <v>0.6</v>
      </c>
      <c r="G15">
        <v>0.3</v>
      </c>
      <c r="H15">
        <v>0.3</v>
      </c>
      <c r="I15">
        <v>0</v>
      </c>
      <c r="J15">
        <v>1</v>
      </c>
      <c r="K15" t="s">
        <v>7132</v>
      </c>
      <c r="M15" s="9" t="s">
        <v>4079</v>
      </c>
      <c r="N15" t="s">
        <v>4272</v>
      </c>
      <c r="O15" s="2">
        <v>0.8</v>
      </c>
      <c r="P15">
        <v>0.6333333333333333</v>
      </c>
      <c r="Q15">
        <v>0.71666666666666667</v>
      </c>
      <c r="R15">
        <f t="shared" si="0"/>
        <v>1</v>
      </c>
    </row>
    <row r="16" spans="1:18" x14ac:dyDescent="0.2">
      <c r="A16" t="s">
        <v>4326</v>
      </c>
      <c r="B16" t="s">
        <v>4327</v>
      </c>
      <c r="C16" t="s">
        <v>20</v>
      </c>
      <c r="D16">
        <v>0.3</v>
      </c>
      <c r="E16">
        <v>1</v>
      </c>
      <c r="K16" t="s">
        <v>7131</v>
      </c>
      <c r="M16" s="9" t="s">
        <v>4079</v>
      </c>
      <c r="N16" t="s">
        <v>4296</v>
      </c>
      <c r="O16" s="2">
        <v>0.5</v>
      </c>
      <c r="P16">
        <v>0.65</v>
      </c>
      <c r="Q16">
        <v>0.57499999999999996</v>
      </c>
      <c r="R16">
        <f t="shared" si="0"/>
        <v>1</v>
      </c>
    </row>
    <row r="17" spans="1:18" x14ac:dyDescent="0.2">
      <c r="A17" t="s">
        <v>4337</v>
      </c>
      <c r="B17" t="s">
        <v>4338</v>
      </c>
      <c r="C17" t="s">
        <v>20</v>
      </c>
      <c r="D17">
        <v>0</v>
      </c>
      <c r="E17">
        <v>1</v>
      </c>
      <c r="K17" t="s">
        <v>7131</v>
      </c>
      <c r="M17" s="9" t="s">
        <v>4079</v>
      </c>
      <c r="N17" t="s">
        <v>4246</v>
      </c>
      <c r="O17" s="2">
        <v>1</v>
      </c>
      <c r="P17">
        <v>0.5</v>
      </c>
      <c r="Q17">
        <v>0.75</v>
      </c>
      <c r="R17">
        <f t="shared" si="0"/>
        <v>1</v>
      </c>
    </row>
    <row r="18" spans="1:18" x14ac:dyDescent="0.2">
      <c r="A18" t="s">
        <v>3852</v>
      </c>
      <c r="B18" t="s">
        <v>4342</v>
      </c>
      <c r="C18" t="s">
        <v>20</v>
      </c>
      <c r="D18">
        <v>0</v>
      </c>
      <c r="E18">
        <v>1</v>
      </c>
      <c r="K18" t="s">
        <v>7131</v>
      </c>
      <c r="M18" s="9" t="s">
        <v>21</v>
      </c>
      <c r="N18" t="s">
        <v>146</v>
      </c>
      <c r="O18" s="2">
        <v>1</v>
      </c>
      <c r="P18">
        <v>0.5</v>
      </c>
      <c r="Q18">
        <v>0.75</v>
      </c>
      <c r="R18">
        <f t="shared" si="0"/>
        <v>1</v>
      </c>
    </row>
    <row r="19" spans="1:18" x14ac:dyDescent="0.2">
      <c r="A19" t="s">
        <v>4348</v>
      </c>
      <c r="B19" t="s">
        <v>4349</v>
      </c>
      <c r="C19" t="s">
        <v>20</v>
      </c>
      <c r="D19">
        <v>1</v>
      </c>
      <c r="E19">
        <v>1</v>
      </c>
      <c r="K19" t="s">
        <v>7131</v>
      </c>
      <c r="M19" s="9" t="s">
        <v>4079</v>
      </c>
      <c r="N19" t="s">
        <v>4148</v>
      </c>
      <c r="O19" s="2">
        <v>1</v>
      </c>
      <c r="P19">
        <v>1</v>
      </c>
      <c r="Q19">
        <v>1</v>
      </c>
      <c r="R19">
        <f t="shared" si="0"/>
        <v>1</v>
      </c>
    </row>
    <row r="20" spans="1:18" x14ac:dyDescent="0.2">
      <c r="A20" t="s">
        <v>4357</v>
      </c>
      <c r="B20" t="s">
        <v>4358</v>
      </c>
      <c r="C20" t="s">
        <v>20</v>
      </c>
      <c r="D20">
        <v>0</v>
      </c>
      <c r="E20">
        <v>1</v>
      </c>
      <c r="K20" t="s">
        <v>7131</v>
      </c>
      <c r="M20" s="9" t="s">
        <v>21</v>
      </c>
      <c r="N20" t="s">
        <v>211</v>
      </c>
      <c r="O20" s="2">
        <v>1</v>
      </c>
      <c r="P20">
        <v>0.5</v>
      </c>
      <c r="Q20">
        <v>0.75</v>
      </c>
      <c r="R20">
        <f t="shared" si="0"/>
        <v>1</v>
      </c>
    </row>
    <row r="21" spans="1:18" x14ac:dyDescent="0.2">
      <c r="A21" t="s">
        <v>4405</v>
      </c>
      <c r="B21" t="s">
        <v>4406</v>
      </c>
      <c r="C21" t="s">
        <v>20</v>
      </c>
      <c r="D21">
        <v>0</v>
      </c>
      <c r="E21">
        <v>1</v>
      </c>
      <c r="K21" t="s">
        <v>7131</v>
      </c>
      <c r="M21" s="9" t="s">
        <v>21</v>
      </c>
      <c r="N21" t="s">
        <v>4109</v>
      </c>
      <c r="O21" s="2">
        <v>1</v>
      </c>
      <c r="P21">
        <v>0.5</v>
      </c>
      <c r="Q21">
        <v>0.75</v>
      </c>
      <c r="R21">
        <f t="shared" si="0"/>
        <v>1</v>
      </c>
    </row>
    <row r="22" spans="1:18" x14ac:dyDescent="0.2">
      <c r="A22" t="s">
        <v>3747</v>
      </c>
      <c r="B22" t="s">
        <v>4436</v>
      </c>
      <c r="C22" t="s">
        <v>201</v>
      </c>
      <c r="D22">
        <v>0</v>
      </c>
      <c r="E22">
        <v>0.6</v>
      </c>
      <c r="F22">
        <v>0.6</v>
      </c>
      <c r="G22">
        <v>0.3</v>
      </c>
      <c r="H22">
        <v>0.6</v>
      </c>
      <c r="I22">
        <v>0</v>
      </c>
      <c r="J22">
        <v>1</v>
      </c>
      <c r="K22" t="s">
        <v>7132</v>
      </c>
      <c r="M22" s="9" t="s">
        <v>4079</v>
      </c>
      <c r="N22" t="s">
        <v>4390</v>
      </c>
      <c r="O22" s="2">
        <v>1</v>
      </c>
      <c r="P22">
        <v>0.51666666666666672</v>
      </c>
      <c r="Q22">
        <v>0.7583333333333333</v>
      </c>
      <c r="R22">
        <f t="shared" si="0"/>
        <v>1</v>
      </c>
    </row>
    <row r="23" spans="1:18" x14ac:dyDescent="0.2">
      <c r="A23" t="s">
        <v>4541</v>
      </c>
      <c r="B23" t="s">
        <v>4542</v>
      </c>
      <c r="C23" t="s">
        <v>201</v>
      </c>
      <c r="D23">
        <v>0</v>
      </c>
      <c r="E23">
        <v>1</v>
      </c>
      <c r="F23">
        <v>0.6</v>
      </c>
      <c r="G23">
        <v>0.3</v>
      </c>
      <c r="H23">
        <v>0.3</v>
      </c>
      <c r="I23">
        <v>0</v>
      </c>
      <c r="J23">
        <v>1</v>
      </c>
      <c r="K23" t="s">
        <v>7132</v>
      </c>
      <c r="M23" s="9" t="s">
        <v>4079</v>
      </c>
      <c r="N23" t="s">
        <v>4543</v>
      </c>
      <c r="O23" s="2">
        <v>0.5</v>
      </c>
      <c r="P23">
        <v>0.53333333333333333</v>
      </c>
      <c r="Q23">
        <v>0.51666666666666661</v>
      </c>
      <c r="R23">
        <f t="shared" si="0"/>
        <v>1</v>
      </c>
    </row>
    <row r="24" spans="1:18" x14ac:dyDescent="0.2">
      <c r="A24" t="s">
        <v>4607</v>
      </c>
      <c r="B24" t="s">
        <v>4608</v>
      </c>
      <c r="C24" t="s">
        <v>20</v>
      </c>
      <c r="D24">
        <v>0</v>
      </c>
      <c r="E24">
        <v>1</v>
      </c>
      <c r="K24" t="s">
        <v>7132</v>
      </c>
      <c r="M24" s="9" t="s">
        <v>21</v>
      </c>
      <c r="N24" t="s">
        <v>3724</v>
      </c>
      <c r="O24" s="2">
        <v>1</v>
      </c>
      <c r="P24">
        <v>0.5</v>
      </c>
      <c r="Q24">
        <v>0.75</v>
      </c>
      <c r="R24">
        <f t="shared" si="0"/>
        <v>1</v>
      </c>
    </row>
    <row r="25" spans="1:18" x14ac:dyDescent="0.2">
      <c r="A25" t="s">
        <v>5310</v>
      </c>
      <c r="B25" t="s">
        <v>5311</v>
      </c>
      <c r="C25" t="s">
        <v>184</v>
      </c>
      <c r="D25">
        <v>1</v>
      </c>
      <c r="E25">
        <v>0.6</v>
      </c>
      <c r="F25">
        <v>0.6</v>
      </c>
      <c r="G25">
        <v>0.3</v>
      </c>
      <c r="H25">
        <v>0.6</v>
      </c>
      <c r="I25">
        <v>0</v>
      </c>
      <c r="J25">
        <v>1</v>
      </c>
      <c r="K25" t="s">
        <v>7132</v>
      </c>
      <c r="M25" s="9" t="s">
        <v>4079</v>
      </c>
      <c r="N25" t="s">
        <v>4724</v>
      </c>
      <c r="O25" s="2">
        <v>0.8</v>
      </c>
      <c r="P25">
        <v>0.68333333333333324</v>
      </c>
      <c r="Q25">
        <v>0.51666666666666672</v>
      </c>
      <c r="R25">
        <f t="shared" si="0"/>
        <v>1</v>
      </c>
    </row>
    <row r="26" spans="1:18" x14ac:dyDescent="0.2">
      <c r="A26" t="s">
        <v>1305</v>
      </c>
      <c r="B26" s="52" t="s">
        <v>1306</v>
      </c>
      <c r="D26" s="5"/>
      <c r="E26" s="5"/>
      <c r="F26" s="5"/>
      <c r="G26" s="5"/>
      <c r="H26" s="5"/>
      <c r="I26" s="5"/>
      <c r="J26" s="5"/>
      <c r="K26">
        <v>1</v>
      </c>
      <c r="L26" s="2"/>
      <c r="M26" s="2"/>
      <c r="N26" s="2"/>
      <c r="P26" s="7">
        <f>(D26+E26+F26+G26+H26+I26+J26)/7</f>
        <v>0</v>
      </c>
      <c r="Q26" s="7">
        <f>(O26+P26)/2</f>
        <v>0</v>
      </c>
      <c r="R26">
        <f t="shared" si="0"/>
        <v>0</v>
      </c>
    </row>
    <row r="27" spans="1:18" x14ac:dyDescent="0.2">
      <c r="A27" t="s">
        <v>1307</v>
      </c>
      <c r="B27" s="52" t="s">
        <v>1308</v>
      </c>
      <c r="D27" s="5">
        <f>Info!$B$17</f>
        <v>0</v>
      </c>
      <c r="E27" s="5">
        <f>Info!$B$22</f>
        <v>0</v>
      </c>
      <c r="F27" s="5">
        <f>Info!$B$27</f>
        <v>0</v>
      </c>
      <c r="G27" s="5">
        <f>Info!$B$32</f>
        <v>0</v>
      </c>
      <c r="H27" s="5">
        <f>Info!$B$37</f>
        <v>0</v>
      </c>
      <c r="I27" s="5">
        <f>Info!$B$40</f>
        <v>0</v>
      </c>
      <c r="J27" s="5">
        <f>Info!$B$43</f>
        <v>0.5</v>
      </c>
      <c r="P27" s="7">
        <f>(D27+E27+F27+G27+H27+I27+J27)/7</f>
        <v>7.1428571428571425E-2</v>
      </c>
      <c r="Q27" s="7">
        <f>(O27+P27)/2</f>
        <v>3.5714285714285712E-2</v>
      </c>
      <c r="R27">
        <f t="shared" si="0"/>
        <v>0</v>
      </c>
    </row>
    <row r="28" spans="1:18" x14ac:dyDescent="0.2">
      <c r="A28" t="s">
        <v>4077</v>
      </c>
      <c r="B28" t="s">
        <v>4078</v>
      </c>
      <c r="M28" s="9" t="s">
        <v>4079</v>
      </c>
      <c r="N28" t="s">
        <v>4080</v>
      </c>
      <c r="O28" s="2"/>
      <c r="R28">
        <f t="shared" si="0"/>
        <v>0</v>
      </c>
    </row>
    <row r="29" spans="1:18" x14ac:dyDescent="0.2">
      <c r="A29" t="s">
        <v>4081</v>
      </c>
      <c r="B29" t="s">
        <v>4082</v>
      </c>
      <c r="D29">
        <v>0</v>
      </c>
      <c r="M29" s="9" t="s">
        <v>4079</v>
      </c>
      <c r="N29" t="s">
        <v>4083</v>
      </c>
      <c r="O29" s="2"/>
      <c r="R29">
        <f t="shared" si="0"/>
        <v>0</v>
      </c>
    </row>
    <row r="30" spans="1:18" x14ac:dyDescent="0.2">
      <c r="A30" t="s">
        <v>4084</v>
      </c>
      <c r="B30" t="s">
        <v>4085</v>
      </c>
      <c r="C30" t="s">
        <v>201</v>
      </c>
      <c r="D30">
        <v>0</v>
      </c>
      <c r="M30" s="9" t="s">
        <v>21</v>
      </c>
      <c r="N30" t="s">
        <v>211</v>
      </c>
      <c r="O30" s="2">
        <v>1</v>
      </c>
      <c r="R30">
        <f t="shared" si="0"/>
        <v>0</v>
      </c>
    </row>
    <row r="31" spans="1:18" x14ac:dyDescent="0.2">
      <c r="A31" t="s">
        <v>4086</v>
      </c>
      <c r="B31" t="s">
        <v>4087</v>
      </c>
      <c r="D31">
        <v>0</v>
      </c>
      <c r="M31" s="9" t="s">
        <v>4079</v>
      </c>
      <c r="N31" t="s">
        <v>4088</v>
      </c>
      <c r="O31" s="2"/>
      <c r="R31">
        <f t="shared" si="0"/>
        <v>0</v>
      </c>
    </row>
    <row r="32" spans="1:18" x14ac:dyDescent="0.2">
      <c r="A32" t="s">
        <v>4089</v>
      </c>
      <c r="B32" t="s">
        <v>4090</v>
      </c>
      <c r="D32">
        <v>0</v>
      </c>
      <c r="M32" s="9" t="s">
        <v>4079</v>
      </c>
      <c r="N32" t="s">
        <v>4091</v>
      </c>
      <c r="O32" s="2"/>
      <c r="R32">
        <f t="shared" si="0"/>
        <v>0</v>
      </c>
    </row>
    <row r="33" spans="1:18" x14ac:dyDescent="0.2">
      <c r="A33" t="s">
        <v>4092</v>
      </c>
      <c r="B33" t="s">
        <v>4093</v>
      </c>
      <c r="C33" t="s">
        <v>201</v>
      </c>
      <c r="D33">
        <v>0</v>
      </c>
      <c r="M33" s="9" t="s">
        <v>21</v>
      </c>
      <c r="N33" t="s">
        <v>4094</v>
      </c>
      <c r="O33" s="2">
        <v>1</v>
      </c>
      <c r="R33">
        <f t="shared" si="0"/>
        <v>0</v>
      </c>
    </row>
    <row r="34" spans="1:18" x14ac:dyDescent="0.2">
      <c r="A34" t="s">
        <v>4095</v>
      </c>
      <c r="B34" t="s">
        <v>4096</v>
      </c>
      <c r="D34">
        <v>0</v>
      </c>
      <c r="M34" s="9" t="s">
        <v>4079</v>
      </c>
      <c r="N34" t="s">
        <v>4097</v>
      </c>
      <c r="O34" s="2"/>
      <c r="R34">
        <f t="shared" si="0"/>
        <v>0</v>
      </c>
    </row>
    <row r="35" spans="1:18" x14ac:dyDescent="0.2">
      <c r="A35" t="s">
        <v>4098</v>
      </c>
      <c r="B35" t="s">
        <v>4099</v>
      </c>
      <c r="D35" t="s">
        <v>4100</v>
      </c>
      <c r="M35" s="9" t="s">
        <v>21</v>
      </c>
      <c r="N35" t="s">
        <v>211</v>
      </c>
      <c r="O35" s="2">
        <v>1</v>
      </c>
      <c r="R35">
        <f t="shared" si="0"/>
        <v>0</v>
      </c>
    </row>
    <row r="36" spans="1:18" x14ac:dyDescent="0.2">
      <c r="A36" t="s">
        <v>4101</v>
      </c>
      <c r="B36" t="s">
        <v>4102</v>
      </c>
      <c r="C36" t="s">
        <v>20</v>
      </c>
      <c r="D36">
        <v>0</v>
      </c>
      <c r="M36" s="9" t="s">
        <v>4079</v>
      </c>
      <c r="N36" t="s">
        <v>4103</v>
      </c>
      <c r="O36" s="2" t="s">
        <v>3896</v>
      </c>
      <c r="R36">
        <f t="shared" si="0"/>
        <v>0</v>
      </c>
    </row>
    <row r="37" spans="1:18" x14ac:dyDescent="0.2">
      <c r="A37" t="s">
        <v>4104</v>
      </c>
      <c r="B37" t="s">
        <v>4105</v>
      </c>
      <c r="M37" s="9" t="s">
        <v>4079</v>
      </c>
      <c r="N37" t="s">
        <v>4106</v>
      </c>
      <c r="O37" s="2"/>
      <c r="R37">
        <f t="shared" si="0"/>
        <v>0</v>
      </c>
    </row>
    <row r="38" spans="1:18" x14ac:dyDescent="0.2">
      <c r="A38" t="s">
        <v>4107</v>
      </c>
      <c r="B38" t="s">
        <v>4108</v>
      </c>
      <c r="C38" t="s">
        <v>20</v>
      </c>
      <c r="D38">
        <v>0</v>
      </c>
      <c r="E38">
        <v>1</v>
      </c>
      <c r="M38" s="9" t="s">
        <v>21</v>
      </c>
      <c r="N38" t="s">
        <v>4109</v>
      </c>
      <c r="O38" s="2">
        <v>1</v>
      </c>
      <c r="R38">
        <f t="shared" si="0"/>
        <v>0</v>
      </c>
    </row>
    <row r="39" spans="1:18" x14ac:dyDescent="0.2">
      <c r="A39" t="s">
        <v>4110</v>
      </c>
      <c r="B39" t="s">
        <v>4111</v>
      </c>
      <c r="D39">
        <v>0</v>
      </c>
      <c r="M39" s="9" t="s">
        <v>4079</v>
      </c>
      <c r="N39" t="s">
        <v>4112</v>
      </c>
      <c r="O39" s="2"/>
      <c r="R39">
        <f t="shared" si="0"/>
        <v>0</v>
      </c>
    </row>
    <row r="40" spans="1:18" x14ac:dyDescent="0.2">
      <c r="A40" t="s">
        <v>4113</v>
      </c>
      <c r="B40" t="s">
        <v>4114</v>
      </c>
      <c r="M40" s="9" t="s">
        <v>4079</v>
      </c>
      <c r="N40" t="s">
        <v>4115</v>
      </c>
      <c r="O40" s="2"/>
      <c r="R40">
        <f t="shared" si="0"/>
        <v>0</v>
      </c>
    </row>
    <row r="41" spans="1:18" x14ac:dyDescent="0.2">
      <c r="A41" t="s">
        <v>4116</v>
      </c>
      <c r="B41" t="s">
        <v>4117</v>
      </c>
      <c r="C41" t="s">
        <v>201</v>
      </c>
      <c r="D41">
        <v>0</v>
      </c>
      <c r="M41" s="9" t="s">
        <v>4079</v>
      </c>
      <c r="N41" t="s">
        <v>4118</v>
      </c>
      <c r="O41" s="2"/>
      <c r="R41">
        <f t="shared" si="0"/>
        <v>0</v>
      </c>
    </row>
    <row r="42" spans="1:18" x14ac:dyDescent="0.2">
      <c r="A42" t="s">
        <v>4119</v>
      </c>
      <c r="B42" t="s">
        <v>4120</v>
      </c>
      <c r="D42">
        <v>0</v>
      </c>
      <c r="M42" s="9" t="s">
        <v>21</v>
      </c>
      <c r="N42" t="s">
        <v>146</v>
      </c>
      <c r="O42" s="2">
        <v>1</v>
      </c>
      <c r="R42">
        <f t="shared" si="0"/>
        <v>0</v>
      </c>
    </row>
    <row r="43" spans="1:18" x14ac:dyDescent="0.2">
      <c r="A43" t="s">
        <v>4121</v>
      </c>
      <c r="B43" t="s">
        <v>4122</v>
      </c>
      <c r="D43">
        <v>0</v>
      </c>
      <c r="M43" s="9" t="s">
        <v>21</v>
      </c>
      <c r="N43" t="s">
        <v>4109</v>
      </c>
      <c r="O43" s="2">
        <v>1</v>
      </c>
      <c r="R43">
        <f t="shared" si="0"/>
        <v>0</v>
      </c>
    </row>
    <row r="44" spans="1:18" x14ac:dyDescent="0.2">
      <c r="A44" t="s">
        <v>4123</v>
      </c>
      <c r="B44" t="s">
        <v>4124</v>
      </c>
      <c r="D44">
        <v>0</v>
      </c>
      <c r="M44" s="9" t="s">
        <v>4079</v>
      </c>
      <c r="N44" t="s">
        <v>4125</v>
      </c>
      <c r="O44" s="2"/>
      <c r="R44">
        <f t="shared" si="0"/>
        <v>0</v>
      </c>
    </row>
    <row r="45" spans="1:18" x14ac:dyDescent="0.2">
      <c r="A45" t="s">
        <v>4126</v>
      </c>
      <c r="B45" t="s">
        <v>4127</v>
      </c>
      <c r="C45" t="s">
        <v>201</v>
      </c>
      <c r="M45" s="9" t="s">
        <v>4079</v>
      </c>
      <c r="N45" t="s">
        <v>4128</v>
      </c>
      <c r="O45" s="2"/>
      <c r="R45">
        <f t="shared" si="0"/>
        <v>0</v>
      </c>
    </row>
    <row r="46" spans="1:18" x14ac:dyDescent="0.2">
      <c r="A46" t="s">
        <v>4129</v>
      </c>
      <c r="B46" t="s">
        <v>4130</v>
      </c>
      <c r="D46">
        <v>0</v>
      </c>
      <c r="M46" s="9" t="s">
        <v>4079</v>
      </c>
      <c r="N46" t="s">
        <v>4131</v>
      </c>
      <c r="O46" s="2"/>
      <c r="R46">
        <f t="shared" si="0"/>
        <v>0</v>
      </c>
    </row>
    <row r="47" spans="1:18" x14ac:dyDescent="0.2">
      <c r="A47" t="s">
        <v>4132</v>
      </c>
      <c r="B47" t="s">
        <v>4133</v>
      </c>
      <c r="D47">
        <v>0</v>
      </c>
      <c r="L47">
        <v>1</v>
      </c>
      <c r="M47" s="9" t="s">
        <v>21</v>
      </c>
      <c r="N47" t="s">
        <v>211</v>
      </c>
      <c r="O47" s="2">
        <v>1</v>
      </c>
      <c r="R47">
        <f t="shared" si="0"/>
        <v>0</v>
      </c>
    </row>
    <row r="48" spans="1:18" x14ac:dyDescent="0.2">
      <c r="A48" t="s">
        <v>4134</v>
      </c>
      <c r="B48" t="s">
        <v>4135</v>
      </c>
      <c r="D48">
        <v>0</v>
      </c>
      <c r="M48" s="9" t="s">
        <v>4079</v>
      </c>
      <c r="N48" t="s">
        <v>4136</v>
      </c>
      <c r="O48" s="2"/>
      <c r="R48">
        <f t="shared" si="0"/>
        <v>0</v>
      </c>
    </row>
    <row r="49" spans="1:18" x14ac:dyDescent="0.2">
      <c r="A49" t="s">
        <v>4137</v>
      </c>
      <c r="B49" t="s">
        <v>4138</v>
      </c>
      <c r="M49" s="9" t="s">
        <v>4079</v>
      </c>
      <c r="N49" t="s">
        <v>4139</v>
      </c>
      <c r="O49" s="2"/>
      <c r="R49">
        <f t="shared" si="0"/>
        <v>0</v>
      </c>
    </row>
    <row r="50" spans="1:18" x14ac:dyDescent="0.2">
      <c r="A50" t="s">
        <v>4140</v>
      </c>
      <c r="B50" t="s">
        <v>4141</v>
      </c>
      <c r="M50" s="9" t="s">
        <v>4079</v>
      </c>
      <c r="N50" t="s">
        <v>4142</v>
      </c>
      <c r="O50" s="2"/>
      <c r="R50">
        <f t="shared" si="0"/>
        <v>0</v>
      </c>
    </row>
    <row r="51" spans="1:18" x14ac:dyDescent="0.2">
      <c r="A51" t="s">
        <v>4143</v>
      </c>
      <c r="B51" t="s">
        <v>4144</v>
      </c>
      <c r="D51">
        <v>0</v>
      </c>
      <c r="M51" s="9" t="s">
        <v>4079</v>
      </c>
      <c r="N51" t="s">
        <v>4145</v>
      </c>
      <c r="O51" s="2"/>
      <c r="R51">
        <f t="shared" si="0"/>
        <v>0</v>
      </c>
    </row>
    <row r="52" spans="1:18" x14ac:dyDescent="0.2">
      <c r="A52" t="s">
        <v>4146</v>
      </c>
      <c r="B52" t="s">
        <v>4147</v>
      </c>
      <c r="D52">
        <v>0</v>
      </c>
      <c r="M52" s="9" t="s">
        <v>4079</v>
      </c>
      <c r="N52" t="s">
        <v>4148</v>
      </c>
      <c r="O52" s="2"/>
      <c r="R52">
        <f t="shared" si="0"/>
        <v>0</v>
      </c>
    </row>
    <row r="53" spans="1:18" x14ac:dyDescent="0.2">
      <c r="A53" t="s">
        <v>4149</v>
      </c>
      <c r="B53" t="s">
        <v>4150</v>
      </c>
      <c r="C53" t="s">
        <v>20</v>
      </c>
      <c r="D53">
        <v>0</v>
      </c>
      <c r="E53">
        <v>1</v>
      </c>
      <c r="M53" s="9" t="s">
        <v>4079</v>
      </c>
      <c r="N53" t="s">
        <v>4151</v>
      </c>
      <c r="O53" s="2"/>
      <c r="R53">
        <f t="shared" si="0"/>
        <v>0</v>
      </c>
    </row>
    <row r="54" spans="1:18" x14ac:dyDescent="0.2">
      <c r="A54" t="s">
        <v>4152</v>
      </c>
      <c r="B54" t="s">
        <v>4153</v>
      </c>
      <c r="M54" s="9" t="s">
        <v>4079</v>
      </c>
      <c r="N54" t="s">
        <v>4154</v>
      </c>
      <c r="O54" s="2"/>
      <c r="R54">
        <f t="shared" si="0"/>
        <v>0</v>
      </c>
    </row>
    <row r="55" spans="1:18" x14ac:dyDescent="0.2">
      <c r="A55" t="s">
        <v>3779</v>
      </c>
      <c r="B55" t="s">
        <v>4155</v>
      </c>
      <c r="M55" s="9" t="s">
        <v>4079</v>
      </c>
      <c r="N55" t="s">
        <v>4156</v>
      </c>
      <c r="O55" s="2"/>
      <c r="R55">
        <f t="shared" si="0"/>
        <v>0</v>
      </c>
    </row>
    <row r="56" spans="1:18" x14ac:dyDescent="0.2">
      <c r="A56" t="s">
        <v>4157</v>
      </c>
      <c r="B56" t="s">
        <v>4158</v>
      </c>
      <c r="C56" t="s">
        <v>20</v>
      </c>
      <c r="D56">
        <v>0</v>
      </c>
      <c r="E56">
        <v>1</v>
      </c>
      <c r="M56" s="9" t="s">
        <v>4079</v>
      </c>
      <c r="N56" t="s">
        <v>4159</v>
      </c>
      <c r="O56" s="2"/>
      <c r="R56">
        <f t="shared" si="0"/>
        <v>0</v>
      </c>
    </row>
    <row r="57" spans="1:18" x14ac:dyDescent="0.2">
      <c r="A57" t="s">
        <v>4160</v>
      </c>
      <c r="B57" t="s">
        <v>4161</v>
      </c>
      <c r="D57">
        <v>0</v>
      </c>
      <c r="M57" s="9" t="s">
        <v>4079</v>
      </c>
      <c r="N57" t="s">
        <v>4162</v>
      </c>
      <c r="O57" s="2"/>
      <c r="R57">
        <f t="shared" si="0"/>
        <v>0</v>
      </c>
    </row>
    <row r="58" spans="1:18" x14ac:dyDescent="0.2">
      <c r="A58" t="s">
        <v>3790</v>
      </c>
      <c r="B58" t="s">
        <v>4163</v>
      </c>
      <c r="M58" s="9" t="s">
        <v>4079</v>
      </c>
      <c r="N58" t="s">
        <v>4164</v>
      </c>
      <c r="O58" s="2"/>
      <c r="R58">
        <f t="shared" si="0"/>
        <v>0</v>
      </c>
    </row>
    <row r="59" spans="1:18" x14ac:dyDescent="0.2">
      <c r="A59" t="s">
        <v>4165</v>
      </c>
      <c r="B59" t="s">
        <v>4166</v>
      </c>
      <c r="M59" s="9" t="s">
        <v>4079</v>
      </c>
      <c r="N59" t="s">
        <v>4167</v>
      </c>
      <c r="O59" s="2"/>
      <c r="R59">
        <f t="shared" si="0"/>
        <v>0</v>
      </c>
    </row>
    <row r="60" spans="1:18" x14ac:dyDescent="0.2">
      <c r="A60" t="s">
        <v>4173</v>
      </c>
      <c r="B60" t="s">
        <v>4174</v>
      </c>
      <c r="D60">
        <v>0</v>
      </c>
      <c r="M60" s="9" t="s">
        <v>4079</v>
      </c>
      <c r="N60" t="s">
        <v>4175</v>
      </c>
      <c r="O60" s="2"/>
      <c r="R60">
        <f t="shared" si="0"/>
        <v>0</v>
      </c>
    </row>
    <row r="61" spans="1:18" x14ac:dyDescent="0.2">
      <c r="A61" t="s">
        <v>4176</v>
      </c>
      <c r="B61" t="s">
        <v>4177</v>
      </c>
      <c r="D61">
        <v>0</v>
      </c>
      <c r="M61" s="9" t="s">
        <v>21</v>
      </c>
      <c r="N61" t="s">
        <v>4178</v>
      </c>
      <c r="O61" s="2">
        <v>1</v>
      </c>
      <c r="R61">
        <f t="shared" si="0"/>
        <v>0</v>
      </c>
    </row>
    <row r="62" spans="1:18" x14ac:dyDescent="0.2">
      <c r="A62" t="s">
        <v>4179</v>
      </c>
      <c r="B62" t="s">
        <v>4180</v>
      </c>
      <c r="M62" s="9" t="s">
        <v>4079</v>
      </c>
      <c r="N62" t="s">
        <v>4181</v>
      </c>
      <c r="O62" s="2"/>
      <c r="R62">
        <f t="shared" si="0"/>
        <v>0</v>
      </c>
    </row>
    <row r="63" spans="1:18" x14ac:dyDescent="0.2">
      <c r="A63" t="s">
        <v>318</v>
      </c>
      <c r="B63" t="s">
        <v>4182</v>
      </c>
      <c r="D63" t="s">
        <v>4100</v>
      </c>
      <c r="M63" s="9" t="s">
        <v>4079</v>
      </c>
      <c r="N63" t="s">
        <v>4183</v>
      </c>
      <c r="O63" s="2">
        <v>1</v>
      </c>
      <c r="R63">
        <f t="shared" si="0"/>
        <v>0</v>
      </c>
    </row>
    <row r="64" spans="1:18" x14ac:dyDescent="0.2">
      <c r="A64" t="s">
        <v>3762</v>
      </c>
      <c r="B64" t="s">
        <v>4184</v>
      </c>
      <c r="D64">
        <v>0</v>
      </c>
      <c r="M64" s="9" t="s">
        <v>4079</v>
      </c>
      <c r="N64" t="s">
        <v>4185</v>
      </c>
      <c r="O64" s="2">
        <v>1</v>
      </c>
      <c r="R64">
        <f t="shared" si="0"/>
        <v>0</v>
      </c>
    </row>
    <row r="65" spans="1:18" x14ac:dyDescent="0.2">
      <c r="A65" t="s">
        <v>4186</v>
      </c>
      <c r="B65" t="s">
        <v>4187</v>
      </c>
      <c r="M65" s="9" t="s">
        <v>21</v>
      </c>
      <c r="N65" t="s">
        <v>211</v>
      </c>
      <c r="O65" s="2">
        <v>1</v>
      </c>
      <c r="R65">
        <f t="shared" si="0"/>
        <v>0</v>
      </c>
    </row>
    <row r="66" spans="1:18" x14ac:dyDescent="0.2">
      <c r="A66" t="s">
        <v>4188</v>
      </c>
      <c r="B66" t="s">
        <v>4189</v>
      </c>
      <c r="C66" t="s">
        <v>20</v>
      </c>
      <c r="D66">
        <v>0</v>
      </c>
      <c r="E66">
        <v>1</v>
      </c>
      <c r="M66" s="9" t="s">
        <v>4079</v>
      </c>
      <c r="N66" t="s">
        <v>4190</v>
      </c>
      <c r="O66" s="2"/>
      <c r="R66">
        <f t="shared" ref="R66:R129" si="1">IF(_xlfn.BITAND(P66&gt;0.4999, Q66&gt;0.4999)=1,1,0)</f>
        <v>0</v>
      </c>
    </row>
    <row r="67" spans="1:18" x14ac:dyDescent="0.2">
      <c r="A67" t="s">
        <v>4191</v>
      </c>
      <c r="B67" t="s">
        <v>4192</v>
      </c>
      <c r="D67">
        <v>0</v>
      </c>
      <c r="M67" s="9" t="s">
        <v>4079</v>
      </c>
      <c r="N67" t="s">
        <v>4193</v>
      </c>
      <c r="O67" s="2"/>
      <c r="R67">
        <f t="shared" si="1"/>
        <v>0</v>
      </c>
    </row>
    <row r="68" spans="1:18" x14ac:dyDescent="0.2">
      <c r="A68" t="s">
        <v>4194</v>
      </c>
      <c r="B68" t="s">
        <v>4195</v>
      </c>
      <c r="M68" s="9" t="s">
        <v>4079</v>
      </c>
      <c r="N68" t="s">
        <v>4196</v>
      </c>
      <c r="O68" s="2"/>
      <c r="R68">
        <f t="shared" si="1"/>
        <v>0</v>
      </c>
    </row>
    <row r="69" spans="1:18" x14ac:dyDescent="0.2">
      <c r="A69" t="s">
        <v>4199</v>
      </c>
      <c r="B69" t="s">
        <v>4200</v>
      </c>
      <c r="M69" s="9" t="s">
        <v>4079</v>
      </c>
      <c r="N69" t="s">
        <v>4201</v>
      </c>
      <c r="O69" s="2"/>
      <c r="R69">
        <f t="shared" si="1"/>
        <v>0</v>
      </c>
    </row>
    <row r="70" spans="1:18" x14ac:dyDescent="0.2">
      <c r="A70" t="s">
        <v>4202</v>
      </c>
      <c r="B70" t="s">
        <v>4203</v>
      </c>
      <c r="M70" s="9" t="s">
        <v>4079</v>
      </c>
      <c r="N70" t="s">
        <v>4183</v>
      </c>
      <c r="O70" s="2">
        <v>1</v>
      </c>
      <c r="R70">
        <f t="shared" si="1"/>
        <v>0</v>
      </c>
    </row>
    <row r="71" spans="1:18" x14ac:dyDescent="0.2">
      <c r="A71" t="s">
        <v>4204</v>
      </c>
      <c r="B71" t="s">
        <v>4205</v>
      </c>
      <c r="M71" s="9" t="s">
        <v>4079</v>
      </c>
      <c r="N71" t="s">
        <v>4206</v>
      </c>
      <c r="O71" s="2"/>
      <c r="R71">
        <f t="shared" si="1"/>
        <v>0</v>
      </c>
    </row>
    <row r="72" spans="1:18" x14ac:dyDescent="0.2">
      <c r="A72" t="s">
        <v>4207</v>
      </c>
      <c r="B72" t="s">
        <v>4208</v>
      </c>
      <c r="M72" s="9" t="s">
        <v>4079</v>
      </c>
      <c r="N72" t="s">
        <v>4209</v>
      </c>
      <c r="O72" s="2"/>
      <c r="R72">
        <f t="shared" si="1"/>
        <v>0</v>
      </c>
    </row>
    <row r="73" spans="1:18" x14ac:dyDescent="0.2">
      <c r="A73" t="s">
        <v>4213</v>
      </c>
      <c r="B73" t="s">
        <v>4214</v>
      </c>
      <c r="D73">
        <v>0</v>
      </c>
      <c r="M73" s="9" t="s">
        <v>4079</v>
      </c>
      <c r="N73" t="s">
        <v>4215</v>
      </c>
      <c r="O73" s="2"/>
      <c r="R73">
        <f t="shared" si="1"/>
        <v>0</v>
      </c>
    </row>
    <row r="74" spans="1:18" x14ac:dyDescent="0.2">
      <c r="A74" t="s">
        <v>4216</v>
      </c>
      <c r="B74" t="s">
        <v>4217</v>
      </c>
      <c r="C74" t="s">
        <v>184</v>
      </c>
      <c r="M74" s="9" t="s">
        <v>21</v>
      </c>
      <c r="N74" t="s">
        <v>211</v>
      </c>
      <c r="O74" s="2">
        <v>1</v>
      </c>
      <c r="R74">
        <f t="shared" si="1"/>
        <v>0</v>
      </c>
    </row>
    <row r="75" spans="1:18" x14ac:dyDescent="0.2">
      <c r="A75" t="s">
        <v>4218</v>
      </c>
      <c r="B75" t="s">
        <v>4219</v>
      </c>
      <c r="M75" s="9" t="s">
        <v>4079</v>
      </c>
      <c r="N75" t="s">
        <v>4220</v>
      </c>
      <c r="O75" s="2"/>
      <c r="R75">
        <f t="shared" si="1"/>
        <v>0</v>
      </c>
    </row>
    <row r="76" spans="1:18" x14ac:dyDescent="0.2">
      <c r="A76" t="s">
        <v>4222</v>
      </c>
      <c r="B76" t="s">
        <v>4223</v>
      </c>
      <c r="C76" t="s">
        <v>20</v>
      </c>
      <c r="M76" s="9" t="s">
        <v>4079</v>
      </c>
      <c r="N76" t="s">
        <v>4103</v>
      </c>
      <c r="O76" s="2">
        <v>0.5</v>
      </c>
      <c r="R76">
        <f t="shared" si="1"/>
        <v>0</v>
      </c>
    </row>
    <row r="77" spans="1:18" x14ac:dyDescent="0.2">
      <c r="A77" t="s">
        <v>4228</v>
      </c>
      <c r="B77" t="s">
        <v>4229</v>
      </c>
      <c r="L77">
        <v>1</v>
      </c>
      <c r="M77" s="9" t="s">
        <v>4079</v>
      </c>
      <c r="N77" t="s">
        <v>4230</v>
      </c>
      <c r="O77" s="2">
        <v>1</v>
      </c>
      <c r="R77">
        <f t="shared" si="1"/>
        <v>0</v>
      </c>
    </row>
    <row r="78" spans="1:18" x14ac:dyDescent="0.2">
      <c r="A78" t="s">
        <v>4231</v>
      </c>
      <c r="B78" t="s">
        <v>4232</v>
      </c>
      <c r="M78" s="9" t="s">
        <v>4079</v>
      </c>
      <c r="N78" t="s">
        <v>4233</v>
      </c>
      <c r="O78" s="2"/>
      <c r="R78">
        <f t="shared" si="1"/>
        <v>0</v>
      </c>
    </row>
    <row r="79" spans="1:18" x14ac:dyDescent="0.2">
      <c r="A79" t="s">
        <v>4234</v>
      </c>
      <c r="B79" t="s">
        <v>4235</v>
      </c>
      <c r="M79" s="9" t="s">
        <v>21</v>
      </c>
      <c r="N79" t="s">
        <v>211</v>
      </c>
      <c r="O79" s="2">
        <v>1</v>
      </c>
      <c r="R79">
        <f t="shared" si="1"/>
        <v>0</v>
      </c>
    </row>
    <row r="80" spans="1:18" x14ac:dyDescent="0.2">
      <c r="A80" t="s">
        <v>4236</v>
      </c>
      <c r="B80" t="s">
        <v>4237</v>
      </c>
      <c r="M80" s="9" t="s">
        <v>4079</v>
      </c>
      <c r="N80" t="s">
        <v>4238</v>
      </c>
      <c r="O80" s="2"/>
      <c r="R80">
        <f t="shared" si="1"/>
        <v>0</v>
      </c>
    </row>
    <row r="81" spans="1:18" x14ac:dyDescent="0.2">
      <c r="A81" t="s">
        <v>3761</v>
      </c>
      <c r="B81" t="s">
        <v>4239</v>
      </c>
      <c r="M81" s="9" t="s">
        <v>4079</v>
      </c>
      <c r="N81" t="s">
        <v>4185</v>
      </c>
      <c r="O81" s="2">
        <v>1</v>
      </c>
      <c r="R81">
        <f t="shared" si="1"/>
        <v>0</v>
      </c>
    </row>
    <row r="82" spans="1:18" x14ac:dyDescent="0.2">
      <c r="A82" t="s">
        <v>4240</v>
      </c>
      <c r="B82" t="s">
        <v>4241</v>
      </c>
      <c r="M82" s="9" t="s">
        <v>4079</v>
      </c>
      <c r="N82" t="s">
        <v>4242</v>
      </c>
      <c r="O82" s="2"/>
      <c r="R82">
        <f t="shared" si="1"/>
        <v>0</v>
      </c>
    </row>
    <row r="83" spans="1:18" x14ac:dyDescent="0.2">
      <c r="A83" t="s">
        <v>3753</v>
      </c>
      <c r="B83" t="s">
        <v>4243</v>
      </c>
      <c r="D83">
        <v>1</v>
      </c>
      <c r="M83" s="9" t="s">
        <v>4079</v>
      </c>
      <c r="N83" t="s">
        <v>4183</v>
      </c>
      <c r="O83" s="2">
        <v>1</v>
      </c>
      <c r="R83">
        <f t="shared" si="1"/>
        <v>0</v>
      </c>
    </row>
    <row r="84" spans="1:18" x14ac:dyDescent="0.2">
      <c r="A84" t="s">
        <v>3764</v>
      </c>
      <c r="B84" t="s">
        <v>4244</v>
      </c>
      <c r="D84">
        <v>0</v>
      </c>
      <c r="M84" s="9" t="s">
        <v>4079</v>
      </c>
      <c r="N84" t="s">
        <v>4185</v>
      </c>
      <c r="O84" s="2">
        <v>1</v>
      </c>
      <c r="R84">
        <f t="shared" si="1"/>
        <v>0</v>
      </c>
    </row>
    <row r="85" spans="1:18" x14ac:dyDescent="0.2">
      <c r="A85" t="s">
        <v>4247</v>
      </c>
      <c r="B85" t="s">
        <v>4248</v>
      </c>
      <c r="M85" s="9" t="s">
        <v>4079</v>
      </c>
      <c r="N85" t="s">
        <v>4249</v>
      </c>
      <c r="O85" s="2"/>
      <c r="R85">
        <f t="shared" si="1"/>
        <v>0</v>
      </c>
    </row>
    <row r="86" spans="1:18" x14ac:dyDescent="0.2">
      <c r="A86" t="s">
        <v>4255</v>
      </c>
      <c r="B86" t="s">
        <v>4256</v>
      </c>
      <c r="D86">
        <v>0</v>
      </c>
      <c r="M86" s="9" t="s">
        <v>21</v>
      </c>
      <c r="N86" t="s">
        <v>211</v>
      </c>
      <c r="O86" s="2">
        <v>1</v>
      </c>
      <c r="R86">
        <f t="shared" si="1"/>
        <v>0</v>
      </c>
    </row>
    <row r="87" spans="1:18" x14ac:dyDescent="0.2">
      <c r="A87" t="s">
        <v>4260</v>
      </c>
      <c r="B87" t="s">
        <v>4261</v>
      </c>
      <c r="K87">
        <v>1</v>
      </c>
      <c r="M87" s="9" t="s">
        <v>4079</v>
      </c>
      <c r="N87" t="s">
        <v>4263</v>
      </c>
      <c r="O87" s="2"/>
      <c r="R87">
        <f t="shared" si="1"/>
        <v>0</v>
      </c>
    </row>
    <row r="88" spans="1:18" x14ac:dyDescent="0.2">
      <c r="A88" t="s">
        <v>4264</v>
      </c>
      <c r="B88" t="s">
        <v>4265</v>
      </c>
      <c r="D88">
        <v>0</v>
      </c>
      <c r="M88" s="9" t="s">
        <v>4079</v>
      </c>
      <c r="N88" t="s">
        <v>4266</v>
      </c>
      <c r="O88" s="2"/>
      <c r="R88">
        <f t="shared" si="1"/>
        <v>0</v>
      </c>
    </row>
    <row r="89" spans="1:18" x14ac:dyDescent="0.2">
      <c r="A89" t="s">
        <v>4270</v>
      </c>
      <c r="B89" t="s">
        <v>4271</v>
      </c>
      <c r="M89" s="9" t="s">
        <v>4079</v>
      </c>
      <c r="N89" t="s">
        <v>4272</v>
      </c>
      <c r="O89" s="2"/>
      <c r="R89">
        <f t="shared" si="1"/>
        <v>0</v>
      </c>
    </row>
    <row r="90" spans="1:18" x14ac:dyDescent="0.2">
      <c r="A90" t="s">
        <v>4273</v>
      </c>
      <c r="B90" t="s">
        <v>4274</v>
      </c>
      <c r="M90" s="9" t="s">
        <v>21</v>
      </c>
      <c r="N90" t="s">
        <v>211</v>
      </c>
      <c r="O90" s="2">
        <v>1</v>
      </c>
      <c r="R90">
        <f t="shared" si="1"/>
        <v>0</v>
      </c>
    </row>
    <row r="91" spans="1:18" x14ac:dyDescent="0.2">
      <c r="A91" t="s">
        <v>4275</v>
      </c>
      <c r="B91" t="s">
        <v>4276</v>
      </c>
      <c r="K91">
        <v>1</v>
      </c>
      <c r="M91" s="9" t="s">
        <v>4079</v>
      </c>
      <c r="N91" t="s">
        <v>4277</v>
      </c>
      <c r="O91" s="2"/>
      <c r="R91">
        <f t="shared" si="1"/>
        <v>0</v>
      </c>
    </row>
    <row r="92" spans="1:18" x14ac:dyDescent="0.2">
      <c r="A92" t="s">
        <v>4278</v>
      </c>
      <c r="B92" t="s">
        <v>4279</v>
      </c>
      <c r="D92">
        <v>0</v>
      </c>
      <c r="M92" s="9" t="s">
        <v>4079</v>
      </c>
      <c r="N92" t="s">
        <v>4280</v>
      </c>
      <c r="O92" s="2"/>
      <c r="R92">
        <f t="shared" si="1"/>
        <v>0</v>
      </c>
    </row>
    <row r="93" spans="1:18" x14ac:dyDescent="0.2">
      <c r="A93" t="s">
        <v>3699</v>
      </c>
      <c r="B93" t="s">
        <v>4281</v>
      </c>
      <c r="M93" s="9" t="s">
        <v>4079</v>
      </c>
      <c r="N93" t="s">
        <v>4282</v>
      </c>
      <c r="O93" s="2"/>
      <c r="R93">
        <f t="shared" si="1"/>
        <v>0</v>
      </c>
    </row>
    <row r="94" spans="1:18" x14ac:dyDescent="0.2">
      <c r="A94" t="s">
        <v>4283</v>
      </c>
      <c r="B94" t="s">
        <v>4284</v>
      </c>
      <c r="M94" s="9" t="s">
        <v>4079</v>
      </c>
      <c r="N94" t="s">
        <v>4285</v>
      </c>
      <c r="O94" s="2"/>
      <c r="R94">
        <f t="shared" si="1"/>
        <v>0</v>
      </c>
    </row>
    <row r="95" spans="1:18" x14ac:dyDescent="0.2">
      <c r="A95" t="s">
        <v>4286</v>
      </c>
      <c r="B95" t="s">
        <v>4287</v>
      </c>
      <c r="K95">
        <v>1</v>
      </c>
      <c r="M95" s="9" t="s">
        <v>32</v>
      </c>
      <c r="N95" t="s">
        <v>4288</v>
      </c>
      <c r="O95"/>
      <c r="Q95" s="2"/>
      <c r="R95">
        <f t="shared" si="1"/>
        <v>0</v>
      </c>
    </row>
    <row r="96" spans="1:18" x14ac:dyDescent="0.2">
      <c r="A96" t="s">
        <v>4289</v>
      </c>
      <c r="B96" t="s">
        <v>4290</v>
      </c>
      <c r="M96" s="9" t="s">
        <v>4079</v>
      </c>
      <c r="N96" t="s">
        <v>4291</v>
      </c>
      <c r="O96" s="2">
        <v>1</v>
      </c>
      <c r="R96">
        <f t="shared" si="1"/>
        <v>0</v>
      </c>
    </row>
    <row r="97" spans="1:18" x14ac:dyDescent="0.2">
      <c r="A97" t="s">
        <v>4292</v>
      </c>
      <c r="B97" t="s">
        <v>4293</v>
      </c>
      <c r="M97" s="9" t="s">
        <v>4079</v>
      </c>
      <c r="N97" t="s">
        <v>4272</v>
      </c>
      <c r="O97" s="2"/>
      <c r="R97">
        <f t="shared" si="1"/>
        <v>0</v>
      </c>
    </row>
    <row r="98" spans="1:18" x14ac:dyDescent="0.2">
      <c r="A98" t="s">
        <v>4294</v>
      </c>
      <c r="B98" t="s">
        <v>4295</v>
      </c>
      <c r="D98">
        <v>0</v>
      </c>
      <c r="M98" s="9" t="s">
        <v>4079</v>
      </c>
      <c r="N98" t="s">
        <v>4296</v>
      </c>
      <c r="O98" s="2" t="s">
        <v>3896</v>
      </c>
      <c r="R98">
        <f t="shared" si="1"/>
        <v>0</v>
      </c>
    </row>
    <row r="99" spans="1:18" x14ac:dyDescent="0.2">
      <c r="A99" t="s">
        <v>3756</v>
      </c>
      <c r="B99" t="s">
        <v>4299</v>
      </c>
      <c r="D99">
        <v>0</v>
      </c>
      <c r="M99" s="9" t="s">
        <v>4079</v>
      </c>
      <c r="N99" t="s">
        <v>4183</v>
      </c>
      <c r="O99" s="2">
        <v>1</v>
      </c>
      <c r="R99">
        <f t="shared" si="1"/>
        <v>0</v>
      </c>
    </row>
    <row r="100" spans="1:18" x14ac:dyDescent="0.2">
      <c r="A100" t="s">
        <v>4300</v>
      </c>
      <c r="B100" t="s">
        <v>4301</v>
      </c>
      <c r="M100" s="9" t="s">
        <v>4079</v>
      </c>
      <c r="N100" t="s">
        <v>4302</v>
      </c>
      <c r="O100" s="2"/>
      <c r="R100">
        <f t="shared" si="1"/>
        <v>0</v>
      </c>
    </row>
    <row r="101" spans="1:18" x14ac:dyDescent="0.2">
      <c r="A101" t="s">
        <v>4303</v>
      </c>
      <c r="B101" t="s">
        <v>4304</v>
      </c>
      <c r="M101" s="9" t="s">
        <v>4079</v>
      </c>
      <c r="N101" t="s">
        <v>4305</v>
      </c>
      <c r="O101" s="2"/>
      <c r="R101">
        <f t="shared" si="1"/>
        <v>0</v>
      </c>
    </row>
    <row r="102" spans="1:18" x14ac:dyDescent="0.2">
      <c r="A102" t="s">
        <v>4306</v>
      </c>
      <c r="B102" t="s">
        <v>4307</v>
      </c>
      <c r="M102" s="9" t="s">
        <v>4079</v>
      </c>
      <c r="N102" t="s">
        <v>4308</v>
      </c>
      <c r="O102" s="2"/>
      <c r="R102">
        <f t="shared" si="1"/>
        <v>0</v>
      </c>
    </row>
    <row r="103" spans="1:18" x14ac:dyDescent="0.2">
      <c r="A103" t="s">
        <v>4309</v>
      </c>
      <c r="B103" t="s">
        <v>4310</v>
      </c>
      <c r="D103">
        <v>0</v>
      </c>
      <c r="M103" s="9" t="s">
        <v>4079</v>
      </c>
      <c r="N103" t="s">
        <v>4311</v>
      </c>
      <c r="O103" s="2"/>
      <c r="R103">
        <f t="shared" si="1"/>
        <v>0</v>
      </c>
    </row>
    <row r="104" spans="1:18" x14ac:dyDescent="0.2">
      <c r="A104" t="s">
        <v>4312</v>
      </c>
      <c r="B104" t="s">
        <v>4313</v>
      </c>
      <c r="M104" s="9" t="s">
        <v>4079</v>
      </c>
      <c r="N104" t="s">
        <v>4148</v>
      </c>
      <c r="O104" s="2"/>
      <c r="R104">
        <f t="shared" si="1"/>
        <v>0</v>
      </c>
    </row>
    <row r="105" spans="1:18" x14ac:dyDescent="0.2">
      <c r="A105" t="s">
        <v>4316</v>
      </c>
      <c r="B105" t="s">
        <v>4317</v>
      </c>
      <c r="M105" s="9" t="s">
        <v>4079</v>
      </c>
      <c r="N105" t="s">
        <v>4318</v>
      </c>
      <c r="O105" s="2"/>
      <c r="R105">
        <f t="shared" si="1"/>
        <v>0</v>
      </c>
    </row>
    <row r="106" spans="1:18" x14ac:dyDescent="0.2">
      <c r="A106" t="s">
        <v>4321</v>
      </c>
      <c r="B106" t="s">
        <v>4322</v>
      </c>
      <c r="M106" s="9" t="s">
        <v>32</v>
      </c>
      <c r="N106" t="s">
        <v>4323</v>
      </c>
      <c r="O106"/>
      <c r="Q106" s="2"/>
      <c r="R106">
        <f t="shared" si="1"/>
        <v>0</v>
      </c>
    </row>
    <row r="107" spans="1:18" x14ac:dyDescent="0.2">
      <c r="A107" t="s">
        <v>4324</v>
      </c>
      <c r="B107" t="s">
        <v>4325</v>
      </c>
      <c r="K107">
        <v>1</v>
      </c>
      <c r="M107" s="9" t="s">
        <v>21</v>
      </c>
      <c r="N107" t="s">
        <v>211</v>
      </c>
      <c r="O107" s="2">
        <v>1</v>
      </c>
      <c r="R107">
        <f t="shared" si="1"/>
        <v>0</v>
      </c>
    </row>
    <row r="108" spans="1:18" x14ac:dyDescent="0.2">
      <c r="A108" t="s">
        <v>3812</v>
      </c>
      <c r="B108" t="s">
        <v>4328</v>
      </c>
      <c r="D108">
        <v>0</v>
      </c>
      <c r="M108" s="9" t="s">
        <v>4079</v>
      </c>
      <c r="N108" t="s">
        <v>4183</v>
      </c>
      <c r="O108" s="2">
        <v>1</v>
      </c>
      <c r="R108">
        <f t="shared" si="1"/>
        <v>0</v>
      </c>
    </row>
    <row r="109" spans="1:18" x14ac:dyDescent="0.2">
      <c r="A109" t="s">
        <v>4329</v>
      </c>
      <c r="B109" t="s">
        <v>4330</v>
      </c>
      <c r="K109">
        <v>1</v>
      </c>
      <c r="M109" s="9" t="s">
        <v>4079</v>
      </c>
      <c r="N109" t="s">
        <v>4331</v>
      </c>
      <c r="O109" s="2"/>
      <c r="R109">
        <f t="shared" si="1"/>
        <v>0</v>
      </c>
    </row>
    <row r="110" spans="1:18" x14ac:dyDescent="0.2">
      <c r="A110" t="s">
        <v>4332</v>
      </c>
      <c r="B110" t="s">
        <v>4333</v>
      </c>
      <c r="M110" s="9" t="s">
        <v>4079</v>
      </c>
      <c r="N110" t="s">
        <v>4334</v>
      </c>
      <c r="O110" s="2"/>
      <c r="R110">
        <f t="shared" si="1"/>
        <v>0</v>
      </c>
    </row>
    <row r="111" spans="1:18" x14ac:dyDescent="0.2">
      <c r="A111" t="s">
        <v>4335</v>
      </c>
      <c r="B111" t="s">
        <v>4336</v>
      </c>
      <c r="M111" s="9"/>
      <c r="O111" s="2"/>
      <c r="R111">
        <f t="shared" si="1"/>
        <v>0</v>
      </c>
    </row>
    <row r="112" spans="1:18" x14ac:dyDescent="0.2">
      <c r="A112" t="s">
        <v>4339</v>
      </c>
      <c r="B112" t="s">
        <v>4340</v>
      </c>
      <c r="M112" s="9" t="s">
        <v>4079</v>
      </c>
      <c r="N112" t="s">
        <v>4341</v>
      </c>
      <c r="O112" s="2"/>
      <c r="R112">
        <f t="shared" si="1"/>
        <v>0</v>
      </c>
    </row>
    <row r="113" spans="1:18" x14ac:dyDescent="0.2">
      <c r="A113" t="s">
        <v>4343</v>
      </c>
      <c r="B113" t="s">
        <v>4344</v>
      </c>
      <c r="M113" s="9" t="s">
        <v>4079</v>
      </c>
      <c r="N113" t="s">
        <v>4345</v>
      </c>
      <c r="O113" s="2"/>
      <c r="R113">
        <f t="shared" si="1"/>
        <v>0</v>
      </c>
    </row>
    <row r="114" spans="1:18" x14ac:dyDescent="0.2">
      <c r="A114" t="s">
        <v>4346</v>
      </c>
      <c r="B114" t="s">
        <v>4347</v>
      </c>
      <c r="M114" s="9" t="s">
        <v>4079</v>
      </c>
      <c r="N114" t="s">
        <v>4181</v>
      </c>
      <c r="O114" s="2"/>
      <c r="R114">
        <f t="shared" si="1"/>
        <v>0</v>
      </c>
    </row>
    <row r="115" spans="1:18" x14ac:dyDescent="0.2">
      <c r="A115" t="s">
        <v>4350</v>
      </c>
      <c r="B115" t="s">
        <v>4351</v>
      </c>
      <c r="C115" t="s">
        <v>201</v>
      </c>
      <c r="M115" s="9" t="s">
        <v>4079</v>
      </c>
      <c r="N115" t="s">
        <v>4352</v>
      </c>
      <c r="O115" s="2"/>
      <c r="R115">
        <f t="shared" si="1"/>
        <v>0</v>
      </c>
    </row>
    <row r="116" spans="1:18" x14ac:dyDescent="0.2">
      <c r="A116" t="s">
        <v>3758</v>
      </c>
      <c r="B116" t="s">
        <v>4353</v>
      </c>
      <c r="M116" s="9" t="s">
        <v>4079</v>
      </c>
      <c r="N116" t="s">
        <v>4185</v>
      </c>
      <c r="O116" s="2">
        <v>1</v>
      </c>
      <c r="R116">
        <f t="shared" si="1"/>
        <v>0</v>
      </c>
    </row>
    <row r="117" spans="1:18" x14ac:dyDescent="0.2">
      <c r="A117" t="s">
        <v>4354</v>
      </c>
      <c r="B117" t="s">
        <v>4355</v>
      </c>
      <c r="M117" s="9" t="s">
        <v>4079</v>
      </c>
      <c r="N117" t="s">
        <v>4356</v>
      </c>
      <c r="O117" s="2"/>
      <c r="R117">
        <f t="shared" si="1"/>
        <v>0</v>
      </c>
    </row>
    <row r="118" spans="1:18" x14ac:dyDescent="0.2">
      <c r="A118" t="s">
        <v>4359</v>
      </c>
      <c r="B118" t="s">
        <v>4360</v>
      </c>
      <c r="D118">
        <v>0</v>
      </c>
      <c r="M118" s="9" t="s">
        <v>4079</v>
      </c>
      <c r="N118" t="s">
        <v>4361</v>
      </c>
      <c r="O118" s="2"/>
      <c r="R118">
        <f t="shared" si="1"/>
        <v>0</v>
      </c>
    </row>
    <row r="119" spans="1:18" x14ac:dyDescent="0.2">
      <c r="A119" t="s">
        <v>3752</v>
      </c>
      <c r="B119" t="s">
        <v>4362</v>
      </c>
      <c r="D119">
        <v>0</v>
      </c>
      <c r="M119" s="9" t="s">
        <v>4079</v>
      </c>
      <c r="N119" t="s">
        <v>4183</v>
      </c>
      <c r="O119" s="2">
        <v>1</v>
      </c>
      <c r="R119">
        <f t="shared" si="1"/>
        <v>0</v>
      </c>
    </row>
    <row r="120" spans="1:18" x14ac:dyDescent="0.2">
      <c r="A120" t="s">
        <v>4363</v>
      </c>
      <c r="B120" t="s">
        <v>4364</v>
      </c>
      <c r="M120" s="9" t="s">
        <v>4079</v>
      </c>
      <c r="N120" t="s">
        <v>4365</v>
      </c>
      <c r="O120" s="2"/>
      <c r="R120">
        <f t="shared" si="1"/>
        <v>0</v>
      </c>
    </row>
    <row r="121" spans="1:18" x14ac:dyDescent="0.2">
      <c r="A121" t="s">
        <v>4366</v>
      </c>
      <c r="B121" t="s">
        <v>4367</v>
      </c>
      <c r="M121" s="9" t="s">
        <v>4079</v>
      </c>
      <c r="N121" t="s">
        <v>4083</v>
      </c>
      <c r="O121" s="2"/>
      <c r="R121">
        <f t="shared" si="1"/>
        <v>0</v>
      </c>
    </row>
    <row r="122" spans="1:18" x14ac:dyDescent="0.2">
      <c r="A122" t="s">
        <v>4368</v>
      </c>
      <c r="B122" t="s">
        <v>4369</v>
      </c>
      <c r="M122" s="9" t="s">
        <v>4079</v>
      </c>
      <c r="N122" t="s">
        <v>4308</v>
      </c>
      <c r="O122" s="2"/>
      <c r="R122">
        <f t="shared" si="1"/>
        <v>0</v>
      </c>
    </row>
    <row r="123" spans="1:18" x14ac:dyDescent="0.2">
      <c r="A123" t="s">
        <v>4370</v>
      </c>
      <c r="B123" t="s">
        <v>4371</v>
      </c>
      <c r="C123" t="s">
        <v>20</v>
      </c>
      <c r="M123" s="9" t="s">
        <v>4079</v>
      </c>
      <c r="N123" t="s">
        <v>4115</v>
      </c>
      <c r="O123" s="2" t="s">
        <v>3896</v>
      </c>
      <c r="R123">
        <f t="shared" si="1"/>
        <v>0</v>
      </c>
    </row>
    <row r="124" spans="1:18" x14ac:dyDescent="0.2">
      <c r="A124" t="s">
        <v>4372</v>
      </c>
      <c r="B124"/>
      <c r="M124" s="9" t="s">
        <v>32</v>
      </c>
      <c r="N124" t="s">
        <v>4185</v>
      </c>
      <c r="O124" s="2">
        <v>1</v>
      </c>
      <c r="R124">
        <f t="shared" si="1"/>
        <v>0</v>
      </c>
    </row>
    <row r="125" spans="1:18" x14ac:dyDescent="0.2">
      <c r="A125" t="s">
        <v>4373</v>
      </c>
      <c r="B125" t="s">
        <v>4374</v>
      </c>
      <c r="M125" s="9" t="s">
        <v>4079</v>
      </c>
      <c r="N125" t="s">
        <v>4323</v>
      </c>
      <c r="O125" s="2"/>
      <c r="R125">
        <f t="shared" si="1"/>
        <v>0</v>
      </c>
    </row>
    <row r="126" spans="1:18" x14ac:dyDescent="0.2">
      <c r="A126" t="s">
        <v>3717</v>
      </c>
      <c r="B126" t="s">
        <v>4375</v>
      </c>
      <c r="D126">
        <v>1</v>
      </c>
      <c r="M126" s="9" t="s">
        <v>21</v>
      </c>
      <c r="N126" t="s">
        <v>3724</v>
      </c>
      <c r="O126" s="2">
        <v>1</v>
      </c>
      <c r="R126">
        <f t="shared" si="1"/>
        <v>0</v>
      </c>
    </row>
    <row r="127" spans="1:18" x14ac:dyDescent="0.2">
      <c r="A127" t="s">
        <v>4376</v>
      </c>
      <c r="B127" t="s">
        <v>4377</v>
      </c>
      <c r="M127" s="9" t="s">
        <v>4079</v>
      </c>
      <c r="N127" t="s">
        <v>4288</v>
      </c>
      <c r="O127" s="2"/>
      <c r="R127">
        <f t="shared" si="1"/>
        <v>0</v>
      </c>
    </row>
    <row r="128" spans="1:18" x14ac:dyDescent="0.2">
      <c r="A128" t="s">
        <v>4378</v>
      </c>
      <c r="B128" t="s">
        <v>4379</v>
      </c>
      <c r="D128">
        <v>0</v>
      </c>
      <c r="M128" s="9" t="s">
        <v>4079</v>
      </c>
      <c r="N128" t="s">
        <v>4272</v>
      </c>
      <c r="O128" s="2"/>
      <c r="R128">
        <f t="shared" si="1"/>
        <v>0</v>
      </c>
    </row>
    <row r="129" spans="1:18" x14ac:dyDescent="0.2">
      <c r="A129" t="s">
        <v>4380</v>
      </c>
      <c r="B129" t="s">
        <v>4381</v>
      </c>
      <c r="M129" s="9" t="s">
        <v>4079</v>
      </c>
      <c r="N129" t="s">
        <v>4382</v>
      </c>
      <c r="O129" s="2"/>
      <c r="R129">
        <f t="shared" si="1"/>
        <v>0</v>
      </c>
    </row>
    <row r="130" spans="1:18" x14ac:dyDescent="0.2">
      <c r="A130" t="s">
        <v>4383</v>
      </c>
      <c r="B130" t="s">
        <v>4384</v>
      </c>
      <c r="D130">
        <v>0</v>
      </c>
      <c r="K130">
        <v>1</v>
      </c>
      <c r="M130" s="9" t="s">
        <v>21</v>
      </c>
      <c r="N130" t="s">
        <v>211</v>
      </c>
      <c r="O130" s="2">
        <v>1</v>
      </c>
      <c r="R130">
        <f t="shared" ref="R130:R193" si="2">IF(_xlfn.BITAND(P130&gt;0.4999, Q130&gt;0.4999)=1,1,0)</f>
        <v>0</v>
      </c>
    </row>
    <row r="131" spans="1:18" x14ac:dyDescent="0.2">
      <c r="A131" t="s">
        <v>4385</v>
      </c>
      <c r="B131" t="s">
        <v>4386</v>
      </c>
      <c r="C131" t="s">
        <v>20</v>
      </c>
      <c r="K131">
        <v>1</v>
      </c>
      <c r="M131" s="9" t="s">
        <v>4079</v>
      </c>
      <c r="N131" t="s">
        <v>4387</v>
      </c>
      <c r="O131" s="2"/>
      <c r="R131">
        <f t="shared" si="2"/>
        <v>0</v>
      </c>
    </row>
    <row r="132" spans="1:18" x14ac:dyDescent="0.2">
      <c r="A132" t="s">
        <v>4388</v>
      </c>
      <c r="B132" t="s">
        <v>4389</v>
      </c>
      <c r="D132">
        <v>0</v>
      </c>
      <c r="M132" s="9" t="s">
        <v>4079</v>
      </c>
      <c r="N132" t="s">
        <v>4390</v>
      </c>
      <c r="O132" s="2"/>
      <c r="R132">
        <f t="shared" si="2"/>
        <v>0</v>
      </c>
    </row>
    <row r="133" spans="1:18" x14ac:dyDescent="0.2">
      <c r="A133" t="s">
        <v>4391</v>
      </c>
      <c r="B133" t="s">
        <v>4392</v>
      </c>
      <c r="M133" s="9" t="s">
        <v>4079</v>
      </c>
      <c r="N133" t="s">
        <v>4393</v>
      </c>
      <c r="O133" s="2"/>
      <c r="R133">
        <f t="shared" si="2"/>
        <v>0</v>
      </c>
    </row>
    <row r="134" spans="1:18" x14ac:dyDescent="0.2">
      <c r="A134" t="s">
        <v>3760</v>
      </c>
      <c r="B134" t="s">
        <v>4394</v>
      </c>
      <c r="D134">
        <v>0</v>
      </c>
      <c r="M134" s="9" t="s">
        <v>4079</v>
      </c>
      <c r="N134" t="s">
        <v>4185</v>
      </c>
      <c r="O134" s="2">
        <v>1</v>
      </c>
      <c r="R134">
        <f t="shared" si="2"/>
        <v>0</v>
      </c>
    </row>
    <row r="135" spans="1:18" x14ac:dyDescent="0.2">
      <c r="A135" t="s">
        <v>4395</v>
      </c>
      <c r="B135" t="s">
        <v>4396</v>
      </c>
      <c r="K135">
        <v>1</v>
      </c>
      <c r="M135" s="9" t="s">
        <v>4079</v>
      </c>
      <c r="N135" t="s">
        <v>4397</v>
      </c>
      <c r="O135" s="2"/>
      <c r="R135">
        <f t="shared" si="2"/>
        <v>0</v>
      </c>
    </row>
    <row r="136" spans="1:18" x14ac:dyDescent="0.2">
      <c r="A136" t="s">
        <v>4398</v>
      </c>
      <c r="B136" t="s">
        <v>4399</v>
      </c>
      <c r="C136" t="s">
        <v>201</v>
      </c>
      <c r="M136" s="9" t="s">
        <v>21</v>
      </c>
      <c r="N136" t="s">
        <v>4400</v>
      </c>
      <c r="O136" s="2">
        <v>1</v>
      </c>
      <c r="R136">
        <f t="shared" si="2"/>
        <v>0</v>
      </c>
    </row>
    <row r="137" spans="1:18" x14ac:dyDescent="0.2">
      <c r="A137" t="s">
        <v>4401</v>
      </c>
      <c r="B137" t="s">
        <v>4402</v>
      </c>
      <c r="K137">
        <v>1</v>
      </c>
      <c r="M137" s="9" t="s">
        <v>4079</v>
      </c>
      <c r="N137" t="s">
        <v>4403</v>
      </c>
      <c r="O137" s="2"/>
      <c r="R137">
        <f t="shared" si="2"/>
        <v>0</v>
      </c>
    </row>
    <row r="138" spans="1:18" x14ac:dyDescent="0.2">
      <c r="A138" t="s">
        <v>3751</v>
      </c>
      <c r="B138" t="s">
        <v>4404</v>
      </c>
      <c r="M138" s="9" t="s">
        <v>4079</v>
      </c>
      <c r="N138" t="s">
        <v>4183</v>
      </c>
      <c r="O138" s="2">
        <v>1</v>
      </c>
      <c r="R138">
        <f t="shared" si="2"/>
        <v>0</v>
      </c>
    </row>
    <row r="139" spans="1:18" x14ac:dyDescent="0.2">
      <c r="A139" t="s">
        <v>4407</v>
      </c>
      <c r="B139" t="s">
        <v>4408</v>
      </c>
      <c r="M139" s="9" t="s">
        <v>4079</v>
      </c>
      <c r="N139" t="s">
        <v>4409</v>
      </c>
      <c r="O139" s="2"/>
      <c r="R139">
        <f t="shared" si="2"/>
        <v>0</v>
      </c>
    </row>
    <row r="140" spans="1:18" x14ac:dyDescent="0.2">
      <c r="A140" t="s">
        <v>4410</v>
      </c>
      <c r="B140" t="s">
        <v>4411</v>
      </c>
      <c r="K140">
        <v>1</v>
      </c>
      <c r="M140" s="9" t="s">
        <v>21</v>
      </c>
      <c r="N140" t="s">
        <v>2724</v>
      </c>
      <c r="O140" s="2">
        <v>1</v>
      </c>
      <c r="R140">
        <f t="shared" si="2"/>
        <v>0</v>
      </c>
    </row>
    <row r="141" spans="1:18" x14ac:dyDescent="0.2">
      <c r="A141" t="s">
        <v>2722</v>
      </c>
      <c r="B141" t="s">
        <v>4412</v>
      </c>
      <c r="M141" s="9" t="s">
        <v>21</v>
      </c>
      <c r="N141" t="s">
        <v>2724</v>
      </c>
      <c r="O141" s="2">
        <v>1</v>
      </c>
      <c r="R141">
        <f t="shared" si="2"/>
        <v>0</v>
      </c>
    </row>
    <row r="142" spans="1:18" x14ac:dyDescent="0.2">
      <c r="A142" t="s">
        <v>4413</v>
      </c>
      <c r="B142" t="s">
        <v>4414</v>
      </c>
      <c r="M142" s="9" t="s">
        <v>4079</v>
      </c>
      <c r="N142" t="s">
        <v>4183</v>
      </c>
      <c r="O142" s="2">
        <v>1</v>
      </c>
      <c r="R142">
        <f t="shared" si="2"/>
        <v>0</v>
      </c>
    </row>
    <row r="143" spans="1:18" x14ac:dyDescent="0.2">
      <c r="A143" t="s">
        <v>4415</v>
      </c>
      <c r="B143" t="s">
        <v>4416</v>
      </c>
      <c r="K143">
        <v>1</v>
      </c>
      <c r="M143" s="9" t="s">
        <v>4079</v>
      </c>
      <c r="N143" t="s">
        <v>4417</v>
      </c>
      <c r="O143" s="2"/>
      <c r="R143">
        <f t="shared" si="2"/>
        <v>0</v>
      </c>
    </row>
    <row r="144" spans="1:18" x14ac:dyDescent="0.2">
      <c r="A144" t="s">
        <v>4418</v>
      </c>
      <c r="B144" t="s">
        <v>4419</v>
      </c>
      <c r="D144">
        <v>0</v>
      </c>
      <c r="M144" s="9" t="s">
        <v>4079</v>
      </c>
      <c r="N144" t="s">
        <v>4420</v>
      </c>
      <c r="O144" s="2"/>
      <c r="R144">
        <f t="shared" si="2"/>
        <v>0</v>
      </c>
    </row>
    <row r="145" spans="1:18" x14ac:dyDescent="0.2">
      <c r="A145" t="s">
        <v>4421</v>
      </c>
      <c r="B145" t="s">
        <v>4422</v>
      </c>
      <c r="M145" s="9" t="s">
        <v>32</v>
      </c>
      <c r="N145" t="s">
        <v>4423</v>
      </c>
      <c r="O145"/>
      <c r="Q145" s="2"/>
      <c r="R145">
        <f t="shared" si="2"/>
        <v>0</v>
      </c>
    </row>
    <row r="146" spans="1:18" x14ac:dyDescent="0.2">
      <c r="A146" t="s">
        <v>4424</v>
      </c>
      <c r="B146" t="s">
        <v>4425</v>
      </c>
      <c r="K146">
        <v>1</v>
      </c>
      <c r="M146" s="9" t="s">
        <v>21</v>
      </c>
      <c r="N146" t="s">
        <v>211</v>
      </c>
      <c r="O146" s="2">
        <v>1</v>
      </c>
      <c r="R146">
        <f t="shared" si="2"/>
        <v>0</v>
      </c>
    </row>
    <row r="147" spans="1:18" x14ac:dyDescent="0.2">
      <c r="A147" t="s">
        <v>4426</v>
      </c>
      <c r="B147" t="s">
        <v>4427</v>
      </c>
      <c r="D147">
        <v>0</v>
      </c>
      <c r="K147">
        <v>1</v>
      </c>
      <c r="M147" s="9" t="s">
        <v>4079</v>
      </c>
      <c r="N147" t="s">
        <v>4183</v>
      </c>
      <c r="O147" s="2">
        <v>1</v>
      </c>
      <c r="R147">
        <f t="shared" si="2"/>
        <v>0</v>
      </c>
    </row>
    <row r="148" spans="1:18" x14ac:dyDescent="0.2">
      <c r="A148" t="s">
        <v>4428</v>
      </c>
      <c r="B148" t="s">
        <v>4429</v>
      </c>
      <c r="M148" s="9" t="s">
        <v>21</v>
      </c>
      <c r="N148" t="s">
        <v>211</v>
      </c>
      <c r="O148" s="2">
        <v>1</v>
      </c>
      <c r="R148">
        <f t="shared" si="2"/>
        <v>0</v>
      </c>
    </row>
    <row r="149" spans="1:18" x14ac:dyDescent="0.2">
      <c r="A149" t="s">
        <v>4430</v>
      </c>
      <c r="B149" t="s">
        <v>4431</v>
      </c>
      <c r="K149">
        <v>1</v>
      </c>
      <c r="M149" s="9" t="s">
        <v>4079</v>
      </c>
      <c r="N149" t="s">
        <v>4432</v>
      </c>
      <c r="O149" s="2"/>
      <c r="R149">
        <f t="shared" si="2"/>
        <v>0</v>
      </c>
    </row>
    <row r="150" spans="1:18" x14ac:dyDescent="0.2">
      <c r="A150" t="s">
        <v>4433</v>
      </c>
      <c r="B150" t="s">
        <v>4434</v>
      </c>
      <c r="K150">
        <v>1</v>
      </c>
      <c r="M150" s="9" t="s">
        <v>4079</v>
      </c>
      <c r="N150" t="s">
        <v>4435</v>
      </c>
      <c r="O150" s="2"/>
      <c r="R150">
        <f t="shared" si="2"/>
        <v>0</v>
      </c>
    </row>
    <row r="151" spans="1:18" x14ac:dyDescent="0.2">
      <c r="A151" t="s">
        <v>4437</v>
      </c>
      <c r="B151" t="s">
        <v>4438</v>
      </c>
      <c r="M151" s="9" t="s">
        <v>4079</v>
      </c>
      <c r="N151" t="s">
        <v>4323</v>
      </c>
      <c r="O151" s="2"/>
      <c r="R151">
        <f t="shared" si="2"/>
        <v>0</v>
      </c>
    </row>
    <row r="152" spans="1:18" x14ac:dyDescent="0.2">
      <c r="A152" t="s">
        <v>4439</v>
      </c>
      <c r="B152" t="s">
        <v>4440</v>
      </c>
      <c r="M152" s="9" t="s">
        <v>4079</v>
      </c>
      <c r="N152" t="s">
        <v>4441</v>
      </c>
      <c r="O152" s="2"/>
      <c r="R152">
        <f t="shared" si="2"/>
        <v>0</v>
      </c>
    </row>
    <row r="153" spans="1:18" x14ac:dyDescent="0.2">
      <c r="A153" t="s">
        <v>4442</v>
      </c>
      <c r="B153" t="s">
        <v>4443</v>
      </c>
      <c r="M153" s="9"/>
      <c r="N153" t="s">
        <v>4444</v>
      </c>
      <c r="O153"/>
      <c r="Q153" s="2"/>
      <c r="R153">
        <f t="shared" si="2"/>
        <v>0</v>
      </c>
    </row>
    <row r="154" spans="1:18" x14ac:dyDescent="0.2">
      <c r="A154" t="s">
        <v>3759</v>
      </c>
      <c r="B154" t="s">
        <v>4445</v>
      </c>
      <c r="D154">
        <v>0</v>
      </c>
      <c r="M154" s="9" t="s">
        <v>4079</v>
      </c>
      <c r="N154" t="s">
        <v>4185</v>
      </c>
      <c r="O154" s="2">
        <v>1</v>
      </c>
      <c r="R154">
        <f t="shared" si="2"/>
        <v>0</v>
      </c>
    </row>
    <row r="155" spans="1:18" x14ac:dyDescent="0.2">
      <c r="A155" t="s">
        <v>4446</v>
      </c>
      <c r="B155" t="s">
        <v>4447</v>
      </c>
      <c r="M155" s="9" t="s">
        <v>4079</v>
      </c>
      <c r="N155" t="s">
        <v>4448</v>
      </c>
      <c r="O155" s="2"/>
      <c r="R155">
        <f t="shared" si="2"/>
        <v>0</v>
      </c>
    </row>
    <row r="156" spans="1:18" x14ac:dyDescent="0.2">
      <c r="A156" t="s">
        <v>4449</v>
      </c>
      <c r="B156" t="s">
        <v>4450</v>
      </c>
      <c r="M156" s="9" t="s">
        <v>21</v>
      </c>
      <c r="N156" t="s">
        <v>4451</v>
      </c>
      <c r="O156" s="2">
        <v>1</v>
      </c>
      <c r="R156">
        <f t="shared" si="2"/>
        <v>0</v>
      </c>
    </row>
    <row r="157" spans="1:18" x14ac:dyDescent="0.2">
      <c r="A157" t="s">
        <v>4452</v>
      </c>
      <c r="B157" t="s">
        <v>4453</v>
      </c>
      <c r="M157" s="9" t="s">
        <v>4079</v>
      </c>
      <c r="N157" t="s">
        <v>4454</v>
      </c>
      <c r="O157" s="2"/>
      <c r="R157">
        <f t="shared" si="2"/>
        <v>0</v>
      </c>
    </row>
    <row r="158" spans="1:18" x14ac:dyDescent="0.2">
      <c r="A158" t="s">
        <v>4455</v>
      </c>
      <c r="B158" t="s">
        <v>4456</v>
      </c>
      <c r="K158">
        <v>1</v>
      </c>
      <c r="M158" s="9" t="s">
        <v>4079</v>
      </c>
      <c r="N158" t="s">
        <v>4457</v>
      </c>
      <c r="O158" s="2"/>
      <c r="R158">
        <f t="shared" si="2"/>
        <v>0</v>
      </c>
    </row>
    <row r="159" spans="1:18" x14ac:dyDescent="0.2">
      <c r="A159" t="s">
        <v>4458</v>
      </c>
      <c r="B159" t="s">
        <v>4459</v>
      </c>
      <c r="K159">
        <v>1</v>
      </c>
      <c r="M159" s="9" t="s">
        <v>4079</v>
      </c>
      <c r="N159" t="s">
        <v>4128</v>
      </c>
      <c r="O159" s="2"/>
      <c r="R159">
        <f t="shared" si="2"/>
        <v>0</v>
      </c>
    </row>
    <row r="160" spans="1:18" x14ac:dyDescent="0.2">
      <c r="A160" t="s">
        <v>4460</v>
      </c>
      <c r="B160" t="s">
        <v>4461</v>
      </c>
      <c r="M160" s="9" t="s">
        <v>4079</v>
      </c>
      <c r="N160" t="s">
        <v>4462</v>
      </c>
      <c r="O160" s="2"/>
      <c r="R160">
        <f t="shared" si="2"/>
        <v>0</v>
      </c>
    </row>
    <row r="161" spans="1:18" x14ac:dyDescent="0.2">
      <c r="A161" t="s">
        <v>4463</v>
      </c>
      <c r="B161" t="s">
        <v>4464</v>
      </c>
      <c r="D161">
        <v>0</v>
      </c>
      <c r="K161">
        <v>1</v>
      </c>
      <c r="M161" s="9" t="s">
        <v>4079</v>
      </c>
      <c r="N161" t="s">
        <v>4212</v>
      </c>
      <c r="O161" s="2">
        <v>1</v>
      </c>
      <c r="R161">
        <f t="shared" si="2"/>
        <v>0</v>
      </c>
    </row>
    <row r="162" spans="1:18" x14ac:dyDescent="0.2">
      <c r="A162" t="s">
        <v>4465</v>
      </c>
      <c r="B162" t="s">
        <v>4466</v>
      </c>
      <c r="M162" s="9" t="s">
        <v>4079</v>
      </c>
      <c r="N162" t="s">
        <v>4467</v>
      </c>
      <c r="O162" s="2"/>
      <c r="R162">
        <f t="shared" si="2"/>
        <v>0</v>
      </c>
    </row>
    <row r="163" spans="1:18" x14ac:dyDescent="0.2">
      <c r="A163" t="s">
        <v>4468</v>
      </c>
      <c r="B163" t="s">
        <v>4469</v>
      </c>
      <c r="M163" s="9" t="s">
        <v>4079</v>
      </c>
      <c r="N163" t="s">
        <v>4128</v>
      </c>
      <c r="O163" s="2"/>
      <c r="R163">
        <f t="shared" si="2"/>
        <v>0</v>
      </c>
    </row>
    <row r="164" spans="1:18" x14ac:dyDescent="0.2">
      <c r="A164" t="s">
        <v>4470</v>
      </c>
      <c r="B164" t="s">
        <v>4471</v>
      </c>
      <c r="D164" t="s">
        <v>4100</v>
      </c>
      <c r="M164" s="9" t="s">
        <v>21</v>
      </c>
      <c r="N164" t="s">
        <v>146</v>
      </c>
      <c r="O164" s="2">
        <v>1</v>
      </c>
      <c r="R164">
        <f t="shared" si="2"/>
        <v>0</v>
      </c>
    </row>
    <row r="165" spans="1:18" x14ac:dyDescent="0.2">
      <c r="A165" t="s">
        <v>4472</v>
      </c>
      <c r="B165" t="s">
        <v>4473</v>
      </c>
      <c r="K165">
        <v>1</v>
      </c>
      <c r="M165" s="9"/>
      <c r="N165" t="s">
        <v>4474</v>
      </c>
      <c r="O165"/>
      <c r="Q165" s="2"/>
      <c r="R165">
        <f t="shared" si="2"/>
        <v>0</v>
      </c>
    </row>
    <row r="166" spans="1:18" x14ac:dyDescent="0.2">
      <c r="A166" t="s">
        <v>4475</v>
      </c>
      <c r="B166" t="s">
        <v>4476</v>
      </c>
      <c r="K166">
        <v>1</v>
      </c>
      <c r="M166" s="9" t="s">
        <v>4079</v>
      </c>
      <c r="N166" t="s">
        <v>4477</v>
      </c>
      <c r="O166" s="2"/>
      <c r="R166">
        <f t="shared" si="2"/>
        <v>0</v>
      </c>
    </row>
    <row r="167" spans="1:18" x14ac:dyDescent="0.2">
      <c r="A167" t="s">
        <v>4478</v>
      </c>
      <c r="B167" s="56" t="s">
        <v>4479</v>
      </c>
      <c r="D167">
        <v>0</v>
      </c>
      <c r="M167" s="9"/>
      <c r="N167" t="s">
        <v>77</v>
      </c>
      <c r="O167" s="2">
        <v>1</v>
      </c>
      <c r="R167">
        <f t="shared" si="2"/>
        <v>0</v>
      </c>
    </row>
    <row r="168" spans="1:18" x14ac:dyDescent="0.2">
      <c r="A168" t="s">
        <v>4480</v>
      </c>
      <c r="B168" t="s">
        <v>4481</v>
      </c>
      <c r="M168" s="9"/>
      <c r="N168" t="s">
        <v>4482</v>
      </c>
      <c r="O168" s="2"/>
      <c r="R168">
        <f t="shared" si="2"/>
        <v>0</v>
      </c>
    </row>
    <row r="169" spans="1:18" x14ac:dyDescent="0.2">
      <c r="A169" t="s">
        <v>4483</v>
      </c>
      <c r="B169" t="s">
        <v>4484</v>
      </c>
      <c r="D169">
        <v>0</v>
      </c>
      <c r="M169" s="9"/>
      <c r="N169" t="s">
        <v>4296</v>
      </c>
      <c r="O169" s="2" t="s">
        <v>3896</v>
      </c>
      <c r="R169">
        <f t="shared" si="2"/>
        <v>0</v>
      </c>
    </row>
    <row r="170" spans="1:18" x14ac:dyDescent="0.2">
      <c r="A170" t="s">
        <v>3854</v>
      </c>
      <c r="B170" t="s">
        <v>4485</v>
      </c>
      <c r="D170">
        <v>0</v>
      </c>
      <c r="M170" s="9"/>
      <c r="N170" t="s">
        <v>146</v>
      </c>
      <c r="O170" s="2">
        <v>1</v>
      </c>
      <c r="R170">
        <f t="shared" si="2"/>
        <v>0</v>
      </c>
    </row>
    <row r="171" spans="1:18" x14ac:dyDescent="0.2">
      <c r="A171" t="s">
        <v>4486</v>
      </c>
      <c r="B171" t="s">
        <v>4487</v>
      </c>
      <c r="D171">
        <v>0</v>
      </c>
      <c r="M171" s="9"/>
      <c r="N171" t="s">
        <v>4488</v>
      </c>
      <c r="O171" s="2"/>
      <c r="R171">
        <f t="shared" si="2"/>
        <v>0</v>
      </c>
    </row>
    <row r="172" spans="1:18" x14ac:dyDescent="0.2">
      <c r="A172" t="s">
        <v>4489</v>
      </c>
      <c r="B172" t="s">
        <v>4490</v>
      </c>
      <c r="M172" s="9"/>
      <c r="N172" t="s">
        <v>211</v>
      </c>
      <c r="O172" s="2">
        <v>1</v>
      </c>
      <c r="R172">
        <f t="shared" si="2"/>
        <v>0</v>
      </c>
    </row>
    <row r="173" spans="1:18" x14ac:dyDescent="0.2">
      <c r="A173" t="s">
        <v>4491</v>
      </c>
      <c r="B173" t="s">
        <v>4492</v>
      </c>
      <c r="D173">
        <v>0</v>
      </c>
      <c r="M173" s="9"/>
      <c r="N173" t="s">
        <v>4083</v>
      </c>
      <c r="O173" s="2"/>
      <c r="R173">
        <f t="shared" si="2"/>
        <v>0</v>
      </c>
    </row>
    <row r="174" spans="1:18" x14ac:dyDescent="0.2">
      <c r="A174" t="s">
        <v>4493</v>
      </c>
      <c r="B174" t="s">
        <v>4494</v>
      </c>
      <c r="M174" s="9"/>
      <c r="N174" t="s">
        <v>4361</v>
      </c>
      <c r="O174" s="2"/>
      <c r="R174">
        <f t="shared" si="2"/>
        <v>0</v>
      </c>
    </row>
    <row r="175" spans="1:18" x14ac:dyDescent="0.2">
      <c r="A175" t="s">
        <v>4495</v>
      </c>
      <c r="B175" t="s">
        <v>4496</v>
      </c>
      <c r="M175" s="9"/>
      <c r="N175" t="s">
        <v>4409</v>
      </c>
      <c r="O175" s="2"/>
      <c r="R175">
        <f t="shared" si="2"/>
        <v>0</v>
      </c>
    </row>
    <row r="176" spans="1:18" x14ac:dyDescent="0.2">
      <c r="A176" t="s">
        <v>4497</v>
      </c>
      <c r="B176" t="s">
        <v>4498</v>
      </c>
      <c r="M176" s="9"/>
      <c r="N176" t="s">
        <v>4499</v>
      </c>
      <c r="O176" s="2"/>
      <c r="R176">
        <f t="shared" si="2"/>
        <v>0</v>
      </c>
    </row>
    <row r="177" spans="1:18" x14ac:dyDescent="0.2">
      <c r="A177" t="s">
        <v>4500</v>
      </c>
      <c r="B177" t="s">
        <v>4501</v>
      </c>
      <c r="M177" s="9"/>
      <c r="N177" t="s">
        <v>211</v>
      </c>
      <c r="O177" s="2">
        <v>1</v>
      </c>
      <c r="R177">
        <f t="shared" si="2"/>
        <v>0</v>
      </c>
    </row>
    <row r="178" spans="1:18" x14ac:dyDescent="0.2">
      <c r="A178" t="s">
        <v>4502</v>
      </c>
      <c r="B178" t="s">
        <v>4503</v>
      </c>
      <c r="K178">
        <v>1</v>
      </c>
      <c r="M178" s="9"/>
      <c r="N178" t="s">
        <v>211</v>
      </c>
      <c r="O178" s="2">
        <v>1</v>
      </c>
      <c r="R178">
        <f t="shared" si="2"/>
        <v>0</v>
      </c>
    </row>
    <row r="179" spans="1:18" x14ac:dyDescent="0.2">
      <c r="A179" t="s">
        <v>4504</v>
      </c>
      <c r="B179" t="s">
        <v>4505</v>
      </c>
      <c r="M179" s="9"/>
      <c r="N179" t="s">
        <v>4103</v>
      </c>
      <c r="O179" s="2" t="s">
        <v>3896</v>
      </c>
      <c r="R179">
        <f t="shared" si="2"/>
        <v>0</v>
      </c>
    </row>
    <row r="180" spans="1:18" x14ac:dyDescent="0.2">
      <c r="A180" t="s">
        <v>3763</v>
      </c>
      <c r="B180" t="s">
        <v>4506</v>
      </c>
      <c r="D180">
        <v>0</v>
      </c>
      <c r="M180" s="9"/>
      <c r="N180" t="s">
        <v>4185</v>
      </c>
      <c r="O180" s="2">
        <v>1</v>
      </c>
      <c r="R180">
        <f t="shared" si="2"/>
        <v>0</v>
      </c>
    </row>
    <row r="181" spans="1:18" x14ac:dyDescent="0.2">
      <c r="A181" t="s">
        <v>4507</v>
      </c>
      <c r="B181" t="s">
        <v>4508</v>
      </c>
      <c r="M181" s="9"/>
      <c r="N181" t="s">
        <v>4509</v>
      </c>
      <c r="O181" s="2"/>
      <c r="R181">
        <f t="shared" si="2"/>
        <v>0</v>
      </c>
    </row>
    <row r="182" spans="1:18" x14ac:dyDescent="0.2">
      <c r="A182" t="s">
        <v>4510</v>
      </c>
      <c r="B182" t="s">
        <v>4511</v>
      </c>
      <c r="M182" s="9"/>
      <c r="N182" t="s">
        <v>4512</v>
      </c>
      <c r="O182" s="2"/>
      <c r="R182">
        <f t="shared" si="2"/>
        <v>0</v>
      </c>
    </row>
    <row r="183" spans="1:18" x14ac:dyDescent="0.2">
      <c r="A183" t="s">
        <v>4513</v>
      </c>
      <c r="B183" t="s">
        <v>4514</v>
      </c>
      <c r="K183">
        <v>1</v>
      </c>
      <c r="M183" s="9"/>
      <c r="N183" t="s">
        <v>211</v>
      </c>
      <c r="O183" s="2">
        <v>1</v>
      </c>
      <c r="R183">
        <f t="shared" si="2"/>
        <v>0</v>
      </c>
    </row>
    <row r="184" spans="1:18" x14ac:dyDescent="0.2">
      <c r="A184" t="s">
        <v>4515</v>
      </c>
      <c r="B184" t="s">
        <v>4516</v>
      </c>
      <c r="M184" s="9"/>
      <c r="N184" t="s">
        <v>4128</v>
      </c>
      <c r="O184" s="2"/>
      <c r="R184">
        <f t="shared" si="2"/>
        <v>0</v>
      </c>
    </row>
    <row r="185" spans="1:18" x14ac:dyDescent="0.2">
      <c r="A185" t="s">
        <v>4517</v>
      </c>
      <c r="B185" t="s">
        <v>4518</v>
      </c>
      <c r="K185">
        <v>1</v>
      </c>
      <c r="M185" s="9"/>
      <c r="N185" t="s">
        <v>4519</v>
      </c>
      <c r="O185" s="2"/>
      <c r="R185">
        <f t="shared" si="2"/>
        <v>0</v>
      </c>
    </row>
    <row r="186" spans="1:18" x14ac:dyDescent="0.2">
      <c r="A186" t="s">
        <v>4520</v>
      </c>
      <c r="B186" t="s">
        <v>4521</v>
      </c>
      <c r="K186">
        <v>1</v>
      </c>
      <c r="M186" s="9"/>
      <c r="N186" t="s">
        <v>4291</v>
      </c>
      <c r="O186" s="2"/>
      <c r="R186">
        <f t="shared" si="2"/>
        <v>0</v>
      </c>
    </row>
    <row r="187" spans="1:18" x14ac:dyDescent="0.2">
      <c r="A187" t="s">
        <v>4522</v>
      </c>
      <c r="B187" t="s">
        <v>4523</v>
      </c>
      <c r="M187" s="9"/>
      <c r="N187" t="s">
        <v>4524</v>
      </c>
      <c r="O187" s="2"/>
      <c r="R187">
        <f t="shared" si="2"/>
        <v>0</v>
      </c>
    </row>
    <row r="188" spans="1:18" x14ac:dyDescent="0.2">
      <c r="A188" t="s">
        <v>4525</v>
      </c>
      <c r="B188" t="s">
        <v>4526</v>
      </c>
      <c r="K188">
        <v>1</v>
      </c>
      <c r="M188" s="9"/>
      <c r="N188" t="s">
        <v>4323</v>
      </c>
      <c r="O188" s="2"/>
      <c r="R188">
        <f t="shared" si="2"/>
        <v>0</v>
      </c>
    </row>
    <row r="189" spans="1:18" x14ac:dyDescent="0.2">
      <c r="A189" t="s">
        <v>4527</v>
      </c>
      <c r="B189" t="s">
        <v>4528</v>
      </c>
      <c r="K189">
        <v>1</v>
      </c>
      <c r="M189" s="9"/>
      <c r="N189" t="s">
        <v>4529</v>
      </c>
      <c r="O189" s="2"/>
      <c r="R189">
        <f t="shared" si="2"/>
        <v>0</v>
      </c>
    </row>
    <row r="190" spans="1:18" x14ac:dyDescent="0.2">
      <c r="A190" t="s">
        <v>4530</v>
      </c>
      <c r="B190" t="s">
        <v>4531</v>
      </c>
      <c r="M190" s="9"/>
      <c r="N190" t="s">
        <v>4532</v>
      </c>
      <c r="O190" s="2"/>
      <c r="R190">
        <f t="shared" si="2"/>
        <v>0</v>
      </c>
    </row>
    <row r="191" spans="1:18" x14ac:dyDescent="0.2">
      <c r="A191" t="s">
        <v>4533</v>
      </c>
      <c r="B191" t="s">
        <v>4534</v>
      </c>
      <c r="K191">
        <v>1</v>
      </c>
      <c r="M191" s="9"/>
      <c r="N191" t="s">
        <v>4432</v>
      </c>
      <c r="O191" s="2"/>
      <c r="R191">
        <f t="shared" si="2"/>
        <v>0</v>
      </c>
    </row>
    <row r="192" spans="1:18" x14ac:dyDescent="0.2">
      <c r="A192" t="s">
        <v>4535</v>
      </c>
      <c r="B192" t="s">
        <v>4536</v>
      </c>
      <c r="K192">
        <v>1</v>
      </c>
      <c r="M192" s="9"/>
      <c r="N192" t="s">
        <v>4537</v>
      </c>
      <c r="O192" s="2"/>
      <c r="R192">
        <f t="shared" si="2"/>
        <v>0</v>
      </c>
    </row>
    <row r="193" spans="1:18" x14ac:dyDescent="0.2">
      <c r="A193" t="s">
        <v>4538</v>
      </c>
      <c r="B193" t="s">
        <v>4539</v>
      </c>
      <c r="M193" s="9"/>
      <c r="N193" t="s">
        <v>4540</v>
      </c>
      <c r="O193" s="2"/>
      <c r="R193">
        <f t="shared" si="2"/>
        <v>0</v>
      </c>
    </row>
    <row r="194" spans="1:18" x14ac:dyDescent="0.2">
      <c r="A194" t="s">
        <v>2685</v>
      </c>
      <c r="B194" s="56" t="s">
        <v>4544</v>
      </c>
      <c r="D194" t="s">
        <v>4545</v>
      </c>
      <c r="M194" s="9"/>
      <c r="N194" t="s">
        <v>4546</v>
      </c>
      <c r="O194" s="2">
        <v>1</v>
      </c>
      <c r="R194">
        <f t="shared" ref="R194:R257" si="3">IF(_xlfn.BITAND(P194&gt;0.4999, Q194&gt;0.4999)=1,1,0)</f>
        <v>0</v>
      </c>
    </row>
    <row r="195" spans="1:18" x14ac:dyDescent="0.2">
      <c r="A195" t="s">
        <v>4547</v>
      </c>
      <c r="B195" t="s">
        <v>4548</v>
      </c>
      <c r="M195" s="9"/>
      <c r="N195" t="s">
        <v>4549</v>
      </c>
      <c r="O195" s="2"/>
      <c r="R195">
        <f t="shared" si="3"/>
        <v>0</v>
      </c>
    </row>
    <row r="196" spans="1:18" x14ac:dyDescent="0.2">
      <c r="A196" t="s">
        <v>4550</v>
      </c>
      <c r="B196" t="s">
        <v>4551</v>
      </c>
      <c r="M196" s="9"/>
      <c r="N196" t="s">
        <v>4552</v>
      </c>
      <c r="O196" s="2"/>
      <c r="R196">
        <f t="shared" si="3"/>
        <v>0</v>
      </c>
    </row>
    <row r="197" spans="1:18" x14ac:dyDescent="0.2">
      <c r="A197" t="s">
        <v>4553</v>
      </c>
      <c r="B197" t="s">
        <v>4554</v>
      </c>
      <c r="C197" t="s">
        <v>201</v>
      </c>
      <c r="M197" s="9"/>
      <c r="N197" t="s">
        <v>211</v>
      </c>
      <c r="O197" s="2">
        <v>1</v>
      </c>
      <c r="R197">
        <f t="shared" si="3"/>
        <v>0</v>
      </c>
    </row>
    <row r="198" spans="1:18" x14ac:dyDescent="0.2">
      <c r="A198" t="s">
        <v>4555</v>
      </c>
      <c r="B198"/>
      <c r="K198">
        <v>1</v>
      </c>
      <c r="M198" s="9" t="s">
        <v>4079</v>
      </c>
      <c r="N198" t="s">
        <v>4556</v>
      </c>
      <c r="O198" s="2"/>
      <c r="R198">
        <f t="shared" si="3"/>
        <v>0</v>
      </c>
    </row>
    <row r="199" spans="1:18" x14ac:dyDescent="0.2">
      <c r="A199" t="s">
        <v>4557</v>
      </c>
      <c r="B199" t="s">
        <v>4558</v>
      </c>
      <c r="K199">
        <v>1</v>
      </c>
      <c r="M199" s="9"/>
      <c r="N199" t="s">
        <v>4559</v>
      </c>
      <c r="O199" s="2"/>
      <c r="R199">
        <f t="shared" si="3"/>
        <v>0</v>
      </c>
    </row>
    <row r="200" spans="1:18" x14ac:dyDescent="0.2">
      <c r="A200" t="s">
        <v>4560</v>
      </c>
      <c r="B200" t="s">
        <v>4561</v>
      </c>
      <c r="M200" s="9"/>
      <c r="N200" t="s">
        <v>4562</v>
      </c>
      <c r="O200" s="2"/>
      <c r="R200">
        <f t="shared" si="3"/>
        <v>0</v>
      </c>
    </row>
    <row r="201" spans="1:18" x14ac:dyDescent="0.2">
      <c r="A201" t="s">
        <v>4563</v>
      </c>
      <c r="B201" t="s">
        <v>4564</v>
      </c>
      <c r="M201" s="9"/>
      <c r="N201" t="s">
        <v>4565</v>
      </c>
      <c r="O201" s="2"/>
      <c r="R201">
        <f t="shared" si="3"/>
        <v>0</v>
      </c>
    </row>
    <row r="202" spans="1:18" x14ac:dyDescent="0.2">
      <c r="A202" t="s">
        <v>4566</v>
      </c>
      <c r="B202" t="s">
        <v>4567</v>
      </c>
      <c r="M202" s="9"/>
      <c r="N202" t="s">
        <v>4568</v>
      </c>
      <c r="O202" s="2"/>
      <c r="R202">
        <f t="shared" si="3"/>
        <v>0</v>
      </c>
    </row>
    <row r="203" spans="1:18" x14ac:dyDescent="0.2">
      <c r="A203" t="s">
        <v>4569</v>
      </c>
      <c r="B203" t="s">
        <v>4570</v>
      </c>
      <c r="C203" t="s">
        <v>20</v>
      </c>
      <c r="D203" t="s">
        <v>4100</v>
      </c>
      <c r="M203" s="9"/>
      <c r="N203" t="s">
        <v>4571</v>
      </c>
      <c r="O203" s="2">
        <v>1</v>
      </c>
      <c r="R203">
        <f t="shared" si="3"/>
        <v>0</v>
      </c>
    </row>
    <row r="204" spans="1:18" x14ac:dyDescent="0.2">
      <c r="A204" t="s">
        <v>3746</v>
      </c>
      <c r="B204" t="s">
        <v>4572</v>
      </c>
      <c r="K204">
        <v>1</v>
      </c>
      <c r="M204" s="9"/>
      <c r="N204" t="s">
        <v>4390</v>
      </c>
      <c r="O204" s="2"/>
      <c r="R204">
        <f t="shared" si="3"/>
        <v>0</v>
      </c>
    </row>
    <row r="205" spans="1:18" x14ac:dyDescent="0.2">
      <c r="A205" t="s">
        <v>4573</v>
      </c>
      <c r="B205" t="s">
        <v>4574</v>
      </c>
      <c r="D205">
        <v>0</v>
      </c>
      <c r="M205" s="9"/>
      <c r="N205" t="s">
        <v>4575</v>
      </c>
      <c r="O205" s="2"/>
      <c r="R205">
        <f t="shared" si="3"/>
        <v>0</v>
      </c>
    </row>
    <row r="206" spans="1:18" x14ac:dyDescent="0.2">
      <c r="A206" t="s">
        <v>4576</v>
      </c>
      <c r="B206" t="s">
        <v>4577</v>
      </c>
      <c r="K206">
        <v>1</v>
      </c>
      <c r="M206" s="9"/>
      <c r="N206" t="s">
        <v>211</v>
      </c>
      <c r="O206" s="2">
        <v>1</v>
      </c>
      <c r="R206">
        <f t="shared" si="3"/>
        <v>0</v>
      </c>
    </row>
    <row r="207" spans="1:18" x14ac:dyDescent="0.2">
      <c r="A207" t="s">
        <v>4578</v>
      </c>
      <c r="B207" t="s">
        <v>4579</v>
      </c>
      <c r="K207">
        <v>1</v>
      </c>
      <c r="M207" s="9"/>
      <c r="N207" t="s">
        <v>4580</v>
      </c>
      <c r="O207" s="2"/>
      <c r="R207">
        <f t="shared" si="3"/>
        <v>0</v>
      </c>
    </row>
    <row r="208" spans="1:18" x14ac:dyDescent="0.2">
      <c r="A208" t="s">
        <v>4581</v>
      </c>
      <c r="B208" t="s">
        <v>4582</v>
      </c>
      <c r="M208" s="9"/>
      <c r="N208" t="s">
        <v>4583</v>
      </c>
      <c r="O208" s="2">
        <v>1</v>
      </c>
      <c r="R208">
        <f t="shared" si="3"/>
        <v>0</v>
      </c>
    </row>
    <row r="209" spans="1:18" x14ac:dyDescent="0.2">
      <c r="A209" t="s">
        <v>4584</v>
      </c>
      <c r="B209" t="s">
        <v>4585</v>
      </c>
      <c r="K209">
        <v>1</v>
      </c>
      <c r="M209" s="9"/>
      <c r="N209" t="s">
        <v>4586</v>
      </c>
      <c r="O209" s="2"/>
      <c r="R209">
        <f t="shared" si="3"/>
        <v>0</v>
      </c>
    </row>
    <row r="210" spans="1:18" x14ac:dyDescent="0.2">
      <c r="A210" t="s">
        <v>4587</v>
      </c>
      <c r="B210" t="s">
        <v>4588</v>
      </c>
      <c r="K210">
        <v>1</v>
      </c>
      <c r="M210" s="9" t="s">
        <v>4079</v>
      </c>
      <c r="N210" t="s">
        <v>4589</v>
      </c>
      <c r="O210" s="2"/>
      <c r="R210">
        <f t="shared" si="3"/>
        <v>0</v>
      </c>
    </row>
    <row r="211" spans="1:18" x14ac:dyDescent="0.2">
      <c r="A211" t="s">
        <v>4590</v>
      </c>
      <c r="B211" t="s">
        <v>4591</v>
      </c>
      <c r="M211" s="9"/>
      <c r="N211" t="s">
        <v>4592</v>
      </c>
      <c r="O211" s="2"/>
      <c r="R211">
        <f t="shared" si="3"/>
        <v>0</v>
      </c>
    </row>
    <row r="212" spans="1:18" x14ac:dyDescent="0.2">
      <c r="A212" t="s">
        <v>4593</v>
      </c>
      <c r="B212" t="s">
        <v>4594</v>
      </c>
      <c r="M212" s="9"/>
      <c r="N212" t="s">
        <v>4296</v>
      </c>
      <c r="O212" s="2" t="s">
        <v>3896</v>
      </c>
      <c r="R212">
        <f t="shared" si="3"/>
        <v>0</v>
      </c>
    </row>
    <row r="213" spans="1:18" x14ac:dyDescent="0.2">
      <c r="A213" t="s">
        <v>4595</v>
      </c>
      <c r="B213" t="s">
        <v>4596</v>
      </c>
      <c r="M213" s="9"/>
      <c r="N213" t="s">
        <v>4597</v>
      </c>
      <c r="O213" s="2"/>
      <c r="R213">
        <f t="shared" si="3"/>
        <v>0</v>
      </c>
    </row>
    <row r="214" spans="1:18" x14ac:dyDescent="0.2">
      <c r="A214" t="s">
        <v>4598</v>
      </c>
      <c r="B214" t="s">
        <v>4599</v>
      </c>
      <c r="M214" s="9"/>
      <c r="N214" t="s">
        <v>4600</v>
      </c>
      <c r="O214" s="2"/>
      <c r="R214">
        <f t="shared" si="3"/>
        <v>0</v>
      </c>
    </row>
    <row r="215" spans="1:18" x14ac:dyDescent="0.2">
      <c r="A215" t="s">
        <v>4601</v>
      </c>
      <c r="B215" t="s">
        <v>4602</v>
      </c>
      <c r="M215" s="9"/>
      <c r="N215" t="s">
        <v>4603</v>
      </c>
      <c r="O215" s="2"/>
      <c r="R215">
        <f t="shared" si="3"/>
        <v>0</v>
      </c>
    </row>
    <row r="216" spans="1:18" x14ac:dyDescent="0.2">
      <c r="A216" t="s">
        <v>4604</v>
      </c>
      <c r="B216" t="s">
        <v>4605</v>
      </c>
      <c r="K216">
        <v>1</v>
      </c>
      <c r="M216" s="9"/>
      <c r="N216" t="s">
        <v>4606</v>
      </c>
      <c r="O216" s="2"/>
      <c r="R216">
        <f t="shared" si="3"/>
        <v>0</v>
      </c>
    </row>
    <row r="217" spans="1:18" x14ac:dyDescent="0.2">
      <c r="A217" t="s">
        <v>4609</v>
      </c>
      <c r="B217" t="s">
        <v>4610</v>
      </c>
      <c r="D217">
        <v>0</v>
      </c>
      <c r="M217" s="9"/>
      <c r="N217" t="s">
        <v>4611</v>
      </c>
      <c r="O217" s="2"/>
      <c r="R217">
        <f t="shared" si="3"/>
        <v>0</v>
      </c>
    </row>
    <row r="218" spans="1:18" x14ac:dyDescent="0.2">
      <c r="A218" t="s">
        <v>4612</v>
      </c>
      <c r="B218" t="s">
        <v>4613</v>
      </c>
      <c r="M218" s="9"/>
      <c r="N218" t="s">
        <v>4467</v>
      </c>
      <c r="O218" s="2"/>
      <c r="R218">
        <f t="shared" si="3"/>
        <v>0</v>
      </c>
    </row>
    <row r="219" spans="1:18" x14ac:dyDescent="0.2">
      <c r="A219" t="s">
        <v>4614</v>
      </c>
      <c r="B219" t="s">
        <v>4615</v>
      </c>
      <c r="M219" s="9"/>
      <c r="N219" t="s">
        <v>211</v>
      </c>
      <c r="O219" s="2">
        <v>1</v>
      </c>
      <c r="R219">
        <f t="shared" si="3"/>
        <v>0</v>
      </c>
    </row>
    <row r="220" spans="1:18" x14ac:dyDescent="0.2">
      <c r="A220" t="s">
        <v>4616</v>
      </c>
      <c r="B220" t="s">
        <v>4617</v>
      </c>
      <c r="D220">
        <v>0</v>
      </c>
      <c r="M220" s="9"/>
      <c r="N220" t="s">
        <v>211</v>
      </c>
      <c r="O220" s="2">
        <v>1</v>
      </c>
      <c r="R220">
        <f t="shared" si="3"/>
        <v>0</v>
      </c>
    </row>
    <row r="221" spans="1:18" x14ac:dyDescent="0.2">
      <c r="A221" t="s">
        <v>4618</v>
      </c>
      <c r="B221" t="s">
        <v>4619</v>
      </c>
      <c r="M221" s="9"/>
      <c r="N221" t="s">
        <v>4272</v>
      </c>
      <c r="O221" s="2"/>
      <c r="R221">
        <f t="shared" si="3"/>
        <v>0</v>
      </c>
    </row>
    <row r="222" spans="1:18" x14ac:dyDescent="0.2">
      <c r="A222" t="s">
        <v>4620</v>
      </c>
      <c r="B222" t="s">
        <v>4621</v>
      </c>
      <c r="K222">
        <v>1</v>
      </c>
      <c r="M222" s="9"/>
      <c r="N222" t="s">
        <v>4323</v>
      </c>
      <c r="O222" s="2"/>
      <c r="R222">
        <f t="shared" si="3"/>
        <v>0</v>
      </c>
    </row>
    <row r="223" spans="1:18" x14ac:dyDescent="0.2">
      <c r="A223" t="s">
        <v>4622</v>
      </c>
      <c r="B223" t="s">
        <v>4623</v>
      </c>
      <c r="C223" t="s">
        <v>201</v>
      </c>
      <c r="K223">
        <v>1</v>
      </c>
      <c r="M223" s="9"/>
      <c r="N223" s="70"/>
      <c r="O223" s="2"/>
      <c r="R223">
        <f t="shared" si="3"/>
        <v>0</v>
      </c>
    </row>
    <row r="224" spans="1:18" x14ac:dyDescent="0.2">
      <c r="A224" t="s">
        <v>4624</v>
      </c>
      <c r="B224" t="s">
        <v>4625</v>
      </c>
      <c r="M224" s="9"/>
      <c r="N224" t="s">
        <v>4626</v>
      </c>
      <c r="O224" s="2"/>
      <c r="R224">
        <f t="shared" si="3"/>
        <v>0</v>
      </c>
    </row>
    <row r="225" spans="1:18" x14ac:dyDescent="0.2">
      <c r="A225" t="s">
        <v>4627</v>
      </c>
      <c r="B225" t="s">
        <v>4628</v>
      </c>
      <c r="M225" s="9"/>
      <c r="N225" t="s">
        <v>4629</v>
      </c>
      <c r="O225" s="2"/>
      <c r="R225">
        <f t="shared" si="3"/>
        <v>0</v>
      </c>
    </row>
    <row r="226" spans="1:18" x14ac:dyDescent="0.2">
      <c r="A226" t="s">
        <v>4630</v>
      </c>
      <c r="B226" t="s">
        <v>4631</v>
      </c>
      <c r="M226" s="9"/>
      <c r="N226" t="s">
        <v>4632</v>
      </c>
      <c r="O226" s="2"/>
      <c r="R226">
        <f t="shared" si="3"/>
        <v>0</v>
      </c>
    </row>
    <row r="227" spans="1:18" x14ac:dyDescent="0.2">
      <c r="A227" t="s">
        <v>4633</v>
      </c>
      <c r="B227" t="s">
        <v>4634</v>
      </c>
      <c r="M227" s="9"/>
      <c r="N227" t="s">
        <v>4635</v>
      </c>
      <c r="O227" s="2"/>
      <c r="R227">
        <f t="shared" si="3"/>
        <v>0</v>
      </c>
    </row>
    <row r="228" spans="1:18" x14ac:dyDescent="0.2">
      <c r="A228" t="s">
        <v>4636</v>
      </c>
      <c r="B228" t="s">
        <v>4637</v>
      </c>
      <c r="M228" s="9"/>
      <c r="N228" t="s">
        <v>4635</v>
      </c>
      <c r="O228" s="2"/>
      <c r="R228">
        <f t="shared" si="3"/>
        <v>0</v>
      </c>
    </row>
    <row r="229" spans="1:18" x14ac:dyDescent="0.2">
      <c r="A229" t="s">
        <v>4638</v>
      </c>
      <c r="B229" t="s">
        <v>4639</v>
      </c>
      <c r="D229">
        <v>0</v>
      </c>
      <c r="M229" s="9"/>
      <c r="N229" t="s">
        <v>4640</v>
      </c>
      <c r="O229" s="2"/>
      <c r="R229">
        <f t="shared" si="3"/>
        <v>0</v>
      </c>
    </row>
    <row r="230" spans="1:18" x14ac:dyDescent="0.2">
      <c r="A230" t="s">
        <v>4641</v>
      </c>
      <c r="B230" t="s">
        <v>4642</v>
      </c>
      <c r="M230" s="9"/>
      <c r="N230" t="s">
        <v>211</v>
      </c>
      <c r="O230" s="2">
        <v>1</v>
      </c>
      <c r="R230">
        <f t="shared" si="3"/>
        <v>0</v>
      </c>
    </row>
    <row r="231" spans="1:18" x14ac:dyDescent="0.2">
      <c r="A231" t="s">
        <v>4643</v>
      </c>
      <c r="B231" t="s">
        <v>4644</v>
      </c>
      <c r="K231">
        <v>1</v>
      </c>
      <c r="M231" s="9"/>
      <c r="N231" t="s">
        <v>4556</v>
      </c>
      <c r="O231" s="2"/>
      <c r="R231">
        <f t="shared" si="3"/>
        <v>0</v>
      </c>
    </row>
    <row r="232" spans="1:18" x14ac:dyDescent="0.2">
      <c r="A232" t="s">
        <v>4645</v>
      </c>
      <c r="B232" s="69" t="s">
        <v>4646</v>
      </c>
      <c r="K232">
        <v>1</v>
      </c>
      <c r="M232" s="9"/>
      <c r="N232" t="s">
        <v>4647</v>
      </c>
      <c r="O232" s="2"/>
      <c r="R232">
        <f t="shared" si="3"/>
        <v>0</v>
      </c>
    </row>
    <row r="233" spans="1:18" x14ac:dyDescent="0.2">
      <c r="A233" t="s">
        <v>3749</v>
      </c>
      <c r="B233" t="s">
        <v>4648</v>
      </c>
      <c r="M233" s="9"/>
      <c r="N233" t="s">
        <v>4183</v>
      </c>
      <c r="O233" s="2">
        <v>1</v>
      </c>
      <c r="R233">
        <f t="shared" si="3"/>
        <v>0</v>
      </c>
    </row>
    <row r="234" spans="1:18" x14ac:dyDescent="0.2">
      <c r="A234" t="s">
        <v>4649</v>
      </c>
      <c r="B234" t="s">
        <v>4650</v>
      </c>
      <c r="K234">
        <v>1</v>
      </c>
      <c r="M234" s="9"/>
      <c r="N234" t="s">
        <v>211</v>
      </c>
      <c r="O234" s="2">
        <v>1</v>
      </c>
      <c r="R234">
        <f t="shared" si="3"/>
        <v>0</v>
      </c>
    </row>
    <row r="235" spans="1:18" x14ac:dyDescent="0.2">
      <c r="A235" t="s">
        <v>4651</v>
      </c>
      <c r="B235" t="s">
        <v>4652</v>
      </c>
      <c r="D235">
        <v>0</v>
      </c>
      <c r="M235" s="9"/>
      <c r="N235" t="s">
        <v>4148</v>
      </c>
      <c r="O235" s="2"/>
      <c r="R235">
        <f t="shared" si="3"/>
        <v>0</v>
      </c>
    </row>
    <row r="236" spans="1:18" x14ac:dyDescent="0.2">
      <c r="A236" t="s">
        <v>4653</v>
      </c>
      <c r="B236" t="s">
        <v>4654</v>
      </c>
      <c r="M236" s="9"/>
      <c r="N236" t="s">
        <v>4655</v>
      </c>
      <c r="O236" s="2">
        <v>1</v>
      </c>
      <c r="R236">
        <f t="shared" si="3"/>
        <v>0</v>
      </c>
    </row>
    <row r="237" spans="1:18" x14ac:dyDescent="0.2">
      <c r="A237" t="s">
        <v>4656</v>
      </c>
      <c r="B237" t="s">
        <v>4657</v>
      </c>
      <c r="D237" t="s">
        <v>4100</v>
      </c>
      <c r="M237" s="9"/>
      <c r="N237" t="s">
        <v>4658</v>
      </c>
      <c r="O237" s="2"/>
      <c r="R237">
        <f t="shared" si="3"/>
        <v>0</v>
      </c>
    </row>
    <row r="238" spans="1:18" x14ac:dyDescent="0.2">
      <c r="A238" t="s">
        <v>4659</v>
      </c>
      <c r="B238" t="s">
        <v>4660</v>
      </c>
      <c r="D238">
        <v>0</v>
      </c>
      <c r="M238" s="9"/>
      <c r="N238" t="s">
        <v>4115</v>
      </c>
      <c r="O238" s="2"/>
      <c r="R238">
        <f t="shared" si="3"/>
        <v>0</v>
      </c>
    </row>
    <row r="239" spans="1:18" x14ac:dyDescent="0.2">
      <c r="A239" t="s">
        <v>4661</v>
      </c>
      <c r="B239" t="s">
        <v>4662</v>
      </c>
      <c r="M239" s="9"/>
      <c r="N239" t="s">
        <v>4663</v>
      </c>
      <c r="O239" s="2"/>
      <c r="R239">
        <f t="shared" si="3"/>
        <v>0</v>
      </c>
    </row>
    <row r="240" spans="1:18" x14ac:dyDescent="0.2">
      <c r="A240" t="s">
        <v>4664</v>
      </c>
      <c r="B240" t="s">
        <v>4665</v>
      </c>
      <c r="M240" s="9"/>
      <c r="N240" t="s">
        <v>4382</v>
      </c>
      <c r="O240" s="2"/>
      <c r="R240">
        <f t="shared" si="3"/>
        <v>0</v>
      </c>
    </row>
    <row r="241" spans="1:18" x14ac:dyDescent="0.2">
      <c r="A241" t="s">
        <v>4666</v>
      </c>
      <c r="B241" t="s">
        <v>4667</v>
      </c>
      <c r="M241" s="9"/>
      <c r="N241" t="s">
        <v>4663</v>
      </c>
      <c r="O241" s="2"/>
      <c r="R241">
        <f t="shared" si="3"/>
        <v>0</v>
      </c>
    </row>
    <row r="242" spans="1:18" x14ac:dyDescent="0.2">
      <c r="A242" t="s">
        <v>4668</v>
      </c>
      <c r="B242" t="s">
        <v>4669</v>
      </c>
      <c r="K242">
        <v>1</v>
      </c>
      <c r="M242" s="9"/>
      <c r="N242" t="s">
        <v>211</v>
      </c>
      <c r="O242" s="2">
        <v>1</v>
      </c>
      <c r="R242">
        <f t="shared" si="3"/>
        <v>0</v>
      </c>
    </row>
    <row r="243" spans="1:18" x14ac:dyDescent="0.2">
      <c r="A243" t="s">
        <v>4670</v>
      </c>
      <c r="B243" t="s">
        <v>4671</v>
      </c>
      <c r="M243" s="9"/>
      <c r="N243" t="s">
        <v>4546</v>
      </c>
      <c r="O243" s="2">
        <v>1</v>
      </c>
      <c r="R243">
        <f t="shared" si="3"/>
        <v>0</v>
      </c>
    </row>
    <row r="244" spans="1:18" x14ac:dyDescent="0.2">
      <c r="A244" t="s">
        <v>4672</v>
      </c>
      <c r="B244" t="s">
        <v>4673</v>
      </c>
      <c r="K244">
        <v>1</v>
      </c>
      <c r="M244" s="9"/>
      <c r="N244" t="s">
        <v>4674</v>
      </c>
      <c r="O244" s="2"/>
      <c r="R244">
        <f t="shared" si="3"/>
        <v>0</v>
      </c>
    </row>
    <row r="245" spans="1:18" x14ac:dyDescent="0.2">
      <c r="A245" t="s">
        <v>4675</v>
      </c>
      <c r="B245" t="s">
        <v>4676</v>
      </c>
      <c r="M245" s="9"/>
      <c r="N245" t="s">
        <v>4209</v>
      </c>
      <c r="O245" s="2"/>
      <c r="R245">
        <f t="shared" si="3"/>
        <v>0</v>
      </c>
    </row>
    <row r="246" spans="1:18" x14ac:dyDescent="0.2">
      <c r="A246" t="s">
        <v>4677</v>
      </c>
      <c r="B246" t="s">
        <v>4678</v>
      </c>
      <c r="D246">
        <v>0</v>
      </c>
      <c r="M246" s="9"/>
      <c r="N246" t="s">
        <v>4420</v>
      </c>
      <c r="O246" s="2"/>
      <c r="R246">
        <f t="shared" si="3"/>
        <v>0</v>
      </c>
    </row>
    <row r="247" spans="1:18" x14ac:dyDescent="0.2">
      <c r="A247" t="s">
        <v>4679</v>
      </c>
      <c r="B247" t="s">
        <v>4680</v>
      </c>
      <c r="M247" s="9"/>
      <c r="N247" t="s">
        <v>4681</v>
      </c>
      <c r="O247" s="2"/>
      <c r="R247">
        <f t="shared" si="3"/>
        <v>0</v>
      </c>
    </row>
    <row r="248" spans="1:18" x14ac:dyDescent="0.2">
      <c r="A248" t="s">
        <v>4682</v>
      </c>
      <c r="B248" t="s">
        <v>4683</v>
      </c>
      <c r="M248" s="9"/>
      <c r="N248" t="s">
        <v>4684</v>
      </c>
      <c r="O248" s="2"/>
      <c r="R248">
        <f t="shared" si="3"/>
        <v>0</v>
      </c>
    </row>
    <row r="249" spans="1:18" x14ac:dyDescent="0.2">
      <c r="A249" t="s">
        <v>4685</v>
      </c>
      <c r="B249" t="s">
        <v>4686</v>
      </c>
      <c r="D249">
        <v>0</v>
      </c>
      <c r="M249" s="9"/>
      <c r="N249" t="s">
        <v>4687</v>
      </c>
      <c r="O249" s="2"/>
      <c r="R249">
        <f t="shared" si="3"/>
        <v>0</v>
      </c>
    </row>
    <row r="250" spans="1:18" x14ac:dyDescent="0.2">
      <c r="A250" t="s">
        <v>4688</v>
      </c>
      <c r="B250" t="s">
        <v>4689</v>
      </c>
      <c r="D250">
        <v>0</v>
      </c>
      <c r="M250" s="9"/>
      <c r="N250" t="s">
        <v>4170</v>
      </c>
      <c r="O250" s="2"/>
      <c r="R250">
        <f t="shared" si="3"/>
        <v>0</v>
      </c>
    </row>
    <row r="251" spans="1:18" x14ac:dyDescent="0.2">
      <c r="A251" t="s">
        <v>4690</v>
      </c>
      <c r="B251" t="s">
        <v>4691</v>
      </c>
      <c r="M251" s="9"/>
      <c r="N251" t="s">
        <v>4692</v>
      </c>
      <c r="O251" s="2"/>
      <c r="R251">
        <f t="shared" si="3"/>
        <v>0</v>
      </c>
    </row>
    <row r="252" spans="1:18" x14ac:dyDescent="0.2">
      <c r="A252" t="s">
        <v>4693</v>
      </c>
      <c r="B252" t="s">
        <v>4694</v>
      </c>
      <c r="M252" s="9" t="s">
        <v>4079</v>
      </c>
      <c r="N252" t="s">
        <v>4167</v>
      </c>
      <c r="O252" s="2"/>
      <c r="R252">
        <f t="shared" si="3"/>
        <v>0</v>
      </c>
    </row>
    <row r="253" spans="1:18" x14ac:dyDescent="0.2">
      <c r="A253" t="s">
        <v>4695</v>
      </c>
      <c r="B253" t="s">
        <v>4696</v>
      </c>
      <c r="K253">
        <v>1</v>
      </c>
      <c r="M253" s="9"/>
      <c r="N253" t="s">
        <v>4697</v>
      </c>
      <c r="O253" s="2"/>
      <c r="R253">
        <f t="shared" si="3"/>
        <v>0</v>
      </c>
    </row>
    <row r="254" spans="1:18" x14ac:dyDescent="0.2">
      <c r="A254" t="s">
        <v>4698</v>
      </c>
      <c r="B254" t="s">
        <v>4699</v>
      </c>
      <c r="M254" s="9"/>
      <c r="N254" t="s">
        <v>4700</v>
      </c>
      <c r="O254" s="2"/>
      <c r="R254">
        <f t="shared" si="3"/>
        <v>0</v>
      </c>
    </row>
    <row r="255" spans="1:18" x14ac:dyDescent="0.2">
      <c r="A255" t="s">
        <v>4701</v>
      </c>
      <c r="B255" t="s">
        <v>4702</v>
      </c>
      <c r="D255">
        <v>0</v>
      </c>
      <c r="M255" s="9"/>
      <c r="N255" t="s">
        <v>4296</v>
      </c>
      <c r="O255" s="2" t="s">
        <v>3896</v>
      </c>
      <c r="R255">
        <f t="shared" si="3"/>
        <v>0</v>
      </c>
    </row>
    <row r="256" spans="1:18" x14ac:dyDescent="0.2">
      <c r="A256" t="s">
        <v>4703</v>
      </c>
      <c r="B256" t="s">
        <v>4704</v>
      </c>
      <c r="D256">
        <v>0</v>
      </c>
      <c r="K256">
        <v>1</v>
      </c>
      <c r="M256" s="9"/>
      <c r="N256" t="s">
        <v>4103</v>
      </c>
      <c r="O256" s="2" t="s">
        <v>3896</v>
      </c>
      <c r="R256">
        <f t="shared" si="3"/>
        <v>0</v>
      </c>
    </row>
    <row r="257" spans="1:18" x14ac:dyDescent="0.2">
      <c r="A257" t="s">
        <v>4705</v>
      </c>
      <c r="B257" t="s">
        <v>4706</v>
      </c>
      <c r="M257" s="9"/>
      <c r="N257" t="s">
        <v>4707</v>
      </c>
      <c r="O257" s="2"/>
      <c r="R257">
        <f t="shared" si="3"/>
        <v>0</v>
      </c>
    </row>
    <row r="258" spans="1:18" x14ac:dyDescent="0.2">
      <c r="A258" t="s">
        <v>4708</v>
      </c>
      <c r="B258" t="s">
        <v>4709</v>
      </c>
      <c r="K258">
        <v>1</v>
      </c>
      <c r="M258" s="9" t="s">
        <v>21</v>
      </c>
      <c r="N258" t="s">
        <v>2724</v>
      </c>
      <c r="O258" s="2">
        <v>1</v>
      </c>
      <c r="R258">
        <f t="shared" ref="R258:R321" si="4">IF(_xlfn.BITAND(P258&gt;0.4999, Q258&gt;0.4999)=1,1,0)</f>
        <v>0</v>
      </c>
    </row>
    <row r="259" spans="1:18" x14ac:dyDescent="0.2">
      <c r="A259" t="s">
        <v>4710</v>
      </c>
      <c r="B259" t="s">
        <v>4711</v>
      </c>
      <c r="M259" s="9"/>
      <c r="N259" t="s">
        <v>4103</v>
      </c>
      <c r="O259" s="2" t="s">
        <v>3896</v>
      </c>
      <c r="R259">
        <f t="shared" si="4"/>
        <v>0</v>
      </c>
    </row>
    <row r="260" spans="1:18" x14ac:dyDescent="0.2">
      <c r="A260" t="s">
        <v>4712</v>
      </c>
      <c r="B260" t="s">
        <v>4713</v>
      </c>
      <c r="C260" t="s">
        <v>20</v>
      </c>
      <c r="D260">
        <v>0</v>
      </c>
      <c r="M260" s="9"/>
      <c r="N260" t="s">
        <v>4183</v>
      </c>
      <c r="O260" s="2">
        <v>1</v>
      </c>
      <c r="R260">
        <f t="shared" si="4"/>
        <v>0</v>
      </c>
    </row>
    <row r="261" spans="1:18" x14ac:dyDescent="0.2">
      <c r="A261" t="s">
        <v>4714</v>
      </c>
      <c r="B261" t="s">
        <v>4715</v>
      </c>
      <c r="D261">
        <v>0</v>
      </c>
      <c r="K261">
        <v>1</v>
      </c>
      <c r="M261" s="9"/>
      <c r="N261" t="s">
        <v>211</v>
      </c>
      <c r="O261" s="2">
        <v>1</v>
      </c>
      <c r="R261">
        <f t="shared" si="4"/>
        <v>0</v>
      </c>
    </row>
    <row r="262" spans="1:18" x14ac:dyDescent="0.2">
      <c r="A262" t="s">
        <v>4716</v>
      </c>
      <c r="B262" t="s">
        <v>4717</v>
      </c>
      <c r="D262">
        <v>0</v>
      </c>
      <c r="M262" s="9"/>
      <c r="N262" t="s">
        <v>4083</v>
      </c>
      <c r="O262" s="2"/>
      <c r="R262">
        <f t="shared" si="4"/>
        <v>0</v>
      </c>
    </row>
    <row r="263" spans="1:18" x14ac:dyDescent="0.2">
      <c r="A263" t="s">
        <v>4718</v>
      </c>
      <c r="B263" t="s">
        <v>4719</v>
      </c>
      <c r="K263">
        <v>1</v>
      </c>
      <c r="M263" s="9"/>
      <c r="N263" t="s">
        <v>4606</v>
      </c>
      <c r="O263" s="2"/>
      <c r="R263">
        <f t="shared" si="4"/>
        <v>0</v>
      </c>
    </row>
    <row r="264" spans="1:18" x14ac:dyDescent="0.2">
      <c r="A264" t="s">
        <v>4720</v>
      </c>
      <c r="B264" t="s">
        <v>4721</v>
      </c>
      <c r="M264" s="9"/>
      <c r="N264" t="s">
        <v>3724</v>
      </c>
      <c r="O264" s="2">
        <v>1</v>
      </c>
      <c r="R264">
        <f t="shared" si="4"/>
        <v>0</v>
      </c>
    </row>
    <row r="265" spans="1:18" x14ac:dyDescent="0.2">
      <c r="A265" t="s">
        <v>4722</v>
      </c>
      <c r="B265" t="s">
        <v>4723</v>
      </c>
      <c r="M265" s="9"/>
      <c r="N265" t="s">
        <v>4724</v>
      </c>
      <c r="O265" s="2"/>
      <c r="R265">
        <f t="shared" si="4"/>
        <v>0</v>
      </c>
    </row>
    <row r="266" spans="1:18" x14ac:dyDescent="0.2">
      <c r="A266" t="s">
        <v>4725</v>
      </c>
      <c r="B266" t="s">
        <v>4726</v>
      </c>
      <c r="D266">
        <v>0</v>
      </c>
      <c r="M266" s="9"/>
      <c r="N266" t="s">
        <v>4727</v>
      </c>
      <c r="O266" s="2"/>
      <c r="R266">
        <f t="shared" si="4"/>
        <v>0</v>
      </c>
    </row>
    <row r="267" spans="1:18" x14ac:dyDescent="0.2">
      <c r="A267" t="s">
        <v>4728</v>
      </c>
      <c r="B267" t="s">
        <v>4729</v>
      </c>
      <c r="M267" s="9"/>
      <c r="N267" t="s">
        <v>211</v>
      </c>
      <c r="O267" s="2">
        <v>1</v>
      </c>
      <c r="R267">
        <f t="shared" si="4"/>
        <v>0</v>
      </c>
    </row>
    <row r="268" spans="1:18" x14ac:dyDescent="0.2">
      <c r="A268" t="s">
        <v>4730</v>
      </c>
      <c r="B268" t="s">
        <v>4731</v>
      </c>
      <c r="D268">
        <v>0</v>
      </c>
      <c r="M268" s="9"/>
      <c r="N268" t="s">
        <v>4732</v>
      </c>
      <c r="O268" s="2"/>
      <c r="R268">
        <f t="shared" si="4"/>
        <v>0</v>
      </c>
    </row>
    <row r="269" spans="1:18" x14ac:dyDescent="0.2">
      <c r="A269" t="s">
        <v>4733</v>
      </c>
      <c r="B269" t="s">
        <v>4734</v>
      </c>
      <c r="M269" s="9"/>
      <c r="N269" t="s">
        <v>4735</v>
      </c>
      <c r="O269" s="2"/>
      <c r="R269">
        <f t="shared" si="4"/>
        <v>0</v>
      </c>
    </row>
    <row r="270" spans="1:18" x14ac:dyDescent="0.2">
      <c r="A270" t="s">
        <v>4736</v>
      </c>
      <c r="B270" t="s">
        <v>4737</v>
      </c>
      <c r="M270" s="9"/>
      <c r="N270" t="s">
        <v>4738</v>
      </c>
      <c r="O270" s="2"/>
      <c r="R270">
        <f t="shared" si="4"/>
        <v>0</v>
      </c>
    </row>
    <row r="271" spans="1:18" x14ac:dyDescent="0.2">
      <c r="A271" t="s">
        <v>4739</v>
      </c>
      <c r="B271" t="s">
        <v>4740</v>
      </c>
      <c r="M271" s="9"/>
      <c r="N271" t="s">
        <v>4201</v>
      </c>
      <c r="O271" s="2"/>
      <c r="R271">
        <f t="shared" si="4"/>
        <v>0</v>
      </c>
    </row>
    <row r="272" spans="1:18" x14ac:dyDescent="0.2">
      <c r="A272" t="s">
        <v>4741</v>
      </c>
      <c r="B272" t="s">
        <v>4742</v>
      </c>
      <c r="D272" t="s">
        <v>4545</v>
      </c>
      <c r="M272" s="9"/>
      <c r="N272" t="s">
        <v>4743</v>
      </c>
      <c r="O272" s="2">
        <v>1</v>
      </c>
      <c r="R272">
        <f t="shared" si="4"/>
        <v>0</v>
      </c>
    </row>
    <row r="273" spans="1:18" x14ac:dyDescent="0.2">
      <c r="A273" t="s">
        <v>4744</v>
      </c>
      <c r="B273" t="s">
        <v>4745</v>
      </c>
      <c r="M273" s="9"/>
      <c r="N273" t="s">
        <v>4746</v>
      </c>
      <c r="O273" s="2"/>
      <c r="R273">
        <f t="shared" si="4"/>
        <v>0</v>
      </c>
    </row>
    <row r="274" spans="1:18" x14ac:dyDescent="0.2">
      <c r="A274" t="s">
        <v>4747</v>
      </c>
      <c r="B274" t="s">
        <v>4748</v>
      </c>
      <c r="M274" s="9"/>
      <c r="N274" t="s">
        <v>4583</v>
      </c>
      <c r="O274" s="2">
        <v>1</v>
      </c>
      <c r="R274">
        <f t="shared" si="4"/>
        <v>0</v>
      </c>
    </row>
    <row r="275" spans="1:18" x14ac:dyDescent="0.2">
      <c r="A275" t="s">
        <v>4749</v>
      </c>
      <c r="B275" t="s">
        <v>4750</v>
      </c>
      <c r="K275">
        <v>1</v>
      </c>
      <c r="M275" s="9"/>
      <c r="N275" t="s">
        <v>211</v>
      </c>
      <c r="O275" s="2">
        <v>1</v>
      </c>
      <c r="R275">
        <f t="shared" si="4"/>
        <v>0</v>
      </c>
    </row>
    <row r="276" spans="1:18" x14ac:dyDescent="0.2">
      <c r="A276" t="s">
        <v>4751</v>
      </c>
      <c r="B276" t="s">
        <v>4752</v>
      </c>
      <c r="K276">
        <v>1</v>
      </c>
      <c r="M276" s="9"/>
      <c r="N276" t="s">
        <v>4753</v>
      </c>
      <c r="O276" s="2"/>
      <c r="R276">
        <f t="shared" si="4"/>
        <v>0</v>
      </c>
    </row>
    <row r="277" spans="1:18" x14ac:dyDescent="0.2">
      <c r="A277" t="s">
        <v>4754</v>
      </c>
      <c r="B277" t="s">
        <v>4755</v>
      </c>
      <c r="K277">
        <v>1</v>
      </c>
      <c r="M277" s="9"/>
      <c r="N277" t="s">
        <v>4756</v>
      </c>
      <c r="O277" s="2"/>
      <c r="R277">
        <f t="shared" si="4"/>
        <v>0</v>
      </c>
    </row>
    <row r="278" spans="1:18" x14ac:dyDescent="0.2">
      <c r="A278" t="s">
        <v>4757</v>
      </c>
      <c r="B278" t="s">
        <v>4758</v>
      </c>
      <c r="K278">
        <v>1</v>
      </c>
      <c r="M278" s="9"/>
      <c r="N278" t="s">
        <v>146</v>
      </c>
      <c r="O278" s="2">
        <v>1</v>
      </c>
      <c r="R278">
        <f t="shared" si="4"/>
        <v>0</v>
      </c>
    </row>
    <row r="279" spans="1:18" x14ac:dyDescent="0.2">
      <c r="A279" t="s">
        <v>4759</v>
      </c>
      <c r="B279" t="s">
        <v>4760</v>
      </c>
      <c r="K279">
        <v>1</v>
      </c>
      <c r="M279" s="9"/>
      <c r="N279" t="s">
        <v>4323</v>
      </c>
      <c r="O279" s="2"/>
      <c r="R279">
        <f t="shared" si="4"/>
        <v>0</v>
      </c>
    </row>
    <row r="280" spans="1:18" x14ac:dyDescent="0.2">
      <c r="A280" t="s">
        <v>4761</v>
      </c>
      <c r="B280" t="s">
        <v>4762</v>
      </c>
      <c r="K280">
        <v>1</v>
      </c>
      <c r="M280" s="9"/>
      <c r="N280" t="s">
        <v>211</v>
      </c>
      <c r="O280" s="2">
        <v>1</v>
      </c>
      <c r="R280">
        <f t="shared" si="4"/>
        <v>0</v>
      </c>
    </row>
    <row r="281" spans="1:18" x14ac:dyDescent="0.2">
      <c r="A281" t="s">
        <v>4763</v>
      </c>
      <c r="B281" t="s">
        <v>4764</v>
      </c>
      <c r="M281" s="9"/>
      <c r="N281" t="s">
        <v>4765</v>
      </c>
      <c r="O281" s="2">
        <v>1</v>
      </c>
      <c r="R281">
        <f t="shared" si="4"/>
        <v>0</v>
      </c>
    </row>
    <row r="282" spans="1:18" x14ac:dyDescent="0.2">
      <c r="A282" t="s">
        <v>4766</v>
      </c>
      <c r="B282" t="s">
        <v>4767</v>
      </c>
      <c r="M282" s="9"/>
      <c r="N282" t="s">
        <v>4097</v>
      </c>
      <c r="O282" s="2"/>
      <c r="R282">
        <f t="shared" si="4"/>
        <v>0</v>
      </c>
    </row>
    <row r="283" spans="1:18" x14ac:dyDescent="0.2">
      <c r="A283" t="s">
        <v>4768</v>
      </c>
      <c r="B283" t="s">
        <v>4769</v>
      </c>
      <c r="M283" s="9"/>
      <c r="N283" t="s">
        <v>211</v>
      </c>
      <c r="O283" s="2">
        <v>1</v>
      </c>
      <c r="R283">
        <f t="shared" si="4"/>
        <v>0</v>
      </c>
    </row>
    <row r="284" spans="1:18" x14ac:dyDescent="0.2">
      <c r="A284" t="s">
        <v>4770</v>
      </c>
      <c r="B284" t="s">
        <v>4771</v>
      </c>
      <c r="M284" s="9"/>
      <c r="N284" t="s">
        <v>4772</v>
      </c>
      <c r="O284" s="2"/>
      <c r="R284">
        <f t="shared" si="4"/>
        <v>0</v>
      </c>
    </row>
    <row r="285" spans="1:18" x14ac:dyDescent="0.2">
      <c r="A285" t="s">
        <v>4773</v>
      </c>
      <c r="B285" t="s">
        <v>4774</v>
      </c>
      <c r="M285" s="9"/>
      <c r="N285" t="s">
        <v>4323</v>
      </c>
      <c r="O285" s="2"/>
      <c r="R285">
        <f t="shared" si="4"/>
        <v>0</v>
      </c>
    </row>
    <row r="286" spans="1:18" x14ac:dyDescent="0.2">
      <c r="A286" t="s">
        <v>4775</v>
      </c>
      <c r="B286" t="s">
        <v>4776</v>
      </c>
      <c r="M286" s="9"/>
      <c r="N286" t="s">
        <v>4777</v>
      </c>
      <c r="O286" s="2"/>
      <c r="R286">
        <f t="shared" si="4"/>
        <v>0</v>
      </c>
    </row>
    <row r="287" spans="1:18" x14ac:dyDescent="0.2">
      <c r="A287" t="s">
        <v>4778</v>
      </c>
      <c r="B287" t="s">
        <v>4779</v>
      </c>
      <c r="D287">
        <v>0</v>
      </c>
      <c r="M287" s="9"/>
      <c r="N287" t="s">
        <v>211</v>
      </c>
      <c r="O287" s="2">
        <v>1</v>
      </c>
      <c r="R287">
        <f t="shared" si="4"/>
        <v>0</v>
      </c>
    </row>
    <row r="288" spans="1:18" x14ac:dyDescent="0.2">
      <c r="A288" t="s">
        <v>4780</v>
      </c>
      <c r="B288" t="s">
        <v>4781</v>
      </c>
      <c r="K288">
        <v>1</v>
      </c>
      <c r="M288" s="9"/>
      <c r="N288" t="s">
        <v>4782</v>
      </c>
      <c r="O288" s="2"/>
      <c r="R288">
        <f t="shared" si="4"/>
        <v>0</v>
      </c>
    </row>
    <row r="289" spans="1:18" x14ac:dyDescent="0.2">
      <c r="A289" t="s">
        <v>4783</v>
      </c>
      <c r="B289" t="s">
        <v>4784</v>
      </c>
      <c r="M289" s="9"/>
      <c r="N289" t="s">
        <v>4785</v>
      </c>
      <c r="O289" s="2"/>
      <c r="R289">
        <f t="shared" si="4"/>
        <v>0</v>
      </c>
    </row>
    <row r="290" spans="1:18" x14ac:dyDescent="0.2">
      <c r="A290" t="s">
        <v>4786</v>
      </c>
      <c r="B290" t="s">
        <v>4787</v>
      </c>
      <c r="K290">
        <v>1</v>
      </c>
      <c r="M290" s="9" t="s">
        <v>21</v>
      </c>
      <c r="N290" t="s">
        <v>2724</v>
      </c>
      <c r="O290" s="2">
        <v>1</v>
      </c>
      <c r="R290">
        <f t="shared" si="4"/>
        <v>0</v>
      </c>
    </row>
    <row r="291" spans="1:18" x14ac:dyDescent="0.2">
      <c r="A291" t="s">
        <v>4788</v>
      </c>
      <c r="B291" t="s">
        <v>4789</v>
      </c>
      <c r="D291">
        <v>0</v>
      </c>
      <c r="M291" s="9"/>
      <c r="N291" t="s">
        <v>77</v>
      </c>
      <c r="O291" s="2">
        <v>1</v>
      </c>
      <c r="R291">
        <f t="shared" si="4"/>
        <v>0</v>
      </c>
    </row>
    <row r="292" spans="1:18" x14ac:dyDescent="0.2">
      <c r="A292" t="s">
        <v>4790</v>
      </c>
      <c r="B292" t="s">
        <v>4791</v>
      </c>
      <c r="M292" s="9"/>
      <c r="N292" t="s">
        <v>4792</v>
      </c>
      <c r="O292" s="2"/>
      <c r="R292">
        <f t="shared" si="4"/>
        <v>0</v>
      </c>
    </row>
    <row r="293" spans="1:18" x14ac:dyDescent="0.2">
      <c r="A293" t="s">
        <v>4793</v>
      </c>
      <c r="B293" t="s">
        <v>4794</v>
      </c>
      <c r="K293">
        <v>1</v>
      </c>
      <c r="M293" s="9"/>
      <c r="N293" t="s">
        <v>4795</v>
      </c>
      <c r="O293" s="2"/>
      <c r="R293">
        <f t="shared" si="4"/>
        <v>0</v>
      </c>
    </row>
    <row r="294" spans="1:18" x14ac:dyDescent="0.2">
      <c r="A294" t="s">
        <v>4796</v>
      </c>
      <c r="B294" t="s">
        <v>4797</v>
      </c>
      <c r="M294" s="9"/>
      <c r="N294" t="s">
        <v>4170</v>
      </c>
      <c r="O294" s="2"/>
      <c r="R294">
        <f t="shared" si="4"/>
        <v>0</v>
      </c>
    </row>
    <row r="295" spans="1:18" x14ac:dyDescent="0.2">
      <c r="A295" t="s">
        <v>4798</v>
      </c>
      <c r="B295" t="s">
        <v>4799</v>
      </c>
      <c r="D295" t="s">
        <v>4100</v>
      </c>
      <c r="M295" s="9"/>
      <c r="N295" t="s">
        <v>211</v>
      </c>
      <c r="O295" s="2">
        <v>1</v>
      </c>
      <c r="R295">
        <f t="shared" si="4"/>
        <v>0</v>
      </c>
    </row>
    <row r="296" spans="1:18" x14ac:dyDescent="0.2">
      <c r="A296" t="s">
        <v>4800</v>
      </c>
      <c r="B296" t="s">
        <v>4801</v>
      </c>
      <c r="M296" s="9" t="s">
        <v>4079</v>
      </c>
      <c r="N296" t="s">
        <v>4802</v>
      </c>
      <c r="O296" s="2"/>
      <c r="R296">
        <f t="shared" si="4"/>
        <v>0</v>
      </c>
    </row>
    <row r="297" spans="1:18" x14ac:dyDescent="0.2">
      <c r="A297" t="s">
        <v>4803</v>
      </c>
      <c r="B297" t="s">
        <v>4804</v>
      </c>
      <c r="K297">
        <v>1</v>
      </c>
      <c r="M297" s="9" t="s">
        <v>32</v>
      </c>
      <c r="N297" t="s">
        <v>4805</v>
      </c>
      <c r="O297"/>
      <c r="Q297" s="2"/>
      <c r="R297">
        <f t="shared" si="4"/>
        <v>0</v>
      </c>
    </row>
    <row r="298" spans="1:18" x14ac:dyDescent="0.2">
      <c r="A298" t="s">
        <v>4806</v>
      </c>
      <c r="B298" t="s">
        <v>4807</v>
      </c>
      <c r="M298" s="9" t="s">
        <v>4079</v>
      </c>
      <c r="N298" t="s">
        <v>4808</v>
      </c>
      <c r="O298" s="2"/>
      <c r="R298">
        <f t="shared" si="4"/>
        <v>0</v>
      </c>
    </row>
    <row r="299" spans="1:18" x14ac:dyDescent="0.2">
      <c r="A299" t="s">
        <v>4809</v>
      </c>
      <c r="B299" t="s">
        <v>4810</v>
      </c>
      <c r="M299" s="9"/>
      <c r="O299" s="2"/>
      <c r="R299">
        <f t="shared" si="4"/>
        <v>0</v>
      </c>
    </row>
    <row r="300" spans="1:18" x14ac:dyDescent="0.2">
      <c r="A300" t="s">
        <v>4811</v>
      </c>
      <c r="B300" t="s">
        <v>4812</v>
      </c>
      <c r="M300" s="9" t="s">
        <v>4079</v>
      </c>
      <c r="N300" t="s">
        <v>4296</v>
      </c>
      <c r="O300" s="2" t="s">
        <v>3896</v>
      </c>
      <c r="R300">
        <f t="shared" si="4"/>
        <v>0</v>
      </c>
    </row>
    <row r="301" spans="1:18" x14ac:dyDescent="0.2">
      <c r="A301" t="s">
        <v>4813</v>
      </c>
      <c r="B301" t="s">
        <v>4814</v>
      </c>
      <c r="M301" s="9" t="s">
        <v>4079</v>
      </c>
      <c r="N301" t="s">
        <v>4323</v>
      </c>
      <c r="O301" s="2"/>
      <c r="R301">
        <f t="shared" si="4"/>
        <v>0</v>
      </c>
    </row>
    <row r="302" spans="1:18" x14ac:dyDescent="0.2">
      <c r="A302" t="s">
        <v>4815</v>
      </c>
      <c r="B302" t="s">
        <v>4816</v>
      </c>
      <c r="M302" s="9" t="s">
        <v>4079</v>
      </c>
      <c r="N302" t="s">
        <v>4170</v>
      </c>
      <c r="O302" s="2"/>
      <c r="R302">
        <f t="shared" si="4"/>
        <v>0</v>
      </c>
    </row>
    <row r="303" spans="1:18" x14ac:dyDescent="0.2">
      <c r="A303" t="s">
        <v>4817</v>
      </c>
      <c r="B303" t="s">
        <v>4818</v>
      </c>
      <c r="M303" s="9" t="s">
        <v>4079</v>
      </c>
      <c r="N303" t="s">
        <v>4148</v>
      </c>
      <c r="O303" s="2"/>
      <c r="R303">
        <f t="shared" si="4"/>
        <v>0</v>
      </c>
    </row>
    <row r="304" spans="1:18" x14ac:dyDescent="0.2">
      <c r="A304" t="s">
        <v>4819</v>
      </c>
      <c r="B304" t="s">
        <v>4820</v>
      </c>
      <c r="K304">
        <v>1</v>
      </c>
      <c r="M304" s="9" t="s">
        <v>4079</v>
      </c>
      <c r="N304" t="s">
        <v>4128</v>
      </c>
      <c r="O304" s="2"/>
      <c r="R304">
        <f t="shared" si="4"/>
        <v>0</v>
      </c>
    </row>
    <row r="305" spans="1:18" x14ac:dyDescent="0.2">
      <c r="A305" t="s">
        <v>4821</v>
      </c>
      <c r="B305" t="s">
        <v>4822</v>
      </c>
      <c r="M305" s="9"/>
      <c r="N305" t="s">
        <v>4823</v>
      </c>
      <c r="O305" s="2"/>
      <c r="R305">
        <f t="shared" si="4"/>
        <v>0</v>
      </c>
    </row>
    <row r="306" spans="1:18" x14ac:dyDescent="0.2">
      <c r="A306" t="s">
        <v>4824</v>
      </c>
      <c r="B306" t="s">
        <v>4825</v>
      </c>
      <c r="K306">
        <v>1</v>
      </c>
      <c r="M306" s="9" t="s">
        <v>4079</v>
      </c>
      <c r="N306" t="s">
        <v>4097</v>
      </c>
      <c r="O306" s="2"/>
      <c r="R306">
        <f t="shared" si="4"/>
        <v>0</v>
      </c>
    </row>
    <row r="307" spans="1:18" x14ac:dyDescent="0.2">
      <c r="A307" t="s">
        <v>4826</v>
      </c>
      <c r="B307" t="s">
        <v>4827</v>
      </c>
      <c r="C307" t="s">
        <v>201</v>
      </c>
      <c r="M307" s="9" t="s">
        <v>21</v>
      </c>
      <c r="N307" t="s">
        <v>4400</v>
      </c>
      <c r="O307" s="2">
        <v>1</v>
      </c>
      <c r="Q307" s="2"/>
      <c r="R307">
        <f t="shared" si="4"/>
        <v>0</v>
      </c>
    </row>
    <row r="308" spans="1:18" x14ac:dyDescent="0.2">
      <c r="A308" t="s">
        <v>4828</v>
      </c>
      <c r="B308" t="s">
        <v>4829</v>
      </c>
      <c r="M308" s="9" t="s">
        <v>4079</v>
      </c>
      <c r="N308" t="s">
        <v>4830</v>
      </c>
      <c r="O308" s="2"/>
      <c r="R308">
        <f t="shared" si="4"/>
        <v>0</v>
      </c>
    </row>
    <row r="309" spans="1:18" x14ac:dyDescent="0.2">
      <c r="A309" t="s">
        <v>4831</v>
      </c>
      <c r="B309" t="s">
        <v>4832</v>
      </c>
      <c r="K309">
        <v>1</v>
      </c>
      <c r="M309" s="9" t="s">
        <v>21</v>
      </c>
      <c r="N309" t="s">
        <v>211</v>
      </c>
      <c r="O309" s="2">
        <v>1</v>
      </c>
      <c r="R309">
        <f t="shared" si="4"/>
        <v>0</v>
      </c>
    </row>
    <row r="310" spans="1:18" x14ac:dyDescent="0.2">
      <c r="A310" t="s">
        <v>4833</v>
      </c>
      <c r="B310" t="s">
        <v>4834</v>
      </c>
      <c r="K310">
        <v>1</v>
      </c>
      <c r="M310" s="9" t="s">
        <v>4079</v>
      </c>
      <c r="N310" t="s">
        <v>4835</v>
      </c>
      <c r="O310" s="2"/>
      <c r="R310">
        <f t="shared" si="4"/>
        <v>0</v>
      </c>
    </row>
    <row r="311" spans="1:18" x14ac:dyDescent="0.2">
      <c r="A311" t="s">
        <v>4836</v>
      </c>
      <c r="B311" t="s">
        <v>4837</v>
      </c>
      <c r="M311" s="9" t="s">
        <v>21</v>
      </c>
      <c r="N311" t="s">
        <v>211</v>
      </c>
      <c r="O311" s="2">
        <v>1</v>
      </c>
      <c r="R311">
        <f t="shared" si="4"/>
        <v>0</v>
      </c>
    </row>
    <row r="312" spans="1:18" x14ac:dyDescent="0.2">
      <c r="A312" t="s">
        <v>4838</v>
      </c>
      <c r="B312" t="s">
        <v>4839</v>
      </c>
      <c r="K312">
        <v>1</v>
      </c>
      <c r="M312" s="9"/>
      <c r="N312" t="s">
        <v>4840</v>
      </c>
      <c r="O312" s="2"/>
      <c r="R312">
        <f t="shared" si="4"/>
        <v>0</v>
      </c>
    </row>
    <row r="313" spans="1:18" x14ac:dyDescent="0.2">
      <c r="A313" t="s">
        <v>4841</v>
      </c>
      <c r="B313"/>
      <c r="K313">
        <v>1</v>
      </c>
      <c r="M313" s="9"/>
      <c r="N313" t="s">
        <v>4842</v>
      </c>
      <c r="O313"/>
      <c r="Q313" s="2"/>
      <c r="R313">
        <f t="shared" si="4"/>
        <v>0</v>
      </c>
    </row>
    <row r="314" spans="1:18" x14ac:dyDescent="0.2">
      <c r="A314" t="s">
        <v>4843</v>
      </c>
      <c r="B314" t="s">
        <v>4844</v>
      </c>
      <c r="M314" s="9" t="s">
        <v>4079</v>
      </c>
      <c r="N314" t="s">
        <v>4311</v>
      </c>
      <c r="O314" s="2"/>
      <c r="R314">
        <f t="shared" si="4"/>
        <v>0</v>
      </c>
    </row>
    <row r="315" spans="1:18" x14ac:dyDescent="0.2">
      <c r="A315" t="s">
        <v>4845</v>
      </c>
      <c r="B315" t="s">
        <v>4846</v>
      </c>
      <c r="C315" t="s">
        <v>201</v>
      </c>
      <c r="M315" s="9" t="s">
        <v>4079</v>
      </c>
      <c r="N315" t="s">
        <v>4128</v>
      </c>
      <c r="O315" s="2"/>
      <c r="R315">
        <f t="shared" si="4"/>
        <v>0</v>
      </c>
    </row>
    <row r="316" spans="1:18" x14ac:dyDescent="0.2">
      <c r="A316" t="s">
        <v>4847</v>
      </c>
      <c r="B316" t="s">
        <v>4848</v>
      </c>
      <c r="D316">
        <v>0</v>
      </c>
      <c r="M316" s="9" t="s">
        <v>4079</v>
      </c>
      <c r="N316" t="s">
        <v>4849</v>
      </c>
      <c r="O316" s="2"/>
      <c r="R316">
        <f t="shared" si="4"/>
        <v>0</v>
      </c>
    </row>
    <row r="317" spans="1:18" x14ac:dyDescent="0.2">
      <c r="A317" t="s">
        <v>4850</v>
      </c>
      <c r="B317" t="s">
        <v>4851</v>
      </c>
      <c r="D317">
        <v>0</v>
      </c>
      <c r="M317" s="9" t="s">
        <v>21</v>
      </c>
      <c r="N317" t="s">
        <v>4259</v>
      </c>
      <c r="O317" s="2">
        <v>1</v>
      </c>
      <c r="R317">
        <f t="shared" si="4"/>
        <v>0</v>
      </c>
    </row>
    <row r="318" spans="1:18" x14ac:dyDescent="0.2">
      <c r="A318" t="s">
        <v>4852</v>
      </c>
      <c r="B318" t="s">
        <v>4853</v>
      </c>
      <c r="D318">
        <v>0</v>
      </c>
      <c r="M318" s="9" t="s">
        <v>21</v>
      </c>
      <c r="N318" t="s">
        <v>4854</v>
      </c>
      <c r="O318" s="2">
        <v>1</v>
      </c>
      <c r="R318">
        <f t="shared" si="4"/>
        <v>0</v>
      </c>
    </row>
    <row r="319" spans="1:18" x14ac:dyDescent="0.2">
      <c r="A319" t="s">
        <v>4855</v>
      </c>
      <c r="B319" t="s">
        <v>4856</v>
      </c>
      <c r="M319" s="9" t="s">
        <v>4079</v>
      </c>
      <c r="N319" t="s">
        <v>4183</v>
      </c>
      <c r="O319" s="2">
        <v>1</v>
      </c>
      <c r="R319">
        <f t="shared" si="4"/>
        <v>0</v>
      </c>
    </row>
    <row r="320" spans="1:18" x14ac:dyDescent="0.2">
      <c r="A320" t="s">
        <v>4857</v>
      </c>
      <c r="B320" t="s">
        <v>4858</v>
      </c>
      <c r="M320" s="9" t="s">
        <v>4079</v>
      </c>
      <c r="N320" t="s">
        <v>4859</v>
      </c>
      <c r="O320" s="2"/>
      <c r="R320">
        <f t="shared" si="4"/>
        <v>0</v>
      </c>
    </row>
    <row r="321" spans="1:18" x14ac:dyDescent="0.2">
      <c r="A321" t="s">
        <v>4860</v>
      </c>
      <c r="B321" t="s">
        <v>4861</v>
      </c>
      <c r="D321">
        <v>0</v>
      </c>
      <c r="K321">
        <v>1</v>
      </c>
      <c r="M321" s="9" t="s">
        <v>4079</v>
      </c>
      <c r="N321" t="s">
        <v>4862</v>
      </c>
      <c r="O321" s="2"/>
      <c r="R321">
        <f t="shared" si="4"/>
        <v>0</v>
      </c>
    </row>
    <row r="322" spans="1:18" x14ac:dyDescent="0.2">
      <c r="A322" t="s">
        <v>4863</v>
      </c>
      <c r="B322" t="s">
        <v>4864</v>
      </c>
      <c r="D322">
        <v>0</v>
      </c>
      <c r="M322" s="9" t="s">
        <v>21</v>
      </c>
      <c r="N322" t="s">
        <v>211</v>
      </c>
      <c r="O322" s="2">
        <v>1</v>
      </c>
      <c r="R322">
        <f t="shared" ref="R322:R385" si="5">IF(_xlfn.BITAND(P322&gt;0.4999, Q322&gt;0.4999)=1,1,0)</f>
        <v>0</v>
      </c>
    </row>
    <row r="323" spans="1:18" x14ac:dyDescent="0.2">
      <c r="A323" t="s">
        <v>4865</v>
      </c>
      <c r="B323" t="s">
        <v>4866</v>
      </c>
      <c r="K323">
        <v>1</v>
      </c>
      <c r="M323" s="9" t="s">
        <v>4079</v>
      </c>
      <c r="N323" t="s">
        <v>4867</v>
      </c>
      <c r="O323" s="2"/>
      <c r="R323">
        <f t="shared" si="5"/>
        <v>0</v>
      </c>
    </row>
    <row r="324" spans="1:18" x14ac:dyDescent="0.2">
      <c r="A324" t="s">
        <v>4868</v>
      </c>
      <c r="B324" t="s">
        <v>4869</v>
      </c>
      <c r="D324">
        <v>0</v>
      </c>
      <c r="M324" s="9" t="s">
        <v>21</v>
      </c>
      <c r="N324" t="s">
        <v>4870</v>
      </c>
      <c r="O324" s="2">
        <v>1</v>
      </c>
      <c r="R324">
        <f t="shared" si="5"/>
        <v>0</v>
      </c>
    </row>
    <row r="325" spans="1:18" x14ac:dyDescent="0.2">
      <c r="A325" t="s">
        <v>4871</v>
      </c>
      <c r="B325" t="s">
        <v>4872</v>
      </c>
      <c r="M325" s="9" t="s">
        <v>4079</v>
      </c>
      <c r="N325" t="s">
        <v>4423</v>
      </c>
      <c r="O325" s="2"/>
      <c r="R325">
        <f t="shared" si="5"/>
        <v>0</v>
      </c>
    </row>
    <row r="326" spans="1:18" x14ac:dyDescent="0.2">
      <c r="A326" t="s">
        <v>4873</v>
      </c>
      <c r="B326" t="s">
        <v>4874</v>
      </c>
      <c r="D326">
        <v>0</v>
      </c>
      <c r="M326" s="9" t="s">
        <v>4079</v>
      </c>
      <c r="N326" t="s">
        <v>4103</v>
      </c>
      <c r="O326" s="2" t="s">
        <v>3896</v>
      </c>
      <c r="R326">
        <f t="shared" si="5"/>
        <v>0</v>
      </c>
    </row>
    <row r="327" spans="1:18" x14ac:dyDescent="0.2">
      <c r="A327" t="s">
        <v>4875</v>
      </c>
      <c r="B327" t="s">
        <v>4876</v>
      </c>
      <c r="D327">
        <v>0</v>
      </c>
      <c r="M327" s="9" t="s">
        <v>21</v>
      </c>
      <c r="N327" t="s">
        <v>211</v>
      </c>
      <c r="O327" s="2">
        <v>1</v>
      </c>
      <c r="R327">
        <f t="shared" si="5"/>
        <v>0</v>
      </c>
    </row>
    <row r="328" spans="1:18" x14ac:dyDescent="0.2">
      <c r="A328" t="s">
        <v>4877</v>
      </c>
      <c r="B328" t="s">
        <v>4878</v>
      </c>
      <c r="D328">
        <v>0</v>
      </c>
      <c r="M328" s="9" t="s">
        <v>4079</v>
      </c>
      <c r="N328" t="s">
        <v>4879</v>
      </c>
      <c r="O328" s="2"/>
      <c r="R328">
        <f t="shared" si="5"/>
        <v>0</v>
      </c>
    </row>
    <row r="329" spans="1:18" x14ac:dyDescent="0.2">
      <c r="A329" t="s">
        <v>4880</v>
      </c>
      <c r="B329" t="s">
        <v>4881</v>
      </c>
      <c r="K329">
        <v>1</v>
      </c>
      <c r="M329" s="9" t="s">
        <v>21</v>
      </c>
      <c r="N329" t="s">
        <v>211</v>
      </c>
      <c r="O329" s="2">
        <v>1</v>
      </c>
      <c r="R329">
        <f t="shared" si="5"/>
        <v>0</v>
      </c>
    </row>
    <row r="330" spans="1:18" x14ac:dyDescent="0.2">
      <c r="A330" t="s">
        <v>4882</v>
      </c>
      <c r="B330" t="s">
        <v>4883</v>
      </c>
      <c r="M330" s="9" t="s">
        <v>4079</v>
      </c>
      <c r="N330" t="s">
        <v>4884</v>
      </c>
      <c r="O330" s="2"/>
      <c r="R330">
        <f t="shared" si="5"/>
        <v>0</v>
      </c>
    </row>
    <row r="331" spans="1:18" x14ac:dyDescent="0.2">
      <c r="A331" t="s">
        <v>4885</v>
      </c>
      <c r="B331" t="s">
        <v>4886</v>
      </c>
      <c r="M331" s="9" t="s">
        <v>4079</v>
      </c>
      <c r="N331" t="s">
        <v>4732</v>
      </c>
      <c r="O331" s="2"/>
      <c r="R331">
        <f t="shared" si="5"/>
        <v>0</v>
      </c>
    </row>
    <row r="332" spans="1:18" x14ac:dyDescent="0.2">
      <c r="A332" t="s">
        <v>4887</v>
      </c>
      <c r="B332" t="s">
        <v>4888</v>
      </c>
      <c r="M332" s="9" t="s">
        <v>4079</v>
      </c>
      <c r="N332" t="s">
        <v>4889</v>
      </c>
      <c r="O332" s="2"/>
      <c r="R332">
        <f t="shared" si="5"/>
        <v>0</v>
      </c>
    </row>
    <row r="333" spans="1:18" x14ac:dyDescent="0.2">
      <c r="A333" t="s">
        <v>4890</v>
      </c>
      <c r="B333" t="s">
        <v>4891</v>
      </c>
      <c r="K333">
        <v>1</v>
      </c>
      <c r="M333" s="9" t="s">
        <v>4079</v>
      </c>
      <c r="N333" t="s">
        <v>4233</v>
      </c>
      <c r="O333" s="2"/>
      <c r="R333">
        <f t="shared" si="5"/>
        <v>0</v>
      </c>
    </row>
    <row r="334" spans="1:18" x14ac:dyDescent="0.2">
      <c r="A334" t="s">
        <v>4892</v>
      </c>
      <c r="B334" t="s">
        <v>4893</v>
      </c>
      <c r="C334" t="s">
        <v>20</v>
      </c>
      <c r="D334">
        <v>0</v>
      </c>
      <c r="E334">
        <v>1</v>
      </c>
      <c r="M334" s="9" t="s">
        <v>4079</v>
      </c>
      <c r="N334" t="s">
        <v>4170</v>
      </c>
      <c r="O334" s="2">
        <v>1</v>
      </c>
      <c r="P334">
        <v>0.5</v>
      </c>
      <c r="Q334">
        <v>0.16666666666666666</v>
      </c>
      <c r="R334">
        <f t="shared" si="5"/>
        <v>0</v>
      </c>
    </row>
    <row r="335" spans="1:18" x14ac:dyDescent="0.2">
      <c r="A335" t="s">
        <v>4894</v>
      </c>
      <c r="B335" t="s">
        <v>4895</v>
      </c>
      <c r="D335">
        <v>0</v>
      </c>
      <c r="M335" s="9" t="s">
        <v>4079</v>
      </c>
      <c r="N335" t="s">
        <v>4131</v>
      </c>
      <c r="O335" s="2"/>
      <c r="R335">
        <f t="shared" si="5"/>
        <v>0</v>
      </c>
    </row>
    <row r="336" spans="1:18" x14ac:dyDescent="0.2">
      <c r="A336" t="s">
        <v>4896</v>
      </c>
      <c r="B336" t="s">
        <v>4897</v>
      </c>
      <c r="M336" s="9" t="s">
        <v>4079</v>
      </c>
      <c r="N336" t="s">
        <v>4898</v>
      </c>
      <c r="O336" s="2"/>
      <c r="R336">
        <f t="shared" si="5"/>
        <v>0</v>
      </c>
    </row>
    <row r="337" spans="1:18" x14ac:dyDescent="0.2">
      <c r="A337" t="s">
        <v>4899</v>
      </c>
      <c r="B337" t="s">
        <v>4900</v>
      </c>
      <c r="K337">
        <v>1</v>
      </c>
      <c r="M337" s="9" t="s">
        <v>21</v>
      </c>
      <c r="N337" t="s">
        <v>211</v>
      </c>
      <c r="O337" s="2">
        <v>1</v>
      </c>
      <c r="R337">
        <f t="shared" si="5"/>
        <v>0</v>
      </c>
    </row>
    <row r="338" spans="1:18" x14ac:dyDescent="0.2">
      <c r="A338" t="s">
        <v>4901</v>
      </c>
      <c r="B338" t="s">
        <v>4902</v>
      </c>
      <c r="K338">
        <v>1</v>
      </c>
      <c r="M338" s="9" t="s">
        <v>4079</v>
      </c>
      <c r="N338" t="s">
        <v>4903</v>
      </c>
      <c r="O338" s="2"/>
      <c r="R338">
        <f t="shared" si="5"/>
        <v>0</v>
      </c>
    </row>
    <row r="339" spans="1:18" x14ac:dyDescent="0.2">
      <c r="A339" t="s">
        <v>4904</v>
      </c>
      <c r="B339" t="s">
        <v>4905</v>
      </c>
      <c r="M339" s="9" t="s">
        <v>4079</v>
      </c>
      <c r="N339" t="s">
        <v>4323</v>
      </c>
      <c r="O339" s="2"/>
      <c r="R339">
        <f t="shared" si="5"/>
        <v>0</v>
      </c>
    </row>
    <row r="340" spans="1:18" x14ac:dyDescent="0.2">
      <c r="A340" t="s">
        <v>4906</v>
      </c>
      <c r="B340" t="s">
        <v>4907</v>
      </c>
      <c r="M340" s="9" t="s">
        <v>21</v>
      </c>
      <c r="N340" t="s">
        <v>2724</v>
      </c>
      <c r="O340" s="2">
        <v>1</v>
      </c>
      <c r="R340">
        <f t="shared" si="5"/>
        <v>0</v>
      </c>
    </row>
    <row r="341" spans="1:18" x14ac:dyDescent="0.2">
      <c r="A341" t="s">
        <v>4908</v>
      </c>
      <c r="B341" t="s">
        <v>4909</v>
      </c>
      <c r="K341">
        <v>1</v>
      </c>
      <c r="M341" s="9" t="s">
        <v>4079</v>
      </c>
      <c r="N341" t="s">
        <v>4910</v>
      </c>
      <c r="O341" s="2"/>
      <c r="R341">
        <f t="shared" si="5"/>
        <v>0</v>
      </c>
    </row>
    <row r="342" spans="1:18" x14ac:dyDescent="0.2">
      <c r="A342" t="s">
        <v>4911</v>
      </c>
      <c r="B342" t="s">
        <v>4912</v>
      </c>
      <c r="M342" s="9" t="s">
        <v>4079</v>
      </c>
      <c r="N342" t="s">
        <v>4913</v>
      </c>
      <c r="O342" s="2"/>
      <c r="R342">
        <f t="shared" si="5"/>
        <v>0</v>
      </c>
    </row>
    <row r="343" spans="1:18" x14ac:dyDescent="0.2">
      <c r="A343" t="s">
        <v>4914</v>
      </c>
      <c r="B343" t="s">
        <v>4915</v>
      </c>
      <c r="K343">
        <v>1</v>
      </c>
      <c r="M343" s="9" t="s">
        <v>4079</v>
      </c>
      <c r="N343" t="s">
        <v>4916</v>
      </c>
      <c r="O343" s="2"/>
      <c r="R343">
        <f t="shared" si="5"/>
        <v>0</v>
      </c>
    </row>
    <row r="344" spans="1:18" x14ac:dyDescent="0.2">
      <c r="A344" t="s">
        <v>4917</v>
      </c>
      <c r="B344" t="s">
        <v>4918</v>
      </c>
      <c r="M344" s="9" t="s">
        <v>4079</v>
      </c>
      <c r="N344" t="s">
        <v>4128</v>
      </c>
      <c r="O344" s="2"/>
      <c r="R344">
        <f t="shared" si="5"/>
        <v>0</v>
      </c>
    </row>
    <row r="345" spans="1:18" x14ac:dyDescent="0.2">
      <c r="A345" t="s">
        <v>4919</v>
      </c>
      <c r="B345" t="s">
        <v>4920</v>
      </c>
      <c r="D345">
        <v>0</v>
      </c>
      <c r="M345" s="9" t="s">
        <v>4079</v>
      </c>
      <c r="N345" t="s">
        <v>4632</v>
      </c>
      <c r="O345" s="2"/>
      <c r="R345">
        <f t="shared" si="5"/>
        <v>0</v>
      </c>
    </row>
    <row r="346" spans="1:18" x14ac:dyDescent="0.2">
      <c r="A346" t="s">
        <v>4921</v>
      </c>
      <c r="B346" t="s">
        <v>4922</v>
      </c>
      <c r="K346">
        <v>1</v>
      </c>
      <c r="M346" s="9" t="s">
        <v>4079</v>
      </c>
      <c r="N346" t="s">
        <v>4923</v>
      </c>
      <c r="O346" s="2"/>
      <c r="R346">
        <f t="shared" si="5"/>
        <v>0</v>
      </c>
    </row>
    <row r="347" spans="1:18" x14ac:dyDescent="0.2">
      <c r="A347" t="s">
        <v>4924</v>
      </c>
      <c r="B347" t="s">
        <v>4925</v>
      </c>
      <c r="K347">
        <v>1</v>
      </c>
      <c r="M347" s="9"/>
      <c r="N347" t="s">
        <v>4509</v>
      </c>
      <c r="O347" s="2"/>
      <c r="R347">
        <f t="shared" si="5"/>
        <v>0</v>
      </c>
    </row>
    <row r="348" spans="1:18" x14ac:dyDescent="0.2">
      <c r="A348" t="s">
        <v>4926</v>
      </c>
      <c r="B348" t="s">
        <v>4927</v>
      </c>
      <c r="K348">
        <v>1</v>
      </c>
      <c r="M348" s="9" t="s">
        <v>4079</v>
      </c>
      <c r="N348" t="s">
        <v>4928</v>
      </c>
      <c r="O348" s="2"/>
      <c r="R348">
        <f t="shared" si="5"/>
        <v>0</v>
      </c>
    </row>
    <row r="349" spans="1:18" x14ac:dyDescent="0.2">
      <c r="A349" t="s">
        <v>4929</v>
      </c>
      <c r="B349" t="s">
        <v>4930</v>
      </c>
      <c r="K349">
        <v>1</v>
      </c>
      <c r="M349" s="9" t="s">
        <v>21</v>
      </c>
      <c r="N349" t="s">
        <v>4400</v>
      </c>
      <c r="O349" s="2">
        <v>1</v>
      </c>
      <c r="R349">
        <f t="shared" si="5"/>
        <v>0</v>
      </c>
    </row>
    <row r="350" spans="1:18" x14ac:dyDescent="0.2">
      <c r="A350" t="s">
        <v>4931</v>
      </c>
      <c r="B350" t="s">
        <v>4932</v>
      </c>
      <c r="M350" s="9" t="s">
        <v>4079</v>
      </c>
      <c r="N350" t="s">
        <v>4933</v>
      </c>
      <c r="O350" s="2"/>
      <c r="R350">
        <f t="shared" si="5"/>
        <v>0</v>
      </c>
    </row>
    <row r="351" spans="1:18" x14ac:dyDescent="0.2">
      <c r="A351" t="s">
        <v>4934</v>
      </c>
      <c r="B351" t="s">
        <v>4935</v>
      </c>
      <c r="M351" s="9" t="s">
        <v>4079</v>
      </c>
      <c r="N351" t="s">
        <v>4125</v>
      </c>
      <c r="O351" s="2"/>
      <c r="R351">
        <f t="shared" si="5"/>
        <v>0</v>
      </c>
    </row>
    <row r="352" spans="1:18" x14ac:dyDescent="0.2">
      <c r="A352" t="s">
        <v>4936</v>
      </c>
      <c r="B352" t="s">
        <v>4937</v>
      </c>
      <c r="K352">
        <v>1</v>
      </c>
      <c r="M352" s="9" t="s">
        <v>4079</v>
      </c>
      <c r="N352" t="s">
        <v>4215</v>
      </c>
      <c r="O352" s="2"/>
      <c r="R352">
        <f t="shared" si="5"/>
        <v>0</v>
      </c>
    </row>
    <row r="353" spans="1:18" x14ac:dyDescent="0.2">
      <c r="A353" t="s">
        <v>4938</v>
      </c>
      <c r="B353" t="s">
        <v>4939</v>
      </c>
      <c r="K353">
        <v>1</v>
      </c>
      <c r="M353" s="9" t="s">
        <v>21</v>
      </c>
      <c r="N353" t="s">
        <v>4940</v>
      </c>
      <c r="O353" s="2">
        <v>1</v>
      </c>
      <c r="R353">
        <f t="shared" si="5"/>
        <v>0</v>
      </c>
    </row>
    <row r="354" spans="1:18" x14ac:dyDescent="0.2">
      <c r="A354" t="s">
        <v>4941</v>
      </c>
      <c r="B354" t="s">
        <v>4942</v>
      </c>
      <c r="M354" s="9" t="s">
        <v>4079</v>
      </c>
      <c r="N354" t="s">
        <v>4785</v>
      </c>
      <c r="O354" s="2"/>
      <c r="R354">
        <f t="shared" si="5"/>
        <v>0</v>
      </c>
    </row>
    <row r="355" spans="1:18" x14ac:dyDescent="0.2">
      <c r="A355" t="s">
        <v>4943</v>
      </c>
      <c r="B355" t="s">
        <v>4944</v>
      </c>
      <c r="D355">
        <v>0</v>
      </c>
      <c r="M355" s="9" t="s">
        <v>4079</v>
      </c>
      <c r="N355" t="s">
        <v>4193</v>
      </c>
      <c r="O355" s="2"/>
      <c r="R355">
        <f t="shared" si="5"/>
        <v>0</v>
      </c>
    </row>
    <row r="356" spans="1:18" x14ac:dyDescent="0.2">
      <c r="A356" t="s">
        <v>4945</v>
      </c>
      <c r="B356" t="s">
        <v>4946</v>
      </c>
      <c r="D356">
        <v>0</v>
      </c>
      <c r="M356" s="9" t="s">
        <v>4079</v>
      </c>
      <c r="N356" t="s">
        <v>4435</v>
      </c>
      <c r="O356" s="2"/>
      <c r="R356">
        <f t="shared" si="5"/>
        <v>0</v>
      </c>
    </row>
    <row r="357" spans="1:18" x14ac:dyDescent="0.2">
      <c r="A357" t="s">
        <v>4947</v>
      </c>
      <c r="B357" t="s">
        <v>4948</v>
      </c>
      <c r="M357" s="9" t="s">
        <v>21</v>
      </c>
      <c r="N357" t="s">
        <v>211</v>
      </c>
      <c r="O357" s="2">
        <v>1</v>
      </c>
      <c r="R357">
        <f t="shared" si="5"/>
        <v>0</v>
      </c>
    </row>
    <row r="358" spans="1:18" x14ac:dyDescent="0.2">
      <c r="A358" t="s">
        <v>4949</v>
      </c>
      <c r="B358" t="s">
        <v>4950</v>
      </c>
      <c r="M358" s="9" t="s">
        <v>4079</v>
      </c>
      <c r="N358" t="s">
        <v>4951</v>
      </c>
      <c r="O358" s="2"/>
      <c r="R358">
        <f t="shared" si="5"/>
        <v>0</v>
      </c>
    </row>
    <row r="359" spans="1:18" x14ac:dyDescent="0.2">
      <c r="A359" t="s">
        <v>4952</v>
      </c>
      <c r="B359" t="s">
        <v>4953</v>
      </c>
      <c r="K359">
        <v>1</v>
      </c>
      <c r="M359" s="9"/>
      <c r="O359" s="2"/>
      <c r="R359">
        <f t="shared" si="5"/>
        <v>0</v>
      </c>
    </row>
    <row r="360" spans="1:18" x14ac:dyDescent="0.2">
      <c r="A360" t="s">
        <v>4954</v>
      </c>
      <c r="B360" t="s">
        <v>4955</v>
      </c>
      <c r="K360">
        <v>1</v>
      </c>
      <c r="M360" s="9" t="s">
        <v>4079</v>
      </c>
      <c r="N360" t="s">
        <v>4956</v>
      </c>
      <c r="O360" s="2"/>
      <c r="R360">
        <f t="shared" si="5"/>
        <v>0</v>
      </c>
    </row>
    <row r="361" spans="1:18" x14ac:dyDescent="0.2">
      <c r="A361" t="s">
        <v>4957</v>
      </c>
      <c r="B361" t="s">
        <v>4958</v>
      </c>
      <c r="D361">
        <v>0</v>
      </c>
      <c r="M361" s="9" t="s">
        <v>21</v>
      </c>
      <c r="N361" t="s">
        <v>211</v>
      </c>
      <c r="O361" s="2">
        <v>1</v>
      </c>
      <c r="R361">
        <f t="shared" si="5"/>
        <v>0</v>
      </c>
    </row>
    <row r="362" spans="1:18" x14ac:dyDescent="0.2">
      <c r="A362" t="s">
        <v>4959</v>
      </c>
      <c r="B362" t="s">
        <v>4960</v>
      </c>
      <c r="M362" s="9" t="s">
        <v>4079</v>
      </c>
      <c r="N362" t="s">
        <v>4961</v>
      </c>
      <c r="O362" s="2"/>
      <c r="R362">
        <f t="shared" si="5"/>
        <v>0</v>
      </c>
    </row>
    <row r="363" spans="1:18" x14ac:dyDescent="0.2">
      <c r="A363" t="s">
        <v>4962</v>
      </c>
      <c r="B363" t="s">
        <v>4963</v>
      </c>
      <c r="M363" s="9" t="s">
        <v>4079</v>
      </c>
      <c r="N363" t="s">
        <v>4916</v>
      </c>
      <c r="O363" s="2"/>
      <c r="R363">
        <f t="shared" si="5"/>
        <v>0</v>
      </c>
    </row>
    <row r="364" spans="1:18" x14ac:dyDescent="0.2">
      <c r="A364" t="s">
        <v>4964</v>
      </c>
      <c r="B364" t="s">
        <v>4965</v>
      </c>
      <c r="M364" s="9" t="s">
        <v>4079</v>
      </c>
      <c r="N364" t="s">
        <v>4966</v>
      </c>
      <c r="O364" s="2"/>
      <c r="R364">
        <f t="shared" si="5"/>
        <v>0</v>
      </c>
    </row>
    <row r="365" spans="1:18" x14ac:dyDescent="0.2">
      <c r="A365" t="s">
        <v>4967</v>
      </c>
      <c r="B365" t="s">
        <v>4968</v>
      </c>
      <c r="K365">
        <v>1</v>
      </c>
      <c r="M365" s="9" t="s">
        <v>4079</v>
      </c>
      <c r="N365" t="s">
        <v>4606</v>
      </c>
      <c r="O365" s="2"/>
      <c r="R365">
        <f t="shared" si="5"/>
        <v>0</v>
      </c>
    </row>
    <row r="366" spans="1:18" x14ac:dyDescent="0.2">
      <c r="A366" t="s">
        <v>4969</v>
      </c>
      <c r="B366" t="s">
        <v>4970</v>
      </c>
      <c r="M366" s="9" t="s">
        <v>4079</v>
      </c>
      <c r="N366" t="s">
        <v>4183</v>
      </c>
      <c r="O366" s="2">
        <v>1</v>
      </c>
      <c r="R366">
        <f t="shared" si="5"/>
        <v>0</v>
      </c>
    </row>
    <row r="367" spans="1:18" x14ac:dyDescent="0.2">
      <c r="A367" t="s">
        <v>4971</v>
      </c>
      <c r="B367" t="s">
        <v>4972</v>
      </c>
      <c r="K367">
        <v>1</v>
      </c>
      <c r="M367" s="9" t="s">
        <v>4079</v>
      </c>
      <c r="N367" t="s">
        <v>4973</v>
      </c>
      <c r="O367" s="2"/>
      <c r="R367">
        <f t="shared" si="5"/>
        <v>0</v>
      </c>
    </row>
    <row r="368" spans="1:18" x14ac:dyDescent="0.2">
      <c r="A368" t="s">
        <v>4974</v>
      </c>
      <c r="B368" t="s">
        <v>4975</v>
      </c>
      <c r="M368" s="9" t="s">
        <v>4079</v>
      </c>
      <c r="N368" t="s">
        <v>4976</v>
      </c>
      <c r="O368" s="2"/>
      <c r="R368">
        <f t="shared" si="5"/>
        <v>0</v>
      </c>
    </row>
    <row r="369" spans="1:18" x14ac:dyDescent="0.2">
      <c r="A369" t="s">
        <v>4977</v>
      </c>
      <c r="B369" t="s">
        <v>4978</v>
      </c>
      <c r="D369" t="s">
        <v>4100</v>
      </c>
      <c r="K369">
        <v>1</v>
      </c>
      <c r="M369" s="9" t="s">
        <v>21</v>
      </c>
      <c r="N369" t="s">
        <v>2724</v>
      </c>
      <c r="O369" s="2">
        <v>1</v>
      </c>
      <c r="R369">
        <f t="shared" si="5"/>
        <v>0</v>
      </c>
    </row>
    <row r="370" spans="1:18" x14ac:dyDescent="0.2">
      <c r="A370" t="s">
        <v>4979</v>
      </c>
      <c r="B370" t="s">
        <v>4980</v>
      </c>
      <c r="M370" s="9" t="s">
        <v>4079</v>
      </c>
      <c r="N370" t="s">
        <v>4115</v>
      </c>
      <c r="O370" s="2"/>
      <c r="R370">
        <f t="shared" si="5"/>
        <v>0</v>
      </c>
    </row>
    <row r="371" spans="1:18" x14ac:dyDescent="0.2">
      <c r="A371" t="s">
        <v>4981</v>
      </c>
      <c r="B371" t="s">
        <v>4982</v>
      </c>
      <c r="D371">
        <v>0</v>
      </c>
      <c r="M371" s="9" t="s">
        <v>4079</v>
      </c>
      <c r="N371" t="s">
        <v>4983</v>
      </c>
      <c r="O371" s="2"/>
      <c r="R371">
        <f t="shared" si="5"/>
        <v>0</v>
      </c>
    </row>
    <row r="372" spans="1:18" x14ac:dyDescent="0.2">
      <c r="A372" t="s">
        <v>4984</v>
      </c>
      <c r="B372" t="s">
        <v>4985</v>
      </c>
      <c r="K372">
        <v>1</v>
      </c>
      <c r="M372" s="9" t="s">
        <v>4079</v>
      </c>
      <c r="N372" t="s">
        <v>4128</v>
      </c>
      <c r="O372" s="2"/>
      <c r="R372">
        <f t="shared" si="5"/>
        <v>0</v>
      </c>
    </row>
    <row r="373" spans="1:18" x14ac:dyDescent="0.2">
      <c r="A373" t="s">
        <v>4986</v>
      </c>
      <c r="B373" t="s">
        <v>4987</v>
      </c>
      <c r="K373">
        <v>1</v>
      </c>
      <c r="M373" s="9" t="s">
        <v>4079</v>
      </c>
      <c r="N373" t="s">
        <v>4988</v>
      </c>
      <c r="O373" s="2"/>
      <c r="R373">
        <f t="shared" si="5"/>
        <v>0</v>
      </c>
    </row>
    <row r="374" spans="1:18" x14ac:dyDescent="0.2">
      <c r="A374" t="s">
        <v>4989</v>
      </c>
      <c r="B374" t="s">
        <v>4990</v>
      </c>
      <c r="M374" s="9" t="s">
        <v>4079</v>
      </c>
      <c r="N374" t="s">
        <v>4991</v>
      </c>
      <c r="O374" s="2"/>
      <c r="R374">
        <f t="shared" si="5"/>
        <v>0</v>
      </c>
    </row>
    <row r="375" spans="1:18" x14ac:dyDescent="0.2">
      <c r="A375" t="s">
        <v>4992</v>
      </c>
      <c r="B375" t="s">
        <v>4993</v>
      </c>
      <c r="M375" s="9" t="s">
        <v>4079</v>
      </c>
      <c r="N375" t="s">
        <v>4994</v>
      </c>
      <c r="O375" s="2"/>
      <c r="R375">
        <f t="shared" si="5"/>
        <v>0</v>
      </c>
    </row>
    <row r="376" spans="1:18" x14ac:dyDescent="0.2">
      <c r="A376" t="s">
        <v>4995</v>
      </c>
      <c r="B376" t="s">
        <v>4996</v>
      </c>
      <c r="M376" s="9" t="s">
        <v>4079</v>
      </c>
      <c r="N376" t="s">
        <v>4997</v>
      </c>
      <c r="O376" s="2"/>
      <c r="R376">
        <f t="shared" si="5"/>
        <v>0</v>
      </c>
    </row>
    <row r="377" spans="1:18" x14ac:dyDescent="0.2">
      <c r="A377" t="s">
        <v>4998</v>
      </c>
      <c r="B377" t="s">
        <v>4999</v>
      </c>
      <c r="D377">
        <v>0</v>
      </c>
      <c r="M377" s="9" t="s">
        <v>4079</v>
      </c>
      <c r="N377" t="s">
        <v>5000</v>
      </c>
      <c r="O377" s="2"/>
      <c r="R377">
        <f t="shared" si="5"/>
        <v>0</v>
      </c>
    </row>
    <row r="378" spans="1:18" x14ac:dyDescent="0.2">
      <c r="A378" t="s">
        <v>5001</v>
      </c>
      <c r="B378" t="s">
        <v>5002</v>
      </c>
      <c r="K378">
        <v>1</v>
      </c>
      <c r="M378" s="9" t="s">
        <v>4079</v>
      </c>
      <c r="N378" t="s">
        <v>5003</v>
      </c>
      <c r="O378" s="2"/>
      <c r="R378">
        <f t="shared" si="5"/>
        <v>0</v>
      </c>
    </row>
    <row r="379" spans="1:18" x14ac:dyDescent="0.2">
      <c r="A379" t="s">
        <v>5004</v>
      </c>
      <c r="B379" t="s">
        <v>5005</v>
      </c>
      <c r="C379" t="s">
        <v>201</v>
      </c>
      <c r="K379">
        <v>1</v>
      </c>
      <c r="M379" s="9" t="s">
        <v>21</v>
      </c>
      <c r="N379" t="s">
        <v>211</v>
      </c>
      <c r="O379" s="2">
        <v>1</v>
      </c>
      <c r="R379">
        <f t="shared" si="5"/>
        <v>0</v>
      </c>
    </row>
    <row r="380" spans="1:18" x14ac:dyDescent="0.2">
      <c r="A380" t="s">
        <v>5006</v>
      </c>
      <c r="B380" t="s">
        <v>5007</v>
      </c>
      <c r="M380" s="9" t="s">
        <v>4079</v>
      </c>
      <c r="N380" t="s">
        <v>4288</v>
      </c>
      <c r="O380" s="2"/>
      <c r="R380">
        <f t="shared" si="5"/>
        <v>0</v>
      </c>
    </row>
    <row r="381" spans="1:18" x14ac:dyDescent="0.2">
      <c r="A381" t="s">
        <v>5008</v>
      </c>
      <c r="B381" t="s">
        <v>5009</v>
      </c>
      <c r="D381">
        <v>0</v>
      </c>
      <c r="M381" s="9" t="s">
        <v>21</v>
      </c>
      <c r="N381" t="s">
        <v>211</v>
      </c>
      <c r="O381" s="2">
        <v>1</v>
      </c>
      <c r="R381">
        <f t="shared" si="5"/>
        <v>0</v>
      </c>
    </row>
    <row r="382" spans="1:18" x14ac:dyDescent="0.2">
      <c r="A382" t="s">
        <v>5010</v>
      </c>
      <c r="B382" t="s">
        <v>5011</v>
      </c>
      <c r="C382" t="s">
        <v>201</v>
      </c>
      <c r="D382" t="s">
        <v>4100</v>
      </c>
      <c r="M382" s="9" t="s">
        <v>21</v>
      </c>
      <c r="N382" t="s">
        <v>5012</v>
      </c>
      <c r="O382" s="2">
        <v>1</v>
      </c>
      <c r="R382">
        <f t="shared" si="5"/>
        <v>0</v>
      </c>
    </row>
    <row r="383" spans="1:18" x14ac:dyDescent="0.2">
      <c r="A383" t="s">
        <v>5013</v>
      </c>
      <c r="B383" t="s">
        <v>5014</v>
      </c>
      <c r="M383" s="9" t="s">
        <v>21</v>
      </c>
      <c r="N383" t="s">
        <v>4765</v>
      </c>
      <c r="O383" s="2">
        <v>1</v>
      </c>
      <c r="R383">
        <f t="shared" si="5"/>
        <v>0</v>
      </c>
    </row>
    <row r="384" spans="1:18" x14ac:dyDescent="0.2">
      <c r="A384" t="s">
        <v>5015</v>
      </c>
      <c r="B384" t="s">
        <v>5016</v>
      </c>
      <c r="K384">
        <v>1</v>
      </c>
      <c r="M384" s="9" t="s">
        <v>4079</v>
      </c>
      <c r="N384" t="s">
        <v>5017</v>
      </c>
      <c r="O384" s="2"/>
      <c r="R384">
        <f t="shared" si="5"/>
        <v>0</v>
      </c>
    </row>
    <row r="385" spans="1:18" x14ac:dyDescent="0.2">
      <c r="A385" t="s">
        <v>5018</v>
      </c>
      <c r="B385" t="s">
        <v>5019</v>
      </c>
      <c r="D385">
        <v>0</v>
      </c>
      <c r="K385">
        <v>1</v>
      </c>
      <c r="M385" s="9" t="s">
        <v>4079</v>
      </c>
      <c r="N385" t="s">
        <v>4432</v>
      </c>
      <c r="O385" s="2"/>
      <c r="R385">
        <f t="shared" si="5"/>
        <v>0</v>
      </c>
    </row>
    <row r="386" spans="1:18" x14ac:dyDescent="0.2">
      <c r="A386" t="s">
        <v>5020</v>
      </c>
      <c r="B386" t="s">
        <v>5021</v>
      </c>
      <c r="K386">
        <v>1</v>
      </c>
      <c r="M386" s="9" t="s">
        <v>4079</v>
      </c>
      <c r="N386" t="s">
        <v>4308</v>
      </c>
      <c r="O386" s="2"/>
      <c r="R386">
        <f t="shared" ref="R386:R449" si="6">IF(_xlfn.BITAND(P386&gt;0.4999, Q386&gt;0.4999)=1,1,0)</f>
        <v>0</v>
      </c>
    </row>
    <row r="387" spans="1:18" x14ac:dyDescent="0.2">
      <c r="A387" t="s">
        <v>5022</v>
      </c>
      <c r="B387" t="s">
        <v>5023</v>
      </c>
      <c r="K387">
        <v>1</v>
      </c>
      <c r="M387" s="9" t="s">
        <v>4079</v>
      </c>
      <c r="N387" t="s">
        <v>5024</v>
      </c>
      <c r="O387" s="2"/>
      <c r="R387">
        <f t="shared" si="6"/>
        <v>0</v>
      </c>
    </row>
    <row r="388" spans="1:18" x14ac:dyDescent="0.2">
      <c r="A388" t="s">
        <v>5025</v>
      </c>
      <c r="B388" t="s">
        <v>5026</v>
      </c>
      <c r="D388">
        <v>0</v>
      </c>
      <c r="M388" s="9" t="s">
        <v>21</v>
      </c>
      <c r="N388" t="s">
        <v>211</v>
      </c>
      <c r="O388" s="2">
        <v>1</v>
      </c>
      <c r="R388">
        <f t="shared" si="6"/>
        <v>0</v>
      </c>
    </row>
    <row r="389" spans="1:18" x14ac:dyDescent="0.2">
      <c r="A389" t="s">
        <v>5027</v>
      </c>
      <c r="B389" t="s">
        <v>5028</v>
      </c>
      <c r="M389" s="9" t="s">
        <v>4079</v>
      </c>
      <c r="N389" t="s">
        <v>4345</v>
      </c>
      <c r="O389" s="2"/>
      <c r="R389">
        <f t="shared" si="6"/>
        <v>0</v>
      </c>
    </row>
    <row r="390" spans="1:18" x14ac:dyDescent="0.2">
      <c r="A390" t="s">
        <v>5029</v>
      </c>
      <c r="B390" t="s">
        <v>5030</v>
      </c>
      <c r="M390" s="9" t="s">
        <v>21</v>
      </c>
      <c r="N390" t="s">
        <v>211</v>
      </c>
      <c r="O390" s="2">
        <v>1</v>
      </c>
      <c r="R390">
        <f t="shared" si="6"/>
        <v>0</v>
      </c>
    </row>
    <row r="391" spans="1:18" x14ac:dyDescent="0.2">
      <c r="A391" t="s">
        <v>5031</v>
      </c>
      <c r="B391" t="s">
        <v>5032</v>
      </c>
      <c r="D391">
        <v>0</v>
      </c>
      <c r="K391">
        <v>1</v>
      </c>
      <c r="M391" s="9" t="s">
        <v>4079</v>
      </c>
      <c r="N391" t="s">
        <v>5033</v>
      </c>
      <c r="O391" s="2"/>
      <c r="R391">
        <f t="shared" si="6"/>
        <v>0</v>
      </c>
    </row>
    <row r="392" spans="1:18" x14ac:dyDescent="0.2">
      <c r="A392" t="s">
        <v>5034</v>
      </c>
      <c r="B392" t="s">
        <v>5035</v>
      </c>
      <c r="D392">
        <v>0</v>
      </c>
      <c r="M392" s="9" t="s">
        <v>21</v>
      </c>
      <c r="N392" t="s">
        <v>5036</v>
      </c>
      <c r="O392" s="2"/>
      <c r="R392">
        <f t="shared" si="6"/>
        <v>0</v>
      </c>
    </row>
    <row r="393" spans="1:18" x14ac:dyDescent="0.2">
      <c r="A393" t="s">
        <v>5037</v>
      </c>
      <c r="B393" t="s">
        <v>5038</v>
      </c>
      <c r="K393">
        <v>1</v>
      </c>
      <c r="M393" s="9" t="s">
        <v>4079</v>
      </c>
      <c r="N393" t="s">
        <v>5039</v>
      </c>
      <c r="O393" s="2"/>
      <c r="R393">
        <f t="shared" si="6"/>
        <v>0</v>
      </c>
    </row>
    <row r="394" spans="1:18" x14ac:dyDescent="0.2">
      <c r="A394" t="s">
        <v>5040</v>
      </c>
      <c r="B394" t="s">
        <v>5041</v>
      </c>
      <c r="K394">
        <v>1</v>
      </c>
      <c r="M394" s="9" t="s">
        <v>21</v>
      </c>
      <c r="N394" t="s">
        <v>211</v>
      </c>
      <c r="O394" s="2">
        <v>1</v>
      </c>
      <c r="R394">
        <f t="shared" si="6"/>
        <v>0</v>
      </c>
    </row>
    <row r="395" spans="1:18" x14ac:dyDescent="0.2">
      <c r="A395" t="s">
        <v>5042</v>
      </c>
      <c r="B395" t="s">
        <v>5043</v>
      </c>
      <c r="M395" s="9" t="s">
        <v>4079</v>
      </c>
      <c r="N395" t="s">
        <v>5044</v>
      </c>
      <c r="O395" s="2"/>
      <c r="R395">
        <f t="shared" si="6"/>
        <v>0</v>
      </c>
    </row>
    <row r="396" spans="1:18" x14ac:dyDescent="0.2">
      <c r="A396" t="s">
        <v>5045</v>
      </c>
      <c r="B396" t="s">
        <v>5046</v>
      </c>
      <c r="M396" s="9" t="s">
        <v>21</v>
      </c>
      <c r="N396" t="s">
        <v>4451</v>
      </c>
      <c r="O396" s="2">
        <v>1</v>
      </c>
      <c r="R396">
        <f t="shared" si="6"/>
        <v>0</v>
      </c>
    </row>
    <row r="397" spans="1:18" x14ac:dyDescent="0.2">
      <c r="A397" t="s">
        <v>5047</v>
      </c>
      <c r="B397" t="s">
        <v>5048</v>
      </c>
      <c r="M397" s="9" t="s">
        <v>32</v>
      </c>
      <c r="N397" t="s">
        <v>5049</v>
      </c>
      <c r="O397" s="2"/>
      <c r="R397">
        <f t="shared" si="6"/>
        <v>0</v>
      </c>
    </row>
    <row r="398" spans="1:18" x14ac:dyDescent="0.2">
      <c r="A398" t="s">
        <v>5050</v>
      </c>
      <c r="B398" t="s">
        <v>5051</v>
      </c>
      <c r="D398" t="s">
        <v>4545</v>
      </c>
      <c r="M398" s="9" t="s">
        <v>21</v>
      </c>
      <c r="N398" t="s">
        <v>211</v>
      </c>
      <c r="O398" s="2">
        <v>1</v>
      </c>
      <c r="R398">
        <f t="shared" si="6"/>
        <v>0</v>
      </c>
    </row>
    <row r="399" spans="1:18" x14ac:dyDescent="0.2">
      <c r="A399" t="s">
        <v>5052</v>
      </c>
      <c r="B399" t="s">
        <v>5053</v>
      </c>
      <c r="K399">
        <v>1</v>
      </c>
      <c r="M399" s="9" t="s">
        <v>21</v>
      </c>
      <c r="N399" t="s">
        <v>4870</v>
      </c>
      <c r="O399" s="2">
        <v>1</v>
      </c>
      <c r="R399">
        <f t="shared" si="6"/>
        <v>0</v>
      </c>
    </row>
    <row r="400" spans="1:18" x14ac:dyDescent="0.2">
      <c r="A400" t="s">
        <v>5054</v>
      </c>
      <c r="B400" t="s">
        <v>5055</v>
      </c>
      <c r="D400">
        <v>0</v>
      </c>
      <c r="K400">
        <v>1</v>
      </c>
      <c r="M400" s="9" t="s">
        <v>4079</v>
      </c>
      <c r="N400" t="s">
        <v>5003</v>
      </c>
      <c r="O400" s="2"/>
      <c r="R400">
        <f t="shared" si="6"/>
        <v>0</v>
      </c>
    </row>
    <row r="401" spans="1:18" x14ac:dyDescent="0.2">
      <c r="A401" t="s">
        <v>5056</v>
      </c>
      <c r="B401" t="s">
        <v>5057</v>
      </c>
      <c r="D401">
        <v>0</v>
      </c>
      <c r="M401" s="9" t="s">
        <v>4079</v>
      </c>
      <c r="N401" t="s">
        <v>5058</v>
      </c>
      <c r="O401" s="2"/>
      <c r="R401">
        <f t="shared" si="6"/>
        <v>0</v>
      </c>
    </row>
    <row r="402" spans="1:18" x14ac:dyDescent="0.2">
      <c r="A402" t="s">
        <v>5059</v>
      </c>
      <c r="B402" t="s">
        <v>5060</v>
      </c>
      <c r="M402" s="9" t="s">
        <v>21</v>
      </c>
      <c r="N402" t="s">
        <v>3724</v>
      </c>
      <c r="O402" s="2">
        <v>1</v>
      </c>
      <c r="R402">
        <f t="shared" si="6"/>
        <v>0</v>
      </c>
    </row>
    <row r="403" spans="1:18" x14ac:dyDescent="0.2">
      <c r="A403" t="s">
        <v>5061</v>
      </c>
      <c r="B403" t="s">
        <v>5062</v>
      </c>
      <c r="K403">
        <v>1</v>
      </c>
      <c r="M403" s="9" t="s">
        <v>21</v>
      </c>
      <c r="N403" t="s">
        <v>211</v>
      </c>
      <c r="O403" s="2">
        <v>1</v>
      </c>
      <c r="R403">
        <f t="shared" si="6"/>
        <v>0</v>
      </c>
    </row>
    <row r="404" spans="1:18" x14ac:dyDescent="0.2">
      <c r="A404" t="s">
        <v>5063</v>
      </c>
      <c r="B404" t="s">
        <v>5064</v>
      </c>
      <c r="M404" s="9" t="s">
        <v>4079</v>
      </c>
      <c r="N404" t="s">
        <v>4282</v>
      </c>
      <c r="O404" s="2"/>
      <c r="R404">
        <f t="shared" si="6"/>
        <v>0</v>
      </c>
    </row>
    <row r="405" spans="1:18" x14ac:dyDescent="0.2">
      <c r="A405" t="s">
        <v>5065</v>
      </c>
      <c r="B405" t="s">
        <v>5066</v>
      </c>
      <c r="K405">
        <v>1</v>
      </c>
      <c r="M405" s="9" t="s">
        <v>4079</v>
      </c>
      <c r="N405" t="s">
        <v>5067</v>
      </c>
      <c r="O405" s="2"/>
      <c r="R405">
        <f t="shared" si="6"/>
        <v>0</v>
      </c>
    </row>
    <row r="406" spans="1:18" x14ac:dyDescent="0.2">
      <c r="A406" t="s">
        <v>5068</v>
      </c>
      <c r="B406" t="s">
        <v>5069</v>
      </c>
      <c r="D406">
        <v>0</v>
      </c>
      <c r="M406" s="9" t="s">
        <v>4079</v>
      </c>
      <c r="N406" t="s">
        <v>4611</v>
      </c>
      <c r="O406" s="2"/>
      <c r="R406">
        <f t="shared" si="6"/>
        <v>0</v>
      </c>
    </row>
    <row r="407" spans="1:18" x14ac:dyDescent="0.2">
      <c r="A407" t="s">
        <v>5070</v>
      </c>
      <c r="B407" t="s">
        <v>5071</v>
      </c>
      <c r="D407">
        <v>0</v>
      </c>
      <c r="M407" s="9" t="s">
        <v>4079</v>
      </c>
      <c r="N407" t="s">
        <v>5072</v>
      </c>
      <c r="O407" s="2"/>
      <c r="R407">
        <f t="shared" si="6"/>
        <v>0</v>
      </c>
    </row>
    <row r="408" spans="1:18" x14ac:dyDescent="0.2">
      <c r="A408" t="s">
        <v>5073</v>
      </c>
      <c r="B408" t="s">
        <v>5074</v>
      </c>
      <c r="K408">
        <v>1</v>
      </c>
      <c r="M408" s="9" t="s">
        <v>21</v>
      </c>
      <c r="N408" t="s">
        <v>4571</v>
      </c>
      <c r="O408" s="2">
        <v>1</v>
      </c>
      <c r="R408">
        <f t="shared" si="6"/>
        <v>0</v>
      </c>
    </row>
    <row r="409" spans="1:18" x14ac:dyDescent="0.2">
      <c r="A409" t="s">
        <v>5075</v>
      </c>
      <c r="B409" t="s">
        <v>5076</v>
      </c>
      <c r="K409">
        <v>1</v>
      </c>
      <c r="M409" s="9" t="s">
        <v>4079</v>
      </c>
      <c r="N409" t="s">
        <v>5077</v>
      </c>
      <c r="O409" s="2"/>
      <c r="R409">
        <f t="shared" si="6"/>
        <v>0</v>
      </c>
    </row>
    <row r="410" spans="1:18" x14ac:dyDescent="0.2">
      <c r="A410" t="s">
        <v>5078</v>
      </c>
      <c r="B410" t="s">
        <v>5079</v>
      </c>
      <c r="D410">
        <v>0</v>
      </c>
      <c r="K410">
        <v>1</v>
      </c>
      <c r="M410" s="9" t="s">
        <v>4079</v>
      </c>
      <c r="N410" t="s">
        <v>5080</v>
      </c>
      <c r="O410" s="2">
        <v>1</v>
      </c>
      <c r="R410">
        <f t="shared" si="6"/>
        <v>0</v>
      </c>
    </row>
    <row r="411" spans="1:18" x14ac:dyDescent="0.2">
      <c r="A411" t="s">
        <v>5081</v>
      </c>
      <c r="B411" t="s">
        <v>5082</v>
      </c>
      <c r="D411">
        <v>0</v>
      </c>
      <c r="M411" s="9" t="s">
        <v>4079</v>
      </c>
      <c r="N411" t="s">
        <v>5083</v>
      </c>
      <c r="O411" s="2"/>
      <c r="R411">
        <f t="shared" si="6"/>
        <v>0</v>
      </c>
    </row>
    <row r="412" spans="1:18" x14ac:dyDescent="0.2">
      <c r="A412" t="s">
        <v>5084</v>
      </c>
      <c r="B412" t="s">
        <v>5085</v>
      </c>
      <c r="M412" s="9" t="s">
        <v>4079</v>
      </c>
      <c r="N412" t="s">
        <v>4409</v>
      </c>
      <c r="O412" s="2"/>
      <c r="R412">
        <f t="shared" si="6"/>
        <v>0</v>
      </c>
    </row>
    <row r="413" spans="1:18" x14ac:dyDescent="0.2">
      <c r="A413" t="s">
        <v>5086</v>
      </c>
      <c r="B413" t="s">
        <v>5087</v>
      </c>
      <c r="K413">
        <v>1</v>
      </c>
      <c r="M413" s="9" t="s">
        <v>4079</v>
      </c>
      <c r="N413" t="s">
        <v>5088</v>
      </c>
      <c r="O413" s="2"/>
      <c r="R413">
        <f t="shared" si="6"/>
        <v>0</v>
      </c>
    </row>
    <row r="414" spans="1:18" x14ac:dyDescent="0.2">
      <c r="A414" t="s">
        <v>5089</v>
      </c>
      <c r="B414" t="s">
        <v>5090</v>
      </c>
      <c r="K414">
        <v>1</v>
      </c>
      <c r="M414" s="9" t="s">
        <v>21</v>
      </c>
      <c r="N414" t="s">
        <v>4765</v>
      </c>
      <c r="O414" s="2">
        <v>1</v>
      </c>
      <c r="R414">
        <f t="shared" si="6"/>
        <v>0</v>
      </c>
    </row>
    <row r="415" spans="1:18" x14ac:dyDescent="0.2">
      <c r="A415" t="s">
        <v>5091</v>
      </c>
      <c r="B415" t="s">
        <v>5092</v>
      </c>
      <c r="D415">
        <v>0</v>
      </c>
      <c r="K415">
        <v>1</v>
      </c>
      <c r="M415" s="9" t="s">
        <v>4079</v>
      </c>
      <c r="N415" t="s">
        <v>4103</v>
      </c>
      <c r="O415" s="2" t="s">
        <v>3896</v>
      </c>
      <c r="R415">
        <f t="shared" si="6"/>
        <v>0</v>
      </c>
    </row>
    <row r="416" spans="1:18" x14ac:dyDescent="0.2">
      <c r="A416" t="s">
        <v>5093</v>
      </c>
      <c r="B416" t="s">
        <v>5094</v>
      </c>
      <c r="D416">
        <v>0</v>
      </c>
      <c r="K416">
        <v>1</v>
      </c>
      <c r="M416" s="9" t="s">
        <v>21</v>
      </c>
      <c r="N416" t="s">
        <v>211</v>
      </c>
      <c r="O416" s="2">
        <v>1</v>
      </c>
      <c r="R416">
        <f t="shared" si="6"/>
        <v>0</v>
      </c>
    </row>
    <row r="417" spans="1:18" x14ac:dyDescent="0.2">
      <c r="A417" t="s">
        <v>5095</v>
      </c>
      <c r="B417" t="s">
        <v>5096</v>
      </c>
      <c r="M417" s="9" t="s">
        <v>4079</v>
      </c>
      <c r="N417" t="s">
        <v>5097</v>
      </c>
      <c r="O417" s="2"/>
      <c r="R417">
        <f t="shared" si="6"/>
        <v>0</v>
      </c>
    </row>
    <row r="418" spans="1:18" x14ac:dyDescent="0.2">
      <c r="A418" t="s">
        <v>5098</v>
      </c>
      <c r="B418" t="s">
        <v>5099</v>
      </c>
      <c r="D418">
        <v>0</v>
      </c>
      <c r="M418" s="9" t="s">
        <v>4079</v>
      </c>
      <c r="N418" t="s">
        <v>5100</v>
      </c>
      <c r="O418" s="2"/>
      <c r="R418">
        <f t="shared" si="6"/>
        <v>0</v>
      </c>
    </row>
    <row r="419" spans="1:18" x14ac:dyDescent="0.2">
      <c r="A419" t="s">
        <v>5101</v>
      </c>
      <c r="B419" t="s">
        <v>5102</v>
      </c>
      <c r="D419">
        <v>0</v>
      </c>
      <c r="M419" s="9" t="s">
        <v>4079</v>
      </c>
      <c r="N419" t="s">
        <v>5103</v>
      </c>
      <c r="O419" s="2"/>
      <c r="R419">
        <f t="shared" si="6"/>
        <v>0</v>
      </c>
    </row>
    <row r="420" spans="1:18" x14ac:dyDescent="0.2">
      <c r="A420" t="s">
        <v>5104</v>
      </c>
      <c r="B420" t="s">
        <v>5105</v>
      </c>
      <c r="D420">
        <v>0</v>
      </c>
      <c r="M420" s="9" t="s">
        <v>4079</v>
      </c>
      <c r="N420" t="s">
        <v>5106</v>
      </c>
      <c r="O420" s="2"/>
      <c r="R420">
        <f t="shared" si="6"/>
        <v>0</v>
      </c>
    </row>
    <row r="421" spans="1:18" x14ac:dyDescent="0.2">
      <c r="A421" t="s">
        <v>5107</v>
      </c>
      <c r="B421" t="s">
        <v>5108</v>
      </c>
      <c r="M421" s="9" t="s">
        <v>4079</v>
      </c>
      <c r="N421" t="s">
        <v>5103</v>
      </c>
      <c r="O421" s="2"/>
      <c r="R421">
        <f t="shared" si="6"/>
        <v>0</v>
      </c>
    </row>
    <row r="422" spans="1:18" x14ac:dyDescent="0.2">
      <c r="A422" t="s">
        <v>5109</v>
      </c>
      <c r="B422" t="s">
        <v>5110</v>
      </c>
      <c r="M422" s="9" t="s">
        <v>4079</v>
      </c>
      <c r="N422" t="s">
        <v>4272</v>
      </c>
      <c r="O422" s="2"/>
      <c r="R422">
        <f t="shared" si="6"/>
        <v>0</v>
      </c>
    </row>
    <row r="423" spans="1:18" x14ac:dyDescent="0.2">
      <c r="A423" t="s">
        <v>5111</v>
      </c>
      <c r="B423" t="s">
        <v>5112</v>
      </c>
      <c r="K423">
        <v>1</v>
      </c>
      <c r="M423" s="9" t="s">
        <v>4079</v>
      </c>
      <c r="N423" t="s">
        <v>5113</v>
      </c>
      <c r="O423" s="2"/>
      <c r="R423">
        <f t="shared" si="6"/>
        <v>0</v>
      </c>
    </row>
    <row r="424" spans="1:18" x14ac:dyDescent="0.2">
      <c r="A424" t="s">
        <v>5114</v>
      </c>
      <c r="B424" t="s">
        <v>5115</v>
      </c>
      <c r="K424">
        <v>1</v>
      </c>
      <c r="M424" s="9" t="s">
        <v>4079</v>
      </c>
      <c r="N424" t="s">
        <v>5116</v>
      </c>
      <c r="O424" s="2"/>
      <c r="R424">
        <f t="shared" si="6"/>
        <v>0</v>
      </c>
    </row>
    <row r="425" spans="1:18" x14ac:dyDescent="0.2">
      <c r="A425" t="s">
        <v>5117</v>
      </c>
      <c r="B425" t="s">
        <v>5118</v>
      </c>
      <c r="M425" s="9" t="s">
        <v>21</v>
      </c>
      <c r="N425" t="s">
        <v>5119</v>
      </c>
      <c r="O425" s="2"/>
      <c r="R425">
        <f t="shared" si="6"/>
        <v>0</v>
      </c>
    </row>
    <row r="426" spans="1:18" x14ac:dyDescent="0.2">
      <c r="A426" t="s">
        <v>5120</v>
      </c>
      <c r="B426" t="s">
        <v>5121</v>
      </c>
      <c r="M426" s="9"/>
      <c r="O426" s="2"/>
      <c r="R426">
        <f t="shared" si="6"/>
        <v>0</v>
      </c>
    </row>
    <row r="427" spans="1:18" x14ac:dyDescent="0.2">
      <c r="A427" t="s">
        <v>5122</v>
      </c>
      <c r="B427" t="s">
        <v>5123</v>
      </c>
      <c r="K427">
        <v>1</v>
      </c>
      <c r="M427" s="9" t="s">
        <v>21</v>
      </c>
      <c r="N427" t="s">
        <v>211</v>
      </c>
      <c r="O427" s="2">
        <v>1</v>
      </c>
      <c r="R427">
        <f t="shared" si="6"/>
        <v>0</v>
      </c>
    </row>
    <row r="428" spans="1:18" x14ac:dyDescent="0.2">
      <c r="A428" t="s">
        <v>5124</v>
      </c>
      <c r="B428" t="s">
        <v>5125</v>
      </c>
      <c r="K428">
        <v>1</v>
      </c>
      <c r="M428" s="9" t="s">
        <v>4079</v>
      </c>
      <c r="N428" t="s">
        <v>4658</v>
      </c>
      <c r="O428" s="2"/>
      <c r="R428">
        <f t="shared" si="6"/>
        <v>0</v>
      </c>
    </row>
    <row r="429" spans="1:18" x14ac:dyDescent="0.2">
      <c r="A429" t="s">
        <v>5126</v>
      </c>
      <c r="B429" t="s">
        <v>5127</v>
      </c>
      <c r="D429">
        <v>0</v>
      </c>
      <c r="M429" s="9" t="s">
        <v>21</v>
      </c>
      <c r="N429" t="s">
        <v>4259</v>
      </c>
      <c r="O429" s="2">
        <v>1</v>
      </c>
      <c r="R429">
        <f t="shared" si="6"/>
        <v>0</v>
      </c>
    </row>
    <row r="430" spans="1:18" x14ac:dyDescent="0.2">
      <c r="A430" t="s">
        <v>5128</v>
      </c>
      <c r="B430" t="s">
        <v>5129</v>
      </c>
      <c r="M430" s="9" t="s">
        <v>4079</v>
      </c>
      <c r="N430" t="s">
        <v>4272</v>
      </c>
      <c r="O430" s="2"/>
      <c r="R430">
        <f t="shared" si="6"/>
        <v>0</v>
      </c>
    </row>
    <row r="431" spans="1:18" x14ac:dyDescent="0.2">
      <c r="A431" t="s">
        <v>5130</v>
      </c>
      <c r="B431" t="s">
        <v>5131</v>
      </c>
      <c r="D431">
        <v>0</v>
      </c>
      <c r="K431">
        <v>1</v>
      </c>
      <c r="M431" s="9" t="s">
        <v>21</v>
      </c>
      <c r="N431" t="s">
        <v>2724</v>
      </c>
      <c r="O431" s="2">
        <v>1</v>
      </c>
      <c r="R431">
        <f t="shared" si="6"/>
        <v>0</v>
      </c>
    </row>
    <row r="432" spans="1:18" x14ac:dyDescent="0.2">
      <c r="A432" t="s">
        <v>5132</v>
      </c>
      <c r="B432" t="s">
        <v>5133</v>
      </c>
      <c r="K432">
        <v>1</v>
      </c>
      <c r="M432" s="9" t="s">
        <v>4079</v>
      </c>
      <c r="N432" t="s">
        <v>4272</v>
      </c>
      <c r="O432" s="2"/>
      <c r="R432">
        <f t="shared" si="6"/>
        <v>0</v>
      </c>
    </row>
    <row r="433" spans="1:18" x14ac:dyDescent="0.2">
      <c r="A433" t="s">
        <v>5134</v>
      </c>
      <c r="B433" t="s">
        <v>5135</v>
      </c>
      <c r="D433">
        <v>0</v>
      </c>
      <c r="M433" s="9" t="s">
        <v>4079</v>
      </c>
      <c r="N433" t="s">
        <v>4103</v>
      </c>
      <c r="O433" s="2" t="s">
        <v>3896</v>
      </c>
      <c r="R433">
        <f t="shared" si="6"/>
        <v>0</v>
      </c>
    </row>
    <row r="434" spans="1:18" x14ac:dyDescent="0.2">
      <c r="A434" t="s">
        <v>5136</v>
      </c>
      <c r="B434" t="s">
        <v>5137</v>
      </c>
      <c r="C434" t="s">
        <v>201</v>
      </c>
      <c r="M434" s="9" t="s">
        <v>4079</v>
      </c>
      <c r="N434" t="s">
        <v>4291</v>
      </c>
      <c r="O434" s="2"/>
      <c r="R434">
        <f t="shared" si="6"/>
        <v>0</v>
      </c>
    </row>
    <row r="435" spans="1:18" x14ac:dyDescent="0.2">
      <c r="A435" t="s">
        <v>5138</v>
      </c>
      <c r="B435" t="s">
        <v>5139</v>
      </c>
      <c r="K435">
        <v>1</v>
      </c>
      <c r="M435" s="9"/>
      <c r="N435" t="s">
        <v>5140</v>
      </c>
      <c r="O435" s="2"/>
      <c r="R435">
        <f t="shared" si="6"/>
        <v>0</v>
      </c>
    </row>
    <row r="436" spans="1:18" x14ac:dyDescent="0.2">
      <c r="A436" t="s">
        <v>5141</v>
      </c>
      <c r="B436" t="s">
        <v>5142</v>
      </c>
      <c r="D436">
        <v>0</v>
      </c>
      <c r="K436">
        <v>1</v>
      </c>
      <c r="M436" s="9" t="s">
        <v>4079</v>
      </c>
      <c r="N436" t="s">
        <v>5003</v>
      </c>
      <c r="O436" s="2"/>
      <c r="R436">
        <f t="shared" si="6"/>
        <v>0</v>
      </c>
    </row>
    <row r="437" spans="1:18" x14ac:dyDescent="0.2">
      <c r="A437" t="s">
        <v>5143</v>
      </c>
      <c r="B437" t="s">
        <v>5144</v>
      </c>
      <c r="M437" s="9" t="s">
        <v>21</v>
      </c>
      <c r="N437" t="s">
        <v>4400</v>
      </c>
      <c r="O437" s="2">
        <v>1</v>
      </c>
      <c r="R437">
        <f t="shared" si="6"/>
        <v>0</v>
      </c>
    </row>
    <row r="438" spans="1:18" x14ac:dyDescent="0.2">
      <c r="A438" t="s">
        <v>5145</v>
      </c>
      <c r="B438" t="s">
        <v>5146</v>
      </c>
      <c r="M438" s="9" t="s">
        <v>4079</v>
      </c>
      <c r="N438" t="s">
        <v>5147</v>
      </c>
      <c r="O438" s="2"/>
      <c r="R438">
        <f t="shared" si="6"/>
        <v>0</v>
      </c>
    </row>
    <row r="439" spans="1:18" x14ac:dyDescent="0.2">
      <c r="A439" t="s">
        <v>5148</v>
      </c>
      <c r="B439" t="s">
        <v>5149</v>
      </c>
      <c r="K439">
        <v>1</v>
      </c>
      <c r="M439" s="9" t="s">
        <v>21</v>
      </c>
      <c r="N439" t="s">
        <v>211</v>
      </c>
      <c r="O439" s="2">
        <v>1</v>
      </c>
      <c r="R439">
        <f t="shared" si="6"/>
        <v>0</v>
      </c>
    </row>
    <row r="440" spans="1:18" x14ac:dyDescent="0.2">
      <c r="A440" t="s">
        <v>5150</v>
      </c>
      <c r="B440" t="s">
        <v>5151</v>
      </c>
      <c r="M440" s="9" t="s">
        <v>4079</v>
      </c>
      <c r="N440" t="s">
        <v>5152</v>
      </c>
      <c r="O440" s="2"/>
      <c r="R440">
        <f t="shared" si="6"/>
        <v>0</v>
      </c>
    </row>
    <row r="441" spans="1:18" x14ac:dyDescent="0.2">
      <c r="A441" t="s">
        <v>5153</v>
      </c>
      <c r="B441" t="s">
        <v>5154</v>
      </c>
      <c r="D441">
        <v>0</v>
      </c>
      <c r="K441">
        <v>1</v>
      </c>
      <c r="M441" s="9" t="s">
        <v>4079</v>
      </c>
      <c r="N441" t="s">
        <v>4365</v>
      </c>
      <c r="O441" s="2"/>
      <c r="R441">
        <f t="shared" si="6"/>
        <v>0</v>
      </c>
    </row>
    <row r="442" spans="1:18" x14ac:dyDescent="0.2">
      <c r="A442" t="s">
        <v>5155</v>
      </c>
      <c r="B442" t="s">
        <v>5156</v>
      </c>
      <c r="D442">
        <v>0</v>
      </c>
      <c r="M442" s="9" t="s">
        <v>21</v>
      </c>
      <c r="N442" t="s">
        <v>77</v>
      </c>
      <c r="O442" s="2">
        <v>1</v>
      </c>
      <c r="R442">
        <f t="shared" si="6"/>
        <v>0</v>
      </c>
    </row>
    <row r="443" spans="1:18" x14ac:dyDescent="0.2">
      <c r="A443" t="s">
        <v>5157</v>
      </c>
      <c r="B443" t="s">
        <v>5158</v>
      </c>
      <c r="D443">
        <v>0</v>
      </c>
      <c r="M443" s="9" t="s">
        <v>4079</v>
      </c>
      <c r="N443" t="s">
        <v>4884</v>
      </c>
      <c r="O443" s="2"/>
      <c r="R443">
        <f t="shared" si="6"/>
        <v>0</v>
      </c>
    </row>
    <row r="444" spans="1:18" x14ac:dyDescent="0.2">
      <c r="A444" t="s">
        <v>5159</v>
      </c>
      <c r="B444" t="s">
        <v>5160</v>
      </c>
      <c r="M444" s="9" t="s">
        <v>4079</v>
      </c>
      <c r="N444" t="s">
        <v>5161</v>
      </c>
      <c r="O444" s="2"/>
      <c r="R444">
        <f t="shared" si="6"/>
        <v>0</v>
      </c>
    </row>
    <row r="445" spans="1:18" x14ac:dyDescent="0.2">
      <c r="A445" t="s">
        <v>5162</v>
      </c>
      <c r="B445" t="s">
        <v>5163</v>
      </c>
      <c r="K445">
        <v>1</v>
      </c>
      <c r="M445" s="9" t="s">
        <v>4079</v>
      </c>
      <c r="N445" t="s">
        <v>4681</v>
      </c>
      <c r="O445" s="2"/>
      <c r="R445">
        <f t="shared" si="6"/>
        <v>0</v>
      </c>
    </row>
    <row r="446" spans="1:18" x14ac:dyDescent="0.2">
      <c r="A446" t="s">
        <v>5164</v>
      </c>
      <c r="B446" t="s">
        <v>5165</v>
      </c>
      <c r="D446">
        <v>0</v>
      </c>
      <c r="M446" s="9" t="s">
        <v>4079</v>
      </c>
      <c r="N446" t="s">
        <v>5166</v>
      </c>
      <c r="O446" s="2"/>
      <c r="R446">
        <f t="shared" si="6"/>
        <v>0</v>
      </c>
    </row>
    <row r="447" spans="1:18" x14ac:dyDescent="0.2">
      <c r="A447" t="s">
        <v>5167</v>
      </c>
      <c r="B447" t="s">
        <v>5168</v>
      </c>
      <c r="D447">
        <v>0</v>
      </c>
      <c r="M447" s="9" t="s">
        <v>4079</v>
      </c>
      <c r="N447" t="s">
        <v>4997</v>
      </c>
      <c r="O447" s="2"/>
      <c r="R447">
        <f t="shared" si="6"/>
        <v>0</v>
      </c>
    </row>
    <row r="448" spans="1:18" x14ac:dyDescent="0.2">
      <c r="A448" t="s">
        <v>5169</v>
      </c>
      <c r="B448" t="s">
        <v>5170</v>
      </c>
      <c r="M448" s="9" t="s">
        <v>4079</v>
      </c>
      <c r="N448" t="s">
        <v>4170</v>
      </c>
      <c r="O448" s="2"/>
      <c r="R448">
        <f t="shared" si="6"/>
        <v>0</v>
      </c>
    </row>
    <row r="449" spans="1:18" x14ac:dyDescent="0.2">
      <c r="A449" t="s">
        <v>5171</v>
      </c>
      <c r="B449" t="s">
        <v>5172</v>
      </c>
      <c r="M449" s="9" t="s">
        <v>4079</v>
      </c>
      <c r="N449" t="s">
        <v>4976</v>
      </c>
      <c r="O449" s="2"/>
      <c r="R449">
        <f t="shared" si="6"/>
        <v>0</v>
      </c>
    </row>
    <row r="450" spans="1:18" x14ac:dyDescent="0.2">
      <c r="A450" t="s">
        <v>5173</v>
      </c>
      <c r="B450" t="s">
        <v>5174</v>
      </c>
      <c r="M450" s="9" t="s">
        <v>21</v>
      </c>
      <c r="N450" t="s">
        <v>91</v>
      </c>
      <c r="O450" s="2">
        <v>1</v>
      </c>
      <c r="R450">
        <f t="shared" ref="R450:R513" si="7">IF(_xlfn.BITAND(P450&gt;0.4999, Q450&gt;0.4999)=1,1,0)</f>
        <v>0</v>
      </c>
    </row>
    <row r="451" spans="1:18" x14ac:dyDescent="0.2">
      <c r="A451" t="s">
        <v>5175</v>
      </c>
      <c r="B451" t="s">
        <v>5176</v>
      </c>
      <c r="K451">
        <v>1</v>
      </c>
      <c r="M451" s="9" t="s">
        <v>4079</v>
      </c>
      <c r="N451" t="s">
        <v>4272</v>
      </c>
      <c r="O451" s="2"/>
      <c r="R451">
        <f t="shared" si="7"/>
        <v>0</v>
      </c>
    </row>
    <row r="452" spans="1:18" x14ac:dyDescent="0.2">
      <c r="A452" t="s">
        <v>5177</v>
      </c>
      <c r="B452" t="s">
        <v>5178</v>
      </c>
      <c r="M452" s="9" t="s">
        <v>4079</v>
      </c>
      <c r="N452" t="s">
        <v>5179</v>
      </c>
      <c r="O452" s="2"/>
      <c r="R452">
        <f t="shared" si="7"/>
        <v>0</v>
      </c>
    </row>
    <row r="453" spans="1:18" x14ac:dyDescent="0.2">
      <c r="A453" t="s">
        <v>5180</v>
      </c>
      <c r="B453" t="s">
        <v>5181</v>
      </c>
      <c r="M453" s="9" t="s">
        <v>4079</v>
      </c>
      <c r="N453" t="s">
        <v>4233</v>
      </c>
      <c r="O453" s="2"/>
      <c r="R453">
        <f t="shared" si="7"/>
        <v>0</v>
      </c>
    </row>
    <row r="454" spans="1:18" x14ac:dyDescent="0.2">
      <c r="A454" t="s">
        <v>5182</v>
      </c>
      <c r="B454" t="s">
        <v>5183</v>
      </c>
      <c r="D454">
        <v>0</v>
      </c>
      <c r="M454" s="9" t="s">
        <v>4079</v>
      </c>
      <c r="N454" t="s">
        <v>4164</v>
      </c>
      <c r="O454" s="2"/>
      <c r="R454">
        <f t="shared" si="7"/>
        <v>0</v>
      </c>
    </row>
    <row r="455" spans="1:18" x14ac:dyDescent="0.2">
      <c r="A455" t="s">
        <v>5184</v>
      </c>
      <c r="B455" t="s">
        <v>5185</v>
      </c>
      <c r="M455" s="9" t="s">
        <v>21</v>
      </c>
      <c r="N455" t="s">
        <v>5186</v>
      </c>
      <c r="O455" s="2">
        <v>1</v>
      </c>
      <c r="R455">
        <f t="shared" si="7"/>
        <v>0</v>
      </c>
    </row>
    <row r="456" spans="1:18" x14ac:dyDescent="0.2">
      <c r="A456" t="s">
        <v>5187</v>
      </c>
      <c r="B456" t="s">
        <v>5188</v>
      </c>
      <c r="K456">
        <v>1</v>
      </c>
      <c r="M456" s="9" t="s">
        <v>4079</v>
      </c>
      <c r="N456" t="s">
        <v>5189</v>
      </c>
      <c r="O456" s="2"/>
      <c r="R456">
        <f t="shared" si="7"/>
        <v>0</v>
      </c>
    </row>
    <row r="457" spans="1:18" x14ac:dyDescent="0.2">
      <c r="A457" t="s">
        <v>5190</v>
      </c>
      <c r="B457" t="s">
        <v>5191</v>
      </c>
      <c r="D457">
        <v>0</v>
      </c>
      <c r="M457" s="9" t="s">
        <v>21</v>
      </c>
      <c r="N457" t="s">
        <v>211</v>
      </c>
      <c r="O457" s="2">
        <v>1</v>
      </c>
      <c r="R457">
        <f t="shared" si="7"/>
        <v>0</v>
      </c>
    </row>
    <row r="458" spans="1:18" x14ac:dyDescent="0.2">
      <c r="A458" t="s">
        <v>5192</v>
      </c>
      <c r="B458" t="s">
        <v>5193</v>
      </c>
      <c r="M458" s="9" t="s">
        <v>4079</v>
      </c>
      <c r="N458" t="s">
        <v>5194</v>
      </c>
      <c r="O458" s="2"/>
      <c r="R458">
        <f t="shared" si="7"/>
        <v>0</v>
      </c>
    </row>
    <row r="459" spans="1:18" x14ac:dyDescent="0.2">
      <c r="A459" t="s">
        <v>5195</v>
      </c>
      <c r="B459" t="s">
        <v>5196</v>
      </c>
      <c r="M459" s="9" t="s">
        <v>21</v>
      </c>
      <c r="N459" t="s">
        <v>2724</v>
      </c>
      <c r="O459" s="2">
        <v>1</v>
      </c>
      <c r="R459">
        <f t="shared" si="7"/>
        <v>0</v>
      </c>
    </row>
    <row r="460" spans="1:18" x14ac:dyDescent="0.2">
      <c r="A460" t="s">
        <v>5197</v>
      </c>
      <c r="B460" t="s">
        <v>5198</v>
      </c>
      <c r="M460" s="9" t="s">
        <v>21</v>
      </c>
      <c r="N460" t="s">
        <v>4765</v>
      </c>
      <c r="O460" s="2">
        <v>1</v>
      </c>
      <c r="R460">
        <f t="shared" si="7"/>
        <v>0</v>
      </c>
    </row>
    <row r="461" spans="1:18" x14ac:dyDescent="0.2">
      <c r="A461" t="s">
        <v>5199</v>
      </c>
      <c r="B461" t="s">
        <v>5200</v>
      </c>
      <c r="D461">
        <v>0</v>
      </c>
      <c r="M461" s="9" t="s">
        <v>21</v>
      </c>
      <c r="N461" t="s">
        <v>4400</v>
      </c>
      <c r="O461" s="2">
        <v>1</v>
      </c>
      <c r="R461">
        <f t="shared" si="7"/>
        <v>0</v>
      </c>
    </row>
    <row r="462" spans="1:18" x14ac:dyDescent="0.2">
      <c r="A462" t="s">
        <v>5201</v>
      </c>
      <c r="B462" t="s">
        <v>5202</v>
      </c>
      <c r="D462">
        <v>0</v>
      </c>
      <c r="M462" s="9" t="s">
        <v>4079</v>
      </c>
      <c r="N462" t="s">
        <v>4128</v>
      </c>
      <c r="O462" s="2"/>
      <c r="R462">
        <f t="shared" si="7"/>
        <v>0</v>
      </c>
    </row>
    <row r="463" spans="1:18" x14ac:dyDescent="0.2">
      <c r="A463" t="s">
        <v>5203</v>
      </c>
      <c r="B463" t="s">
        <v>5204</v>
      </c>
      <c r="K463">
        <v>1</v>
      </c>
      <c r="M463" s="9" t="s">
        <v>4079</v>
      </c>
      <c r="N463" t="s">
        <v>5205</v>
      </c>
      <c r="O463" s="2"/>
      <c r="R463">
        <f t="shared" si="7"/>
        <v>0</v>
      </c>
    </row>
    <row r="464" spans="1:18" x14ac:dyDescent="0.2">
      <c r="A464" t="s">
        <v>5206</v>
      </c>
      <c r="B464" t="s">
        <v>5207</v>
      </c>
      <c r="M464" s="9" t="s">
        <v>4079</v>
      </c>
      <c r="N464" t="s">
        <v>4128</v>
      </c>
      <c r="O464" s="2"/>
      <c r="R464">
        <f t="shared" si="7"/>
        <v>0</v>
      </c>
    </row>
    <row r="465" spans="1:18" x14ac:dyDescent="0.2">
      <c r="A465" t="s">
        <v>5208</v>
      </c>
      <c r="B465" t="s">
        <v>5209</v>
      </c>
      <c r="D465">
        <v>0</v>
      </c>
      <c r="M465" s="9" t="s">
        <v>21</v>
      </c>
      <c r="N465" t="s">
        <v>3724</v>
      </c>
      <c r="O465" s="2">
        <v>1</v>
      </c>
      <c r="R465">
        <f t="shared" si="7"/>
        <v>0</v>
      </c>
    </row>
    <row r="466" spans="1:18" x14ac:dyDescent="0.2">
      <c r="A466" t="s">
        <v>5210</v>
      </c>
      <c r="B466" t="s">
        <v>5211</v>
      </c>
      <c r="D466">
        <v>0</v>
      </c>
      <c r="K466">
        <v>1</v>
      </c>
      <c r="M466" s="9" t="s">
        <v>4079</v>
      </c>
      <c r="N466" t="s">
        <v>5212</v>
      </c>
      <c r="O466" s="2"/>
      <c r="R466">
        <f t="shared" si="7"/>
        <v>0</v>
      </c>
    </row>
    <row r="467" spans="1:18" x14ac:dyDescent="0.2">
      <c r="A467" t="s">
        <v>5213</v>
      </c>
      <c r="B467" t="s">
        <v>5214</v>
      </c>
      <c r="K467">
        <v>1</v>
      </c>
      <c r="M467" s="9" t="s">
        <v>4079</v>
      </c>
      <c r="N467" t="s">
        <v>5215</v>
      </c>
      <c r="O467" s="2"/>
      <c r="R467">
        <f t="shared" si="7"/>
        <v>0</v>
      </c>
    </row>
    <row r="468" spans="1:18" x14ac:dyDescent="0.2">
      <c r="A468" t="s">
        <v>5216</v>
      </c>
      <c r="B468" t="s">
        <v>5217</v>
      </c>
      <c r="D468">
        <v>0</v>
      </c>
      <c r="M468" s="9" t="s">
        <v>21</v>
      </c>
      <c r="N468" t="s">
        <v>4094</v>
      </c>
      <c r="O468" s="2">
        <v>1</v>
      </c>
      <c r="R468">
        <f t="shared" si="7"/>
        <v>0</v>
      </c>
    </row>
    <row r="469" spans="1:18" x14ac:dyDescent="0.2">
      <c r="A469" t="s">
        <v>5218</v>
      </c>
      <c r="B469" t="s">
        <v>5219</v>
      </c>
      <c r="K469">
        <v>1</v>
      </c>
      <c r="M469" s="9" t="s">
        <v>21</v>
      </c>
      <c r="N469" t="s">
        <v>2724</v>
      </c>
      <c r="O469" s="2">
        <v>1</v>
      </c>
      <c r="R469">
        <f t="shared" si="7"/>
        <v>0</v>
      </c>
    </row>
    <row r="470" spans="1:18" x14ac:dyDescent="0.2">
      <c r="A470" t="s">
        <v>5220</v>
      </c>
      <c r="B470" t="s">
        <v>5221</v>
      </c>
      <c r="D470">
        <v>0</v>
      </c>
      <c r="M470" s="9" t="s">
        <v>4079</v>
      </c>
      <c r="N470" t="s">
        <v>4302</v>
      </c>
      <c r="O470" s="2"/>
      <c r="R470">
        <f t="shared" si="7"/>
        <v>0</v>
      </c>
    </row>
    <row r="471" spans="1:18" x14ac:dyDescent="0.2">
      <c r="A471" t="s">
        <v>5222</v>
      </c>
      <c r="B471" t="s">
        <v>5223</v>
      </c>
      <c r="K471">
        <v>1</v>
      </c>
      <c r="M471" s="9" t="s">
        <v>4079</v>
      </c>
      <c r="N471" t="s">
        <v>5224</v>
      </c>
      <c r="O471" s="2"/>
      <c r="R471">
        <f t="shared" si="7"/>
        <v>0</v>
      </c>
    </row>
    <row r="472" spans="1:18" x14ac:dyDescent="0.2">
      <c r="A472" t="s">
        <v>5225</v>
      </c>
      <c r="B472" t="s">
        <v>5226</v>
      </c>
      <c r="K472">
        <v>1</v>
      </c>
      <c r="M472" s="9" t="s">
        <v>21</v>
      </c>
      <c r="N472" t="s">
        <v>211</v>
      </c>
      <c r="O472" s="2">
        <v>1</v>
      </c>
      <c r="R472">
        <f t="shared" si="7"/>
        <v>0</v>
      </c>
    </row>
    <row r="473" spans="1:18" x14ac:dyDescent="0.2">
      <c r="A473" t="s">
        <v>5227</v>
      </c>
      <c r="B473" t="s">
        <v>5228</v>
      </c>
      <c r="M473" s="9" t="s">
        <v>4079</v>
      </c>
      <c r="N473" t="s">
        <v>5229</v>
      </c>
      <c r="O473" s="2"/>
      <c r="R473">
        <f t="shared" si="7"/>
        <v>0</v>
      </c>
    </row>
    <row r="474" spans="1:18" x14ac:dyDescent="0.2">
      <c r="A474" t="s">
        <v>5230</v>
      </c>
      <c r="B474" t="s">
        <v>5231</v>
      </c>
      <c r="M474" s="9" t="s">
        <v>4079</v>
      </c>
      <c r="N474" t="s">
        <v>4272</v>
      </c>
      <c r="O474" s="2"/>
      <c r="R474">
        <f t="shared" si="7"/>
        <v>0</v>
      </c>
    </row>
    <row r="475" spans="1:18" x14ac:dyDescent="0.2">
      <c r="A475" t="s">
        <v>5232</v>
      </c>
      <c r="B475" t="s">
        <v>5233</v>
      </c>
      <c r="D475">
        <v>0</v>
      </c>
      <c r="M475" s="9" t="s">
        <v>4079</v>
      </c>
      <c r="N475" t="s">
        <v>5234</v>
      </c>
      <c r="O475" s="2"/>
      <c r="R475">
        <f t="shared" si="7"/>
        <v>0</v>
      </c>
    </row>
    <row r="476" spans="1:18" x14ac:dyDescent="0.2">
      <c r="A476" t="s">
        <v>5235</v>
      </c>
      <c r="B476" t="s">
        <v>5236</v>
      </c>
      <c r="D476">
        <v>0</v>
      </c>
      <c r="M476" s="9" t="s">
        <v>21</v>
      </c>
      <c r="N476" t="s">
        <v>4259</v>
      </c>
      <c r="O476" s="2">
        <v>1</v>
      </c>
      <c r="R476">
        <f t="shared" si="7"/>
        <v>0</v>
      </c>
    </row>
    <row r="477" spans="1:18" x14ac:dyDescent="0.2">
      <c r="A477" t="s">
        <v>5237</v>
      </c>
      <c r="B477" t="s">
        <v>5238</v>
      </c>
      <c r="D477">
        <v>0</v>
      </c>
      <c r="M477" s="9" t="s">
        <v>32</v>
      </c>
      <c r="N477" t="s">
        <v>5239</v>
      </c>
      <c r="O477" s="2"/>
      <c r="R477">
        <f t="shared" si="7"/>
        <v>0</v>
      </c>
    </row>
    <row r="478" spans="1:18" x14ac:dyDescent="0.2">
      <c r="A478" t="s">
        <v>5240</v>
      </c>
      <c r="B478" t="s">
        <v>5241</v>
      </c>
      <c r="M478" s="9" t="s">
        <v>4079</v>
      </c>
      <c r="N478" t="s">
        <v>5242</v>
      </c>
      <c r="O478" s="2"/>
      <c r="R478">
        <f t="shared" si="7"/>
        <v>0</v>
      </c>
    </row>
    <row r="479" spans="1:18" x14ac:dyDescent="0.2">
      <c r="A479" t="s">
        <v>5243</v>
      </c>
      <c r="B479" t="s">
        <v>5244</v>
      </c>
      <c r="M479" s="9" t="s">
        <v>4079</v>
      </c>
      <c r="N479" t="s">
        <v>5245</v>
      </c>
      <c r="O479" s="2"/>
      <c r="R479">
        <f t="shared" si="7"/>
        <v>0</v>
      </c>
    </row>
    <row r="480" spans="1:18" x14ac:dyDescent="0.2">
      <c r="A480" t="s">
        <v>5246</v>
      </c>
      <c r="B480" t="s">
        <v>5247</v>
      </c>
      <c r="K480">
        <v>1</v>
      </c>
      <c r="M480" s="9" t="s">
        <v>4079</v>
      </c>
      <c r="N480" t="s">
        <v>4727</v>
      </c>
      <c r="O480" s="2"/>
      <c r="R480">
        <f t="shared" si="7"/>
        <v>0</v>
      </c>
    </row>
    <row r="481" spans="1:18" x14ac:dyDescent="0.2">
      <c r="A481" t="s">
        <v>5248</v>
      </c>
      <c r="B481" t="s">
        <v>5249</v>
      </c>
      <c r="D481">
        <v>0</v>
      </c>
      <c r="M481" s="9" t="s">
        <v>4079</v>
      </c>
      <c r="N481" t="s">
        <v>5250</v>
      </c>
      <c r="O481" s="2"/>
      <c r="R481">
        <f t="shared" si="7"/>
        <v>0</v>
      </c>
    </row>
    <row r="482" spans="1:18" x14ac:dyDescent="0.2">
      <c r="A482" t="s">
        <v>5251</v>
      </c>
      <c r="B482" t="s">
        <v>5252</v>
      </c>
      <c r="M482" s="9" t="s">
        <v>4079</v>
      </c>
      <c r="N482" t="s">
        <v>4697</v>
      </c>
      <c r="O482" s="2"/>
      <c r="R482">
        <f t="shared" si="7"/>
        <v>0</v>
      </c>
    </row>
    <row r="483" spans="1:18" x14ac:dyDescent="0.2">
      <c r="A483" t="s">
        <v>5253</v>
      </c>
      <c r="B483" t="s">
        <v>5254</v>
      </c>
      <c r="K483">
        <v>1</v>
      </c>
      <c r="M483" s="9" t="s">
        <v>4079</v>
      </c>
      <c r="N483" t="s">
        <v>5255</v>
      </c>
      <c r="O483" s="2"/>
      <c r="R483">
        <f t="shared" si="7"/>
        <v>0</v>
      </c>
    </row>
    <row r="484" spans="1:18" x14ac:dyDescent="0.2">
      <c r="A484" t="s">
        <v>5256</v>
      </c>
      <c r="B484" t="s">
        <v>5257</v>
      </c>
      <c r="K484">
        <v>1</v>
      </c>
      <c r="M484" s="9" t="s">
        <v>4079</v>
      </c>
      <c r="N484" t="s">
        <v>4409</v>
      </c>
      <c r="O484" s="2"/>
      <c r="R484">
        <f t="shared" si="7"/>
        <v>0</v>
      </c>
    </row>
    <row r="485" spans="1:18" x14ac:dyDescent="0.2">
      <c r="A485" t="s">
        <v>5258</v>
      </c>
      <c r="B485" t="s">
        <v>5259</v>
      </c>
      <c r="K485">
        <v>1</v>
      </c>
      <c r="M485" s="9" t="s">
        <v>4079</v>
      </c>
      <c r="N485" t="s">
        <v>5260</v>
      </c>
      <c r="O485" s="2"/>
      <c r="R485">
        <f t="shared" si="7"/>
        <v>0</v>
      </c>
    </row>
    <row r="486" spans="1:18" x14ac:dyDescent="0.2">
      <c r="A486" t="s">
        <v>5261</v>
      </c>
      <c r="B486" t="s">
        <v>5262</v>
      </c>
      <c r="K486">
        <v>1</v>
      </c>
      <c r="M486" s="9" t="s">
        <v>21</v>
      </c>
      <c r="N486" t="s">
        <v>5263</v>
      </c>
      <c r="O486" s="2">
        <v>1</v>
      </c>
      <c r="R486">
        <f t="shared" si="7"/>
        <v>0</v>
      </c>
    </row>
    <row r="487" spans="1:18" x14ac:dyDescent="0.2">
      <c r="A487" t="s">
        <v>5264</v>
      </c>
      <c r="B487" t="s">
        <v>5265</v>
      </c>
      <c r="D487">
        <v>0</v>
      </c>
      <c r="K487">
        <v>1</v>
      </c>
      <c r="M487" s="9" t="s">
        <v>4079</v>
      </c>
      <c r="N487" t="s">
        <v>4131</v>
      </c>
      <c r="O487" s="2"/>
      <c r="R487">
        <f t="shared" si="7"/>
        <v>0</v>
      </c>
    </row>
    <row r="488" spans="1:18" x14ac:dyDescent="0.2">
      <c r="A488" t="s">
        <v>5266</v>
      </c>
      <c r="B488" t="s">
        <v>5267</v>
      </c>
      <c r="K488">
        <v>1</v>
      </c>
      <c r="M488" s="9" t="s">
        <v>4079</v>
      </c>
      <c r="N488" t="s">
        <v>5268</v>
      </c>
      <c r="O488" s="2"/>
      <c r="R488">
        <f t="shared" si="7"/>
        <v>0</v>
      </c>
    </row>
    <row r="489" spans="1:18" x14ac:dyDescent="0.2">
      <c r="A489" t="s">
        <v>5269</v>
      </c>
      <c r="B489" t="s">
        <v>5270</v>
      </c>
      <c r="D489">
        <v>0</v>
      </c>
      <c r="M489" s="9" t="s">
        <v>21</v>
      </c>
      <c r="N489" t="s">
        <v>211</v>
      </c>
      <c r="O489" s="2">
        <v>1</v>
      </c>
      <c r="R489">
        <f t="shared" si="7"/>
        <v>0</v>
      </c>
    </row>
    <row r="490" spans="1:18" x14ac:dyDescent="0.2">
      <c r="A490" t="s">
        <v>5271</v>
      </c>
      <c r="B490" t="s">
        <v>5272</v>
      </c>
      <c r="D490">
        <v>0</v>
      </c>
      <c r="M490" s="9" t="s">
        <v>21</v>
      </c>
      <c r="N490" t="s">
        <v>2724</v>
      </c>
      <c r="O490" s="2">
        <v>1</v>
      </c>
      <c r="R490">
        <f t="shared" si="7"/>
        <v>0</v>
      </c>
    </row>
    <row r="491" spans="1:18" x14ac:dyDescent="0.2">
      <c r="A491" t="s">
        <v>5273</v>
      </c>
      <c r="B491" t="s">
        <v>5274</v>
      </c>
      <c r="K491">
        <v>1</v>
      </c>
      <c r="M491" s="9" t="s">
        <v>21</v>
      </c>
      <c r="N491" t="s">
        <v>211</v>
      </c>
      <c r="O491" s="2">
        <v>1</v>
      </c>
      <c r="R491">
        <f t="shared" si="7"/>
        <v>0</v>
      </c>
    </row>
    <row r="492" spans="1:18" x14ac:dyDescent="0.2">
      <c r="A492" t="s">
        <v>5275</v>
      </c>
      <c r="B492" t="s">
        <v>5276</v>
      </c>
      <c r="M492" s="9" t="s">
        <v>4079</v>
      </c>
      <c r="N492" t="s">
        <v>5277</v>
      </c>
      <c r="O492" s="2"/>
      <c r="R492">
        <f t="shared" si="7"/>
        <v>0</v>
      </c>
    </row>
    <row r="493" spans="1:18" x14ac:dyDescent="0.2">
      <c r="A493" t="s">
        <v>5278</v>
      </c>
      <c r="B493" t="s">
        <v>5279</v>
      </c>
      <c r="K493">
        <v>1</v>
      </c>
      <c r="M493" s="9" t="s">
        <v>4079</v>
      </c>
      <c r="N493" t="s">
        <v>5280</v>
      </c>
      <c r="O493" s="2"/>
      <c r="R493">
        <f t="shared" si="7"/>
        <v>0</v>
      </c>
    </row>
    <row r="494" spans="1:18" x14ac:dyDescent="0.2">
      <c r="A494" t="s">
        <v>5281</v>
      </c>
      <c r="B494" t="s">
        <v>5282</v>
      </c>
      <c r="K494">
        <v>1</v>
      </c>
      <c r="M494" s="9" t="s">
        <v>21</v>
      </c>
      <c r="N494" t="s">
        <v>211</v>
      </c>
      <c r="O494" s="2">
        <v>1</v>
      </c>
      <c r="R494">
        <f t="shared" si="7"/>
        <v>0</v>
      </c>
    </row>
    <row r="495" spans="1:18" x14ac:dyDescent="0.2">
      <c r="A495" t="s">
        <v>5283</v>
      </c>
      <c r="B495" t="s">
        <v>5284</v>
      </c>
      <c r="M495" s="9" t="s">
        <v>21</v>
      </c>
      <c r="N495" t="s">
        <v>211</v>
      </c>
      <c r="O495" s="2">
        <v>1</v>
      </c>
      <c r="R495">
        <f t="shared" si="7"/>
        <v>0</v>
      </c>
    </row>
    <row r="496" spans="1:18" x14ac:dyDescent="0.2">
      <c r="A496" t="s">
        <v>5285</v>
      </c>
      <c r="B496" t="s">
        <v>5286</v>
      </c>
      <c r="M496" s="9" t="s">
        <v>4079</v>
      </c>
      <c r="N496" t="s">
        <v>4162</v>
      </c>
      <c r="O496" s="2"/>
      <c r="R496">
        <f t="shared" si="7"/>
        <v>0</v>
      </c>
    </row>
    <row r="497" spans="1:18" x14ac:dyDescent="0.2">
      <c r="A497" t="s">
        <v>5287</v>
      </c>
      <c r="B497" t="s">
        <v>5288</v>
      </c>
      <c r="M497" s="9" t="s">
        <v>21</v>
      </c>
      <c r="N497" t="s">
        <v>4259</v>
      </c>
      <c r="O497" s="2">
        <v>1</v>
      </c>
      <c r="R497">
        <f t="shared" si="7"/>
        <v>0</v>
      </c>
    </row>
    <row r="498" spans="1:18" x14ac:dyDescent="0.2">
      <c r="A498" t="s">
        <v>5289</v>
      </c>
      <c r="B498" t="s">
        <v>5290</v>
      </c>
      <c r="D498">
        <v>0</v>
      </c>
      <c r="M498" s="9" t="s">
        <v>21</v>
      </c>
      <c r="N498" t="s">
        <v>211</v>
      </c>
      <c r="O498" s="2">
        <v>1</v>
      </c>
      <c r="R498">
        <f t="shared" si="7"/>
        <v>0</v>
      </c>
    </row>
    <row r="499" spans="1:18" x14ac:dyDescent="0.2">
      <c r="A499" t="s">
        <v>5291</v>
      </c>
      <c r="B499" t="s">
        <v>5292</v>
      </c>
      <c r="D499">
        <v>0</v>
      </c>
      <c r="M499" s="9" t="s">
        <v>4079</v>
      </c>
      <c r="N499" t="s">
        <v>4282</v>
      </c>
      <c r="O499" s="2"/>
      <c r="R499">
        <f t="shared" si="7"/>
        <v>0</v>
      </c>
    </row>
    <row r="500" spans="1:18" x14ac:dyDescent="0.2">
      <c r="A500" t="s">
        <v>5293</v>
      </c>
      <c r="B500" t="s">
        <v>5294</v>
      </c>
      <c r="K500">
        <v>1</v>
      </c>
      <c r="M500" s="9" t="s">
        <v>4079</v>
      </c>
      <c r="N500" t="s">
        <v>5295</v>
      </c>
      <c r="O500" s="2"/>
      <c r="R500">
        <f t="shared" si="7"/>
        <v>0</v>
      </c>
    </row>
    <row r="501" spans="1:18" x14ac:dyDescent="0.2">
      <c r="A501" t="s">
        <v>5296</v>
      </c>
      <c r="B501" t="s">
        <v>5297</v>
      </c>
      <c r="M501" s="9" t="s">
        <v>4079</v>
      </c>
      <c r="N501" t="s">
        <v>5298</v>
      </c>
      <c r="O501" s="2"/>
      <c r="R501">
        <f t="shared" si="7"/>
        <v>0</v>
      </c>
    </row>
    <row r="502" spans="1:18" x14ac:dyDescent="0.2">
      <c r="A502" t="s">
        <v>5299</v>
      </c>
      <c r="B502" t="s">
        <v>5300</v>
      </c>
      <c r="M502" s="9" t="s">
        <v>4079</v>
      </c>
      <c r="N502" t="s">
        <v>5268</v>
      </c>
      <c r="O502" s="2"/>
      <c r="R502">
        <f t="shared" si="7"/>
        <v>0</v>
      </c>
    </row>
    <row r="503" spans="1:18" x14ac:dyDescent="0.2">
      <c r="A503" t="s">
        <v>5301</v>
      </c>
      <c r="B503" t="s">
        <v>5302</v>
      </c>
      <c r="M503" s="9" t="s">
        <v>4079</v>
      </c>
      <c r="N503" t="s">
        <v>4148</v>
      </c>
      <c r="O503" s="2"/>
      <c r="R503">
        <f t="shared" si="7"/>
        <v>0</v>
      </c>
    </row>
    <row r="504" spans="1:18" x14ac:dyDescent="0.2">
      <c r="A504" t="s">
        <v>5303</v>
      </c>
      <c r="B504" t="s">
        <v>5304</v>
      </c>
      <c r="D504">
        <v>0</v>
      </c>
      <c r="K504">
        <v>1</v>
      </c>
      <c r="M504" s="9" t="s">
        <v>21</v>
      </c>
      <c r="N504" t="s">
        <v>211</v>
      </c>
      <c r="O504" s="2">
        <v>1</v>
      </c>
      <c r="R504">
        <f t="shared" si="7"/>
        <v>0</v>
      </c>
    </row>
    <row r="505" spans="1:18" x14ac:dyDescent="0.2">
      <c r="A505" t="s">
        <v>5305</v>
      </c>
      <c r="B505" t="s">
        <v>5306</v>
      </c>
      <c r="D505">
        <v>0</v>
      </c>
      <c r="K505">
        <v>1</v>
      </c>
      <c r="M505" s="9" t="s">
        <v>4079</v>
      </c>
      <c r="N505" t="s">
        <v>5307</v>
      </c>
      <c r="O505" s="2"/>
      <c r="R505">
        <f t="shared" si="7"/>
        <v>0</v>
      </c>
    </row>
    <row r="506" spans="1:18" x14ac:dyDescent="0.2">
      <c r="A506" t="s">
        <v>5308</v>
      </c>
      <c r="B506" t="s">
        <v>5309</v>
      </c>
      <c r="K506">
        <v>1</v>
      </c>
      <c r="M506" s="9" t="s">
        <v>4079</v>
      </c>
      <c r="N506" t="s">
        <v>4345</v>
      </c>
      <c r="O506" s="2"/>
      <c r="R506">
        <f t="shared" si="7"/>
        <v>0</v>
      </c>
    </row>
    <row r="507" spans="1:18" x14ac:dyDescent="0.2">
      <c r="A507" t="s">
        <v>5312</v>
      </c>
      <c r="B507" t="s">
        <v>5313</v>
      </c>
      <c r="D507">
        <v>0</v>
      </c>
      <c r="M507" s="9" t="s">
        <v>21</v>
      </c>
      <c r="N507" t="s">
        <v>211</v>
      </c>
      <c r="O507" s="2">
        <v>1</v>
      </c>
      <c r="R507">
        <f t="shared" si="7"/>
        <v>0</v>
      </c>
    </row>
    <row r="508" spans="1:18" x14ac:dyDescent="0.2">
      <c r="A508" t="s">
        <v>5314</v>
      </c>
      <c r="B508" t="s">
        <v>5315</v>
      </c>
      <c r="K508">
        <v>1</v>
      </c>
      <c r="M508" s="9" t="s">
        <v>21</v>
      </c>
      <c r="N508" t="s">
        <v>211</v>
      </c>
      <c r="O508" s="2">
        <v>1</v>
      </c>
      <c r="R508">
        <f t="shared" si="7"/>
        <v>0</v>
      </c>
    </row>
    <row r="509" spans="1:18" x14ac:dyDescent="0.2">
      <c r="A509" t="s">
        <v>5316</v>
      </c>
      <c r="B509" t="s">
        <v>5317</v>
      </c>
      <c r="K509">
        <v>1</v>
      </c>
      <c r="M509" s="9" t="s">
        <v>4079</v>
      </c>
      <c r="N509" t="s">
        <v>5318</v>
      </c>
      <c r="O509" s="2"/>
      <c r="R509">
        <f t="shared" si="7"/>
        <v>0</v>
      </c>
    </row>
    <row r="510" spans="1:18" x14ac:dyDescent="0.2">
      <c r="A510" t="s">
        <v>5319</v>
      </c>
      <c r="B510" t="s">
        <v>5320</v>
      </c>
      <c r="M510" s="9" t="s">
        <v>4079</v>
      </c>
      <c r="N510" t="s">
        <v>5321</v>
      </c>
      <c r="O510" s="2"/>
      <c r="R510">
        <f t="shared" si="7"/>
        <v>0</v>
      </c>
    </row>
    <row r="511" spans="1:18" x14ac:dyDescent="0.2">
      <c r="A511" t="s">
        <v>5322</v>
      </c>
      <c r="B511" t="s">
        <v>5323</v>
      </c>
      <c r="K511">
        <v>1</v>
      </c>
      <c r="M511" s="9" t="s">
        <v>4079</v>
      </c>
      <c r="N511" t="s">
        <v>5307</v>
      </c>
      <c r="O511" s="2"/>
      <c r="R511">
        <f t="shared" si="7"/>
        <v>0</v>
      </c>
    </row>
    <row r="512" spans="1:18" x14ac:dyDescent="0.2">
      <c r="A512" t="s">
        <v>5324</v>
      </c>
      <c r="B512" t="s">
        <v>5325</v>
      </c>
      <c r="M512" s="9" t="s">
        <v>4079</v>
      </c>
      <c r="N512" t="s">
        <v>5326</v>
      </c>
      <c r="O512" s="2"/>
      <c r="R512">
        <f t="shared" si="7"/>
        <v>0</v>
      </c>
    </row>
    <row r="513" spans="1:18" x14ac:dyDescent="0.2">
      <c r="A513" t="s">
        <v>5327</v>
      </c>
      <c r="B513" t="s">
        <v>5328</v>
      </c>
      <c r="K513">
        <v>1</v>
      </c>
      <c r="M513" s="9" t="s">
        <v>4079</v>
      </c>
      <c r="N513" t="s">
        <v>4674</v>
      </c>
      <c r="O513" s="2"/>
      <c r="R513">
        <f t="shared" si="7"/>
        <v>0</v>
      </c>
    </row>
    <row r="514" spans="1:18" x14ac:dyDescent="0.2">
      <c r="A514" t="s">
        <v>5329</v>
      </c>
      <c r="B514" t="s">
        <v>5330</v>
      </c>
      <c r="D514">
        <v>1</v>
      </c>
      <c r="M514" s="9" t="s">
        <v>21</v>
      </c>
      <c r="N514" t="s">
        <v>4451</v>
      </c>
      <c r="O514" s="2">
        <v>1</v>
      </c>
      <c r="R514">
        <f t="shared" ref="R514:R577" si="8">IF(_xlfn.BITAND(P514&gt;0.4999, Q514&gt;0.4999)=1,1,0)</f>
        <v>0</v>
      </c>
    </row>
    <row r="515" spans="1:18" x14ac:dyDescent="0.2">
      <c r="A515" t="s">
        <v>5331</v>
      </c>
      <c r="B515" t="s">
        <v>5332</v>
      </c>
      <c r="K515">
        <v>1</v>
      </c>
      <c r="M515" s="9"/>
      <c r="N515" t="s">
        <v>5333</v>
      </c>
      <c r="O515" s="2"/>
      <c r="R515">
        <f t="shared" si="8"/>
        <v>0</v>
      </c>
    </row>
    <row r="516" spans="1:18" x14ac:dyDescent="0.2">
      <c r="A516" t="s">
        <v>5334</v>
      </c>
      <c r="B516" t="s">
        <v>5335</v>
      </c>
      <c r="K516">
        <v>1</v>
      </c>
      <c r="M516" s="9" t="s">
        <v>4079</v>
      </c>
      <c r="N516" t="s">
        <v>5336</v>
      </c>
      <c r="O516" s="2"/>
      <c r="R516">
        <f t="shared" si="8"/>
        <v>0</v>
      </c>
    </row>
    <row r="517" spans="1:18" x14ac:dyDescent="0.2">
      <c r="A517" t="s">
        <v>5337</v>
      </c>
      <c r="B517" t="s">
        <v>5338</v>
      </c>
      <c r="D517">
        <v>0</v>
      </c>
      <c r="M517" s="9" t="s">
        <v>4079</v>
      </c>
      <c r="N517" t="s">
        <v>4409</v>
      </c>
      <c r="O517" s="2"/>
      <c r="R517">
        <f t="shared" si="8"/>
        <v>0</v>
      </c>
    </row>
    <row r="518" spans="1:18" x14ac:dyDescent="0.2">
      <c r="A518" t="s">
        <v>5339</v>
      </c>
      <c r="B518" t="s">
        <v>5340</v>
      </c>
      <c r="D518">
        <v>0</v>
      </c>
      <c r="M518" s="9" t="s">
        <v>4079</v>
      </c>
      <c r="N518" t="s">
        <v>5341</v>
      </c>
      <c r="O518" s="2"/>
      <c r="R518">
        <f t="shared" si="8"/>
        <v>0</v>
      </c>
    </row>
    <row r="519" spans="1:18" x14ac:dyDescent="0.2">
      <c r="A519" t="s">
        <v>5342</v>
      </c>
      <c r="B519" t="s">
        <v>5343</v>
      </c>
      <c r="C519" t="s">
        <v>20</v>
      </c>
      <c r="M519" s="9" t="s">
        <v>21</v>
      </c>
      <c r="N519" t="s">
        <v>4094</v>
      </c>
      <c r="O519" s="2">
        <v>1</v>
      </c>
      <c r="R519">
        <f t="shared" si="8"/>
        <v>0</v>
      </c>
    </row>
    <row r="520" spans="1:18" x14ac:dyDescent="0.2">
      <c r="A520" t="s">
        <v>5344</v>
      </c>
      <c r="B520" t="s">
        <v>5345</v>
      </c>
      <c r="D520">
        <v>0</v>
      </c>
      <c r="M520" s="9" t="s">
        <v>4079</v>
      </c>
      <c r="N520" t="s">
        <v>5161</v>
      </c>
      <c r="O520" s="2"/>
      <c r="R520">
        <f t="shared" si="8"/>
        <v>0</v>
      </c>
    </row>
    <row r="521" spans="1:18" x14ac:dyDescent="0.2">
      <c r="A521" t="s">
        <v>5346</v>
      </c>
      <c r="B521" t="s">
        <v>5347</v>
      </c>
      <c r="D521">
        <v>0</v>
      </c>
      <c r="M521" s="9" t="s">
        <v>4079</v>
      </c>
      <c r="N521" t="s">
        <v>4632</v>
      </c>
      <c r="O521" s="2"/>
      <c r="R521">
        <f t="shared" si="8"/>
        <v>0</v>
      </c>
    </row>
    <row r="522" spans="1:18" x14ac:dyDescent="0.2">
      <c r="A522" t="s">
        <v>5348</v>
      </c>
      <c r="B522" t="s">
        <v>5349</v>
      </c>
      <c r="M522" s="9" t="s">
        <v>4079</v>
      </c>
      <c r="N522" t="s">
        <v>4097</v>
      </c>
      <c r="O522" s="2"/>
      <c r="R522">
        <f t="shared" si="8"/>
        <v>0</v>
      </c>
    </row>
    <row r="523" spans="1:18" x14ac:dyDescent="0.2">
      <c r="A523" t="s">
        <v>5350</v>
      </c>
      <c r="B523" t="s">
        <v>5351</v>
      </c>
      <c r="K523">
        <v>1</v>
      </c>
      <c r="M523" s="9" t="s">
        <v>4079</v>
      </c>
      <c r="N523" t="s">
        <v>5352</v>
      </c>
      <c r="O523" s="2"/>
      <c r="R523">
        <f t="shared" si="8"/>
        <v>0</v>
      </c>
    </row>
    <row r="524" spans="1:18" x14ac:dyDescent="0.2">
      <c r="A524" t="s">
        <v>5353</v>
      </c>
      <c r="B524" t="s">
        <v>5354</v>
      </c>
      <c r="K524">
        <v>1</v>
      </c>
      <c r="M524" s="9" t="s">
        <v>4079</v>
      </c>
      <c r="N524" t="s">
        <v>4933</v>
      </c>
      <c r="O524" s="2"/>
      <c r="R524">
        <f t="shared" si="8"/>
        <v>0</v>
      </c>
    </row>
    <row r="525" spans="1:18" x14ac:dyDescent="0.2">
      <c r="A525" t="s">
        <v>5355</v>
      </c>
      <c r="B525" t="s">
        <v>5356</v>
      </c>
      <c r="D525">
        <v>0</v>
      </c>
      <c r="M525" s="9" t="s">
        <v>4079</v>
      </c>
      <c r="N525" t="s">
        <v>5357</v>
      </c>
      <c r="O525" s="2"/>
      <c r="R525">
        <f t="shared" si="8"/>
        <v>0</v>
      </c>
    </row>
    <row r="526" spans="1:18" x14ac:dyDescent="0.2">
      <c r="A526" t="s">
        <v>5358</v>
      </c>
      <c r="B526" t="s">
        <v>5359</v>
      </c>
      <c r="K526">
        <v>1</v>
      </c>
      <c r="M526" s="9" t="s">
        <v>21</v>
      </c>
      <c r="N526" t="s">
        <v>211</v>
      </c>
      <c r="O526" s="2">
        <v>1</v>
      </c>
      <c r="R526">
        <f t="shared" si="8"/>
        <v>0</v>
      </c>
    </row>
    <row r="527" spans="1:18" x14ac:dyDescent="0.2">
      <c r="A527" t="s">
        <v>5360</v>
      </c>
      <c r="B527" t="s">
        <v>5361</v>
      </c>
      <c r="M527" s="9" t="s">
        <v>4079</v>
      </c>
      <c r="N527" t="s">
        <v>4681</v>
      </c>
      <c r="O527" s="2"/>
      <c r="R527">
        <f t="shared" si="8"/>
        <v>0</v>
      </c>
    </row>
    <row r="528" spans="1:18" x14ac:dyDescent="0.2">
      <c r="A528" t="s">
        <v>5362</v>
      </c>
      <c r="B528" t="s">
        <v>5363</v>
      </c>
      <c r="K528">
        <v>1</v>
      </c>
      <c r="M528" s="9" t="s">
        <v>21</v>
      </c>
      <c r="N528" t="s">
        <v>4451</v>
      </c>
      <c r="O528" s="2">
        <v>1</v>
      </c>
      <c r="R528">
        <f t="shared" si="8"/>
        <v>0</v>
      </c>
    </row>
    <row r="529" spans="1:18" x14ac:dyDescent="0.2">
      <c r="A529" t="s">
        <v>5364</v>
      </c>
      <c r="B529" t="s">
        <v>5365</v>
      </c>
      <c r="C529" t="s">
        <v>201</v>
      </c>
      <c r="M529" s="9" t="s">
        <v>4079</v>
      </c>
      <c r="N529" t="s">
        <v>5366</v>
      </c>
      <c r="O529" s="2"/>
      <c r="R529">
        <f t="shared" si="8"/>
        <v>0</v>
      </c>
    </row>
    <row r="530" spans="1:18" x14ac:dyDescent="0.2">
      <c r="A530" t="s">
        <v>5367</v>
      </c>
      <c r="B530" t="s">
        <v>5368</v>
      </c>
      <c r="K530">
        <v>1</v>
      </c>
      <c r="M530" s="9" t="s">
        <v>4079</v>
      </c>
      <c r="N530" t="s">
        <v>4272</v>
      </c>
      <c r="O530" s="2"/>
      <c r="R530">
        <f t="shared" si="8"/>
        <v>0</v>
      </c>
    </row>
    <row r="531" spans="1:18" x14ac:dyDescent="0.2">
      <c r="A531" t="s">
        <v>5369</v>
      </c>
      <c r="B531" t="s">
        <v>5370</v>
      </c>
      <c r="D531">
        <v>0</v>
      </c>
      <c r="M531" s="9" t="s">
        <v>4079</v>
      </c>
      <c r="N531" t="s">
        <v>5371</v>
      </c>
      <c r="O531" s="2"/>
      <c r="R531">
        <f t="shared" si="8"/>
        <v>0</v>
      </c>
    </row>
    <row r="532" spans="1:18" x14ac:dyDescent="0.2">
      <c r="A532" t="s">
        <v>5372</v>
      </c>
      <c r="B532" t="s">
        <v>5373</v>
      </c>
      <c r="D532">
        <v>0</v>
      </c>
      <c r="M532" s="9" t="s">
        <v>4079</v>
      </c>
      <c r="N532" t="s">
        <v>5374</v>
      </c>
      <c r="O532" s="2"/>
      <c r="R532">
        <f t="shared" si="8"/>
        <v>0</v>
      </c>
    </row>
    <row r="533" spans="1:18" x14ac:dyDescent="0.2">
      <c r="A533" t="s">
        <v>5375</v>
      </c>
      <c r="B533" t="s">
        <v>5376</v>
      </c>
      <c r="D533">
        <v>0</v>
      </c>
      <c r="M533" s="9" t="s">
        <v>4079</v>
      </c>
      <c r="N533" t="s">
        <v>4115</v>
      </c>
      <c r="O533" s="2"/>
      <c r="R533">
        <f t="shared" si="8"/>
        <v>0</v>
      </c>
    </row>
    <row r="534" spans="1:18" x14ac:dyDescent="0.2">
      <c r="A534" t="s">
        <v>5377</v>
      </c>
      <c r="B534" t="s">
        <v>5378</v>
      </c>
      <c r="K534">
        <v>1</v>
      </c>
      <c r="M534" s="9" t="s">
        <v>4079</v>
      </c>
      <c r="N534" t="s">
        <v>4432</v>
      </c>
      <c r="O534" s="2"/>
      <c r="R534">
        <f t="shared" si="8"/>
        <v>0</v>
      </c>
    </row>
    <row r="535" spans="1:18" x14ac:dyDescent="0.2">
      <c r="A535" t="s">
        <v>5379</v>
      </c>
      <c r="B535" t="s">
        <v>5380</v>
      </c>
      <c r="K535">
        <v>1</v>
      </c>
      <c r="M535" s="9" t="s">
        <v>4079</v>
      </c>
      <c r="N535" t="s">
        <v>4128</v>
      </c>
      <c r="O535" s="2"/>
      <c r="R535">
        <f t="shared" si="8"/>
        <v>0</v>
      </c>
    </row>
    <row r="536" spans="1:18" x14ac:dyDescent="0.2">
      <c r="A536" t="s">
        <v>5381</v>
      </c>
      <c r="B536" t="s">
        <v>5382</v>
      </c>
      <c r="K536">
        <v>1</v>
      </c>
      <c r="M536" s="9" t="s">
        <v>4079</v>
      </c>
      <c r="N536" t="s">
        <v>5383</v>
      </c>
      <c r="O536" s="2"/>
      <c r="R536">
        <f t="shared" si="8"/>
        <v>0</v>
      </c>
    </row>
    <row r="537" spans="1:18" x14ac:dyDescent="0.2">
      <c r="A537" t="s">
        <v>5384</v>
      </c>
      <c r="B537" t="s">
        <v>5385</v>
      </c>
      <c r="D537">
        <v>0</v>
      </c>
      <c r="M537" s="9" t="s">
        <v>4079</v>
      </c>
      <c r="N537" t="s">
        <v>4131</v>
      </c>
      <c r="O537" s="2"/>
      <c r="R537">
        <f t="shared" si="8"/>
        <v>0</v>
      </c>
    </row>
    <row r="538" spans="1:18" x14ac:dyDescent="0.2">
      <c r="A538" t="s">
        <v>5386</v>
      </c>
      <c r="B538" t="s">
        <v>5387</v>
      </c>
      <c r="D538">
        <v>0</v>
      </c>
      <c r="M538" s="9" t="s">
        <v>4079</v>
      </c>
      <c r="N538" t="s">
        <v>5388</v>
      </c>
      <c r="O538" s="2"/>
      <c r="R538">
        <f t="shared" si="8"/>
        <v>0</v>
      </c>
    </row>
    <row r="539" spans="1:18" x14ac:dyDescent="0.2">
      <c r="A539" t="s">
        <v>5389</v>
      </c>
      <c r="B539" t="s">
        <v>5390</v>
      </c>
      <c r="M539" s="9" t="s">
        <v>4079</v>
      </c>
      <c r="N539" t="s">
        <v>5161</v>
      </c>
      <c r="O539" s="2"/>
      <c r="R539">
        <f t="shared" si="8"/>
        <v>0</v>
      </c>
    </row>
    <row r="540" spans="1:18" x14ac:dyDescent="0.2">
      <c r="A540" t="s">
        <v>5391</v>
      </c>
      <c r="B540" t="s">
        <v>5392</v>
      </c>
      <c r="K540">
        <v>1</v>
      </c>
      <c r="M540" s="9" t="s">
        <v>4079</v>
      </c>
      <c r="N540" t="s">
        <v>5393</v>
      </c>
      <c r="O540" s="2"/>
      <c r="R540">
        <f t="shared" si="8"/>
        <v>0</v>
      </c>
    </row>
    <row r="541" spans="1:18" x14ac:dyDescent="0.2">
      <c r="A541" t="s">
        <v>5394</v>
      </c>
      <c r="B541" t="s">
        <v>5395</v>
      </c>
      <c r="D541">
        <v>0</v>
      </c>
      <c r="M541" s="9" t="s">
        <v>4079</v>
      </c>
      <c r="N541" t="s">
        <v>5396</v>
      </c>
      <c r="O541" s="2"/>
      <c r="R541">
        <f t="shared" si="8"/>
        <v>0</v>
      </c>
    </row>
    <row r="542" spans="1:18" x14ac:dyDescent="0.2">
      <c r="A542" t="s">
        <v>5397</v>
      </c>
      <c r="B542" t="s">
        <v>5398</v>
      </c>
      <c r="M542" s="9" t="s">
        <v>21</v>
      </c>
      <c r="N542" t="s">
        <v>4854</v>
      </c>
      <c r="O542" s="2">
        <v>1</v>
      </c>
      <c r="R542">
        <f t="shared" si="8"/>
        <v>0</v>
      </c>
    </row>
    <row r="543" spans="1:18" x14ac:dyDescent="0.2">
      <c r="A543" t="s">
        <v>5399</v>
      </c>
      <c r="B543" t="s">
        <v>5400</v>
      </c>
      <c r="M543" s="9" t="s">
        <v>4079</v>
      </c>
      <c r="N543" t="s">
        <v>4125</v>
      </c>
      <c r="O543" s="2"/>
      <c r="R543">
        <f t="shared" si="8"/>
        <v>0</v>
      </c>
    </row>
    <row r="544" spans="1:18" x14ac:dyDescent="0.2">
      <c r="A544" t="s">
        <v>5401</v>
      </c>
      <c r="B544" t="s">
        <v>5402</v>
      </c>
      <c r="D544">
        <v>0</v>
      </c>
      <c r="M544" s="9" t="s">
        <v>4079</v>
      </c>
      <c r="N544" t="s">
        <v>4600</v>
      </c>
      <c r="O544" s="2"/>
      <c r="R544">
        <f t="shared" si="8"/>
        <v>0</v>
      </c>
    </row>
    <row r="545" spans="1:18" x14ac:dyDescent="0.2">
      <c r="A545" t="s">
        <v>5403</v>
      </c>
      <c r="B545" t="s">
        <v>5404</v>
      </c>
      <c r="M545" s="9" t="s">
        <v>4079</v>
      </c>
      <c r="N545" t="s">
        <v>5229</v>
      </c>
      <c r="O545" s="2"/>
      <c r="R545">
        <f t="shared" si="8"/>
        <v>0</v>
      </c>
    </row>
    <row r="546" spans="1:18" x14ac:dyDescent="0.2">
      <c r="A546" t="s">
        <v>5405</v>
      </c>
      <c r="B546" t="s">
        <v>5406</v>
      </c>
      <c r="D546">
        <v>0</v>
      </c>
      <c r="M546" s="9" t="s">
        <v>21</v>
      </c>
      <c r="N546" t="s">
        <v>211</v>
      </c>
      <c r="O546" s="2">
        <v>1</v>
      </c>
      <c r="R546">
        <f t="shared" si="8"/>
        <v>0</v>
      </c>
    </row>
    <row r="547" spans="1:18" x14ac:dyDescent="0.2">
      <c r="A547" t="s">
        <v>5407</v>
      </c>
      <c r="B547" t="s">
        <v>5408</v>
      </c>
      <c r="K547">
        <v>1</v>
      </c>
      <c r="M547" s="9" t="s">
        <v>4079</v>
      </c>
      <c r="N547" t="s">
        <v>5116</v>
      </c>
      <c r="O547" s="2"/>
      <c r="R547">
        <f t="shared" si="8"/>
        <v>0</v>
      </c>
    </row>
    <row r="548" spans="1:18" x14ac:dyDescent="0.2">
      <c r="A548" t="s">
        <v>5409</v>
      </c>
      <c r="B548" t="s">
        <v>5410</v>
      </c>
      <c r="D548">
        <v>0</v>
      </c>
      <c r="K548">
        <v>1</v>
      </c>
      <c r="M548" s="9" t="s">
        <v>21</v>
      </c>
      <c r="N548" t="s">
        <v>211</v>
      </c>
      <c r="O548" s="2">
        <v>1</v>
      </c>
      <c r="R548">
        <f t="shared" si="8"/>
        <v>0</v>
      </c>
    </row>
    <row r="549" spans="1:18" x14ac:dyDescent="0.2">
      <c r="A549" t="s">
        <v>5411</v>
      </c>
      <c r="B549" t="s">
        <v>5412</v>
      </c>
      <c r="D549">
        <v>0</v>
      </c>
      <c r="M549" s="9" t="s">
        <v>21</v>
      </c>
      <c r="N549" t="s">
        <v>211</v>
      </c>
      <c r="O549" s="2">
        <v>1</v>
      </c>
      <c r="R549">
        <f t="shared" si="8"/>
        <v>0</v>
      </c>
    </row>
    <row r="550" spans="1:18" x14ac:dyDescent="0.2">
      <c r="A550" t="s">
        <v>5413</v>
      </c>
      <c r="B550" t="s">
        <v>5414</v>
      </c>
      <c r="K550">
        <v>1</v>
      </c>
      <c r="M550" s="9" t="s">
        <v>4079</v>
      </c>
      <c r="N550" t="s">
        <v>4170</v>
      </c>
      <c r="O550" s="2"/>
      <c r="R550">
        <f t="shared" si="8"/>
        <v>0</v>
      </c>
    </row>
    <row r="551" spans="1:18" x14ac:dyDescent="0.2">
      <c r="A551" t="s">
        <v>5415</v>
      </c>
      <c r="B551" t="s">
        <v>5416</v>
      </c>
      <c r="D551">
        <v>0</v>
      </c>
      <c r="M551" s="9" t="s">
        <v>4079</v>
      </c>
      <c r="N551" t="s">
        <v>5280</v>
      </c>
      <c r="O551" s="2"/>
      <c r="R551">
        <f t="shared" si="8"/>
        <v>0</v>
      </c>
    </row>
    <row r="552" spans="1:18" x14ac:dyDescent="0.2">
      <c r="A552" t="s">
        <v>5417</v>
      </c>
      <c r="B552" t="s">
        <v>5418</v>
      </c>
      <c r="C552" t="s">
        <v>201</v>
      </c>
      <c r="D552">
        <v>0</v>
      </c>
      <c r="M552" s="9" t="s">
        <v>4079</v>
      </c>
      <c r="N552" t="s">
        <v>4658</v>
      </c>
      <c r="O552" s="2"/>
      <c r="R552">
        <f t="shared" si="8"/>
        <v>0</v>
      </c>
    </row>
    <row r="553" spans="1:18" x14ac:dyDescent="0.2">
      <c r="A553" t="s">
        <v>5419</v>
      </c>
      <c r="B553" t="s">
        <v>5420</v>
      </c>
      <c r="D553">
        <v>0</v>
      </c>
      <c r="M553" s="9" t="s">
        <v>4079</v>
      </c>
      <c r="N553" t="s">
        <v>4635</v>
      </c>
      <c r="O553" s="2"/>
      <c r="R553">
        <f t="shared" si="8"/>
        <v>0</v>
      </c>
    </row>
    <row r="554" spans="1:18" x14ac:dyDescent="0.2">
      <c r="A554" t="s">
        <v>5421</v>
      </c>
      <c r="B554" t="s">
        <v>5422</v>
      </c>
      <c r="K554">
        <v>1</v>
      </c>
      <c r="M554" s="9" t="s">
        <v>21</v>
      </c>
      <c r="N554" t="s">
        <v>2724</v>
      </c>
      <c r="O554" s="2">
        <v>1</v>
      </c>
      <c r="R554">
        <f t="shared" si="8"/>
        <v>0</v>
      </c>
    </row>
    <row r="555" spans="1:18" x14ac:dyDescent="0.2">
      <c r="A555" t="s">
        <v>5423</v>
      </c>
      <c r="B555" t="s">
        <v>5424</v>
      </c>
      <c r="D555">
        <v>0</v>
      </c>
      <c r="M555" s="9" t="s">
        <v>4079</v>
      </c>
      <c r="N555" t="s">
        <v>5425</v>
      </c>
      <c r="O555" s="2"/>
      <c r="R555">
        <f t="shared" si="8"/>
        <v>0</v>
      </c>
    </row>
    <row r="556" spans="1:18" x14ac:dyDescent="0.2">
      <c r="A556" t="s">
        <v>5426</v>
      </c>
      <c r="B556" t="s">
        <v>5427</v>
      </c>
      <c r="D556">
        <v>0</v>
      </c>
      <c r="M556" s="9" t="s">
        <v>4079</v>
      </c>
      <c r="N556" t="s">
        <v>5428</v>
      </c>
      <c r="O556" s="2"/>
      <c r="R556">
        <f t="shared" si="8"/>
        <v>0</v>
      </c>
    </row>
    <row r="557" spans="1:18" x14ac:dyDescent="0.2">
      <c r="A557" t="s">
        <v>5429</v>
      </c>
      <c r="B557" t="s">
        <v>5430</v>
      </c>
      <c r="M557" s="9" t="s">
        <v>4079</v>
      </c>
      <c r="N557" t="s">
        <v>4296</v>
      </c>
      <c r="O557" s="2" t="s">
        <v>3896</v>
      </c>
      <c r="R557">
        <f t="shared" si="8"/>
        <v>0</v>
      </c>
    </row>
    <row r="558" spans="1:18" x14ac:dyDescent="0.2">
      <c r="A558" t="s">
        <v>5431</v>
      </c>
      <c r="B558" t="s">
        <v>5432</v>
      </c>
      <c r="K558">
        <v>1</v>
      </c>
      <c r="M558" s="9" t="s">
        <v>4079</v>
      </c>
      <c r="N558" t="s">
        <v>5433</v>
      </c>
      <c r="O558" s="2"/>
      <c r="R558">
        <f t="shared" si="8"/>
        <v>0</v>
      </c>
    </row>
    <row r="559" spans="1:18" x14ac:dyDescent="0.2">
      <c r="A559" t="s">
        <v>5434</v>
      </c>
      <c r="B559" t="s">
        <v>5435</v>
      </c>
      <c r="K559">
        <v>1</v>
      </c>
      <c r="M559" s="9" t="s">
        <v>21</v>
      </c>
      <c r="N559" t="s">
        <v>2724</v>
      </c>
      <c r="O559" s="2">
        <v>1</v>
      </c>
      <c r="R559">
        <f t="shared" si="8"/>
        <v>0</v>
      </c>
    </row>
    <row r="560" spans="1:18" x14ac:dyDescent="0.2">
      <c r="A560" t="s">
        <v>5436</v>
      </c>
      <c r="B560" t="s">
        <v>5437</v>
      </c>
      <c r="D560">
        <v>0</v>
      </c>
      <c r="M560" s="9" t="s">
        <v>4079</v>
      </c>
      <c r="N560" t="s">
        <v>5438</v>
      </c>
      <c r="O560" s="2"/>
      <c r="R560">
        <f t="shared" si="8"/>
        <v>0</v>
      </c>
    </row>
    <row r="561" spans="1:18" x14ac:dyDescent="0.2">
      <c r="A561" t="s">
        <v>5439</v>
      </c>
      <c r="B561" t="s">
        <v>5440</v>
      </c>
      <c r="K561">
        <v>1</v>
      </c>
      <c r="M561" s="9" t="s">
        <v>4079</v>
      </c>
      <c r="N561" t="s">
        <v>4128</v>
      </c>
      <c r="O561" s="2"/>
      <c r="R561">
        <f t="shared" si="8"/>
        <v>0</v>
      </c>
    </row>
    <row r="562" spans="1:18" x14ac:dyDescent="0.2">
      <c r="A562" t="s">
        <v>5441</v>
      </c>
      <c r="B562" t="s">
        <v>5442</v>
      </c>
      <c r="M562" s="9" t="s">
        <v>4079</v>
      </c>
      <c r="N562" t="s">
        <v>5443</v>
      </c>
      <c r="O562" s="2"/>
      <c r="R562">
        <f t="shared" si="8"/>
        <v>0</v>
      </c>
    </row>
    <row r="563" spans="1:18" x14ac:dyDescent="0.2">
      <c r="A563" t="s">
        <v>5444</v>
      </c>
      <c r="B563" t="s">
        <v>5445</v>
      </c>
      <c r="D563">
        <v>0</v>
      </c>
      <c r="K563">
        <v>1</v>
      </c>
      <c r="M563" s="9" t="s">
        <v>21</v>
      </c>
      <c r="N563" t="s">
        <v>2724</v>
      </c>
      <c r="O563" s="2">
        <v>1</v>
      </c>
      <c r="R563">
        <f t="shared" si="8"/>
        <v>0</v>
      </c>
    </row>
    <row r="564" spans="1:18" x14ac:dyDescent="0.2">
      <c r="A564" t="s">
        <v>5446</v>
      </c>
      <c r="B564" t="s">
        <v>5447</v>
      </c>
      <c r="D564">
        <v>0</v>
      </c>
      <c r="M564" s="9" t="s">
        <v>4079</v>
      </c>
      <c r="N564" t="s">
        <v>5229</v>
      </c>
      <c r="O564" s="2"/>
      <c r="R564">
        <f t="shared" si="8"/>
        <v>0</v>
      </c>
    </row>
    <row r="565" spans="1:18" x14ac:dyDescent="0.2">
      <c r="A565" t="s">
        <v>5448</v>
      </c>
      <c r="B565" t="s">
        <v>5449</v>
      </c>
      <c r="D565">
        <v>0</v>
      </c>
      <c r="M565" s="9" t="s">
        <v>4079</v>
      </c>
      <c r="N565" t="s">
        <v>5450</v>
      </c>
      <c r="O565" s="2"/>
      <c r="R565">
        <f t="shared" si="8"/>
        <v>0</v>
      </c>
    </row>
    <row r="566" spans="1:18" x14ac:dyDescent="0.2">
      <c r="A566" t="s">
        <v>5451</v>
      </c>
      <c r="B566" t="s">
        <v>5452</v>
      </c>
      <c r="K566">
        <v>1</v>
      </c>
      <c r="M566" s="9" t="s">
        <v>21</v>
      </c>
      <c r="N566" t="s">
        <v>211</v>
      </c>
      <c r="O566" s="2">
        <v>1</v>
      </c>
      <c r="R566">
        <f t="shared" si="8"/>
        <v>0</v>
      </c>
    </row>
    <row r="567" spans="1:18" x14ac:dyDescent="0.2">
      <c r="A567" t="s">
        <v>5453</v>
      </c>
      <c r="B567" t="s">
        <v>5454</v>
      </c>
      <c r="M567" s="9" t="s">
        <v>21</v>
      </c>
      <c r="N567" t="s">
        <v>211</v>
      </c>
      <c r="O567" s="2">
        <v>1</v>
      </c>
      <c r="R567">
        <f t="shared" si="8"/>
        <v>0</v>
      </c>
    </row>
    <row r="568" spans="1:18" x14ac:dyDescent="0.2">
      <c r="A568" t="s">
        <v>5455</v>
      </c>
      <c r="B568" t="s">
        <v>5456</v>
      </c>
      <c r="M568" s="9" t="s">
        <v>21</v>
      </c>
      <c r="N568" t="s">
        <v>2724</v>
      </c>
      <c r="O568" s="2">
        <v>1</v>
      </c>
      <c r="R568">
        <f t="shared" si="8"/>
        <v>0</v>
      </c>
    </row>
    <row r="569" spans="1:18" x14ac:dyDescent="0.2">
      <c r="A569" t="s">
        <v>5457</v>
      </c>
      <c r="B569" t="s">
        <v>5458</v>
      </c>
      <c r="K569">
        <v>1</v>
      </c>
      <c r="M569" s="9" t="s">
        <v>4079</v>
      </c>
      <c r="N569" t="s">
        <v>4128</v>
      </c>
      <c r="O569" s="2"/>
      <c r="R569">
        <f t="shared" si="8"/>
        <v>0</v>
      </c>
    </row>
    <row r="570" spans="1:18" x14ac:dyDescent="0.2">
      <c r="A570" t="s">
        <v>5459</v>
      </c>
      <c r="B570" t="s">
        <v>5460</v>
      </c>
      <c r="D570">
        <v>0</v>
      </c>
      <c r="M570" s="9" t="s">
        <v>4079</v>
      </c>
      <c r="N570" t="s">
        <v>4482</v>
      </c>
      <c r="O570" s="2"/>
      <c r="R570">
        <f t="shared" si="8"/>
        <v>0</v>
      </c>
    </row>
    <row r="571" spans="1:18" x14ac:dyDescent="0.2">
      <c r="A571" t="s">
        <v>5461</v>
      </c>
      <c r="B571" t="s">
        <v>5462</v>
      </c>
      <c r="M571" s="9" t="s">
        <v>21</v>
      </c>
      <c r="N571" t="s">
        <v>211</v>
      </c>
      <c r="O571" s="2">
        <v>1</v>
      </c>
      <c r="R571">
        <f t="shared" si="8"/>
        <v>0</v>
      </c>
    </row>
    <row r="572" spans="1:18" x14ac:dyDescent="0.2">
      <c r="A572" t="s">
        <v>5463</v>
      </c>
      <c r="B572" t="s">
        <v>5464</v>
      </c>
      <c r="D572">
        <v>0</v>
      </c>
      <c r="K572">
        <v>1</v>
      </c>
      <c r="M572" s="9" t="s">
        <v>21</v>
      </c>
      <c r="N572" t="s">
        <v>4109</v>
      </c>
      <c r="O572" s="2">
        <v>1</v>
      </c>
      <c r="R572">
        <f t="shared" si="8"/>
        <v>0</v>
      </c>
    </row>
    <row r="573" spans="1:18" x14ac:dyDescent="0.2">
      <c r="A573" t="s">
        <v>5465</v>
      </c>
      <c r="B573" t="s">
        <v>5466</v>
      </c>
      <c r="D573">
        <v>0</v>
      </c>
      <c r="M573" s="9" t="s">
        <v>21</v>
      </c>
      <c r="N573" t="s">
        <v>2724</v>
      </c>
      <c r="O573" s="2">
        <v>1</v>
      </c>
      <c r="R573">
        <f t="shared" si="8"/>
        <v>0</v>
      </c>
    </row>
    <row r="574" spans="1:18" x14ac:dyDescent="0.2">
      <c r="A574" t="s">
        <v>5467</v>
      </c>
      <c r="B574" t="s">
        <v>5468</v>
      </c>
      <c r="K574">
        <v>1</v>
      </c>
      <c r="M574" s="9" t="s">
        <v>4079</v>
      </c>
      <c r="N574" t="s">
        <v>5469</v>
      </c>
      <c r="O574" s="2"/>
      <c r="R574">
        <f t="shared" si="8"/>
        <v>0</v>
      </c>
    </row>
    <row r="575" spans="1:18" x14ac:dyDescent="0.2">
      <c r="A575" t="s">
        <v>5470</v>
      </c>
      <c r="B575" t="s">
        <v>5471</v>
      </c>
      <c r="M575" s="9" t="s">
        <v>4079</v>
      </c>
      <c r="N575" t="s">
        <v>5472</v>
      </c>
      <c r="O575" s="2"/>
      <c r="R575">
        <f t="shared" si="8"/>
        <v>0</v>
      </c>
    </row>
    <row r="576" spans="1:18" x14ac:dyDescent="0.2">
      <c r="A576" t="s">
        <v>5473</v>
      </c>
      <c r="B576" t="s">
        <v>5474</v>
      </c>
      <c r="D576">
        <v>0</v>
      </c>
      <c r="M576" s="9" t="s">
        <v>4079</v>
      </c>
      <c r="N576" t="s">
        <v>5475</v>
      </c>
      <c r="O576" s="2"/>
      <c r="R576">
        <f t="shared" si="8"/>
        <v>0</v>
      </c>
    </row>
    <row r="577" spans="1:21" x14ac:dyDescent="0.2">
      <c r="A577" t="s">
        <v>5476</v>
      </c>
      <c r="B577" t="s">
        <v>5477</v>
      </c>
      <c r="K577">
        <v>1</v>
      </c>
      <c r="M577" s="9" t="s">
        <v>4079</v>
      </c>
      <c r="N577" t="s">
        <v>5058</v>
      </c>
      <c r="O577" s="2"/>
      <c r="R577">
        <f t="shared" si="8"/>
        <v>0</v>
      </c>
    </row>
    <row r="578" spans="1:21" x14ac:dyDescent="0.2">
      <c r="A578" t="s">
        <v>5478</v>
      </c>
      <c r="B578" t="s">
        <v>5479</v>
      </c>
      <c r="K578">
        <v>1</v>
      </c>
      <c r="M578" s="9" t="s">
        <v>4079</v>
      </c>
      <c r="N578" t="s">
        <v>5067</v>
      </c>
      <c r="O578" s="2"/>
      <c r="R578">
        <f t="shared" ref="R578:R590" si="9">IF(_xlfn.BITAND(P578&gt;0.4999, Q578&gt;0.4999)=1,1,0)</f>
        <v>0</v>
      </c>
    </row>
    <row r="579" spans="1:21" x14ac:dyDescent="0.2">
      <c r="A579" t="s">
        <v>5480</v>
      </c>
      <c r="B579" t="s">
        <v>5481</v>
      </c>
      <c r="C579" t="s">
        <v>201</v>
      </c>
      <c r="K579">
        <v>1</v>
      </c>
      <c r="M579" s="9" t="s">
        <v>21</v>
      </c>
      <c r="N579" t="s">
        <v>211</v>
      </c>
      <c r="O579" s="2">
        <v>1</v>
      </c>
      <c r="R579">
        <f t="shared" si="9"/>
        <v>0</v>
      </c>
    </row>
    <row r="580" spans="1:21" x14ac:dyDescent="0.2">
      <c r="A580" t="s">
        <v>5482</v>
      </c>
      <c r="B580" t="s">
        <v>5483</v>
      </c>
      <c r="K580">
        <v>1</v>
      </c>
      <c r="M580" s="9" t="s">
        <v>21</v>
      </c>
      <c r="N580" t="s">
        <v>77</v>
      </c>
      <c r="O580" s="2">
        <v>1</v>
      </c>
      <c r="R580">
        <f t="shared" si="9"/>
        <v>0</v>
      </c>
    </row>
    <row r="581" spans="1:21" x14ac:dyDescent="0.2">
      <c r="A581" t="s">
        <v>5484</v>
      </c>
      <c r="B581" t="s">
        <v>5485</v>
      </c>
      <c r="M581" s="9" t="s">
        <v>4079</v>
      </c>
      <c r="N581" t="s">
        <v>5486</v>
      </c>
      <c r="O581" s="2"/>
      <c r="R581">
        <f t="shared" si="9"/>
        <v>0</v>
      </c>
    </row>
    <row r="582" spans="1:21" x14ac:dyDescent="0.2">
      <c r="A582" t="s">
        <v>5487</v>
      </c>
      <c r="B582" t="s">
        <v>5488</v>
      </c>
      <c r="M582" s="9" t="s">
        <v>4079</v>
      </c>
      <c r="N582" t="s">
        <v>4296</v>
      </c>
      <c r="O582" s="2" t="s">
        <v>3896</v>
      </c>
      <c r="R582">
        <f t="shared" si="9"/>
        <v>0</v>
      </c>
    </row>
    <row r="583" spans="1:21" x14ac:dyDescent="0.2">
      <c r="A583" t="s">
        <v>5489</v>
      </c>
      <c r="B583" t="s">
        <v>5490</v>
      </c>
      <c r="K583">
        <v>1</v>
      </c>
      <c r="M583" s="9" t="s">
        <v>4079</v>
      </c>
      <c r="N583" t="s">
        <v>5475</v>
      </c>
      <c r="O583" s="2"/>
      <c r="R583">
        <f t="shared" si="9"/>
        <v>0</v>
      </c>
    </row>
    <row r="584" spans="1:21" x14ac:dyDescent="0.2">
      <c r="A584" t="s">
        <v>5491</v>
      </c>
      <c r="B584" t="s">
        <v>5492</v>
      </c>
      <c r="D584">
        <v>0</v>
      </c>
      <c r="M584" s="9" t="s">
        <v>4079</v>
      </c>
      <c r="N584" t="s">
        <v>4345</v>
      </c>
      <c r="O584" s="2"/>
      <c r="R584">
        <f t="shared" si="9"/>
        <v>0</v>
      </c>
    </row>
    <row r="585" spans="1:21" x14ac:dyDescent="0.2">
      <c r="A585" t="s">
        <v>5493</v>
      </c>
      <c r="B585" t="s">
        <v>5494</v>
      </c>
      <c r="D585">
        <v>0</v>
      </c>
      <c r="M585" s="9" t="s">
        <v>21</v>
      </c>
      <c r="N585" t="s">
        <v>4451</v>
      </c>
      <c r="O585" s="2">
        <v>1</v>
      </c>
      <c r="R585">
        <f t="shared" si="9"/>
        <v>0</v>
      </c>
    </row>
    <row r="586" spans="1:21" x14ac:dyDescent="0.2">
      <c r="A586" t="s">
        <v>5495</v>
      </c>
      <c r="B586" t="s">
        <v>5496</v>
      </c>
      <c r="K586">
        <v>1</v>
      </c>
      <c r="M586" s="9" t="s">
        <v>4079</v>
      </c>
      <c r="N586" t="s">
        <v>4687</v>
      </c>
      <c r="O586" s="2"/>
      <c r="R586">
        <f t="shared" si="9"/>
        <v>0</v>
      </c>
    </row>
    <row r="587" spans="1:21" x14ac:dyDescent="0.2">
      <c r="A587" t="s">
        <v>5497</v>
      </c>
      <c r="B587" t="s">
        <v>5498</v>
      </c>
      <c r="D587">
        <v>0</v>
      </c>
      <c r="M587" s="9" t="s">
        <v>21</v>
      </c>
      <c r="N587" t="s">
        <v>5499</v>
      </c>
      <c r="O587" s="2">
        <v>1</v>
      </c>
      <c r="R587">
        <f t="shared" si="9"/>
        <v>0</v>
      </c>
    </row>
    <row r="588" spans="1:21" x14ac:dyDescent="0.2">
      <c r="A588" t="s">
        <v>5500</v>
      </c>
      <c r="B588" t="s">
        <v>5501</v>
      </c>
      <c r="K588">
        <v>1</v>
      </c>
      <c r="M588" s="9" t="s">
        <v>4079</v>
      </c>
      <c r="N588" t="s">
        <v>5502</v>
      </c>
      <c r="O588" s="2"/>
      <c r="R588">
        <f t="shared" si="9"/>
        <v>0</v>
      </c>
    </row>
    <row r="589" spans="1:21" x14ac:dyDescent="0.2">
      <c r="A589" t="s">
        <v>5503</v>
      </c>
      <c r="B589" t="s">
        <v>5504</v>
      </c>
      <c r="K589">
        <v>1</v>
      </c>
      <c r="M589" s="9" t="s">
        <v>4079</v>
      </c>
      <c r="N589" t="s">
        <v>4288</v>
      </c>
      <c r="O589" s="2"/>
      <c r="R589">
        <f t="shared" si="9"/>
        <v>0</v>
      </c>
    </row>
    <row r="590" spans="1:21" x14ac:dyDescent="0.2">
      <c r="R590">
        <f t="shared" si="9"/>
        <v>0</v>
      </c>
    </row>
    <row r="591" spans="1:21" ht="16" x14ac:dyDescent="0.2">
      <c r="A591" s="55"/>
      <c r="B591" s="81"/>
      <c r="C591" s="82"/>
      <c r="D591" s="82"/>
      <c r="E591" s="82"/>
      <c r="F591" s="82"/>
      <c r="G591" s="82"/>
      <c r="H591" s="82"/>
      <c r="I591" s="82"/>
      <c r="J591" s="82"/>
      <c r="K591" s="83"/>
      <c r="L591" s="82"/>
      <c r="M591" s="82"/>
      <c r="N591" s="82"/>
      <c r="O591" s="84"/>
      <c r="P591" s="84"/>
      <c r="Q591" s="84"/>
      <c r="S591" s="85"/>
      <c r="T591" s="55"/>
      <c r="U591" s="55"/>
    </row>
    <row r="592" spans="1:21" x14ac:dyDescent="0.2">
      <c r="B592" s="81"/>
      <c r="C592" s="81"/>
      <c r="D592" s="81"/>
      <c r="E592" s="81"/>
      <c r="F592" s="81"/>
      <c r="G592" s="81"/>
      <c r="H592" s="81"/>
      <c r="I592" s="81"/>
      <c r="J592" s="81"/>
      <c r="K592" s="83"/>
      <c r="L592" s="81"/>
      <c r="M592" s="81"/>
      <c r="N592" s="81"/>
      <c r="O592" s="86"/>
      <c r="P592" s="86"/>
      <c r="Q592" s="86"/>
      <c r="S592" s="81"/>
    </row>
    <row r="593" spans="2:19" x14ac:dyDescent="0.2">
      <c r="B593" s="81"/>
      <c r="C593" s="81"/>
      <c r="D593" s="81"/>
      <c r="E593" s="81"/>
      <c r="F593" s="81"/>
      <c r="G593" s="81"/>
      <c r="H593" s="81"/>
      <c r="I593" s="81"/>
      <c r="J593" s="81"/>
      <c r="K593" s="83"/>
      <c r="L593" s="81"/>
      <c r="M593" s="81"/>
      <c r="N593" s="81"/>
      <c r="O593" s="86"/>
      <c r="P593" s="86"/>
      <c r="Q593" s="86"/>
      <c r="S593" s="81"/>
    </row>
    <row r="594" spans="2:19" x14ac:dyDescent="0.2">
      <c r="B594" s="81"/>
      <c r="C594" s="81"/>
      <c r="D594" s="81"/>
      <c r="E594" s="81"/>
      <c r="F594" s="81"/>
      <c r="G594" s="81"/>
      <c r="H594" s="81"/>
      <c r="I594" s="81"/>
      <c r="J594" s="81"/>
      <c r="K594" s="83"/>
      <c r="L594" s="81"/>
      <c r="M594" s="81"/>
      <c r="N594" s="81"/>
      <c r="O594" s="86"/>
      <c r="P594" s="86"/>
      <c r="Q594" s="86"/>
      <c r="S594" s="81"/>
    </row>
    <row r="595" spans="2:19" x14ac:dyDescent="0.2">
      <c r="B595" s="81"/>
      <c r="C595" s="81"/>
      <c r="D595" s="81"/>
      <c r="E595" s="81"/>
      <c r="F595" s="81"/>
      <c r="G595" s="81"/>
      <c r="H595" s="81"/>
      <c r="I595" s="81"/>
      <c r="J595" s="81"/>
      <c r="K595" s="83"/>
      <c r="L595" s="81"/>
      <c r="M595" s="81"/>
      <c r="N595" s="81"/>
      <c r="O595" s="86"/>
      <c r="P595" s="86"/>
      <c r="Q595" s="86"/>
      <c r="S595" s="81"/>
    </row>
    <row r="596" spans="2:19" x14ac:dyDescent="0.2">
      <c r="B596" s="81"/>
      <c r="C596" s="81"/>
      <c r="D596" s="81"/>
      <c r="E596" s="81"/>
      <c r="F596" s="81"/>
      <c r="G596" s="81"/>
      <c r="H596" s="81"/>
      <c r="I596" s="81"/>
      <c r="J596" s="81"/>
      <c r="K596" s="83"/>
      <c r="L596" s="81"/>
      <c r="M596" s="81"/>
      <c r="N596" s="81"/>
      <c r="O596" s="86"/>
      <c r="P596" s="86"/>
      <c r="Q596" s="86"/>
      <c r="S596" s="81"/>
    </row>
    <row r="597" spans="2:19" x14ac:dyDescent="0.2">
      <c r="B597" s="81"/>
      <c r="C597" s="81"/>
      <c r="D597" s="81"/>
      <c r="E597" s="81"/>
      <c r="F597" s="81"/>
      <c r="G597" s="81"/>
      <c r="H597" s="81"/>
      <c r="I597" s="81"/>
      <c r="J597" s="81"/>
      <c r="K597" s="83"/>
      <c r="L597" s="81"/>
      <c r="M597" s="81"/>
      <c r="N597" s="81"/>
      <c r="O597" s="86"/>
      <c r="P597" s="86"/>
      <c r="Q597" s="86"/>
      <c r="S597" s="81"/>
    </row>
    <row r="598" spans="2:19" x14ac:dyDescent="0.2">
      <c r="B598" s="81"/>
      <c r="C598" s="81"/>
      <c r="D598" s="81"/>
      <c r="E598" s="81"/>
      <c r="F598" s="81"/>
      <c r="G598" s="81"/>
      <c r="H598" s="81"/>
      <c r="I598" s="81"/>
      <c r="J598" s="81"/>
      <c r="K598" s="83"/>
      <c r="L598" s="81"/>
      <c r="M598" s="81"/>
      <c r="N598" s="81"/>
      <c r="O598" s="86"/>
      <c r="P598" s="86"/>
      <c r="Q598" s="86"/>
      <c r="S598" s="81"/>
    </row>
    <row r="599" spans="2:19" x14ac:dyDescent="0.2">
      <c r="B599" s="81"/>
      <c r="C599" s="81"/>
      <c r="D599" s="81"/>
      <c r="E599" s="81"/>
      <c r="F599" s="81"/>
      <c r="G599" s="81"/>
      <c r="H599" s="81"/>
      <c r="I599" s="81"/>
      <c r="J599" s="81"/>
      <c r="K599" s="83"/>
      <c r="L599" s="81"/>
      <c r="M599" s="81"/>
      <c r="N599" s="81"/>
      <c r="O599" s="86"/>
      <c r="P599" s="86"/>
      <c r="Q599" s="86"/>
      <c r="S599" s="81"/>
    </row>
    <row r="600" spans="2:19" x14ac:dyDescent="0.2">
      <c r="B600" s="81"/>
      <c r="C600" s="81"/>
      <c r="D600" s="81"/>
      <c r="E600" s="81"/>
      <c r="F600" s="81"/>
      <c r="G600" s="81"/>
      <c r="H600" s="81"/>
      <c r="I600" s="81"/>
      <c r="J600" s="81"/>
      <c r="K600" s="83"/>
      <c r="L600" s="81"/>
      <c r="M600" s="81"/>
      <c r="N600" s="81"/>
      <c r="O600" s="86"/>
      <c r="P600" s="86"/>
      <c r="Q600" s="86"/>
      <c r="S600" s="81"/>
    </row>
    <row r="601" spans="2:19" x14ac:dyDescent="0.2">
      <c r="B601" s="81"/>
      <c r="C601" s="81"/>
      <c r="D601" s="81"/>
      <c r="E601" s="81"/>
      <c r="F601" s="81"/>
      <c r="G601" s="81"/>
      <c r="H601" s="81"/>
      <c r="I601" s="81"/>
      <c r="J601" s="81"/>
      <c r="K601" s="83"/>
      <c r="L601" s="81"/>
      <c r="M601" s="81"/>
      <c r="N601" s="81"/>
      <c r="O601" s="86"/>
      <c r="P601" s="86"/>
      <c r="Q601" s="86"/>
      <c r="S601" s="81"/>
    </row>
    <row r="602" spans="2:19" x14ac:dyDescent="0.2">
      <c r="B602" s="81"/>
      <c r="C602" s="81"/>
      <c r="D602" s="81"/>
      <c r="E602" s="81"/>
      <c r="F602" s="81"/>
      <c r="G602" s="81"/>
      <c r="H602" s="81"/>
      <c r="I602" s="81"/>
      <c r="J602" s="81"/>
      <c r="K602" s="83"/>
      <c r="L602" s="81"/>
      <c r="M602" s="81"/>
      <c r="N602" s="81"/>
      <c r="O602" s="86"/>
      <c r="P602" s="86"/>
      <c r="Q602" s="86"/>
      <c r="S602" s="81"/>
    </row>
    <row r="603" spans="2:19" x14ac:dyDescent="0.2">
      <c r="B603" s="81"/>
      <c r="C603" s="81"/>
      <c r="D603" s="81"/>
      <c r="E603" s="81"/>
      <c r="F603" s="81"/>
      <c r="G603" s="81"/>
      <c r="H603" s="81"/>
      <c r="I603" s="81"/>
      <c r="J603" s="81"/>
      <c r="K603" s="83"/>
      <c r="L603" s="81"/>
      <c r="M603" s="81"/>
      <c r="N603" s="81"/>
      <c r="O603" s="86"/>
      <c r="P603" s="86"/>
      <c r="Q603" s="86"/>
      <c r="S603" s="81"/>
    </row>
    <row r="604" spans="2:19" x14ac:dyDescent="0.2">
      <c r="B604" s="81"/>
      <c r="C604" s="81"/>
      <c r="D604" s="81"/>
      <c r="E604" s="81"/>
      <c r="F604" s="81"/>
      <c r="G604" s="81"/>
      <c r="H604" s="81"/>
      <c r="I604" s="81"/>
      <c r="J604" s="81"/>
      <c r="K604" s="83"/>
      <c r="L604" s="81"/>
      <c r="M604" s="81"/>
      <c r="N604" s="81"/>
      <c r="O604" s="86"/>
      <c r="P604" s="86"/>
      <c r="Q604" s="86"/>
      <c r="S604" s="81"/>
    </row>
    <row r="605" spans="2:19" x14ac:dyDescent="0.2">
      <c r="B605" s="81"/>
      <c r="C605" s="81"/>
      <c r="D605" s="81"/>
      <c r="E605" s="81"/>
      <c r="F605" s="81"/>
      <c r="G605" s="81"/>
      <c r="H605" s="81"/>
      <c r="I605" s="81"/>
      <c r="J605" s="81"/>
      <c r="K605" s="83"/>
      <c r="L605" s="81"/>
      <c r="M605" s="81"/>
      <c r="N605" s="81"/>
      <c r="O605" s="86"/>
      <c r="P605" s="86"/>
      <c r="Q605" s="86"/>
      <c r="S605" s="81"/>
    </row>
    <row r="606" spans="2:19" x14ac:dyDescent="0.2">
      <c r="B606" s="81"/>
      <c r="C606" s="81"/>
      <c r="D606" s="81"/>
      <c r="E606" s="81"/>
      <c r="F606" s="81"/>
      <c r="G606" s="81"/>
      <c r="H606" s="81"/>
      <c r="I606" s="81"/>
      <c r="J606" s="81"/>
      <c r="K606" s="83"/>
      <c r="L606" s="81"/>
      <c r="M606" s="81"/>
      <c r="N606" s="81"/>
      <c r="O606" s="86"/>
      <c r="P606" s="86"/>
      <c r="Q606" s="86"/>
      <c r="S606" s="81"/>
    </row>
    <row r="607" spans="2:19" x14ac:dyDescent="0.2">
      <c r="B607" s="81"/>
      <c r="C607" s="81"/>
      <c r="D607" s="81"/>
      <c r="E607" s="81"/>
      <c r="F607" s="81"/>
      <c r="G607" s="81"/>
      <c r="H607" s="81"/>
      <c r="I607" s="81"/>
      <c r="J607" s="81"/>
      <c r="K607" s="83"/>
      <c r="L607" s="81"/>
      <c r="M607" s="81"/>
      <c r="N607" s="81"/>
      <c r="O607" s="86"/>
      <c r="P607" s="86"/>
      <c r="Q607" s="86"/>
      <c r="S607" s="81"/>
    </row>
    <row r="608" spans="2:19" x14ac:dyDescent="0.2">
      <c r="B608" s="81"/>
      <c r="C608" s="81"/>
      <c r="D608" s="81"/>
      <c r="E608" s="81"/>
      <c r="F608" s="81"/>
      <c r="G608" s="81"/>
      <c r="H608" s="81"/>
      <c r="I608" s="81"/>
      <c r="J608" s="81"/>
      <c r="K608" s="83"/>
      <c r="L608" s="81"/>
      <c r="M608" s="81"/>
      <c r="N608" s="81"/>
      <c r="O608" s="86"/>
      <c r="P608" s="86"/>
      <c r="Q608" s="86"/>
      <c r="S608" s="81"/>
    </row>
    <row r="609" spans="2:19" x14ac:dyDescent="0.2">
      <c r="B609" s="81"/>
      <c r="C609" s="81"/>
      <c r="D609" s="81"/>
      <c r="E609" s="81"/>
      <c r="F609" s="81"/>
      <c r="G609" s="81"/>
      <c r="H609" s="81"/>
      <c r="I609" s="81"/>
      <c r="J609" s="81"/>
      <c r="K609" s="83"/>
      <c r="L609" s="81"/>
      <c r="M609" s="81"/>
      <c r="N609" s="81"/>
      <c r="O609" s="86"/>
      <c r="P609" s="86"/>
      <c r="Q609" s="86"/>
      <c r="S609" s="81"/>
    </row>
    <row r="610" spans="2:19" x14ac:dyDescent="0.2">
      <c r="B610" s="81"/>
      <c r="C610" s="81"/>
      <c r="D610" s="81"/>
      <c r="E610" s="81"/>
      <c r="F610" s="81"/>
      <c r="G610" s="81"/>
      <c r="H610" s="81"/>
      <c r="I610" s="81"/>
      <c r="J610" s="81"/>
      <c r="K610" s="83"/>
      <c r="L610" s="81"/>
      <c r="M610" s="81"/>
      <c r="N610" s="81"/>
      <c r="O610" s="86"/>
      <c r="P610" s="86"/>
      <c r="Q610" s="86"/>
      <c r="S610" s="81"/>
    </row>
    <row r="611" spans="2:19" x14ac:dyDescent="0.2">
      <c r="B611" s="81"/>
      <c r="C611" s="81"/>
      <c r="D611" s="81"/>
      <c r="E611" s="81"/>
      <c r="F611" s="81"/>
      <c r="G611" s="81"/>
      <c r="H611" s="81"/>
      <c r="I611" s="81"/>
      <c r="J611" s="81"/>
      <c r="K611" s="83"/>
      <c r="L611" s="81"/>
      <c r="M611" s="81"/>
      <c r="N611" s="81"/>
      <c r="O611" s="86"/>
      <c r="P611" s="86"/>
      <c r="Q611" s="86"/>
      <c r="S611" s="81"/>
    </row>
    <row r="612" spans="2:19" x14ac:dyDescent="0.2">
      <c r="B612" s="81"/>
      <c r="C612" s="81"/>
      <c r="D612" s="81"/>
      <c r="E612" s="81"/>
      <c r="F612" s="81"/>
      <c r="G612" s="81"/>
      <c r="H612" s="81"/>
      <c r="I612" s="81"/>
      <c r="J612" s="81"/>
      <c r="K612" s="83"/>
      <c r="L612" s="81"/>
      <c r="M612" s="81"/>
      <c r="N612" s="81"/>
      <c r="O612" s="86"/>
      <c r="P612" s="86"/>
      <c r="Q612" s="86"/>
      <c r="S612" s="81"/>
    </row>
    <row r="613" spans="2:19" x14ac:dyDescent="0.2">
      <c r="B613" s="81"/>
      <c r="C613" s="81"/>
      <c r="D613" s="81"/>
      <c r="E613" s="81"/>
      <c r="F613" s="81"/>
      <c r="G613" s="81"/>
      <c r="H613" s="81"/>
      <c r="I613" s="81"/>
      <c r="J613" s="81"/>
      <c r="K613" s="83"/>
      <c r="L613" s="81"/>
      <c r="M613" s="81"/>
      <c r="N613" s="81"/>
      <c r="O613" s="86"/>
      <c r="P613" s="86"/>
      <c r="Q613" s="86"/>
      <c r="S613" s="81"/>
    </row>
  </sheetData>
  <autoFilter ref="A1:R613" xr:uid="{7329AE6E-2F06-477C-9309-26C082D3A3DC}">
    <sortState xmlns:xlrd2="http://schemas.microsoft.com/office/spreadsheetml/2017/richdata2" ref="A2:R613">
      <sortCondition descending="1" ref="R1:R613"/>
    </sortState>
  </autoFilter>
  <sortState xmlns:xlrd2="http://schemas.microsoft.com/office/spreadsheetml/2017/richdata2" ref="A2:R7">
    <sortCondition descending="1" ref="L2:L7"/>
  </sortState>
  <hyperlinks>
    <hyperlink ref="B26" r:id="rId1" xr:uid="{7624AB72-EB10-4DA9-99D7-4CC24E5DB91A}"/>
    <hyperlink ref="B27" r:id="rId2" xr:uid="{A1D3267C-77E3-432A-A5B3-9432E7E579B2}"/>
    <hyperlink ref="B7" r:id="rId3" xr:uid="{D5EDF688-BAA3-2045-9811-C820038AA65B}"/>
    <hyperlink ref="B167" r:id="rId4" xr:uid="{C2EE8C31-3307-0D4F-8357-9F4ECB297FC0}"/>
    <hyperlink ref="B232" r:id="rId5" xr:uid="{85518F9A-C2D1-3D42-9CDD-BB4FA085C3B0}"/>
    <hyperlink ref="B194" r:id="rId6" xr:uid="{15E7604C-C123-8A42-8580-61D93834900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2ACB0-A763-43EE-94FF-23BC920A409B}">
  <dimension ref="A1:R1479"/>
  <sheetViews>
    <sheetView topLeftCell="A260" zoomScale="103" zoomScaleNormal="85" workbookViewId="0">
      <selection activeCell="U28" sqref="U28"/>
    </sheetView>
  </sheetViews>
  <sheetFormatPr baseColWidth="10" defaultColWidth="8.83203125" defaultRowHeight="15" x14ac:dyDescent="0.2"/>
  <cols>
    <col min="1" max="1" width="74.33203125" style="87" customWidth="1"/>
    <col min="2" max="2" width="22" style="4" customWidth="1"/>
    <col min="3" max="3" width="12" customWidth="1"/>
    <col min="4" max="4" width="3.6640625" bestFit="1" customWidth="1"/>
    <col min="5" max="5" width="3.83203125" bestFit="1" customWidth="1"/>
    <col min="6" max="9" width="3.6640625" bestFit="1" customWidth="1"/>
    <col min="10" max="10" width="3.83203125" style="5" bestFit="1" customWidth="1"/>
    <col min="11" max="11" width="7.6640625" bestFit="1" customWidth="1"/>
    <col min="12" max="12" width="7.33203125" bestFit="1" customWidth="1"/>
    <col min="15" max="15" width="4.83203125" style="7" bestFit="1" customWidth="1"/>
    <col min="16" max="16" width="4.83203125" bestFit="1" customWidth="1"/>
    <col min="17" max="17" width="7.6640625" bestFit="1" customWidth="1"/>
    <col min="18" max="18" width="9" bestFit="1" customWidth="1"/>
  </cols>
  <sheetData>
    <row r="1" spans="1:18" x14ac:dyDescent="0.2">
      <c r="A1" s="66" t="s">
        <v>0</v>
      </c>
      <c r="B1" s="58" t="s">
        <v>1</v>
      </c>
      <c r="C1" s="58" t="s">
        <v>2</v>
      </c>
      <c r="D1" s="58" t="s">
        <v>3</v>
      </c>
      <c r="E1" s="58" t="s">
        <v>4</v>
      </c>
      <c r="F1" s="58" t="s">
        <v>5</v>
      </c>
      <c r="G1" s="58" t="s">
        <v>6</v>
      </c>
      <c r="H1" s="58" t="s">
        <v>7</v>
      </c>
      <c r="I1" s="58" t="s">
        <v>8</v>
      </c>
      <c r="J1" s="59" t="s">
        <v>9</v>
      </c>
      <c r="K1" s="58" t="s">
        <v>10</v>
      </c>
      <c r="L1" s="58" t="s">
        <v>11</v>
      </c>
      <c r="M1" s="58" t="s">
        <v>12</v>
      </c>
      <c r="N1" s="58" t="s">
        <v>13</v>
      </c>
      <c r="O1" s="71" t="s">
        <v>14</v>
      </c>
      <c r="P1" s="58" t="s">
        <v>15</v>
      </c>
      <c r="Q1" s="58" t="s">
        <v>16</v>
      </c>
      <c r="R1" s="58" t="s">
        <v>17</v>
      </c>
    </row>
    <row r="2" spans="1:18" x14ac:dyDescent="0.2">
      <c r="A2" s="87" t="s">
        <v>850</v>
      </c>
      <c r="C2" t="s">
        <v>20</v>
      </c>
      <c r="D2" s="5">
        <f>Info!$B$48</f>
        <v>1</v>
      </c>
      <c r="E2" s="5">
        <f>Info!$B$53</f>
        <v>1</v>
      </c>
      <c r="F2" s="5"/>
      <c r="G2" s="5"/>
      <c r="H2" s="5"/>
      <c r="I2" s="5"/>
      <c r="L2">
        <v>2</v>
      </c>
      <c r="M2" t="s">
        <v>21</v>
      </c>
      <c r="N2" t="s">
        <v>852</v>
      </c>
      <c r="O2" s="72">
        <v>1</v>
      </c>
      <c r="P2">
        <f>(D2+E2)/2</f>
        <v>1</v>
      </c>
      <c r="Q2" s="7">
        <f t="shared" ref="Q2:Q11" si="0">(O2+P2)/2</f>
        <v>1</v>
      </c>
      <c r="R2">
        <f t="shared" ref="R2:R65" si="1">IF(_xlfn.BITAND(P2&gt;0.4999, Q2&gt;0.4999)=1,1,0)</f>
        <v>1</v>
      </c>
    </row>
    <row r="3" spans="1:18" x14ac:dyDescent="0.2">
      <c r="A3" s="67" t="s">
        <v>801</v>
      </c>
      <c r="B3" s="52" t="s">
        <v>802</v>
      </c>
      <c r="C3" t="s">
        <v>184</v>
      </c>
      <c r="D3" s="5">
        <f>Info!$B$16</f>
        <v>1</v>
      </c>
      <c r="E3" s="5">
        <f>Info!$B$21</f>
        <v>0.3</v>
      </c>
      <c r="F3" s="5">
        <f>Info!$B$27</f>
        <v>0</v>
      </c>
      <c r="G3" s="5">
        <f>Info!$B$29</f>
        <v>1</v>
      </c>
      <c r="H3" s="5">
        <f>Info!$B$36</f>
        <v>0.3</v>
      </c>
      <c r="I3" s="5">
        <f>Info!$B$39</f>
        <v>1</v>
      </c>
      <c r="J3" s="5">
        <f>Info!$B$44</f>
        <v>0</v>
      </c>
      <c r="L3">
        <v>1.2</v>
      </c>
      <c r="M3" t="s">
        <v>21</v>
      </c>
      <c r="N3" t="s">
        <v>51</v>
      </c>
      <c r="O3" s="72">
        <v>1</v>
      </c>
      <c r="P3" s="7">
        <f>(D3+E3+F3+G3+H3+I3+J3)/7</f>
        <v>0.51428571428571423</v>
      </c>
      <c r="Q3" s="7">
        <f t="shared" si="0"/>
        <v>0.75714285714285712</v>
      </c>
      <c r="R3">
        <f t="shared" si="1"/>
        <v>1</v>
      </c>
    </row>
    <row r="4" spans="1:18" x14ac:dyDescent="0.2">
      <c r="A4" s="87" t="s">
        <v>1318</v>
      </c>
      <c r="B4" s="52" t="s">
        <v>1319</v>
      </c>
      <c r="C4" t="s">
        <v>20</v>
      </c>
      <c r="D4" s="5">
        <f>Info!$B$51</f>
        <v>0</v>
      </c>
      <c r="E4" s="5">
        <f>Info!$B$53</f>
        <v>1</v>
      </c>
      <c r="F4" s="5"/>
      <c r="G4" s="5"/>
      <c r="H4" s="5"/>
      <c r="I4" s="5"/>
      <c r="L4" s="2" t="s">
        <v>25</v>
      </c>
      <c r="M4" t="s">
        <v>21</v>
      </c>
      <c r="N4" t="s">
        <v>1320</v>
      </c>
      <c r="O4" s="7">
        <v>1</v>
      </c>
      <c r="P4" s="7">
        <f t="shared" ref="P4:P13" si="2">(D4+E4)/2</f>
        <v>0.5</v>
      </c>
      <c r="Q4" s="7">
        <f t="shared" si="0"/>
        <v>0.75</v>
      </c>
      <c r="R4">
        <f t="shared" si="1"/>
        <v>1</v>
      </c>
    </row>
    <row r="5" spans="1:18" x14ac:dyDescent="0.2">
      <c r="A5" s="87" t="s">
        <v>822</v>
      </c>
      <c r="C5" t="s">
        <v>20</v>
      </c>
      <c r="D5" s="5">
        <f>Info!$B$48</f>
        <v>1</v>
      </c>
      <c r="E5" s="5">
        <f>Info!$B$53</f>
        <v>1</v>
      </c>
      <c r="F5" s="5"/>
      <c r="G5" s="5"/>
      <c r="H5" s="5"/>
      <c r="I5" s="5"/>
      <c r="L5" s="2" t="s">
        <v>25</v>
      </c>
      <c r="M5" t="s">
        <v>21</v>
      </c>
      <c r="N5" t="s">
        <v>51</v>
      </c>
      <c r="O5" s="72">
        <v>1</v>
      </c>
      <c r="P5">
        <f t="shared" si="2"/>
        <v>1</v>
      </c>
      <c r="Q5" s="7">
        <f t="shared" si="0"/>
        <v>1</v>
      </c>
      <c r="R5">
        <f t="shared" si="1"/>
        <v>1</v>
      </c>
    </row>
    <row r="6" spans="1:18" x14ac:dyDescent="0.2">
      <c r="A6" s="87" t="s">
        <v>1311</v>
      </c>
      <c r="B6" s="52" t="s">
        <v>1312</v>
      </c>
      <c r="C6" t="s">
        <v>20</v>
      </c>
      <c r="D6" s="5">
        <f>Info!$B$51</f>
        <v>0</v>
      </c>
      <c r="E6" s="5">
        <f>Info!$B$53</f>
        <v>1</v>
      </c>
      <c r="F6" s="5"/>
      <c r="G6" s="5"/>
      <c r="H6" s="5"/>
      <c r="I6" s="5"/>
      <c r="L6" s="2" t="s">
        <v>25</v>
      </c>
      <c r="M6" t="s">
        <v>21</v>
      </c>
      <c r="N6" t="s">
        <v>1313</v>
      </c>
      <c r="O6" s="7">
        <v>0.5</v>
      </c>
      <c r="P6" s="7">
        <f t="shared" si="2"/>
        <v>0.5</v>
      </c>
      <c r="Q6" s="7">
        <f t="shared" si="0"/>
        <v>0.5</v>
      </c>
      <c r="R6">
        <f t="shared" si="1"/>
        <v>1</v>
      </c>
    </row>
    <row r="7" spans="1:18" x14ac:dyDescent="0.2">
      <c r="A7" s="87" t="s">
        <v>1314</v>
      </c>
      <c r="B7" s="52" t="s">
        <v>1315</v>
      </c>
      <c r="C7" t="s">
        <v>20</v>
      </c>
      <c r="D7" s="5">
        <f>Info!$B$51</f>
        <v>0</v>
      </c>
      <c r="E7" s="5">
        <f>Info!$B$53</f>
        <v>1</v>
      </c>
      <c r="F7" s="5"/>
      <c r="G7" s="5"/>
      <c r="H7" s="5"/>
      <c r="I7" s="5"/>
      <c r="L7" s="2" t="s">
        <v>25</v>
      </c>
      <c r="M7" t="s">
        <v>21</v>
      </c>
      <c r="N7" t="s">
        <v>236</v>
      </c>
      <c r="O7" s="7">
        <v>1</v>
      </c>
      <c r="P7" s="7">
        <f t="shared" si="2"/>
        <v>0.5</v>
      </c>
      <c r="Q7" s="7">
        <f t="shared" si="0"/>
        <v>0.75</v>
      </c>
      <c r="R7">
        <f t="shared" si="1"/>
        <v>1</v>
      </c>
    </row>
    <row r="8" spans="1:18" x14ac:dyDescent="0.2">
      <c r="A8" s="87" t="s">
        <v>1324</v>
      </c>
      <c r="B8" s="52" t="s">
        <v>1325</v>
      </c>
      <c r="C8" t="s">
        <v>20</v>
      </c>
      <c r="D8" s="5">
        <f>Info!$B$51</f>
        <v>0</v>
      </c>
      <c r="E8" s="5">
        <f>Info!$B$53</f>
        <v>1</v>
      </c>
      <c r="F8" s="5"/>
      <c r="G8" s="5"/>
      <c r="H8" s="5"/>
      <c r="I8" s="5"/>
      <c r="L8">
        <v>1</v>
      </c>
      <c r="M8" t="s">
        <v>21</v>
      </c>
      <c r="N8" t="s">
        <v>51</v>
      </c>
      <c r="O8" s="7">
        <v>1</v>
      </c>
      <c r="P8" s="7">
        <f t="shared" si="2"/>
        <v>0.5</v>
      </c>
      <c r="Q8" s="7">
        <f t="shared" si="0"/>
        <v>0.75</v>
      </c>
      <c r="R8">
        <f t="shared" si="1"/>
        <v>1</v>
      </c>
    </row>
    <row r="9" spans="1:18" x14ac:dyDescent="0.2">
      <c r="A9" s="87" t="s">
        <v>1321</v>
      </c>
      <c r="B9" s="52" t="s">
        <v>1322</v>
      </c>
      <c r="C9" t="s">
        <v>20</v>
      </c>
      <c r="D9" s="5">
        <f>Info!$B$48</f>
        <v>1</v>
      </c>
      <c r="E9" s="5">
        <f>Info!$B$53</f>
        <v>1</v>
      </c>
      <c r="F9" s="5"/>
      <c r="G9" s="5"/>
      <c r="H9" s="5"/>
      <c r="I9" s="5"/>
      <c r="L9">
        <v>2</v>
      </c>
      <c r="M9" t="s">
        <v>21</v>
      </c>
      <c r="N9" t="s">
        <v>1323</v>
      </c>
      <c r="O9" s="7">
        <v>1</v>
      </c>
      <c r="P9" s="7">
        <f t="shared" si="2"/>
        <v>1</v>
      </c>
      <c r="Q9" s="7">
        <f t="shared" si="0"/>
        <v>1</v>
      </c>
      <c r="R9">
        <f t="shared" si="1"/>
        <v>1</v>
      </c>
    </row>
    <row r="10" spans="1:18" x14ac:dyDescent="0.2">
      <c r="A10" s="67" t="s">
        <v>2263</v>
      </c>
      <c r="B10" s="52" t="s">
        <v>2264</v>
      </c>
      <c r="C10" t="s">
        <v>20</v>
      </c>
      <c r="D10" s="5">
        <f>Info!$B$17</f>
        <v>0</v>
      </c>
      <c r="E10" s="5">
        <v>1</v>
      </c>
      <c r="F10" s="5"/>
      <c r="G10" s="5"/>
      <c r="H10" s="5"/>
      <c r="I10" s="5"/>
      <c r="L10">
        <v>2</v>
      </c>
      <c r="M10" t="s">
        <v>21</v>
      </c>
      <c r="N10" t="s">
        <v>2265</v>
      </c>
      <c r="O10" s="7">
        <v>1</v>
      </c>
      <c r="P10" s="7">
        <f t="shared" si="2"/>
        <v>0.5</v>
      </c>
      <c r="Q10" s="7">
        <f t="shared" si="0"/>
        <v>0.75</v>
      </c>
      <c r="R10">
        <f t="shared" si="1"/>
        <v>1</v>
      </c>
    </row>
    <row r="11" spans="1:18" x14ac:dyDescent="0.2">
      <c r="A11" s="87" t="s">
        <v>1309</v>
      </c>
      <c r="B11" s="52" t="s">
        <v>1310</v>
      </c>
      <c r="C11" t="s">
        <v>20</v>
      </c>
      <c r="D11" s="5">
        <f>Info!$B$50</f>
        <v>0.3</v>
      </c>
      <c r="E11" s="5">
        <f>Info!$B$53</f>
        <v>1</v>
      </c>
      <c r="F11" s="5"/>
      <c r="G11" s="5"/>
      <c r="H11" s="5"/>
      <c r="I11" s="5"/>
      <c r="L11" s="2" t="s">
        <v>25</v>
      </c>
      <c r="M11" t="s">
        <v>21</v>
      </c>
      <c r="N11" t="s">
        <v>86</v>
      </c>
      <c r="O11" s="7">
        <v>1</v>
      </c>
      <c r="P11" s="7">
        <f t="shared" si="2"/>
        <v>0.65</v>
      </c>
      <c r="Q11" s="7">
        <f t="shared" si="0"/>
        <v>0.82499999999999996</v>
      </c>
      <c r="R11">
        <f t="shared" si="1"/>
        <v>1</v>
      </c>
    </row>
    <row r="12" spans="1:18" x14ac:dyDescent="0.2">
      <c r="A12" s="87" t="s">
        <v>1335</v>
      </c>
      <c r="B12" s="52" t="s">
        <v>1336</v>
      </c>
      <c r="C12" t="s">
        <v>20</v>
      </c>
      <c r="D12" s="5">
        <f>Info!$B$51</f>
        <v>0</v>
      </c>
      <c r="E12" s="5">
        <f>Info!$B$53</f>
        <v>1</v>
      </c>
      <c r="F12" s="5"/>
      <c r="G12" s="5"/>
      <c r="H12" s="5"/>
      <c r="I12" s="5"/>
      <c r="L12">
        <v>2</v>
      </c>
      <c r="M12" t="s">
        <v>80</v>
      </c>
      <c r="N12" t="s">
        <v>275</v>
      </c>
      <c r="O12" s="7">
        <v>1</v>
      </c>
      <c r="P12" s="7">
        <f t="shared" si="2"/>
        <v>0.5</v>
      </c>
      <c r="Q12" s="7">
        <v>0.8</v>
      </c>
      <c r="R12">
        <f t="shared" si="1"/>
        <v>1</v>
      </c>
    </row>
    <row r="13" spans="1:18" x14ac:dyDescent="0.2">
      <c r="A13" s="87" t="s">
        <v>818</v>
      </c>
      <c r="C13" t="s">
        <v>20</v>
      </c>
      <c r="D13" s="5">
        <f>Info!$B$49</f>
        <v>0.6</v>
      </c>
      <c r="E13" s="5">
        <f>Info!$B$53</f>
        <v>1</v>
      </c>
      <c r="F13" s="5"/>
      <c r="G13" s="5"/>
      <c r="H13" s="5"/>
      <c r="I13" s="5"/>
      <c r="L13" s="2" t="s">
        <v>25</v>
      </c>
      <c r="M13" t="s">
        <v>21</v>
      </c>
      <c r="N13" t="s">
        <v>51</v>
      </c>
      <c r="O13" s="72">
        <v>1</v>
      </c>
      <c r="P13">
        <f t="shared" si="2"/>
        <v>0.8</v>
      </c>
      <c r="Q13" s="7">
        <f t="shared" ref="Q13:Q76" si="3">(O13+P13)/2</f>
        <v>0.9</v>
      </c>
      <c r="R13">
        <f t="shared" si="1"/>
        <v>1</v>
      </c>
    </row>
    <row r="14" spans="1:18" x14ac:dyDescent="0.2">
      <c r="A14" t="s">
        <v>6110</v>
      </c>
      <c r="B14" s="52" t="s">
        <v>6111</v>
      </c>
      <c r="C14" t="s">
        <v>20</v>
      </c>
      <c r="D14">
        <v>0</v>
      </c>
      <c r="E14">
        <v>1</v>
      </c>
      <c r="J14"/>
      <c r="M14" s="9" t="s">
        <v>21</v>
      </c>
      <c r="N14" t="s">
        <v>275</v>
      </c>
      <c r="O14" s="73">
        <v>1</v>
      </c>
      <c r="P14" s="7">
        <f>(D14+E14+F14+G14+H14+I14+J14)/2</f>
        <v>0.5</v>
      </c>
      <c r="Q14" s="7">
        <f t="shared" si="3"/>
        <v>0.75</v>
      </c>
      <c r="R14">
        <f t="shared" si="1"/>
        <v>1</v>
      </c>
    </row>
    <row r="15" spans="1:18" x14ac:dyDescent="0.2">
      <c r="A15" t="s">
        <v>6148</v>
      </c>
      <c r="B15" s="52" t="s">
        <v>6149</v>
      </c>
      <c r="C15" t="s">
        <v>184</v>
      </c>
      <c r="D15">
        <v>1</v>
      </c>
      <c r="E15">
        <v>0.6</v>
      </c>
      <c r="F15">
        <v>0.6</v>
      </c>
      <c r="G15">
        <v>1</v>
      </c>
      <c r="H15">
        <v>1</v>
      </c>
      <c r="I15">
        <v>0</v>
      </c>
      <c r="J15">
        <v>1</v>
      </c>
      <c r="M15" s="9" t="s">
        <v>21</v>
      </c>
      <c r="N15" t="s">
        <v>5575</v>
      </c>
      <c r="O15" s="73">
        <v>1</v>
      </c>
      <c r="P15" s="7">
        <f>(D15+E15+F15+G15+H15+I15+J15)/7</f>
        <v>0.74285714285714288</v>
      </c>
      <c r="Q15" s="7">
        <f t="shared" si="3"/>
        <v>0.87142857142857144</v>
      </c>
      <c r="R15">
        <f t="shared" si="1"/>
        <v>1</v>
      </c>
    </row>
    <row r="16" spans="1:18" x14ac:dyDescent="0.2">
      <c r="A16" s="87" t="s">
        <v>1316</v>
      </c>
      <c r="B16" s="52" t="s">
        <v>1317</v>
      </c>
      <c r="C16" t="s">
        <v>20</v>
      </c>
      <c r="D16" s="5">
        <f>Info!$B$51</f>
        <v>0</v>
      </c>
      <c r="E16" s="5">
        <f>Info!$B$54</f>
        <v>0</v>
      </c>
      <c r="F16" s="5"/>
      <c r="G16" s="5"/>
      <c r="H16" s="5"/>
      <c r="I16" s="5"/>
      <c r="L16">
        <v>2</v>
      </c>
      <c r="M16" t="s">
        <v>21</v>
      </c>
      <c r="N16" t="s">
        <v>86</v>
      </c>
      <c r="O16" s="7">
        <v>1</v>
      </c>
      <c r="P16" s="7">
        <f>(D16+E16)/2</f>
        <v>0</v>
      </c>
      <c r="Q16" s="7">
        <f t="shared" si="3"/>
        <v>0.5</v>
      </c>
      <c r="R16">
        <f t="shared" si="1"/>
        <v>0</v>
      </c>
    </row>
    <row r="17" spans="1:18" x14ac:dyDescent="0.2">
      <c r="A17" s="87" t="s">
        <v>1326</v>
      </c>
      <c r="B17" s="52" t="s">
        <v>1327</v>
      </c>
      <c r="C17" t="s">
        <v>20</v>
      </c>
      <c r="D17" s="5">
        <f>Info!$B$51</f>
        <v>0</v>
      </c>
      <c r="E17" s="5">
        <f>Info!$B$54</f>
        <v>0</v>
      </c>
      <c r="F17" s="5"/>
      <c r="G17" s="5"/>
      <c r="H17" s="5"/>
      <c r="I17" s="5"/>
      <c r="L17">
        <v>1</v>
      </c>
      <c r="M17" t="s">
        <v>21</v>
      </c>
      <c r="N17" t="s">
        <v>86</v>
      </c>
      <c r="O17" s="7">
        <v>1</v>
      </c>
      <c r="P17" s="7">
        <f>(D17+E17)/2</f>
        <v>0</v>
      </c>
      <c r="Q17" s="7">
        <f t="shared" si="3"/>
        <v>0.5</v>
      </c>
      <c r="R17">
        <f t="shared" si="1"/>
        <v>0</v>
      </c>
    </row>
    <row r="18" spans="1:18" x14ac:dyDescent="0.2">
      <c r="A18" s="67" t="s">
        <v>1328</v>
      </c>
      <c r="B18" s="52" t="s">
        <v>1329</v>
      </c>
      <c r="C18" t="s">
        <v>20</v>
      </c>
      <c r="D18" s="5">
        <f>Info!$B$50</f>
        <v>0.3</v>
      </c>
      <c r="E18" s="5">
        <f>Info!$B$54</f>
        <v>0</v>
      </c>
      <c r="F18" s="5"/>
      <c r="G18" s="5"/>
      <c r="H18" s="5"/>
      <c r="I18" s="5"/>
      <c r="L18">
        <v>1</v>
      </c>
      <c r="M18" t="s">
        <v>21</v>
      </c>
      <c r="N18" t="s">
        <v>1330</v>
      </c>
      <c r="O18" s="7">
        <v>1</v>
      </c>
      <c r="P18" s="7">
        <f>(D18+E18+F18+G18+H18+I18+J18)/6</f>
        <v>4.9999999999999996E-2</v>
      </c>
      <c r="Q18" s="7">
        <f t="shared" si="3"/>
        <v>0.52500000000000002</v>
      </c>
      <c r="R18">
        <f t="shared" si="1"/>
        <v>0</v>
      </c>
    </row>
    <row r="19" spans="1:18" x14ac:dyDescent="0.2">
      <c r="A19" s="67" t="s">
        <v>1331</v>
      </c>
      <c r="B19" s="52" t="s">
        <v>1332</v>
      </c>
      <c r="C19" t="s">
        <v>201</v>
      </c>
      <c r="D19" s="5">
        <f>Info!$B$16</f>
        <v>1</v>
      </c>
      <c r="E19" s="5">
        <f>Info!$B$20</f>
        <v>0.6</v>
      </c>
      <c r="F19" s="5">
        <f>Info!$B$25</f>
        <v>0.6</v>
      </c>
      <c r="G19" s="5">
        <f>Info!$B$32</f>
        <v>0</v>
      </c>
      <c r="H19" s="5">
        <f>Info!$B$37</f>
        <v>0</v>
      </c>
      <c r="I19" s="5">
        <f>Info!$B$40</f>
        <v>0</v>
      </c>
      <c r="J19" s="5">
        <f>Info!$B$43</f>
        <v>0.5</v>
      </c>
      <c r="L19">
        <v>1</v>
      </c>
      <c r="M19" t="s">
        <v>21</v>
      </c>
      <c r="N19" t="s">
        <v>1330</v>
      </c>
      <c r="O19" s="7">
        <v>1</v>
      </c>
      <c r="P19" s="7">
        <f>(D19+E19+F19+G19+H19+I19+J19)/6</f>
        <v>0.45</v>
      </c>
      <c r="Q19" s="7">
        <f t="shared" si="3"/>
        <v>0.72499999999999998</v>
      </c>
      <c r="R19">
        <f t="shared" si="1"/>
        <v>0</v>
      </c>
    </row>
    <row r="20" spans="1:18" x14ac:dyDescent="0.2">
      <c r="A20" s="67" t="s">
        <v>1333</v>
      </c>
      <c r="B20" s="52" t="s">
        <v>1334</v>
      </c>
      <c r="C20" t="s">
        <v>201</v>
      </c>
      <c r="D20" s="5">
        <f>Info!$B$17</f>
        <v>0</v>
      </c>
      <c r="E20" s="5">
        <f>Info!$B$20</f>
        <v>0.6</v>
      </c>
      <c r="F20" s="5">
        <f>Info!$B$26</f>
        <v>0.3</v>
      </c>
      <c r="G20" s="5">
        <f>Info!$B$31</f>
        <v>0.3</v>
      </c>
      <c r="H20" s="5">
        <f>Info!$B$36</f>
        <v>0.3</v>
      </c>
      <c r="I20" s="5">
        <f>Info!$B$40</f>
        <v>0</v>
      </c>
      <c r="J20" s="5">
        <f>Info!$B$43</f>
        <v>0.5</v>
      </c>
      <c r="L20">
        <v>1</v>
      </c>
      <c r="M20" t="s">
        <v>21</v>
      </c>
      <c r="N20" t="s">
        <v>275</v>
      </c>
      <c r="O20" s="7">
        <v>1</v>
      </c>
      <c r="P20" s="7">
        <f>(D20+E20+F20+G20+H20+I20+J20)/6</f>
        <v>0.33333333333333331</v>
      </c>
      <c r="Q20" s="7">
        <f t="shared" si="3"/>
        <v>0.66666666666666663</v>
      </c>
      <c r="R20">
        <f t="shared" si="1"/>
        <v>0</v>
      </c>
    </row>
    <row r="21" spans="1:18" x14ac:dyDescent="0.2">
      <c r="A21" s="87" t="s">
        <v>1337</v>
      </c>
      <c r="B21" s="52" t="s">
        <v>1338</v>
      </c>
      <c r="C21" t="s">
        <v>201</v>
      </c>
      <c r="D21" s="5">
        <f>Info!$B$17</f>
        <v>0</v>
      </c>
      <c r="E21" s="5">
        <f>Info!$B$21</f>
        <v>0.3</v>
      </c>
      <c r="F21" s="5">
        <f>Info!$B$26</f>
        <v>0.3</v>
      </c>
      <c r="G21" s="5">
        <f>Info!$B$32</f>
        <v>0</v>
      </c>
      <c r="H21" s="5">
        <f>Info!$B$37</f>
        <v>0</v>
      </c>
      <c r="I21" s="5">
        <f>Info!$B$40</f>
        <v>0</v>
      </c>
      <c r="J21" s="5">
        <f>Info!$B$42</f>
        <v>1</v>
      </c>
      <c r="L21">
        <v>1</v>
      </c>
      <c r="M21" t="s">
        <v>21</v>
      </c>
      <c r="N21" t="s">
        <v>51</v>
      </c>
      <c r="O21" s="7">
        <v>1</v>
      </c>
      <c r="P21" s="7">
        <f t="shared" ref="P21:P84" si="4">(D21+E21+F21+G21+H21+I21+J21)/7</f>
        <v>0.22857142857142859</v>
      </c>
      <c r="Q21" s="7">
        <f t="shared" si="3"/>
        <v>0.61428571428571432</v>
      </c>
      <c r="R21">
        <f t="shared" si="1"/>
        <v>0</v>
      </c>
    </row>
    <row r="22" spans="1:18" x14ac:dyDescent="0.2">
      <c r="A22" s="67" t="s">
        <v>1339</v>
      </c>
      <c r="B22" s="52" t="s">
        <v>1340</v>
      </c>
      <c r="D22" s="5">
        <f>Info!$B$17</f>
        <v>0</v>
      </c>
      <c r="E22" s="5">
        <f>Info!$B$21</f>
        <v>0.3</v>
      </c>
      <c r="F22" s="5">
        <f>Info!$B$26</f>
        <v>0.3</v>
      </c>
      <c r="G22" s="5">
        <f>Info!$B$32</f>
        <v>0</v>
      </c>
      <c r="H22" s="5">
        <f>Info!$B$37</f>
        <v>0</v>
      </c>
      <c r="I22" s="5">
        <f>Info!$B$40</f>
        <v>0</v>
      </c>
      <c r="J22" s="5">
        <f>Info!$B$42</f>
        <v>1</v>
      </c>
      <c r="P22" s="7">
        <f t="shared" si="4"/>
        <v>0.22857142857142859</v>
      </c>
      <c r="Q22" s="7">
        <f t="shared" si="3"/>
        <v>0.1142857142857143</v>
      </c>
      <c r="R22">
        <f t="shared" si="1"/>
        <v>0</v>
      </c>
    </row>
    <row r="23" spans="1:18" x14ac:dyDescent="0.2">
      <c r="A23" s="87" t="s">
        <v>1341</v>
      </c>
      <c r="B23" s="52" t="s">
        <v>1342</v>
      </c>
      <c r="D23" s="5">
        <f>Info!$B$17</f>
        <v>0</v>
      </c>
      <c r="E23" s="5">
        <f>Info!$B$21</f>
        <v>0.3</v>
      </c>
      <c r="F23" s="5">
        <f>Info!$B$27</f>
        <v>0</v>
      </c>
      <c r="G23" s="5">
        <f>Info!$B$32</f>
        <v>0</v>
      </c>
      <c r="H23" s="5">
        <f>Info!$B$37</f>
        <v>0</v>
      </c>
      <c r="I23" s="5">
        <f>Info!$B$40</f>
        <v>0</v>
      </c>
      <c r="J23" s="5">
        <f>Info!$B$42</f>
        <v>1</v>
      </c>
      <c r="P23" s="7">
        <f t="shared" si="4"/>
        <v>0.18571428571428572</v>
      </c>
      <c r="Q23" s="7">
        <f t="shared" si="3"/>
        <v>9.285714285714286E-2</v>
      </c>
      <c r="R23">
        <f t="shared" si="1"/>
        <v>0</v>
      </c>
    </row>
    <row r="24" spans="1:18" x14ac:dyDescent="0.2">
      <c r="A24" s="87" t="s">
        <v>1343</v>
      </c>
      <c r="B24" s="52" t="s">
        <v>1344</v>
      </c>
      <c r="D24" s="5">
        <f>Info!$B$17</f>
        <v>0</v>
      </c>
      <c r="E24" s="5">
        <f>Info!$B$21</f>
        <v>0.3</v>
      </c>
      <c r="F24" s="5">
        <f>Info!$B$27</f>
        <v>0</v>
      </c>
      <c r="G24" s="5">
        <f>Info!$B$32</f>
        <v>0</v>
      </c>
      <c r="H24" s="5">
        <f>Info!$B$37</f>
        <v>0</v>
      </c>
      <c r="I24" s="5">
        <f>Info!$B$40</f>
        <v>0</v>
      </c>
      <c r="J24" s="5">
        <f>Info!$B$42</f>
        <v>1</v>
      </c>
      <c r="P24" s="7">
        <f t="shared" si="4"/>
        <v>0.18571428571428572</v>
      </c>
      <c r="Q24" s="7">
        <f t="shared" si="3"/>
        <v>9.285714285714286E-2</v>
      </c>
      <c r="R24">
        <f t="shared" si="1"/>
        <v>0</v>
      </c>
    </row>
    <row r="25" spans="1:18" x14ac:dyDescent="0.2">
      <c r="A25" s="67" t="s">
        <v>1345</v>
      </c>
      <c r="B25" s="52" t="s">
        <v>1346</v>
      </c>
      <c r="D25" s="5">
        <f>Info!$B$17</f>
        <v>0</v>
      </c>
      <c r="E25" s="5">
        <f>Info!$B$21</f>
        <v>0.3</v>
      </c>
      <c r="F25" s="5">
        <f>Info!$B$27</f>
        <v>0</v>
      </c>
      <c r="G25" s="5">
        <f>Info!$B$32</f>
        <v>0</v>
      </c>
      <c r="H25" s="5">
        <f>Info!$B$37</f>
        <v>0</v>
      </c>
      <c r="I25" s="5">
        <f>Info!$B$40</f>
        <v>0</v>
      </c>
      <c r="J25" s="5">
        <f>Info!$B$42</f>
        <v>1</v>
      </c>
      <c r="P25" s="7">
        <f t="shared" si="4"/>
        <v>0.18571428571428572</v>
      </c>
      <c r="Q25" s="7">
        <f t="shared" si="3"/>
        <v>9.285714285714286E-2</v>
      </c>
      <c r="R25">
        <f t="shared" si="1"/>
        <v>0</v>
      </c>
    </row>
    <row r="26" spans="1:18" x14ac:dyDescent="0.2">
      <c r="A26" s="87" t="s">
        <v>1347</v>
      </c>
      <c r="B26" s="52" t="s">
        <v>1348</v>
      </c>
      <c r="D26" s="5">
        <f>Info!$B$17</f>
        <v>0</v>
      </c>
      <c r="E26" s="5">
        <f>Info!$B$22</f>
        <v>0</v>
      </c>
      <c r="F26" s="5">
        <f>Info!$B$27</f>
        <v>0</v>
      </c>
      <c r="G26" s="5">
        <f>Info!$B$32</f>
        <v>0</v>
      </c>
      <c r="H26" s="5">
        <f>Info!$B$37</f>
        <v>0</v>
      </c>
      <c r="I26" s="5">
        <f>Info!$B$40</f>
        <v>0</v>
      </c>
      <c r="J26" s="5">
        <f>Info!$B$42</f>
        <v>1</v>
      </c>
      <c r="P26" s="7">
        <f t="shared" si="4"/>
        <v>0.14285714285714285</v>
      </c>
      <c r="Q26" s="7">
        <f t="shared" si="3"/>
        <v>7.1428571428571425E-2</v>
      </c>
      <c r="R26">
        <f t="shared" si="1"/>
        <v>0</v>
      </c>
    </row>
    <row r="27" spans="1:18" x14ac:dyDescent="0.2">
      <c r="A27" s="67" t="s">
        <v>1349</v>
      </c>
      <c r="B27" s="52" t="s">
        <v>1350</v>
      </c>
      <c r="D27" s="5">
        <f>Info!$B$17</f>
        <v>0</v>
      </c>
      <c r="E27" s="5">
        <f>Info!$B$22</f>
        <v>0</v>
      </c>
      <c r="F27" s="5">
        <f>Info!$B$27</f>
        <v>0</v>
      </c>
      <c r="G27" s="5">
        <f>Info!$B$32</f>
        <v>0</v>
      </c>
      <c r="H27" s="5">
        <f>Info!$B$37</f>
        <v>0</v>
      </c>
      <c r="I27" s="5">
        <f>Info!$B$40</f>
        <v>0</v>
      </c>
      <c r="J27" s="5">
        <f>Info!$B$42</f>
        <v>1</v>
      </c>
      <c r="P27" s="7">
        <f t="shared" si="4"/>
        <v>0.14285714285714285</v>
      </c>
      <c r="Q27" s="7">
        <f t="shared" si="3"/>
        <v>7.1428571428571425E-2</v>
      </c>
      <c r="R27">
        <f t="shared" si="1"/>
        <v>0</v>
      </c>
    </row>
    <row r="28" spans="1:18" x14ac:dyDescent="0.2">
      <c r="A28" s="67" t="s">
        <v>1351</v>
      </c>
      <c r="B28" s="52" t="s">
        <v>1352</v>
      </c>
      <c r="D28" s="5">
        <f>Info!$B$17</f>
        <v>0</v>
      </c>
      <c r="E28" s="5">
        <f>Info!$B$22</f>
        <v>0</v>
      </c>
      <c r="F28" s="5">
        <f>Info!$B$27</f>
        <v>0</v>
      </c>
      <c r="G28" s="5">
        <f>Info!$B$32</f>
        <v>0</v>
      </c>
      <c r="H28" s="5">
        <f>Info!$B$37</f>
        <v>0</v>
      </c>
      <c r="I28" s="5">
        <f>Info!$B$40</f>
        <v>0</v>
      </c>
      <c r="J28" s="5">
        <f>Info!$B$42</f>
        <v>1</v>
      </c>
      <c r="P28" s="7">
        <f t="shared" si="4"/>
        <v>0.14285714285714285</v>
      </c>
      <c r="Q28" s="7">
        <f t="shared" si="3"/>
        <v>7.1428571428571425E-2</v>
      </c>
      <c r="R28">
        <f t="shared" si="1"/>
        <v>0</v>
      </c>
    </row>
    <row r="29" spans="1:18" x14ac:dyDescent="0.2">
      <c r="A29" s="67" t="s">
        <v>1353</v>
      </c>
      <c r="B29" s="52" t="s">
        <v>1354</v>
      </c>
      <c r="D29" s="5">
        <f>Info!$B$17</f>
        <v>0</v>
      </c>
      <c r="E29" s="5">
        <f>Info!$B$22</f>
        <v>0</v>
      </c>
      <c r="F29" s="5">
        <f>Info!$B$27</f>
        <v>0</v>
      </c>
      <c r="G29" s="5">
        <f>Info!$B$32</f>
        <v>0</v>
      </c>
      <c r="H29" s="5">
        <f>Info!$B$37</f>
        <v>0</v>
      </c>
      <c r="I29" s="5">
        <f>Info!$B$40</f>
        <v>0</v>
      </c>
      <c r="J29" s="5">
        <f>Info!$B$42</f>
        <v>1</v>
      </c>
      <c r="P29" s="7">
        <f t="shared" si="4"/>
        <v>0.14285714285714285</v>
      </c>
      <c r="Q29" s="7">
        <f t="shared" si="3"/>
        <v>7.1428571428571425E-2</v>
      </c>
      <c r="R29">
        <f t="shared" si="1"/>
        <v>0</v>
      </c>
    </row>
    <row r="30" spans="1:18" x14ac:dyDescent="0.2">
      <c r="A30" s="67" t="s">
        <v>1355</v>
      </c>
      <c r="B30" s="52" t="s">
        <v>1356</v>
      </c>
      <c r="D30" s="5">
        <f>Info!$B$17</f>
        <v>0</v>
      </c>
      <c r="E30" s="5">
        <f>Info!$B$22</f>
        <v>0</v>
      </c>
      <c r="F30" s="5">
        <f>Info!$B$27</f>
        <v>0</v>
      </c>
      <c r="G30" s="5">
        <f>Info!$B$32</f>
        <v>0</v>
      </c>
      <c r="H30" s="5">
        <f>Info!$B$37</f>
        <v>0</v>
      </c>
      <c r="I30" s="5">
        <f>Info!$B$40</f>
        <v>0</v>
      </c>
      <c r="J30" s="5">
        <f>Info!$B$42</f>
        <v>1</v>
      </c>
      <c r="P30" s="7">
        <f t="shared" si="4"/>
        <v>0.14285714285714285</v>
      </c>
      <c r="Q30" s="7">
        <f t="shared" si="3"/>
        <v>7.1428571428571425E-2</v>
      </c>
      <c r="R30">
        <f t="shared" si="1"/>
        <v>0</v>
      </c>
    </row>
    <row r="31" spans="1:18" x14ac:dyDescent="0.2">
      <c r="A31" s="67" t="s">
        <v>1357</v>
      </c>
      <c r="B31" s="52" t="s">
        <v>1358</v>
      </c>
      <c r="D31" s="5">
        <f>Info!$B$17</f>
        <v>0</v>
      </c>
      <c r="E31" s="5">
        <f>Info!$B$22</f>
        <v>0</v>
      </c>
      <c r="F31" s="5">
        <f>Info!$B$27</f>
        <v>0</v>
      </c>
      <c r="G31" s="5">
        <f>Info!$B$32</f>
        <v>0</v>
      </c>
      <c r="H31" s="5">
        <f>Info!$B$37</f>
        <v>0</v>
      </c>
      <c r="I31" s="5">
        <f>Info!$B$40</f>
        <v>0</v>
      </c>
      <c r="J31" s="5">
        <f>Info!$B$42</f>
        <v>1</v>
      </c>
      <c r="P31" s="7">
        <f t="shared" si="4"/>
        <v>0.14285714285714285</v>
      </c>
      <c r="Q31" s="7">
        <f t="shared" si="3"/>
        <v>7.1428571428571425E-2</v>
      </c>
      <c r="R31">
        <f t="shared" si="1"/>
        <v>0</v>
      </c>
    </row>
    <row r="32" spans="1:18" x14ac:dyDescent="0.2">
      <c r="A32" s="67" t="s">
        <v>1359</v>
      </c>
      <c r="B32" s="52" t="s">
        <v>1360</v>
      </c>
      <c r="D32" s="5">
        <f>Info!$B$17</f>
        <v>0</v>
      </c>
      <c r="E32" s="5">
        <f>Info!$B$22</f>
        <v>0</v>
      </c>
      <c r="F32" s="5">
        <f>Info!$B$27</f>
        <v>0</v>
      </c>
      <c r="G32" s="5">
        <f>Info!$B$32</f>
        <v>0</v>
      </c>
      <c r="H32" s="5">
        <f>Info!$B$37</f>
        <v>0</v>
      </c>
      <c r="I32" s="5">
        <f>Info!$B$40</f>
        <v>0</v>
      </c>
      <c r="J32" s="5">
        <f>Info!$B$42</f>
        <v>1</v>
      </c>
      <c r="P32" s="7">
        <f t="shared" si="4"/>
        <v>0.14285714285714285</v>
      </c>
      <c r="Q32" s="7">
        <f t="shared" si="3"/>
        <v>7.1428571428571425E-2</v>
      </c>
      <c r="R32">
        <f t="shared" si="1"/>
        <v>0</v>
      </c>
    </row>
    <row r="33" spans="1:18" x14ac:dyDescent="0.2">
      <c r="A33" s="67" t="s">
        <v>1361</v>
      </c>
      <c r="B33" s="52" t="s">
        <v>1362</v>
      </c>
      <c r="D33" s="5">
        <f>Info!$B$17</f>
        <v>0</v>
      </c>
      <c r="E33" s="5">
        <f>Info!$B$22</f>
        <v>0</v>
      </c>
      <c r="F33" s="5">
        <f>Info!$B$27</f>
        <v>0</v>
      </c>
      <c r="G33" s="5">
        <f>Info!$B$32</f>
        <v>0</v>
      </c>
      <c r="H33" s="5">
        <f>Info!$B$37</f>
        <v>0</v>
      </c>
      <c r="I33" s="5">
        <f>Info!$B$40</f>
        <v>0</v>
      </c>
      <c r="J33" s="5">
        <f>Info!$B$42</f>
        <v>1</v>
      </c>
      <c r="P33" s="7">
        <f t="shared" si="4"/>
        <v>0.14285714285714285</v>
      </c>
      <c r="Q33" s="7">
        <f t="shared" si="3"/>
        <v>7.1428571428571425E-2</v>
      </c>
      <c r="R33">
        <f t="shared" si="1"/>
        <v>0</v>
      </c>
    </row>
    <row r="34" spans="1:18" x14ac:dyDescent="0.2">
      <c r="A34" s="67" t="s">
        <v>1363</v>
      </c>
      <c r="B34" s="52" t="s">
        <v>1364</v>
      </c>
      <c r="D34" s="5">
        <f>Info!$B$17</f>
        <v>0</v>
      </c>
      <c r="E34" s="5">
        <f>Info!$B$22</f>
        <v>0</v>
      </c>
      <c r="F34" s="5">
        <f>Info!$B$27</f>
        <v>0</v>
      </c>
      <c r="G34" s="5">
        <f>Info!$B$32</f>
        <v>0</v>
      </c>
      <c r="H34" s="5">
        <f>Info!$B$37</f>
        <v>0</v>
      </c>
      <c r="I34" s="5">
        <f>Info!$B$40</f>
        <v>0</v>
      </c>
      <c r="J34" s="5">
        <f>Info!$B$42</f>
        <v>1</v>
      </c>
      <c r="P34" s="7">
        <f t="shared" si="4"/>
        <v>0.14285714285714285</v>
      </c>
      <c r="Q34" s="7">
        <f t="shared" si="3"/>
        <v>7.1428571428571425E-2</v>
      </c>
      <c r="R34">
        <f t="shared" si="1"/>
        <v>0</v>
      </c>
    </row>
    <row r="35" spans="1:18" x14ac:dyDescent="0.2">
      <c r="A35" s="67" t="s">
        <v>1365</v>
      </c>
      <c r="B35" s="52" t="s">
        <v>1366</v>
      </c>
      <c r="D35" s="5">
        <f>Info!$B$17</f>
        <v>0</v>
      </c>
      <c r="E35" s="5">
        <f>Info!$B$22</f>
        <v>0</v>
      </c>
      <c r="F35" s="5">
        <f>Info!$B$27</f>
        <v>0</v>
      </c>
      <c r="G35" s="5">
        <f>Info!$B$32</f>
        <v>0</v>
      </c>
      <c r="H35" s="5">
        <f>Info!$B$37</f>
        <v>0</v>
      </c>
      <c r="I35" s="5">
        <f>Info!$B$40</f>
        <v>0</v>
      </c>
      <c r="J35" s="5">
        <f>Info!$B$42</f>
        <v>1</v>
      </c>
      <c r="P35" s="7">
        <f t="shared" si="4"/>
        <v>0.14285714285714285</v>
      </c>
      <c r="Q35" s="7">
        <f t="shared" si="3"/>
        <v>7.1428571428571425E-2</v>
      </c>
      <c r="R35">
        <f t="shared" si="1"/>
        <v>0</v>
      </c>
    </row>
    <row r="36" spans="1:18" x14ac:dyDescent="0.2">
      <c r="A36" s="67" t="s">
        <v>1367</v>
      </c>
      <c r="B36" s="52" t="s">
        <v>1368</v>
      </c>
      <c r="D36" s="5">
        <f>Info!$B$17</f>
        <v>0</v>
      </c>
      <c r="E36" s="5">
        <f>Info!$B$22</f>
        <v>0</v>
      </c>
      <c r="F36" s="5">
        <f>Info!$B$27</f>
        <v>0</v>
      </c>
      <c r="G36" s="5">
        <f>Info!$B$32</f>
        <v>0</v>
      </c>
      <c r="H36" s="5">
        <f>Info!$B$37</f>
        <v>0</v>
      </c>
      <c r="I36" s="5">
        <f>Info!$B$40</f>
        <v>0</v>
      </c>
      <c r="J36" s="5">
        <f>Info!$B$42</f>
        <v>1</v>
      </c>
      <c r="P36" s="7">
        <f t="shared" si="4"/>
        <v>0.14285714285714285</v>
      </c>
      <c r="Q36" s="7">
        <f t="shared" si="3"/>
        <v>7.1428571428571425E-2</v>
      </c>
      <c r="R36">
        <f t="shared" si="1"/>
        <v>0</v>
      </c>
    </row>
    <row r="37" spans="1:18" x14ac:dyDescent="0.2">
      <c r="A37" s="67" t="s">
        <v>1369</v>
      </c>
      <c r="B37" s="52" t="s">
        <v>1370</v>
      </c>
      <c r="D37" s="5">
        <f>Info!$B$17</f>
        <v>0</v>
      </c>
      <c r="E37" s="5">
        <f>Info!$B$22</f>
        <v>0</v>
      </c>
      <c r="F37" s="5">
        <f>Info!$B$27</f>
        <v>0</v>
      </c>
      <c r="G37" s="5">
        <f>Info!$B$32</f>
        <v>0</v>
      </c>
      <c r="H37" s="5">
        <f>Info!$B$37</f>
        <v>0</v>
      </c>
      <c r="I37" s="5">
        <f>Info!$B$40</f>
        <v>0</v>
      </c>
      <c r="J37" s="5">
        <f>Info!$B$42</f>
        <v>1</v>
      </c>
      <c r="P37" s="7">
        <f t="shared" si="4"/>
        <v>0.14285714285714285</v>
      </c>
      <c r="Q37" s="7">
        <f t="shared" si="3"/>
        <v>7.1428571428571425E-2</v>
      </c>
      <c r="R37">
        <f t="shared" si="1"/>
        <v>0</v>
      </c>
    </row>
    <row r="38" spans="1:18" x14ac:dyDescent="0.2">
      <c r="A38" s="67" t="s">
        <v>1371</v>
      </c>
      <c r="B38" s="52" t="s">
        <v>1372</v>
      </c>
      <c r="D38" s="5">
        <f>Info!$B$17</f>
        <v>0</v>
      </c>
      <c r="E38" s="5">
        <f>Info!$B$22</f>
        <v>0</v>
      </c>
      <c r="F38" s="5">
        <f>Info!$B$27</f>
        <v>0</v>
      </c>
      <c r="G38" s="5">
        <f>Info!$B$32</f>
        <v>0</v>
      </c>
      <c r="H38" s="5">
        <f>Info!$B$37</f>
        <v>0</v>
      </c>
      <c r="I38" s="5">
        <f>Info!$B$40</f>
        <v>0</v>
      </c>
      <c r="J38" s="5">
        <f>Info!$B$42</f>
        <v>1</v>
      </c>
      <c r="P38" s="7">
        <f t="shared" si="4"/>
        <v>0.14285714285714285</v>
      </c>
      <c r="Q38" s="7">
        <f t="shared" si="3"/>
        <v>7.1428571428571425E-2</v>
      </c>
      <c r="R38">
        <f t="shared" si="1"/>
        <v>0</v>
      </c>
    </row>
    <row r="39" spans="1:18" x14ac:dyDescent="0.2">
      <c r="A39" s="67" t="s">
        <v>1373</v>
      </c>
      <c r="B39" s="52" t="s">
        <v>1374</v>
      </c>
      <c r="D39" s="5">
        <f>Info!$B$17</f>
        <v>0</v>
      </c>
      <c r="E39" s="5">
        <f>Info!$B$22</f>
        <v>0</v>
      </c>
      <c r="F39" s="5">
        <f>Info!$B$27</f>
        <v>0</v>
      </c>
      <c r="G39" s="5">
        <f>Info!$B$32</f>
        <v>0</v>
      </c>
      <c r="H39" s="5">
        <f>Info!$B$37</f>
        <v>0</v>
      </c>
      <c r="I39" s="5">
        <f>Info!$B$40</f>
        <v>0</v>
      </c>
      <c r="J39" s="5">
        <f>Info!$B$42</f>
        <v>1</v>
      </c>
      <c r="P39" s="7">
        <f t="shared" si="4"/>
        <v>0.14285714285714285</v>
      </c>
      <c r="Q39" s="7">
        <f t="shared" si="3"/>
        <v>7.1428571428571425E-2</v>
      </c>
      <c r="R39">
        <f t="shared" si="1"/>
        <v>0</v>
      </c>
    </row>
    <row r="40" spans="1:18" x14ac:dyDescent="0.2">
      <c r="A40" s="67" t="s">
        <v>1375</v>
      </c>
      <c r="B40" s="52" t="s">
        <v>1376</v>
      </c>
      <c r="D40" s="5">
        <f>Info!$B$17</f>
        <v>0</v>
      </c>
      <c r="E40" s="5">
        <f>Info!$B$22</f>
        <v>0</v>
      </c>
      <c r="F40" s="5">
        <f>Info!$B$27</f>
        <v>0</v>
      </c>
      <c r="G40" s="5">
        <f>Info!$B$32</f>
        <v>0</v>
      </c>
      <c r="H40" s="5">
        <f>Info!$B$37</f>
        <v>0</v>
      </c>
      <c r="I40" s="5">
        <f>Info!$B$40</f>
        <v>0</v>
      </c>
      <c r="J40" s="5">
        <f>Info!$B$42</f>
        <v>1</v>
      </c>
      <c r="P40" s="7">
        <f t="shared" si="4"/>
        <v>0.14285714285714285</v>
      </c>
      <c r="Q40" s="7">
        <f t="shared" si="3"/>
        <v>7.1428571428571425E-2</v>
      </c>
      <c r="R40">
        <f t="shared" si="1"/>
        <v>0</v>
      </c>
    </row>
    <row r="41" spans="1:18" x14ac:dyDescent="0.2">
      <c r="A41" s="67" t="s">
        <v>1377</v>
      </c>
      <c r="B41" s="52" t="s">
        <v>1378</v>
      </c>
      <c r="D41" s="5">
        <f>Info!$B$17</f>
        <v>0</v>
      </c>
      <c r="E41" s="5">
        <f>Info!$B$22</f>
        <v>0</v>
      </c>
      <c r="F41" s="5">
        <f>Info!$B$27</f>
        <v>0</v>
      </c>
      <c r="G41" s="5">
        <f>Info!$B$32</f>
        <v>0</v>
      </c>
      <c r="H41" s="5">
        <f>Info!$B$37</f>
        <v>0</v>
      </c>
      <c r="I41" s="5">
        <f>Info!$B$40</f>
        <v>0</v>
      </c>
      <c r="J41" s="5">
        <f>Info!$B$42</f>
        <v>1</v>
      </c>
      <c r="P41" s="7">
        <f t="shared" si="4"/>
        <v>0.14285714285714285</v>
      </c>
      <c r="Q41" s="7">
        <f t="shared" si="3"/>
        <v>7.1428571428571425E-2</v>
      </c>
      <c r="R41">
        <f t="shared" si="1"/>
        <v>0</v>
      </c>
    </row>
    <row r="42" spans="1:18" x14ac:dyDescent="0.2">
      <c r="A42" s="67" t="s">
        <v>1379</v>
      </c>
      <c r="B42" s="52" t="s">
        <v>1380</v>
      </c>
      <c r="D42" s="5">
        <f>Info!$B$17</f>
        <v>0</v>
      </c>
      <c r="E42" s="5">
        <f>Info!$B$22</f>
        <v>0</v>
      </c>
      <c r="F42" s="5">
        <f>Info!$B$27</f>
        <v>0</v>
      </c>
      <c r="G42" s="5">
        <f>Info!$B$32</f>
        <v>0</v>
      </c>
      <c r="H42" s="5">
        <f>Info!$B$37</f>
        <v>0</v>
      </c>
      <c r="I42" s="5">
        <f>Info!$B$40</f>
        <v>0</v>
      </c>
      <c r="J42" s="5">
        <f>Info!$B$42</f>
        <v>1</v>
      </c>
      <c r="P42" s="7">
        <f t="shared" si="4"/>
        <v>0.14285714285714285</v>
      </c>
      <c r="Q42" s="7">
        <f t="shared" si="3"/>
        <v>7.1428571428571425E-2</v>
      </c>
      <c r="R42">
        <f t="shared" si="1"/>
        <v>0</v>
      </c>
    </row>
    <row r="43" spans="1:18" x14ac:dyDescent="0.2">
      <c r="A43" s="67" t="s">
        <v>1381</v>
      </c>
      <c r="B43" s="52" t="s">
        <v>1382</v>
      </c>
      <c r="D43" s="5">
        <f>Info!$B$17</f>
        <v>0</v>
      </c>
      <c r="E43" s="5">
        <f>Info!$B$22</f>
        <v>0</v>
      </c>
      <c r="F43" s="5">
        <f>Info!$B$27</f>
        <v>0</v>
      </c>
      <c r="G43" s="5">
        <f>Info!$B$32</f>
        <v>0</v>
      </c>
      <c r="H43" s="5">
        <f>Info!$B$37</f>
        <v>0</v>
      </c>
      <c r="I43" s="5">
        <f>Info!$B$40</f>
        <v>0</v>
      </c>
      <c r="J43" s="5">
        <f>Info!$B$42</f>
        <v>1</v>
      </c>
      <c r="P43" s="7">
        <f t="shared" si="4"/>
        <v>0.14285714285714285</v>
      </c>
      <c r="Q43" s="7">
        <f t="shared" si="3"/>
        <v>7.1428571428571425E-2</v>
      </c>
      <c r="R43">
        <f t="shared" si="1"/>
        <v>0</v>
      </c>
    </row>
    <row r="44" spans="1:18" x14ac:dyDescent="0.2">
      <c r="A44" s="67" t="s">
        <v>1383</v>
      </c>
      <c r="B44" s="52" t="s">
        <v>1384</v>
      </c>
      <c r="D44" s="5">
        <f>Info!$B$17</f>
        <v>0</v>
      </c>
      <c r="E44" s="5">
        <f>Info!$B$22</f>
        <v>0</v>
      </c>
      <c r="F44" s="5">
        <f>Info!$B$27</f>
        <v>0</v>
      </c>
      <c r="G44" s="5">
        <f>Info!$B$32</f>
        <v>0</v>
      </c>
      <c r="H44" s="5">
        <f>Info!$B$37</f>
        <v>0</v>
      </c>
      <c r="I44" s="5">
        <f>Info!$B$40</f>
        <v>0</v>
      </c>
      <c r="J44" s="5">
        <f>Info!$B$42</f>
        <v>1</v>
      </c>
      <c r="P44" s="7">
        <f t="shared" si="4"/>
        <v>0.14285714285714285</v>
      </c>
      <c r="Q44" s="7">
        <f t="shared" si="3"/>
        <v>7.1428571428571425E-2</v>
      </c>
      <c r="R44">
        <f t="shared" si="1"/>
        <v>0</v>
      </c>
    </row>
    <row r="45" spans="1:18" x14ac:dyDescent="0.2">
      <c r="A45" s="67" t="s">
        <v>1385</v>
      </c>
      <c r="B45" s="52" t="s">
        <v>1386</v>
      </c>
      <c r="D45" s="5">
        <f>Info!$B$17</f>
        <v>0</v>
      </c>
      <c r="E45" s="5">
        <f>Info!$B$22</f>
        <v>0</v>
      </c>
      <c r="F45" s="5">
        <f>Info!$B$27</f>
        <v>0</v>
      </c>
      <c r="G45" s="5">
        <f>Info!$B$32</f>
        <v>0</v>
      </c>
      <c r="H45" s="5">
        <f>Info!$B$37</f>
        <v>0</v>
      </c>
      <c r="I45" s="5">
        <f>Info!$B$40</f>
        <v>0</v>
      </c>
      <c r="J45" s="5">
        <f>Info!$B$42</f>
        <v>1</v>
      </c>
      <c r="P45" s="7">
        <f t="shared" si="4"/>
        <v>0.14285714285714285</v>
      </c>
      <c r="Q45" s="7">
        <f t="shared" si="3"/>
        <v>7.1428571428571425E-2</v>
      </c>
      <c r="R45">
        <f t="shared" si="1"/>
        <v>0</v>
      </c>
    </row>
    <row r="46" spans="1:18" x14ac:dyDescent="0.2">
      <c r="A46" s="67" t="s">
        <v>1387</v>
      </c>
      <c r="B46" s="52" t="s">
        <v>1388</v>
      </c>
      <c r="D46" s="5">
        <f>Info!$B$17</f>
        <v>0</v>
      </c>
      <c r="E46" s="5">
        <f>Info!$B$22</f>
        <v>0</v>
      </c>
      <c r="F46" s="5">
        <f>Info!$B$27</f>
        <v>0</v>
      </c>
      <c r="G46" s="5">
        <f>Info!$B$32</f>
        <v>0</v>
      </c>
      <c r="H46" s="5">
        <f>Info!$B$37</f>
        <v>0</v>
      </c>
      <c r="I46" s="5">
        <f>Info!$B$40</f>
        <v>0</v>
      </c>
      <c r="J46" s="5">
        <f>Info!$B$42</f>
        <v>1</v>
      </c>
      <c r="P46" s="7">
        <f t="shared" si="4"/>
        <v>0.14285714285714285</v>
      </c>
      <c r="Q46" s="7">
        <f t="shared" si="3"/>
        <v>7.1428571428571425E-2</v>
      </c>
      <c r="R46">
        <f t="shared" si="1"/>
        <v>0</v>
      </c>
    </row>
    <row r="47" spans="1:18" x14ac:dyDescent="0.2">
      <c r="A47" s="67" t="s">
        <v>1389</v>
      </c>
      <c r="B47" s="52" t="s">
        <v>1390</v>
      </c>
      <c r="D47" s="5">
        <f>Info!$B$17</f>
        <v>0</v>
      </c>
      <c r="E47" s="5">
        <f>Info!$B$22</f>
        <v>0</v>
      </c>
      <c r="F47" s="5">
        <f>Info!$B$27</f>
        <v>0</v>
      </c>
      <c r="G47" s="5">
        <f>Info!$B$32</f>
        <v>0</v>
      </c>
      <c r="H47" s="5">
        <f>Info!$B$37</f>
        <v>0</v>
      </c>
      <c r="I47" s="5">
        <f>Info!$B$40</f>
        <v>0</v>
      </c>
      <c r="J47" s="5">
        <f>Info!$B$42</f>
        <v>1</v>
      </c>
      <c r="P47" s="7">
        <f t="shared" si="4"/>
        <v>0.14285714285714285</v>
      </c>
      <c r="Q47" s="7">
        <f t="shared" si="3"/>
        <v>7.1428571428571425E-2</v>
      </c>
      <c r="R47">
        <f t="shared" si="1"/>
        <v>0</v>
      </c>
    </row>
    <row r="48" spans="1:18" x14ac:dyDescent="0.2">
      <c r="A48" s="67" t="s">
        <v>1391</v>
      </c>
      <c r="B48" s="52" t="s">
        <v>1392</v>
      </c>
      <c r="D48" s="5">
        <f>Info!$B$17</f>
        <v>0</v>
      </c>
      <c r="E48" s="5">
        <f>Info!$B$22</f>
        <v>0</v>
      </c>
      <c r="F48" s="5">
        <f>Info!$B$27</f>
        <v>0</v>
      </c>
      <c r="G48" s="5">
        <f>Info!$B$32</f>
        <v>0</v>
      </c>
      <c r="H48" s="5">
        <f>Info!$B$37</f>
        <v>0</v>
      </c>
      <c r="I48" s="5">
        <f>Info!$B$40</f>
        <v>0</v>
      </c>
      <c r="J48" s="5">
        <f>Info!$B$42</f>
        <v>1</v>
      </c>
      <c r="P48" s="7">
        <f t="shared" si="4"/>
        <v>0.14285714285714285</v>
      </c>
      <c r="Q48" s="7">
        <f t="shared" si="3"/>
        <v>7.1428571428571425E-2</v>
      </c>
      <c r="R48">
        <f t="shared" si="1"/>
        <v>0</v>
      </c>
    </row>
    <row r="49" spans="1:18" x14ac:dyDescent="0.2">
      <c r="A49" s="67" t="s">
        <v>1393</v>
      </c>
      <c r="B49" s="52" t="s">
        <v>1394</v>
      </c>
      <c r="D49" s="5">
        <f>Info!$B$17</f>
        <v>0</v>
      </c>
      <c r="E49" s="5">
        <f>Info!$B$22</f>
        <v>0</v>
      </c>
      <c r="F49" s="5">
        <f>Info!$B$27</f>
        <v>0</v>
      </c>
      <c r="G49" s="5">
        <f>Info!$B$32</f>
        <v>0</v>
      </c>
      <c r="H49" s="5">
        <f>Info!$B$37</f>
        <v>0</v>
      </c>
      <c r="I49" s="5">
        <f>Info!$B$40</f>
        <v>0</v>
      </c>
      <c r="J49" s="5">
        <f>Info!$B$42</f>
        <v>1</v>
      </c>
      <c r="P49" s="7">
        <f t="shared" si="4"/>
        <v>0.14285714285714285</v>
      </c>
      <c r="Q49" s="7">
        <f t="shared" si="3"/>
        <v>7.1428571428571425E-2</v>
      </c>
      <c r="R49">
        <f t="shared" si="1"/>
        <v>0</v>
      </c>
    </row>
    <row r="50" spans="1:18" x14ac:dyDescent="0.2">
      <c r="A50" s="67" t="s">
        <v>1395</v>
      </c>
      <c r="B50" s="52" t="s">
        <v>1396</v>
      </c>
      <c r="D50" s="5">
        <f>Info!$B$17</f>
        <v>0</v>
      </c>
      <c r="E50" s="5">
        <f>Info!$B$22</f>
        <v>0</v>
      </c>
      <c r="F50" s="5">
        <f>Info!$B$27</f>
        <v>0</v>
      </c>
      <c r="G50" s="5">
        <f>Info!$B$32</f>
        <v>0</v>
      </c>
      <c r="H50" s="5">
        <f>Info!$B$37</f>
        <v>0</v>
      </c>
      <c r="I50" s="5">
        <f>Info!$B$40</f>
        <v>0</v>
      </c>
      <c r="J50" s="5">
        <f>Info!$B$42</f>
        <v>1</v>
      </c>
      <c r="P50" s="7">
        <f t="shared" si="4"/>
        <v>0.14285714285714285</v>
      </c>
      <c r="Q50" s="7">
        <f t="shared" si="3"/>
        <v>7.1428571428571425E-2</v>
      </c>
      <c r="R50">
        <f t="shared" si="1"/>
        <v>0</v>
      </c>
    </row>
    <row r="51" spans="1:18" x14ac:dyDescent="0.2">
      <c r="A51" s="67" t="s">
        <v>1397</v>
      </c>
      <c r="B51" s="52" t="s">
        <v>1398</v>
      </c>
      <c r="D51" s="5">
        <f>Info!$B$17</f>
        <v>0</v>
      </c>
      <c r="E51" s="5">
        <f>Info!$B$22</f>
        <v>0</v>
      </c>
      <c r="F51" s="5">
        <f>Info!$B$27</f>
        <v>0</v>
      </c>
      <c r="G51" s="5">
        <f>Info!$B$32</f>
        <v>0</v>
      </c>
      <c r="H51" s="5">
        <f>Info!$B$37</f>
        <v>0</v>
      </c>
      <c r="I51" s="5">
        <f>Info!$B$40</f>
        <v>0</v>
      </c>
      <c r="J51" s="5">
        <f>Info!$B$42</f>
        <v>1</v>
      </c>
      <c r="P51" s="7">
        <f t="shared" si="4"/>
        <v>0.14285714285714285</v>
      </c>
      <c r="Q51" s="7">
        <f t="shared" si="3"/>
        <v>7.1428571428571425E-2</v>
      </c>
      <c r="R51">
        <f t="shared" si="1"/>
        <v>0</v>
      </c>
    </row>
    <row r="52" spans="1:18" x14ac:dyDescent="0.2">
      <c r="A52" s="67" t="s">
        <v>1399</v>
      </c>
      <c r="B52" s="52" t="s">
        <v>1400</v>
      </c>
      <c r="D52" s="5">
        <f>Info!$B$17</f>
        <v>0</v>
      </c>
      <c r="E52" s="5">
        <f>Info!$B$22</f>
        <v>0</v>
      </c>
      <c r="F52" s="5">
        <f>Info!$B$27</f>
        <v>0</v>
      </c>
      <c r="G52" s="5">
        <f>Info!$B$32</f>
        <v>0</v>
      </c>
      <c r="H52" s="5">
        <f>Info!$B$37</f>
        <v>0</v>
      </c>
      <c r="I52" s="5">
        <f>Info!$B$40</f>
        <v>0</v>
      </c>
      <c r="J52" s="5">
        <f>Info!$B$42</f>
        <v>1</v>
      </c>
      <c r="P52" s="7">
        <f t="shared" si="4"/>
        <v>0.14285714285714285</v>
      </c>
      <c r="Q52" s="7">
        <f t="shared" si="3"/>
        <v>7.1428571428571425E-2</v>
      </c>
      <c r="R52">
        <f t="shared" si="1"/>
        <v>0</v>
      </c>
    </row>
    <row r="53" spans="1:18" x14ac:dyDescent="0.2">
      <c r="A53" s="67" t="s">
        <v>1401</v>
      </c>
      <c r="B53" s="52" t="s">
        <v>1402</v>
      </c>
      <c r="D53" s="5">
        <f>Info!$B$17</f>
        <v>0</v>
      </c>
      <c r="E53" s="5">
        <f>Info!$B$22</f>
        <v>0</v>
      </c>
      <c r="F53" s="5">
        <f>Info!$B$27</f>
        <v>0</v>
      </c>
      <c r="G53" s="5">
        <f>Info!$B$32</f>
        <v>0</v>
      </c>
      <c r="H53" s="5">
        <f>Info!$B$37</f>
        <v>0</v>
      </c>
      <c r="I53" s="5">
        <f>Info!$B$40</f>
        <v>0</v>
      </c>
      <c r="J53" s="5">
        <f>Info!$B$42</f>
        <v>1</v>
      </c>
      <c r="P53" s="7">
        <f t="shared" si="4"/>
        <v>0.14285714285714285</v>
      </c>
      <c r="Q53" s="7">
        <f t="shared" si="3"/>
        <v>7.1428571428571425E-2</v>
      </c>
      <c r="R53">
        <f t="shared" si="1"/>
        <v>0</v>
      </c>
    </row>
    <row r="54" spans="1:18" x14ac:dyDescent="0.2">
      <c r="A54" s="67" t="s">
        <v>1403</v>
      </c>
      <c r="B54" s="52" t="s">
        <v>1404</v>
      </c>
      <c r="D54" s="5">
        <f>Info!$B$17</f>
        <v>0</v>
      </c>
      <c r="E54" s="5">
        <f>Info!$B$22</f>
        <v>0</v>
      </c>
      <c r="F54" s="5">
        <f>Info!$B$27</f>
        <v>0</v>
      </c>
      <c r="G54" s="5">
        <f>Info!$B$32</f>
        <v>0</v>
      </c>
      <c r="H54" s="5">
        <f>Info!$B$37</f>
        <v>0</v>
      </c>
      <c r="I54" s="5">
        <f>Info!$B$40</f>
        <v>0</v>
      </c>
      <c r="J54" s="5">
        <f>Info!$B$42</f>
        <v>1</v>
      </c>
      <c r="P54" s="7">
        <f t="shared" si="4"/>
        <v>0.14285714285714285</v>
      </c>
      <c r="Q54" s="7">
        <f t="shared" si="3"/>
        <v>7.1428571428571425E-2</v>
      </c>
      <c r="R54">
        <f t="shared" si="1"/>
        <v>0</v>
      </c>
    </row>
    <row r="55" spans="1:18" x14ac:dyDescent="0.2">
      <c r="A55" s="67" t="s">
        <v>1405</v>
      </c>
      <c r="B55" s="52" t="s">
        <v>1406</v>
      </c>
      <c r="D55" s="5">
        <f>Info!$B$17</f>
        <v>0</v>
      </c>
      <c r="E55" s="5">
        <f>Info!$B$22</f>
        <v>0</v>
      </c>
      <c r="F55" s="5">
        <f>Info!$B$27</f>
        <v>0</v>
      </c>
      <c r="G55" s="5">
        <f>Info!$B$32</f>
        <v>0</v>
      </c>
      <c r="H55" s="5">
        <f>Info!$B$37</f>
        <v>0</v>
      </c>
      <c r="I55" s="5">
        <f>Info!$B$40</f>
        <v>0</v>
      </c>
      <c r="J55" s="5">
        <f>Info!$B$42</f>
        <v>1</v>
      </c>
      <c r="P55" s="7">
        <f t="shared" si="4"/>
        <v>0.14285714285714285</v>
      </c>
      <c r="Q55" s="7">
        <f t="shared" si="3"/>
        <v>7.1428571428571425E-2</v>
      </c>
      <c r="R55">
        <f t="shared" si="1"/>
        <v>0</v>
      </c>
    </row>
    <row r="56" spans="1:18" x14ac:dyDescent="0.2">
      <c r="A56" s="67" t="s">
        <v>1407</v>
      </c>
      <c r="B56" s="52" t="s">
        <v>1408</v>
      </c>
      <c r="D56" s="5">
        <f>Info!$B$17</f>
        <v>0</v>
      </c>
      <c r="E56" s="5">
        <f>Info!$B$22</f>
        <v>0</v>
      </c>
      <c r="F56" s="5">
        <f>Info!$B$27</f>
        <v>0</v>
      </c>
      <c r="G56" s="5">
        <f>Info!$B$32</f>
        <v>0</v>
      </c>
      <c r="H56" s="5">
        <f>Info!$B$37</f>
        <v>0</v>
      </c>
      <c r="I56" s="5">
        <f>Info!$B$40</f>
        <v>0</v>
      </c>
      <c r="J56" s="5">
        <f>Info!$B$42</f>
        <v>1</v>
      </c>
      <c r="P56" s="7">
        <f t="shared" si="4"/>
        <v>0.14285714285714285</v>
      </c>
      <c r="Q56" s="7">
        <f t="shared" si="3"/>
        <v>7.1428571428571425E-2</v>
      </c>
      <c r="R56">
        <f t="shared" si="1"/>
        <v>0</v>
      </c>
    </row>
    <row r="57" spans="1:18" x14ac:dyDescent="0.2">
      <c r="A57" s="67" t="s">
        <v>1409</v>
      </c>
      <c r="B57" s="52" t="s">
        <v>1410</v>
      </c>
      <c r="D57" s="5">
        <f>Info!$B$17</f>
        <v>0</v>
      </c>
      <c r="E57" s="5">
        <f>Info!$B$22</f>
        <v>0</v>
      </c>
      <c r="F57" s="5">
        <f>Info!$B$27</f>
        <v>0</v>
      </c>
      <c r="G57" s="5">
        <f>Info!$B$32</f>
        <v>0</v>
      </c>
      <c r="H57" s="5">
        <f>Info!$B$37</f>
        <v>0</v>
      </c>
      <c r="I57" s="5">
        <f>Info!$B$40</f>
        <v>0</v>
      </c>
      <c r="J57" s="5">
        <f>Info!$B$42</f>
        <v>1</v>
      </c>
      <c r="P57" s="7">
        <f t="shared" si="4"/>
        <v>0.14285714285714285</v>
      </c>
      <c r="Q57" s="7">
        <f t="shared" si="3"/>
        <v>7.1428571428571425E-2</v>
      </c>
      <c r="R57">
        <f t="shared" si="1"/>
        <v>0</v>
      </c>
    </row>
    <row r="58" spans="1:18" x14ac:dyDescent="0.2">
      <c r="A58" s="67" t="s">
        <v>1411</v>
      </c>
      <c r="B58" s="52" t="s">
        <v>1412</v>
      </c>
      <c r="D58" s="5">
        <f>Info!$B$17</f>
        <v>0</v>
      </c>
      <c r="E58" s="5">
        <f>Info!$B$22</f>
        <v>0</v>
      </c>
      <c r="F58" s="5">
        <f>Info!$B$27</f>
        <v>0</v>
      </c>
      <c r="G58" s="5">
        <f>Info!$B$32</f>
        <v>0</v>
      </c>
      <c r="H58" s="5">
        <f>Info!$B$37</f>
        <v>0</v>
      </c>
      <c r="I58" s="5">
        <f>Info!$B$40</f>
        <v>0</v>
      </c>
      <c r="J58" s="5">
        <f>Info!$B$42</f>
        <v>1</v>
      </c>
      <c r="P58" s="7">
        <f t="shared" si="4"/>
        <v>0.14285714285714285</v>
      </c>
      <c r="Q58" s="7">
        <f t="shared" si="3"/>
        <v>7.1428571428571425E-2</v>
      </c>
      <c r="R58">
        <f t="shared" si="1"/>
        <v>0</v>
      </c>
    </row>
    <row r="59" spans="1:18" x14ac:dyDescent="0.2">
      <c r="A59" s="67" t="s">
        <v>1413</v>
      </c>
      <c r="B59" s="52" t="s">
        <v>1414</v>
      </c>
      <c r="D59" s="5">
        <f>Info!$B$17</f>
        <v>0</v>
      </c>
      <c r="E59" s="5">
        <f>Info!$B$22</f>
        <v>0</v>
      </c>
      <c r="F59" s="5">
        <f>Info!$B$27</f>
        <v>0</v>
      </c>
      <c r="G59" s="5">
        <f>Info!$B$32</f>
        <v>0</v>
      </c>
      <c r="H59" s="5">
        <f>Info!$B$37</f>
        <v>0</v>
      </c>
      <c r="I59" s="5">
        <f>Info!$B$40</f>
        <v>0</v>
      </c>
      <c r="J59" s="5">
        <f>Info!$B$42</f>
        <v>1</v>
      </c>
      <c r="P59" s="7">
        <f t="shared" si="4"/>
        <v>0.14285714285714285</v>
      </c>
      <c r="Q59" s="7">
        <f t="shared" si="3"/>
        <v>7.1428571428571425E-2</v>
      </c>
      <c r="R59">
        <f t="shared" si="1"/>
        <v>0</v>
      </c>
    </row>
    <row r="60" spans="1:18" x14ac:dyDescent="0.2">
      <c r="A60" s="67" t="s">
        <v>1415</v>
      </c>
      <c r="B60" s="52" t="s">
        <v>1416</v>
      </c>
      <c r="D60" s="5">
        <f>Info!$B$17</f>
        <v>0</v>
      </c>
      <c r="E60" s="5">
        <f>Info!$B$22</f>
        <v>0</v>
      </c>
      <c r="F60" s="5">
        <f>Info!$B$27</f>
        <v>0</v>
      </c>
      <c r="G60" s="5">
        <f>Info!$B$32</f>
        <v>0</v>
      </c>
      <c r="H60" s="5">
        <f>Info!$B$37</f>
        <v>0</v>
      </c>
      <c r="I60" s="5">
        <f>Info!$B$40</f>
        <v>0</v>
      </c>
      <c r="J60" s="5">
        <f>Info!$B$42</f>
        <v>1</v>
      </c>
      <c r="P60" s="7">
        <f t="shared" si="4"/>
        <v>0.14285714285714285</v>
      </c>
      <c r="Q60" s="7">
        <f t="shared" si="3"/>
        <v>7.1428571428571425E-2</v>
      </c>
      <c r="R60">
        <f t="shared" si="1"/>
        <v>0</v>
      </c>
    </row>
    <row r="61" spans="1:18" x14ac:dyDescent="0.2">
      <c r="A61" s="67" t="s">
        <v>1417</v>
      </c>
      <c r="B61" s="52" t="s">
        <v>1418</v>
      </c>
      <c r="D61" s="5">
        <f>Info!$B$17</f>
        <v>0</v>
      </c>
      <c r="E61" s="5">
        <f>Info!$B$22</f>
        <v>0</v>
      </c>
      <c r="F61" s="5">
        <f>Info!$B$27</f>
        <v>0</v>
      </c>
      <c r="G61" s="5">
        <f>Info!$B$32</f>
        <v>0</v>
      </c>
      <c r="H61" s="5">
        <f>Info!$B$37</f>
        <v>0</v>
      </c>
      <c r="I61" s="5">
        <f>Info!$B$40</f>
        <v>0</v>
      </c>
      <c r="J61" s="5">
        <f>Info!$B$42</f>
        <v>1</v>
      </c>
      <c r="P61" s="7">
        <f t="shared" si="4"/>
        <v>0.14285714285714285</v>
      </c>
      <c r="Q61" s="7">
        <f t="shared" si="3"/>
        <v>7.1428571428571425E-2</v>
      </c>
      <c r="R61">
        <f t="shared" si="1"/>
        <v>0</v>
      </c>
    </row>
    <row r="62" spans="1:18" x14ac:dyDescent="0.2">
      <c r="A62" s="67" t="s">
        <v>1419</v>
      </c>
      <c r="B62" s="4" t="s">
        <v>1420</v>
      </c>
      <c r="D62" s="5">
        <f>Info!$B$17</f>
        <v>0</v>
      </c>
      <c r="E62" s="5">
        <f>Info!$B$22</f>
        <v>0</v>
      </c>
      <c r="F62" s="5">
        <f>Info!$B$27</f>
        <v>0</v>
      </c>
      <c r="G62" s="5">
        <f>Info!$B$32</f>
        <v>0</v>
      </c>
      <c r="H62" s="5">
        <f>Info!$B$37</f>
        <v>0</v>
      </c>
      <c r="I62" s="5">
        <f>Info!$B$40</f>
        <v>0</v>
      </c>
      <c r="J62" s="5">
        <f>Info!$B$42</f>
        <v>1</v>
      </c>
      <c r="P62" s="7">
        <f t="shared" si="4"/>
        <v>0.14285714285714285</v>
      </c>
      <c r="Q62" s="7">
        <f t="shared" si="3"/>
        <v>7.1428571428571425E-2</v>
      </c>
      <c r="R62">
        <f t="shared" si="1"/>
        <v>0</v>
      </c>
    </row>
    <row r="63" spans="1:18" x14ac:dyDescent="0.2">
      <c r="A63" s="67" t="s">
        <v>1421</v>
      </c>
      <c r="B63" s="4" t="s">
        <v>1422</v>
      </c>
      <c r="D63" s="5">
        <f>Info!$B$17</f>
        <v>0</v>
      </c>
      <c r="E63" s="5">
        <f>Info!$B$22</f>
        <v>0</v>
      </c>
      <c r="F63" s="5">
        <f>Info!$B$27</f>
        <v>0</v>
      </c>
      <c r="G63" s="5">
        <f>Info!$B$32</f>
        <v>0</v>
      </c>
      <c r="H63" s="5">
        <f>Info!$B$37</f>
        <v>0</v>
      </c>
      <c r="I63" s="5">
        <f>Info!$B$40</f>
        <v>0</v>
      </c>
      <c r="J63" s="5">
        <f>Info!$B$42</f>
        <v>1</v>
      </c>
      <c r="P63" s="7">
        <f t="shared" si="4"/>
        <v>0.14285714285714285</v>
      </c>
      <c r="Q63" s="7">
        <f t="shared" si="3"/>
        <v>7.1428571428571425E-2</v>
      </c>
      <c r="R63">
        <f t="shared" si="1"/>
        <v>0</v>
      </c>
    </row>
    <row r="64" spans="1:18" x14ac:dyDescent="0.2">
      <c r="A64" s="67" t="s">
        <v>1423</v>
      </c>
      <c r="B64" s="4" t="s">
        <v>1424</v>
      </c>
      <c r="D64" s="5">
        <f>Info!$B$17</f>
        <v>0</v>
      </c>
      <c r="E64" s="5">
        <f>Info!$B$22</f>
        <v>0</v>
      </c>
      <c r="F64" s="5">
        <f>Info!$B$27</f>
        <v>0</v>
      </c>
      <c r="G64" s="5">
        <f>Info!$B$32</f>
        <v>0</v>
      </c>
      <c r="H64" s="5">
        <f>Info!$B$37</f>
        <v>0</v>
      </c>
      <c r="I64" s="5">
        <f>Info!$B$40</f>
        <v>0</v>
      </c>
      <c r="J64" s="5">
        <f>Info!$B$42</f>
        <v>1</v>
      </c>
      <c r="P64" s="7">
        <f t="shared" si="4"/>
        <v>0.14285714285714285</v>
      </c>
      <c r="Q64" s="7">
        <f t="shared" si="3"/>
        <v>7.1428571428571425E-2</v>
      </c>
      <c r="R64">
        <f t="shared" si="1"/>
        <v>0</v>
      </c>
    </row>
    <row r="65" spans="1:18" x14ac:dyDescent="0.2">
      <c r="A65" s="87" t="s">
        <v>43</v>
      </c>
      <c r="B65" s="52" t="s">
        <v>44</v>
      </c>
      <c r="J65" s="5">
        <f>Info!$B$42</f>
        <v>1</v>
      </c>
      <c r="P65" s="7">
        <f t="shared" si="4"/>
        <v>0.14285714285714285</v>
      </c>
      <c r="Q65" s="7">
        <f t="shared" si="3"/>
        <v>7.1428571428571425E-2</v>
      </c>
      <c r="R65">
        <f t="shared" si="1"/>
        <v>0</v>
      </c>
    </row>
    <row r="66" spans="1:18" x14ac:dyDescent="0.2">
      <c r="A66" s="87" t="s">
        <v>1425</v>
      </c>
      <c r="B66" s="52" t="s">
        <v>1426</v>
      </c>
      <c r="J66" s="5">
        <f>Info!$B$42</f>
        <v>1</v>
      </c>
      <c r="P66" s="7">
        <f t="shared" si="4"/>
        <v>0.14285714285714285</v>
      </c>
      <c r="Q66" s="7">
        <f t="shared" si="3"/>
        <v>7.1428571428571425E-2</v>
      </c>
      <c r="R66">
        <f t="shared" ref="R66:R129" si="5">IF(_xlfn.BITAND(P66&gt;0.4999, Q66&gt;0.4999)=1,1,0)</f>
        <v>0</v>
      </c>
    </row>
    <row r="67" spans="1:18" x14ac:dyDescent="0.2">
      <c r="A67" s="67" t="s">
        <v>23</v>
      </c>
      <c r="B67" s="52" t="s">
        <v>1427</v>
      </c>
      <c r="J67" s="5">
        <f>Info!$B$42</f>
        <v>1</v>
      </c>
      <c r="P67" s="7">
        <f t="shared" si="4"/>
        <v>0.14285714285714285</v>
      </c>
      <c r="Q67" s="7">
        <f t="shared" si="3"/>
        <v>7.1428571428571425E-2</v>
      </c>
      <c r="R67">
        <f t="shared" si="5"/>
        <v>0</v>
      </c>
    </row>
    <row r="68" spans="1:18" x14ac:dyDescent="0.2">
      <c r="A68" s="67" t="s">
        <v>84</v>
      </c>
      <c r="B68" s="52" t="s">
        <v>1428</v>
      </c>
      <c r="J68" s="5">
        <f>Info!$B$42</f>
        <v>1</v>
      </c>
      <c r="P68" s="7">
        <f t="shared" si="4"/>
        <v>0.14285714285714285</v>
      </c>
      <c r="Q68" s="7">
        <f t="shared" si="3"/>
        <v>7.1428571428571425E-2</v>
      </c>
      <c r="R68">
        <f t="shared" si="5"/>
        <v>0</v>
      </c>
    </row>
    <row r="69" spans="1:18" x14ac:dyDescent="0.2">
      <c r="A69" s="67" t="s">
        <v>81</v>
      </c>
      <c r="B69" s="52" t="s">
        <v>82</v>
      </c>
      <c r="J69" s="5">
        <f>Info!$B$42</f>
        <v>1</v>
      </c>
      <c r="P69" s="7">
        <f t="shared" si="4"/>
        <v>0.14285714285714285</v>
      </c>
      <c r="Q69" s="7">
        <f t="shared" si="3"/>
        <v>7.1428571428571425E-2</v>
      </c>
      <c r="R69">
        <f t="shared" si="5"/>
        <v>0</v>
      </c>
    </row>
    <row r="70" spans="1:18" x14ac:dyDescent="0.2">
      <c r="A70" s="67" t="s">
        <v>1429</v>
      </c>
      <c r="B70" s="52" t="s">
        <v>1430</v>
      </c>
      <c r="J70" s="5">
        <f>Info!$B$42</f>
        <v>1</v>
      </c>
      <c r="K70">
        <v>4</v>
      </c>
      <c r="P70" s="7">
        <f t="shared" si="4"/>
        <v>0.14285714285714285</v>
      </c>
      <c r="Q70" s="7">
        <f t="shared" si="3"/>
        <v>7.1428571428571425E-2</v>
      </c>
      <c r="R70">
        <f t="shared" si="5"/>
        <v>0</v>
      </c>
    </row>
    <row r="71" spans="1:18" x14ac:dyDescent="0.2">
      <c r="A71" s="67" t="s">
        <v>273</v>
      </c>
      <c r="B71" s="52" t="s">
        <v>274</v>
      </c>
      <c r="J71" s="5">
        <f>Info!$B$42</f>
        <v>1</v>
      </c>
      <c r="P71" s="7">
        <f t="shared" si="4"/>
        <v>0.14285714285714285</v>
      </c>
      <c r="Q71" s="7">
        <f t="shared" si="3"/>
        <v>7.1428571428571425E-2</v>
      </c>
      <c r="R71">
        <f t="shared" si="5"/>
        <v>0</v>
      </c>
    </row>
    <row r="72" spans="1:18" x14ac:dyDescent="0.2">
      <c r="A72" s="67" t="s">
        <v>1431</v>
      </c>
      <c r="B72" s="52" t="s">
        <v>1432</v>
      </c>
      <c r="J72" s="5">
        <f>Info!$B$42</f>
        <v>1</v>
      </c>
      <c r="K72">
        <v>4</v>
      </c>
      <c r="P72" s="7">
        <f t="shared" si="4"/>
        <v>0.14285714285714285</v>
      </c>
      <c r="Q72" s="7">
        <f t="shared" si="3"/>
        <v>7.1428571428571425E-2</v>
      </c>
      <c r="R72">
        <f t="shared" si="5"/>
        <v>0</v>
      </c>
    </row>
    <row r="73" spans="1:18" x14ac:dyDescent="0.2">
      <c r="A73" s="67" t="s">
        <v>1433</v>
      </c>
      <c r="B73" s="52" t="s">
        <v>1434</v>
      </c>
      <c r="J73" s="5">
        <f>Info!$B$42</f>
        <v>1</v>
      </c>
      <c r="P73" s="7">
        <f t="shared" si="4"/>
        <v>0.14285714285714285</v>
      </c>
      <c r="Q73" s="7">
        <f t="shared" si="3"/>
        <v>7.1428571428571425E-2</v>
      </c>
      <c r="R73">
        <f t="shared" si="5"/>
        <v>0</v>
      </c>
    </row>
    <row r="74" spans="1:18" x14ac:dyDescent="0.2">
      <c r="A74" s="67" t="s">
        <v>1435</v>
      </c>
      <c r="B74" s="52" t="s">
        <v>1436</v>
      </c>
      <c r="J74" s="5">
        <f>Info!$B$42</f>
        <v>1</v>
      </c>
      <c r="P74" s="7">
        <f t="shared" si="4"/>
        <v>0.14285714285714285</v>
      </c>
      <c r="Q74" s="7">
        <f t="shared" si="3"/>
        <v>7.1428571428571425E-2</v>
      </c>
      <c r="R74">
        <f t="shared" si="5"/>
        <v>0</v>
      </c>
    </row>
    <row r="75" spans="1:18" x14ac:dyDescent="0.2">
      <c r="A75" s="67" t="s">
        <v>1437</v>
      </c>
      <c r="B75" s="52" t="s">
        <v>1438</v>
      </c>
      <c r="J75" s="5">
        <f>Info!$B$42</f>
        <v>1</v>
      </c>
      <c r="P75" s="7">
        <f t="shared" si="4"/>
        <v>0.14285714285714285</v>
      </c>
      <c r="Q75" s="7">
        <f t="shared" si="3"/>
        <v>7.1428571428571425E-2</v>
      </c>
      <c r="R75">
        <f t="shared" si="5"/>
        <v>0</v>
      </c>
    </row>
    <row r="76" spans="1:18" x14ac:dyDescent="0.2">
      <c r="A76" s="67" t="s">
        <v>1439</v>
      </c>
      <c r="B76" s="52" t="s">
        <v>1440</v>
      </c>
      <c r="J76" s="5">
        <f>Info!$B$42</f>
        <v>1</v>
      </c>
      <c r="P76" s="7">
        <f t="shared" si="4"/>
        <v>0.14285714285714285</v>
      </c>
      <c r="Q76" s="7">
        <f t="shared" si="3"/>
        <v>7.1428571428571425E-2</v>
      </c>
      <c r="R76">
        <f t="shared" si="5"/>
        <v>0</v>
      </c>
    </row>
    <row r="77" spans="1:18" x14ac:dyDescent="0.2">
      <c r="A77" s="67" t="s">
        <v>1441</v>
      </c>
      <c r="B77" s="52" t="s">
        <v>1442</v>
      </c>
      <c r="J77" s="5">
        <f>Info!$B$42</f>
        <v>1</v>
      </c>
      <c r="P77" s="7">
        <f t="shared" si="4"/>
        <v>0.14285714285714285</v>
      </c>
      <c r="Q77" s="7">
        <f t="shared" ref="Q77:Q140" si="6">(O77+P77)/2</f>
        <v>7.1428571428571425E-2</v>
      </c>
      <c r="R77">
        <f t="shared" si="5"/>
        <v>0</v>
      </c>
    </row>
    <row r="78" spans="1:18" x14ac:dyDescent="0.2">
      <c r="A78" s="67" t="s">
        <v>1443</v>
      </c>
      <c r="B78" s="52" t="s">
        <v>1444</v>
      </c>
      <c r="J78" s="5">
        <f>Info!$B$42</f>
        <v>1</v>
      </c>
      <c r="P78" s="7">
        <f t="shared" si="4"/>
        <v>0.14285714285714285</v>
      </c>
      <c r="Q78" s="7">
        <f t="shared" si="6"/>
        <v>7.1428571428571425E-2</v>
      </c>
      <c r="R78">
        <f t="shared" si="5"/>
        <v>0</v>
      </c>
    </row>
    <row r="79" spans="1:18" x14ac:dyDescent="0.2">
      <c r="A79" s="67" t="s">
        <v>1445</v>
      </c>
      <c r="B79" s="52" t="s">
        <v>1446</v>
      </c>
      <c r="J79" s="5">
        <f>Info!$B$42</f>
        <v>1</v>
      </c>
      <c r="P79" s="7">
        <f t="shared" si="4"/>
        <v>0.14285714285714285</v>
      </c>
      <c r="Q79" s="7">
        <f t="shared" si="6"/>
        <v>7.1428571428571425E-2</v>
      </c>
      <c r="R79">
        <f t="shared" si="5"/>
        <v>0</v>
      </c>
    </row>
    <row r="80" spans="1:18" x14ac:dyDescent="0.2">
      <c r="A80" s="67" t="s">
        <v>1447</v>
      </c>
      <c r="B80" s="52" t="s">
        <v>1448</v>
      </c>
      <c r="J80" s="5">
        <f>Info!$B$42</f>
        <v>1</v>
      </c>
      <c r="P80" s="7">
        <f t="shared" si="4"/>
        <v>0.14285714285714285</v>
      </c>
      <c r="Q80" s="7">
        <f t="shared" si="6"/>
        <v>7.1428571428571425E-2</v>
      </c>
      <c r="R80">
        <f t="shared" si="5"/>
        <v>0</v>
      </c>
    </row>
    <row r="81" spans="1:18" x14ac:dyDescent="0.2">
      <c r="A81" s="67" t="s">
        <v>1449</v>
      </c>
      <c r="B81" s="52" t="s">
        <v>1450</v>
      </c>
      <c r="J81" s="5">
        <f>Info!$B$42</f>
        <v>1</v>
      </c>
      <c r="P81" s="7">
        <f t="shared" si="4"/>
        <v>0.14285714285714285</v>
      </c>
      <c r="Q81" s="7">
        <f t="shared" si="6"/>
        <v>7.1428571428571425E-2</v>
      </c>
      <c r="R81">
        <f t="shared" si="5"/>
        <v>0</v>
      </c>
    </row>
    <row r="82" spans="1:18" x14ac:dyDescent="0.2">
      <c r="A82" s="67" t="s">
        <v>1451</v>
      </c>
      <c r="B82" s="52" t="s">
        <v>1452</v>
      </c>
      <c r="J82" s="5">
        <f>Info!$B$42</f>
        <v>1</v>
      </c>
      <c r="P82" s="7">
        <f t="shared" si="4"/>
        <v>0.14285714285714285</v>
      </c>
      <c r="Q82" s="7">
        <f t="shared" si="6"/>
        <v>7.1428571428571425E-2</v>
      </c>
      <c r="R82">
        <f t="shared" si="5"/>
        <v>0</v>
      </c>
    </row>
    <row r="83" spans="1:18" x14ac:dyDescent="0.2">
      <c r="A83" s="67" t="s">
        <v>1453</v>
      </c>
      <c r="B83" s="52" t="s">
        <v>1454</v>
      </c>
      <c r="J83" s="5">
        <f>Info!$B$42</f>
        <v>1</v>
      </c>
      <c r="P83" s="7">
        <f t="shared" si="4"/>
        <v>0.14285714285714285</v>
      </c>
      <c r="Q83" s="7">
        <f t="shared" si="6"/>
        <v>7.1428571428571425E-2</v>
      </c>
      <c r="R83">
        <f t="shared" si="5"/>
        <v>0</v>
      </c>
    </row>
    <row r="84" spans="1:18" x14ac:dyDescent="0.2">
      <c r="A84" s="67" t="s">
        <v>1455</v>
      </c>
      <c r="B84" s="52" t="s">
        <v>1456</v>
      </c>
      <c r="J84" s="5">
        <f>Info!$B$42</f>
        <v>1</v>
      </c>
      <c r="P84" s="7">
        <f t="shared" si="4"/>
        <v>0.14285714285714285</v>
      </c>
      <c r="Q84" s="7">
        <f t="shared" si="6"/>
        <v>7.1428571428571425E-2</v>
      </c>
      <c r="R84">
        <f t="shared" si="5"/>
        <v>0</v>
      </c>
    </row>
    <row r="85" spans="1:18" x14ac:dyDescent="0.2">
      <c r="A85" s="67" t="s">
        <v>1457</v>
      </c>
      <c r="B85" s="52" t="s">
        <v>1458</v>
      </c>
      <c r="J85" s="5">
        <f>Info!$B$42</f>
        <v>1</v>
      </c>
      <c r="P85" s="7">
        <f t="shared" ref="P85:P148" si="7">(D85+E85+F85+G85+H85+I85+J85)/7</f>
        <v>0.14285714285714285</v>
      </c>
      <c r="Q85" s="7">
        <f t="shared" si="6"/>
        <v>7.1428571428571425E-2</v>
      </c>
      <c r="R85">
        <f t="shared" si="5"/>
        <v>0</v>
      </c>
    </row>
    <row r="86" spans="1:18" x14ac:dyDescent="0.2">
      <c r="A86" s="67" t="s">
        <v>1459</v>
      </c>
      <c r="B86" s="52" t="s">
        <v>1460</v>
      </c>
      <c r="J86" s="5">
        <f>Info!$B$42</f>
        <v>1</v>
      </c>
      <c r="P86" s="7">
        <f t="shared" si="7"/>
        <v>0.14285714285714285</v>
      </c>
      <c r="Q86" s="7">
        <f t="shared" si="6"/>
        <v>7.1428571428571425E-2</v>
      </c>
      <c r="R86">
        <f t="shared" si="5"/>
        <v>0</v>
      </c>
    </row>
    <row r="87" spans="1:18" x14ac:dyDescent="0.2">
      <c r="A87" s="67" t="s">
        <v>1461</v>
      </c>
      <c r="B87" s="52" t="s">
        <v>1462</v>
      </c>
      <c r="J87" s="5">
        <f>Info!$B$42</f>
        <v>1</v>
      </c>
      <c r="P87" s="7">
        <f t="shared" si="7"/>
        <v>0.14285714285714285</v>
      </c>
      <c r="Q87" s="7">
        <f t="shared" si="6"/>
        <v>7.1428571428571425E-2</v>
      </c>
      <c r="R87">
        <f t="shared" si="5"/>
        <v>0</v>
      </c>
    </row>
    <row r="88" spans="1:18" x14ac:dyDescent="0.2">
      <c r="A88" s="67" t="s">
        <v>1463</v>
      </c>
      <c r="B88" s="52" t="s">
        <v>1464</v>
      </c>
      <c r="J88" s="5">
        <f>Info!$B$42</f>
        <v>1</v>
      </c>
      <c r="P88" s="7">
        <f t="shared" si="7"/>
        <v>0.14285714285714285</v>
      </c>
      <c r="Q88" s="7">
        <f t="shared" si="6"/>
        <v>7.1428571428571425E-2</v>
      </c>
      <c r="R88">
        <f t="shared" si="5"/>
        <v>0</v>
      </c>
    </row>
    <row r="89" spans="1:18" x14ac:dyDescent="0.2">
      <c r="A89" s="67" t="s">
        <v>1465</v>
      </c>
      <c r="B89" s="52" t="s">
        <v>1466</v>
      </c>
      <c r="J89" s="5">
        <f>Info!$B$42</f>
        <v>1</v>
      </c>
      <c r="P89" s="7">
        <f t="shared" si="7"/>
        <v>0.14285714285714285</v>
      </c>
      <c r="Q89" s="7">
        <f t="shared" si="6"/>
        <v>7.1428571428571425E-2</v>
      </c>
      <c r="R89">
        <f t="shared" si="5"/>
        <v>0</v>
      </c>
    </row>
    <row r="90" spans="1:18" x14ac:dyDescent="0.2">
      <c r="A90" s="67" t="s">
        <v>1467</v>
      </c>
      <c r="B90" s="52" t="s">
        <v>1468</v>
      </c>
      <c r="J90" s="5">
        <f>Info!$B$42</f>
        <v>1</v>
      </c>
      <c r="P90" s="7">
        <f t="shared" si="7"/>
        <v>0.14285714285714285</v>
      </c>
      <c r="Q90" s="7">
        <f t="shared" si="6"/>
        <v>7.1428571428571425E-2</v>
      </c>
      <c r="R90">
        <f t="shared" si="5"/>
        <v>0</v>
      </c>
    </row>
    <row r="91" spans="1:18" x14ac:dyDescent="0.2">
      <c r="A91" s="67" t="s">
        <v>1469</v>
      </c>
      <c r="B91" s="52" t="s">
        <v>1470</v>
      </c>
      <c r="J91" s="5">
        <f>Info!$B$42</f>
        <v>1</v>
      </c>
      <c r="P91" s="7">
        <f t="shared" si="7"/>
        <v>0.14285714285714285</v>
      </c>
      <c r="Q91" s="7">
        <f t="shared" si="6"/>
        <v>7.1428571428571425E-2</v>
      </c>
      <c r="R91">
        <f t="shared" si="5"/>
        <v>0</v>
      </c>
    </row>
    <row r="92" spans="1:18" x14ac:dyDescent="0.2">
      <c r="A92" s="67" t="s">
        <v>1471</v>
      </c>
      <c r="B92" s="52" t="s">
        <v>1472</v>
      </c>
      <c r="J92" s="5">
        <f>Info!$B$42</f>
        <v>1</v>
      </c>
      <c r="P92" s="7">
        <f t="shared" si="7"/>
        <v>0.14285714285714285</v>
      </c>
      <c r="Q92" s="7">
        <f t="shared" si="6"/>
        <v>7.1428571428571425E-2</v>
      </c>
      <c r="R92">
        <f t="shared" si="5"/>
        <v>0</v>
      </c>
    </row>
    <row r="93" spans="1:18" x14ac:dyDescent="0.2">
      <c r="A93" s="67" t="s">
        <v>1473</v>
      </c>
      <c r="B93" s="52" t="s">
        <v>1474</v>
      </c>
      <c r="J93" s="5">
        <f>Info!$B$42</f>
        <v>1</v>
      </c>
      <c r="P93" s="7">
        <f t="shared" si="7"/>
        <v>0.14285714285714285</v>
      </c>
      <c r="Q93" s="7">
        <f t="shared" si="6"/>
        <v>7.1428571428571425E-2</v>
      </c>
      <c r="R93">
        <f t="shared" si="5"/>
        <v>0</v>
      </c>
    </row>
    <row r="94" spans="1:18" x14ac:dyDescent="0.2">
      <c r="A94" s="67" t="s">
        <v>1475</v>
      </c>
      <c r="B94" s="52" t="s">
        <v>1476</v>
      </c>
      <c r="J94" s="5">
        <f>Info!$B$42</f>
        <v>1</v>
      </c>
      <c r="P94" s="7">
        <f t="shared" si="7"/>
        <v>0.14285714285714285</v>
      </c>
      <c r="Q94" s="7">
        <f t="shared" si="6"/>
        <v>7.1428571428571425E-2</v>
      </c>
      <c r="R94">
        <f t="shared" si="5"/>
        <v>0</v>
      </c>
    </row>
    <row r="95" spans="1:18" x14ac:dyDescent="0.2">
      <c r="A95" s="67" t="s">
        <v>1477</v>
      </c>
      <c r="B95" s="52" t="s">
        <v>1478</v>
      </c>
      <c r="J95" s="5">
        <f>Info!$B$42</f>
        <v>1</v>
      </c>
      <c r="P95" s="7">
        <f t="shared" si="7"/>
        <v>0.14285714285714285</v>
      </c>
      <c r="Q95" s="7">
        <f t="shared" si="6"/>
        <v>7.1428571428571425E-2</v>
      </c>
      <c r="R95">
        <f t="shared" si="5"/>
        <v>0</v>
      </c>
    </row>
    <row r="96" spans="1:18" x14ac:dyDescent="0.2">
      <c r="A96" s="67" t="s">
        <v>1479</v>
      </c>
      <c r="B96" s="4" t="s">
        <v>1480</v>
      </c>
      <c r="J96" s="5">
        <f>Info!$B$42</f>
        <v>1</v>
      </c>
      <c r="P96" s="7">
        <f t="shared" si="7"/>
        <v>0.14285714285714285</v>
      </c>
      <c r="Q96" s="7">
        <f t="shared" si="6"/>
        <v>7.1428571428571425E-2</v>
      </c>
      <c r="R96">
        <f t="shared" si="5"/>
        <v>0</v>
      </c>
    </row>
    <row r="97" spans="1:18" x14ac:dyDescent="0.2">
      <c r="A97" s="67" t="s">
        <v>1481</v>
      </c>
      <c r="B97" s="4" t="s">
        <v>1482</v>
      </c>
      <c r="J97" s="5">
        <f>Info!$B$42</f>
        <v>1</v>
      </c>
      <c r="P97" s="7">
        <f t="shared" si="7"/>
        <v>0.14285714285714285</v>
      </c>
      <c r="Q97" s="7">
        <f t="shared" si="6"/>
        <v>7.1428571428571425E-2</v>
      </c>
      <c r="R97">
        <f t="shared" si="5"/>
        <v>0</v>
      </c>
    </row>
    <row r="98" spans="1:18" x14ac:dyDescent="0.2">
      <c r="A98" s="67" t="s">
        <v>1483</v>
      </c>
      <c r="B98" s="4" t="s">
        <v>1484</v>
      </c>
      <c r="J98" s="5">
        <f>Info!$B$42</f>
        <v>1</v>
      </c>
      <c r="P98" s="7">
        <f t="shared" si="7"/>
        <v>0.14285714285714285</v>
      </c>
      <c r="Q98" s="7">
        <f t="shared" si="6"/>
        <v>7.1428571428571425E-2</v>
      </c>
      <c r="R98">
        <f t="shared" si="5"/>
        <v>0</v>
      </c>
    </row>
    <row r="99" spans="1:18" x14ac:dyDescent="0.2">
      <c r="A99" s="67" t="s">
        <v>1485</v>
      </c>
      <c r="B99" s="4" t="s">
        <v>1486</v>
      </c>
      <c r="J99" s="5">
        <f>Info!$B$42</f>
        <v>1</v>
      </c>
      <c r="P99" s="7">
        <f t="shared" si="7"/>
        <v>0.14285714285714285</v>
      </c>
      <c r="Q99" s="7">
        <f t="shared" si="6"/>
        <v>7.1428571428571425E-2</v>
      </c>
      <c r="R99">
        <f t="shared" si="5"/>
        <v>0</v>
      </c>
    </row>
    <row r="100" spans="1:18" x14ac:dyDescent="0.2">
      <c r="A100" s="67" t="s">
        <v>1487</v>
      </c>
      <c r="B100" s="4" t="s">
        <v>1488</v>
      </c>
      <c r="J100" s="5">
        <f>Info!$B$42</f>
        <v>1</v>
      </c>
      <c r="P100" s="7">
        <f t="shared" si="7"/>
        <v>0.14285714285714285</v>
      </c>
      <c r="Q100" s="7">
        <f t="shared" si="6"/>
        <v>7.1428571428571425E-2</v>
      </c>
      <c r="R100">
        <f t="shared" si="5"/>
        <v>0</v>
      </c>
    </row>
    <row r="101" spans="1:18" x14ac:dyDescent="0.2">
      <c r="A101" s="67" t="s">
        <v>1489</v>
      </c>
      <c r="B101" s="4" t="s">
        <v>1490</v>
      </c>
      <c r="J101" s="5">
        <f>Info!$B$42</f>
        <v>1</v>
      </c>
      <c r="P101" s="7">
        <f t="shared" si="7"/>
        <v>0.14285714285714285</v>
      </c>
      <c r="Q101" s="7">
        <f t="shared" si="6"/>
        <v>7.1428571428571425E-2</v>
      </c>
      <c r="R101">
        <f t="shared" si="5"/>
        <v>0</v>
      </c>
    </row>
    <row r="102" spans="1:18" x14ac:dyDescent="0.2">
      <c r="A102" s="67" t="s">
        <v>1491</v>
      </c>
      <c r="B102" s="4" t="s">
        <v>1492</v>
      </c>
      <c r="J102" s="5">
        <f>Info!$B$42</f>
        <v>1</v>
      </c>
      <c r="P102" s="7">
        <f t="shared" si="7"/>
        <v>0.14285714285714285</v>
      </c>
      <c r="Q102" s="7">
        <f t="shared" si="6"/>
        <v>7.1428571428571425E-2</v>
      </c>
      <c r="R102">
        <f t="shared" si="5"/>
        <v>0</v>
      </c>
    </row>
    <row r="103" spans="1:18" x14ac:dyDescent="0.2">
      <c r="A103" s="67" t="s">
        <v>1493</v>
      </c>
      <c r="B103" s="4" t="s">
        <v>1494</v>
      </c>
      <c r="J103" s="5">
        <f>Info!$B$42</f>
        <v>1</v>
      </c>
      <c r="P103" s="7">
        <f t="shared" si="7"/>
        <v>0.14285714285714285</v>
      </c>
      <c r="Q103" s="7">
        <f t="shared" si="6"/>
        <v>7.1428571428571425E-2</v>
      </c>
      <c r="R103">
        <f t="shared" si="5"/>
        <v>0</v>
      </c>
    </row>
    <row r="104" spans="1:18" x14ac:dyDescent="0.2">
      <c r="A104" s="67" t="s">
        <v>1495</v>
      </c>
      <c r="B104" s="4" t="s">
        <v>1496</v>
      </c>
      <c r="J104" s="5">
        <f>Info!$B$42</f>
        <v>1</v>
      </c>
      <c r="P104" s="7">
        <f t="shared" si="7"/>
        <v>0.14285714285714285</v>
      </c>
      <c r="Q104" s="7">
        <f t="shared" si="6"/>
        <v>7.1428571428571425E-2</v>
      </c>
      <c r="R104">
        <f t="shared" si="5"/>
        <v>0</v>
      </c>
    </row>
    <row r="105" spans="1:18" x14ac:dyDescent="0.2">
      <c r="A105" s="67" t="s">
        <v>1497</v>
      </c>
      <c r="B105" s="4" t="s">
        <v>1498</v>
      </c>
      <c r="J105" s="5">
        <f>Info!$B$42</f>
        <v>1</v>
      </c>
      <c r="P105" s="7">
        <f t="shared" si="7"/>
        <v>0.14285714285714285</v>
      </c>
      <c r="Q105" s="7">
        <f t="shared" si="6"/>
        <v>7.1428571428571425E-2</v>
      </c>
      <c r="R105">
        <f t="shared" si="5"/>
        <v>0</v>
      </c>
    </row>
    <row r="106" spans="1:18" x14ac:dyDescent="0.2">
      <c r="A106" s="67" t="s">
        <v>1499</v>
      </c>
      <c r="B106" s="4" t="s">
        <v>1500</v>
      </c>
      <c r="J106" s="5">
        <f>Info!$B$42</f>
        <v>1</v>
      </c>
      <c r="P106" s="7">
        <f t="shared" si="7"/>
        <v>0.14285714285714285</v>
      </c>
      <c r="Q106" s="7">
        <f t="shared" si="6"/>
        <v>7.1428571428571425E-2</v>
      </c>
      <c r="R106">
        <f t="shared" si="5"/>
        <v>0</v>
      </c>
    </row>
    <row r="107" spans="1:18" x14ac:dyDescent="0.2">
      <c r="A107" s="67" t="s">
        <v>1501</v>
      </c>
      <c r="B107" s="4" t="s">
        <v>1502</v>
      </c>
      <c r="J107" s="5">
        <f>Info!$B$42</f>
        <v>1</v>
      </c>
      <c r="P107" s="7">
        <f t="shared" si="7"/>
        <v>0.14285714285714285</v>
      </c>
      <c r="Q107" s="7">
        <f t="shared" si="6"/>
        <v>7.1428571428571425E-2</v>
      </c>
      <c r="R107">
        <f t="shared" si="5"/>
        <v>0</v>
      </c>
    </row>
    <row r="108" spans="1:18" x14ac:dyDescent="0.2">
      <c r="A108" s="67" t="s">
        <v>1503</v>
      </c>
      <c r="B108" s="4" t="s">
        <v>1504</v>
      </c>
      <c r="J108" s="5">
        <f>Info!$B$42</f>
        <v>1</v>
      </c>
      <c r="P108" s="7">
        <f t="shared" si="7"/>
        <v>0.14285714285714285</v>
      </c>
      <c r="Q108" s="7">
        <f t="shared" si="6"/>
        <v>7.1428571428571425E-2</v>
      </c>
      <c r="R108">
        <f t="shared" si="5"/>
        <v>0</v>
      </c>
    </row>
    <row r="109" spans="1:18" x14ac:dyDescent="0.2">
      <c r="A109" s="67" t="s">
        <v>1505</v>
      </c>
      <c r="B109" s="4" t="s">
        <v>1506</v>
      </c>
      <c r="J109" s="5">
        <f>Info!$B$42</f>
        <v>1</v>
      </c>
      <c r="P109" s="7">
        <f t="shared" si="7"/>
        <v>0.14285714285714285</v>
      </c>
      <c r="Q109" s="7">
        <f t="shared" si="6"/>
        <v>7.1428571428571425E-2</v>
      </c>
      <c r="R109">
        <f t="shared" si="5"/>
        <v>0</v>
      </c>
    </row>
    <row r="110" spans="1:18" x14ac:dyDescent="0.2">
      <c r="A110" s="67" t="s">
        <v>1507</v>
      </c>
      <c r="B110" s="4" t="s">
        <v>1508</v>
      </c>
      <c r="J110" s="5">
        <f>Info!$B$42</f>
        <v>1</v>
      </c>
      <c r="P110" s="7">
        <f t="shared" si="7"/>
        <v>0.14285714285714285</v>
      </c>
      <c r="Q110" s="7">
        <f t="shared" si="6"/>
        <v>7.1428571428571425E-2</v>
      </c>
      <c r="R110">
        <f t="shared" si="5"/>
        <v>0</v>
      </c>
    </row>
    <row r="111" spans="1:18" x14ac:dyDescent="0.2">
      <c r="A111" s="67" t="s">
        <v>1509</v>
      </c>
      <c r="B111" s="4" t="s">
        <v>1510</v>
      </c>
      <c r="J111" s="5">
        <f>Info!$B$42</f>
        <v>1</v>
      </c>
      <c r="P111" s="7">
        <f t="shared" si="7"/>
        <v>0.14285714285714285</v>
      </c>
      <c r="Q111" s="7">
        <f t="shared" si="6"/>
        <v>7.1428571428571425E-2</v>
      </c>
      <c r="R111">
        <f t="shared" si="5"/>
        <v>0</v>
      </c>
    </row>
    <row r="112" spans="1:18" x14ac:dyDescent="0.2">
      <c r="A112" s="67" t="s">
        <v>1511</v>
      </c>
      <c r="B112" s="4" t="s">
        <v>1512</v>
      </c>
      <c r="J112" s="5">
        <f>Info!$B$42</f>
        <v>1</v>
      </c>
      <c r="P112" s="7">
        <f t="shared" si="7"/>
        <v>0.14285714285714285</v>
      </c>
      <c r="Q112" s="7">
        <f t="shared" si="6"/>
        <v>7.1428571428571425E-2</v>
      </c>
      <c r="R112">
        <f t="shared" si="5"/>
        <v>0</v>
      </c>
    </row>
    <row r="113" spans="1:18" x14ac:dyDescent="0.2">
      <c r="A113" s="67" t="s">
        <v>1513</v>
      </c>
      <c r="B113" s="4" t="s">
        <v>1514</v>
      </c>
      <c r="J113" s="5">
        <f>Info!$B$42</f>
        <v>1</v>
      </c>
      <c r="P113" s="7">
        <f t="shared" si="7"/>
        <v>0.14285714285714285</v>
      </c>
      <c r="Q113" s="7">
        <f t="shared" si="6"/>
        <v>7.1428571428571425E-2</v>
      </c>
      <c r="R113">
        <f t="shared" si="5"/>
        <v>0</v>
      </c>
    </row>
    <row r="114" spans="1:18" x14ac:dyDescent="0.2">
      <c r="A114" s="67" t="s">
        <v>1515</v>
      </c>
      <c r="B114" s="4" t="s">
        <v>1516</v>
      </c>
      <c r="J114" s="5">
        <f>Info!$B$42</f>
        <v>1</v>
      </c>
      <c r="P114" s="7">
        <f t="shared" si="7"/>
        <v>0.14285714285714285</v>
      </c>
      <c r="Q114" s="7">
        <f t="shared" si="6"/>
        <v>7.1428571428571425E-2</v>
      </c>
      <c r="R114">
        <f t="shared" si="5"/>
        <v>0</v>
      </c>
    </row>
    <row r="115" spans="1:18" x14ac:dyDescent="0.2">
      <c r="A115" s="67" t="s">
        <v>1517</v>
      </c>
      <c r="B115" s="4" t="s">
        <v>1518</v>
      </c>
      <c r="J115" s="5">
        <f>Info!$B$42</f>
        <v>1</v>
      </c>
      <c r="P115" s="7">
        <f t="shared" si="7"/>
        <v>0.14285714285714285</v>
      </c>
      <c r="Q115" s="7">
        <f t="shared" si="6"/>
        <v>7.1428571428571425E-2</v>
      </c>
      <c r="R115">
        <f t="shared" si="5"/>
        <v>0</v>
      </c>
    </row>
    <row r="116" spans="1:18" x14ac:dyDescent="0.2">
      <c r="A116" s="67" t="s">
        <v>1519</v>
      </c>
      <c r="B116" s="4" t="s">
        <v>1520</v>
      </c>
      <c r="J116" s="5">
        <f>Info!$B$42</f>
        <v>1</v>
      </c>
      <c r="P116" s="7">
        <f t="shared" si="7"/>
        <v>0.14285714285714285</v>
      </c>
      <c r="Q116" s="7">
        <f t="shared" si="6"/>
        <v>7.1428571428571425E-2</v>
      </c>
      <c r="R116">
        <f t="shared" si="5"/>
        <v>0</v>
      </c>
    </row>
    <row r="117" spans="1:18" x14ac:dyDescent="0.2">
      <c r="A117" s="67" t="s">
        <v>1521</v>
      </c>
      <c r="B117" s="4" t="s">
        <v>1522</v>
      </c>
      <c r="J117" s="5">
        <f>Info!$B$42</f>
        <v>1</v>
      </c>
      <c r="P117" s="7">
        <f t="shared" si="7"/>
        <v>0.14285714285714285</v>
      </c>
      <c r="Q117" s="7">
        <f t="shared" si="6"/>
        <v>7.1428571428571425E-2</v>
      </c>
      <c r="R117">
        <f t="shared" si="5"/>
        <v>0</v>
      </c>
    </row>
    <row r="118" spans="1:18" x14ac:dyDescent="0.2">
      <c r="A118" s="67" t="s">
        <v>1523</v>
      </c>
      <c r="B118" s="4" t="s">
        <v>1524</v>
      </c>
      <c r="J118" s="5">
        <f>Info!$B$42</f>
        <v>1</v>
      </c>
      <c r="P118" s="7">
        <f t="shared" si="7"/>
        <v>0.14285714285714285</v>
      </c>
      <c r="Q118" s="7">
        <f t="shared" si="6"/>
        <v>7.1428571428571425E-2</v>
      </c>
      <c r="R118">
        <f t="shared" si="5"/>
        <v>0</v>
      </c>
    </row>
    <row r="119" spans="1:18" x14ac:dyDescent="0.2">
      <c r="A119" s="67" t="s">
        <v>1525</v>
      </c>
      <c r="B119" s="52" t="s">
        <v>1526</v>
      </c>
      <c r="J119" s="5">
        <f>Info!$B$42</f>
        <v>1</v>
      </c>
      <c r="P119" s="7">
        <f t="shared" si="7"/>
        <v>0.14285714285714285</v>
      </c>
      <c r="Q119" s="7">
        <f t="shared" si="6"/>
        <v>7.1428571428571425E-2</v>
      </c>
      <c r="R119">
        <f t="shared" si="5"/>
        <v>0</v>
      </c>
    </row>
    <row r="120" spans="1:18" x14ac:dyDescent="0.2">
      <c r="A120" s="67" t="s">
        <v>1527</v>
      </c>
      <c r="B120" s="52" t="s">
        <v>1528</v>
      </c>
      <c r="J120" s="5">
        <f>Info!$B$42</f>
        <v>1</v>
      </c>
      <c r="P120" s="7">
        <f t="shared" si="7"/>
        <v>0.14285714285714285</v>
      </c>
      <c r="Q120" s="7">
        <f t="shared" si="6"/>
        <v>7.1428571428571425E-2</v>
      </c>
      <c r="R120">
        <f t="shared" si="5"/>
        <v>0</v>
      </c>
    </row>
    <row r="121" spans="1:18" x14ac:dyDescent="0.2">
      <c r="A121" s="67" t="s">
        <v>1529</v>
      </c>
      <c r="B121" s="52" t="s">
        <v>1530</v>
      </c>
      <c r="J121" s="5">
        <f>Info!$B$42</f>
        <v>1</v>
      </c>
      <c r="P121" s="7">
        <f t="shared" si="7"/>
        <v>0.14285714285714285</v>
      </c>
      <c r="Q121" s="7">
        <f t="shared" si="6"/>
        <v>7.1428571428571425E-2</v>
      </c>
      <c r="R121">
        <f t="shared" si="5"/>
        <v>0</v>
      </c>
    </row>
    <row r="122" spans="1:18" x14ac:dyDescent="0.2">
      <c r="A122" s="67" t="s">
        <v>1531</v>
      </c>
      <c r="B122" s="4" t="s">
        <v>1532</v>
      </c>
      <c r="J122" s="5">
        <f>Info!$B$42</f>
        <v>1</v>
      </c>
      <c r="P122" s="7">
        <f t="shared" si="7"/>
        <v>0.14285714285714285</v>
      </c>
      <c r="Q122" s="7">
        <f t="shared" si="6"/>
        <v>7.1428571428571425E-2</v>
      </c>
      <c r="R122">
        <f t="shared" si="5"/>
        <v>0</v>
      </c>
    </row>
    <row r="123" spans="1:18" x14ac:dyDescent="0.2">
      <c r="A123" s="67" t="s">
        <v>1533</v>
      </c>
      <c r="B123" s="4" t="s">
        <v>1534</v>
      </c>
      <c r="J123" s="5">
        <f>Info!$B$42</f>
        <v>1</v>
      </c>
      <c r="P123" s="7">
        <f t="shared" si="7"/>
        <v>0.14285714285714285</v>
      </c>
      <c r="Q123" s="7">
        <f t="shared" si="6"/>
        <v>7.1428571428571425E-2</v>
      </c>
      <c r="R123">
        <f t="shared" si="5"/>
        <v>0</v>
      </c>
    </row>
    <row r="124" spans="1:18" x14ac:dyDescent="0.2">
      <c r="A124" s="67" t="s">
        <v>1535</v>
      </c>
      <c r="B124" s="52" t="s">
        <v>1536</v>
      </c>
      <c r="J124" s="5">
        <f>Info!$B$42</f>
        <v>1</v>
      </c>
      <c r="P124" s="7">
        <f t="shared" si="7"/>
        <v>0.14285714285714285</v>
      </c>
      <c r="Q124" s="7">
        <f t="shared" si="6"/>
        <v>7.1428571428571425E-2</v>
      </c>
      <c r="R124">
        <f t="shared" si="5"/>
        <v>0</v>
      </c>
    </row>
    <row r="125" spans="1:18" x14ac:dyDescent="0.2">
      <c r="A125" s="67" t="s">
        <v>1537</v>
      </c>
      <c r="B125" s="52" t="s">
        <v>1538</v>
      </c>
      <c r="J125" s="5">
        <f>Info!$B$42</f>
        <v>1</v>
      </c>
      <c r="P125" s="7">
        <f t="shared" si="7"/>
        <v>0.14285714285714285</v>
      </c>
      <c r="Q125" s="7">
        <f t="shared" si="6"/>
        <v>7.1428571428571425E-2</v>
      </c>
      <c r="R125">
        <f t="shared" si="5"/>
        <v>0</v>
      </c>
    </row>
    <row r="126" spans="1:18" x14ac:dyDescent="0.2">
      <c r="A126" s="67" t="s">
        <v>1539</v>
      </c>
      <c r="B126" s="52" t="s">
        <v>1540</v>
      </c>
      <c r="J126" s="5">
        <f>Info!$B$42</f>
        <v>1</v>
      </c>
      <c r="P126" s="7">
        <f t="shared" si="7"/>
        <v>0.14285714285714285</v>
      </c>
      <c r="Q126" s="7">
        <f t="shared" si="6"/>
        <v>7.1428571428571425E-2</v>
      </c>
      <c r="R126">
        <f t="shared" si="5"/>
        <v>0</v>
      </c>
    </row>
    <row r="127" spans="1:18" x14ac:dyDescent="0.2">
      <c r="A127" s="67" t="s">
        <v>1541</v>
      </c>
      <c r="B127" s="52" t="s">
        <v>1542</v>
      </c>
      <c r="J127" s="5">
        <f>Info!$B$42</f>
        <v>1</v>
      </c>
      <c r="P127" s="7">
        <f t="shared" si="7"/>
        <v>0.14285714285714285</v>
      </c>
      <c r="Q127" s="7">
        <f t="shared" si="6"/>
        <v>7.1428571428571425E-2</v>
      </c>
      <c r="R127">
        <f t="shared" si="5"/>
        <v>0</v>
      </c>
    </row>
    <row r="128" spans="1:18" x14ac:dyDescent="0.2">
      <c r="A128" s="67" t="s">
        <v>1543</v>
      </c>
      <c r="B128" s="52" t="s">
        <v>1544</v>
      </c>
      <c r="J128" s="5">
        <f>Info!$B$42</f>
        <v>1</v>
      </c>
      <c r="P128" s="7">
        <f t="shared" si="7"/>
        <v>0.14285714285714285</v>
      </c>
      <c r="Q128" s="7">
        <f t="shared" si="6"/>
        <v>7.1428571428571425E-2</v>
      </c>
      <c r="R128">
        <f t="shared" si="5"/>
        <v>0</v>
      </c>
    </row>
    <row r="129" spans="1:18" x14ac:dyDescent="0.2">
      <c r="A129" s="67" t="s">
        <v>1545</v>
      </c>
      <c r="B129" s="52" t="s">
        <v>1546</v>
      </c>
      <c r="J129" s="5">
        <f>Info!$B$42</f>
        <v>1</v>
      </c>
      <c r="P129" s="7">
        <f t="shared" si="7"/>
        <v>0.14285714285714285</v>
      </c>
      <c r="Q129" s="7">
        <f t="shared" si="6"/>
        <v>7.1428571428571425E-2</v>
      </c>
      <c r="R129">
        <f t="shared" si="5"/>
        <v>0</v>
      </c>
    </row>
    <row r="130" spans="1:18" x14ac:dyDescent="0.2">
      <c r="A130" s="67" t="s">
        <v>1547</v>
      </c>
      <c r="B130" s="52" t="s">
        <v>1548</v>
      </c>
      <c r="J130" s="5">
        <f>Info!$B$42</f>
        <v>1</v>
      </c>
      <c r="P130" s="7">
        <f t="shared" si="7"/>
        <v>0.14285714285714285</v>
      </c>
      <c r="Q130" s="7">
        <f t="shared" si="6"/>
        <v>7.1428571428571425E-2</v>
      </c>
      <c r="R130">
        <f t="shared" ref="R130:R193" si="8">IF(_xlfn.BITAND(P130&gt;0.4999, Q130&gt;0.4999)=1,1,0)</f>
        <v>0</v>
      </c>
    </row>
    <row r="131" spans="1:18" x14ac:dyDescent="0.2">
      <c r="A131" s="67" t="s">
        <v>1549</v>
      </c>
      <c r="B131" s="52" t="s">
        <v>1550</v>
      </c>
      <c r="J131" s="5">
        <f>Info!$B$42</f>
        <v>1</v>
      </c>
      <c r="P131" s="7">
        <f t="shared" si="7"/>
        <v>0.14285714285714285</v>
      </c>
      <c r="Q131" s="7">
        <f t="shared" si="6"/>
        <v>7.1428571428571425E-2</v>
      </c>
      <c r="R131">
        <f t="shared" si="8"/>
        <v>0</v>
      </c>
    </row>
    <row r="132" spans="1:18" x14ac:dyDescent="0.2">
      <c r="A132" s="67" t="s">
        <v>1551</v>
      </c>
      <c r="B132" s="52" t="s">
        <v>1552</v>
      </c>
      <c r="J132" s="5">
        <f>Info!$B$42</f>
        <v>1</v>
      </c>
      <c r="P132" s="7">
        <f t="shared" si="7"/>
        <v>0.14285714285714285</v>
      </c>
      <c r="Q132" s="7">
        <f t="shared" si="6"/>
        <v>7.1428571428571425E-2</v>
      </c>
      <c r="R132">
        <f t="shared" si="8"/>
        <v>0</v>
      </c>
    </row>
    <row r="133" spans="1:18" x14ac:dyDescent="0.2">
      <c r="A133" s="67" t="s">
        <v>1553</v>
      </c>
      <c r="B133" s="52" t="s">
        <v>1554</v>
      </c>
      <c r="J133" s="5">
        <f>Info!$B$42</f>
        <v>1</v>
      </c>
      <c r="P133" s="7">
        <f t="shared" si="7"/>
        <v>0.14285714285714285</v>
      </c>
      <c r="Q133" s="7">
        <f t="shared" si="6"/>
        <v>7.1428571428571425E-2</v>
      </c>
      <c r="R133">
        <f t="shared" si="8"/>
        <v>0</v>
      </c>
    </row>
    <row r="134" spans="1:18" x14ac:dyDescent="0.2">
      <c r="A134" s="67" t="s">
        <v>1555</v>
      </c>
      <c r="B134" s="52" t="s">
        <v>1556</v>
      </c>
      <c r="J134" s="5">
        <f>Info!$B$42</f>
        <v>1</v>
      </c>
      <c r="P134" s="7">
        <f t="shared" si="7"/>
        <v>0.14285714285714285</v>
      </c>
      <c r="Q134" s="7">
        <f t="shared" si="6"/>
        <v>7.1428571428571425E-2</v>
      </c>
      <c r="R134">
        <f t="shared" si="8"/>
        <v>0</v>
      </c>
    </row>
    <row r="135" spans="1:18" x14ac:dyDescent="0.2">
      <c r="A135" s="67" t="s">
        <v>1557</v>
      </c>
      <c r="B135" s="52" t="s">
        <v>1558</v>
      </c>
      <c r="J135" s="5">
        <f>Info!$B$42</f>
        <v>1</v>
      </c>
      <c r="P135" s="7">
        <f t="shared" si="7"/>
        <v>0.14285714285714285</v>
      </c>
      <c r="Q135" s="7">
        <f t="shared" si="6"/>
        <v>7.1428571428571425E-2</v>
      </c>
      <c r="R135">
        <f t="shared" si="8"/>
        <v>0</v>
      </c>
    </row>
    <row r="136" spans="1:18" x14ac:dyDescent="0.2">
      <c r="A136" s="67" t="s">
        <v>1559</v>
      </c>
      <c r="B136" s="52" t="s">
        <v>1560</v>
      </c>
      <c r="J136" s="5">
        <f>Info!$B$42</f>
        <v>1</v>
      </c>
      <c r="P136" s="7">
        <f t="shared" si="7"/>
        <v>0.14285714285714285</v>
      </c>
      <c r="Q136" s="7">
        <f t="shared" si="6"/>
        <v>7.1428571428571425E-2</v>
      </c>
      <c r="R136">
        <f t="shared" si="8"/>
        <v>0</v>
      </c>
    </row>
    <row r="137" spans="1:18" x14ac:dyDescent="0.2">
      <c r="A137" s="67" t="s">
        <v>1561</v>
      </c>
      <c r="B137" s="52" t="s">
        <v>1562</v>
      </c>
      <c r="J137" s="5">
        <f>Info!$B$42</f>
        <v>1</v>
      </c>
      <c r="P137" s="7">
        <f t="shared" si="7"/>
        <v>0.14285714285714285</v>
      </c>
      <c r="Q137" s="7">
        <f t="shared" si="6"/>
        <v>7.1428571428571425E-2</v>
      </c>
      <c r="R137">
        <f t="shared" si="8"/>
        <v>0</v>
      </c>
    </row>
    <row r="138" spans="1:18" x14ac:dyDescent="0.2">
      <c r="A138" s="67" t="s">
        <v>1563</v>
      </c>
      <c r="B138" s="52" t="s">
        <v>1564</v>
      </c>
      <c r="J138" s="5">
        <f>Info!$B$42</f>
        <v>1</v>
      </c>
      <c r="P138" s="7">
        <f t="shared" si="7"/>
        <v>0.14285714285714285</v>
      </c>
      <c r="Q138" s="7">
        <f t="shared" si="6"/>
        <v>7.1428571428571425E-2</v>
      </c>
      <c r="R138">
        <f t="shared" si="8"/>
        <v>0</v>
      </c>
    </row>
    <row r="139" spans="1:18" x14ac:dyDescent="0.2">
      <c r="A139" s="67" t="s">
        <v>1565</v>
      </c>
      <c r="B139" s="52" t="s">
        <v>1566</v>
      </c>
      <c r="J139" s="5">
        <f>Info!$B$42</f>
        <v>1</v>
      </c>
      <c r="P139" s="7">
        <f t="shared" si="7"/>
        <v>0.14285714285714285</v>
      </c>
      <c r="Q139" s="7">
        <f t="shared" si="6"/>
        <v>7.1428571428571425E-2</v>
      </c>
      <c r="R139">
        <f t="shared" si="8"/>
        <v>0</v>
      </c>
    </row>
    <row r="140" spans="1:18" x14ac:dyDescent="0.2">
      <c r="A140" s="67" t="s">
        <v>1567</v>
      </c>
      <c r="B140" s="52" t="s">
        <v>1568</v>
      </c>
      <c r="J140" s="5">
        <f>Info!$B$42</f>
        <v>1</v>
      </c>
      <c r="P140" s="7">
        <f t="shared" si="7"/>
        <v>0.14285714285714285</v>
      </c>
      <c r="Q140" s="7">
        <f t="shared" si="6"/>
        <v>7.1428571428571425E-2</v>
      </c>
      <c r="R140">
        <f t="shared" si="8"/>
        <v>0</v>
      </c>
    </row>
    <row r="141" spans="1:18" x14ac:dyDescent="0.2">
      <c r="A141" s="67" t="s">
        <v>1569</v>
      </c>
      <c r="B141" s="52" t="s">
        <v>1570</v>
      </c>
      <c r="J141" s="5">
        <f>Info!$B$42</f>
        <v>1</v>
      </c>
      <c r="P141" s="7">
        <f t="shared" si="7"/>
        <v>0.14285714285714285</v>
      </c>
      <c r="Q141" s="7">
        <f t="shared" ref="Q141:Q204" si="9">(O141+P141)/2</f>
        <v>7.1428571428571425E-2</v>
      </c>
      <c r="R141">
        <f t="shared" si="8"/>
        <v>0</v>
      </c>
    </row>
    <row r="142" spans="1:18" x14ac:dyDescent="0.2">
      <c r="A142" s="67" t="s">
        <v>1571</v>
      </c>
      <c r="B142" s="52" t="s">
        <v>1572</v>
      </c>
      <c r="J142" s="5">
        <f>Info!$B$42</f>
        <v>1</v>
      </c>
      <c r="P142" s="7">
        <f t="shared" si="7"/>
        <v>0.14285714285714285</v>
      </c>
      <c r="Q142" s="7">
        <f t="shared" si="9"/>
        <v>7.1428571428571425E-2</v>
      </c>
      <c r="R142">
        <f t="shared" si="8"/>
        <v>0</v>
      </c>
    </row>
    <row r="143" spans="1:18" x14ac:dyDescent="0.2">
      <c r="A143" s="67" t="s">
        <v>1573</v>
      </c>
      <c r="B143" s="52" t="s">
        <v>1574</v>
      </c>
      <c r="J143" s="5">
        <f>Info!$B$42</f>
        <v>1</v>
      </c>
      <c r="P143" s="7">
        <f t="shared" si="7"/>
        <v>0.14285714285714285</v>
      </c>
      <c r="Q143" s="7">
        <f t="shared" si="9"/>
        <v>7.1428571428571425E-2</v>
      </c>
      <c r="R143">
        <f t="shared" si="8"/>
        <v>0</v>
      </c>
    </row>
    <row r="144" spans="1:18" x14ac:dyDescent="0.2">
      <c r="A144" s="67" t="s">
        <v>1575</v>
      </c>
      <c r="B144" s="52" t="s">
        <v>1576</v>
      </c>
      <c r="J144" s="5">
        <f>Info!$B$42</f>
        <v>1</v>
      </c>
      <c r="P144" s="7">
        <f t="shared" si="7"/>
        <v>0.14285714285714285</v>
      </c>
      <c r="Q144" s="7">
        <f t="shared" si="9"/>
        <v>7.1428571428571425E-2</v>
      </c>
      <c r="R144">
        <f t="shared" si="8"/>
        <v>0</v>
      </c>
    </row>
    <row r="145" spans="1:18" x14ac:dyDescent="0.2">
      <c r="A145" s="67" t="s">
        <v>405</v>
      </c>
      <c r="B145" s="52" t="s">
        <v>406</v>
      </c>
      <c r="J145" s="5">
        <f>Info!$B$42</f>
        <v>1</v>
      </c>
      <c r="P145" s="7">
        <f t="shared" si="7"/>
        <v>0.14285714285714285</v>
      </c>
      <c r="Q145" s="7">
        <f t="shared" si="9"/>
        <v>7.1428571428571425E-2</v>
      </c>
      <c r="R145">
        <f t="shared" si="8"/>
        <v>0</v>
      </c>
    </row>
    <row r="146" spans="1:18" x14ac:dyDescent="0.2">
      <c r="A146" s="67" t="s">
        <v>1577</v>
      </c>
      <c r="B146" s="4" t="s">
        <v>1578</v>
      </c>
      <c r="J146" s="5">
        <f>Info!$B$42</f>
        <v>1</v>
      </c>
      <c r="P146" s="7">
        <f t="shared" si="7"/>
        <v>0.14285714285714285</v>
      </c>
      <c r="Q146" s="7">
        <f t="shared" si="9"/>
        <v>7.1428571428571425E-2</v>
      </c>
      <c r="R146">
        <f t="shared" si="8"/>
        <v>0</v>
      </c>
    </row>
    <row r="147" spans="1:18" x14ac:dyDescent="0.2">
      <c r="A147" s="67" t="s">
        <v>1579</v>
      </c>
      <c r="B147" s="52" t="s">
        <v>1580</v>
      </c>
      <c r="J147" s="5">
        <f>Info!$B$42</f>
        <v>1</v>
      </c>
      <c r="P147" s="7">
        <f t="shared" si="7"/>
        <v>0.14285714285714285</v>
      </c>
      <c r="Q147" s="7">
        <f t="shared" si="9"/>
        <v>7.1428571428571425E-2</v>
      </c>
      <c r="R147">
        <f t="shared" si="8"/>
        <v>0</v>
      </c>
    </row>
    <row r="148" spans="1:18" x14ac:dyDescent="0.2">
      <c r="A148" s="67" t="s">
        <v>1581</v>
      </c>
      <c r="B148" s="52" t="s">
        <v>1582</v>
      </c>
      <c r="J148" s="5">
        <f>Info!$B$42</f>
        <v>1</v>
      </c>
      <c r="P148" s="7">
        <f t="shared" si="7"/>
        <v>0.14285714285714285</v>
      </c>
      <c r="Q148" s="7">
        <f t="shared" si="9"/>
        <v>7.1428571428571425E-2</v>
      </c>
      <c r="R148">
        <f t="shared" si="8"/>
        <v>0</v>
      </c>
    </row>
    <row r="149" spans="1:18" x14ac:dyDescent="0.2">
      <c r="A149" s="67" t="s">
        <v>1583</v>
      </c>
      <c r="B149" s="52" t="s">
        <v>1584</v>
      </c>
      <c r="J149" s="5">
        <f>Info!$B$42</f>
        <v>1</v>
      </c>
      <c r="P149" s="7">
        <f t="shared" ref="P149:P212" si="10">(D149+E149+F149+G149+H149+I149+J149)/7</f>
        <v>0.14285714285714285</v>
      </c>
      <c r="Q149" s="7">
        <f t="shared" si="9"/>
        <v>7.1428571428571425E-2</v>
      </c>
      <c r="R149">
        <f t="shared" si="8"/>
        <v>0</v>
      </c>
    </row>
    <row r="150" spans="1:18" x14ac:dyDescent="0.2">
      <c r="A150" s="67" t="s">
        <v>1585</v>
      </c>
      <c r="B150" s="52" t="s">
        <v>1586</v>
      </c>
      <c r="J150" s="5">
        <f>Info!$B$42</f>
        <v>1</v>
      </c>
      <c r="P150" s="7">
        <f t="shared" si="10"/>
        <v>0.14285714285714285</v>
      </c>
      <c r="Q150" s="7">
        <f t="shared" si="9"/>
        <v>7.1428571428571425E-2</v>
      </c>
      <c r="R150">
        <f t="shared" si="8"/>
        <v>0</v>
      </c>
    </row>
    <row r="151" spans="1:18" x14ac:dyDescent="0.2">
      <c r="A151" s="67" t="s">
        <v>1587</v>
      </c>
      <c r="B151" s="52" t="s">
        <v>1588</v>
      </c>
      <c r="J151" s="5">
        <f>Info!$B$42</f>
        <v>1</v>
      </c>
      <c r="P151" s="7">
        <f t="shared" si="10"/>
        <v>0.14285714285714285</v>
      </c>
      <c r="Q151" s="7">
        <f t="shared" si="9"/>
        <v>7.1428571428571425E-2</v>
      </c>
      <c r="R151">
        <f t="shared" si="8"/>
        <v>0</v>
      </c>
    </row>
    <row r="152" spans="1:18" x14ac:dyDescent="0.2">
      <c r="A152" s="67" t="s">
        <v>1589</v>
      </c>
      <c r="B152" s="52" t="s">
        <v>1590</v>
      </c>
      <c r="J152" s="5">
        <f>Info!$B$42</f>
        <v>1</v>
      </c>
      <c r="P152" s="7">
        <f t="shared" si="10"/>
        <v>0.14285714285714285</v>
      </c>
      <c r="Q152" s="7">
        <f t="shared" si="9"/>
        <v>7.1428571428571425E-2</v>
      </c>
      <c r="R152">
        <f t="shared" si="8"/>
        <v>0</v>
      </c>
    </row>
    <row r="153" spans="1:18" x14ac:dyDescent="0.2">
      <c r="A153" s="67" t="s">
        <v>1591</v>
      </c>
      <c r="B153" s="52" t="s">
        <v>1592</v>
      </c>
      <c r="J153" s="5">
        <f>Info!$B$42</f>
        <v>1</v>
      </c>
      <c r="P153" s="7">
        <f t="shared" si="10"/>
        <v>0.14285714285714285</v>
      </c>
      <c r="Q153" s="7">
        <f t="shared" si="9"/>
        <v>7.1428571428571425E-2</v>
      </c>
      <c r="R153">
        <f t="shared" si="8"/>
        <v>0</v>
      </c>
    </row>
    <row r="154" spans="1:18" x14ac:dyDescent="0.2">
      <c r="A154" s="67" t="s">
        <v>1593</v>
      </c>
      <c r="B154" s="52" t="s">
        <v>1594</v>
      </c>
      <c r="J154" s="5">
        <f>Info!$B$42</f>
        <v>1</v>
      </c>
      <c r="P154" s="7">
        <f t="shared" si="10"/>
        <v>0.14285714285714285</v>
      </c>
      <c r="Q154" s="7">
        <f t="shared" si="9"/>
        <v>7.1428571428571425E-2</v>
      </c>
      <c r="R154">
        <f t="shared" si="8"/>
        <v>0</v>
      </c>
    </row>
    <row r="155" spans="1:18" x14ac:dyDescent="0.2">
      <c r="A155" s="67" t="s">
        <v>1595</v>
      </c>
      <c r="B155" s="52" t="s">
        <v>1596</v>
      </c>
      <c r="J155" s="5">
        <f>Info!$B$42</f>
        <v>1</v>
      </c>
      <c r="P155" s="7">
        <f t="shared" si="10"/>
        <v>0.14285714285714285</v>
      </c>
      <c r="Q155" s="7">
        <f t="shared" si="9"/>
        <v>7.1428571428571425E-2</v>
      </c>
      <c r="R155">
        <f t="shared" si="8"/>
        <v>0</v>
      </c>
    </row>
    <row r="156" spans="1:18" x14ac:dyDescent="0.2">
      <c r="A156" s="67" t="s">
        <v>1597</v>
      </c>
      <c r="B156" s="52" t="s">
        <v>1598</v>
      </c>
      <c r="J156" s="5">
        <f>Info!$B$42</f>
        <v>1</v>
      </c>
      <c r="P156" s="7">
        <f t="shared" si="10"/>
        <v>0.14285714285714285</v>
      </c>
      <c r="Q156" s="7">
        <f t="shared" si="9"/>
        <v>7.1428571428571425E-2</v>
      </c>
      <c r="R156">
        <f t="shared" si="8"/>
        <v>0</v>
      </c>
    </row>
    <row r="157" spans="1:18" x14ac:dyDescent="0.2">
      <c r="A157" s="67" t="s">
        <v>1599</v>
      </c>
      <c r="B157" s="52" t="s">
        <v>1600</v>
      </c>
      <c r="J157" s="5">
        <f>Info!$B$42</f>
        <v>1</v>
      </c>
      <c r="P157" s="7">
        <f t="shared" si="10"/>
        <v>0.14285714285714285</v>
      </c>
      <c r="Q157" s="7">
        <f t="shared" si="9"/>
        <v>7.1428571428571425E-2</v>
      </c>
      <c r="R157">
        <f t="shared" si="8"/>
        <v>0</v>
      </c>
    </row>
    <row r="158" spans="1:18" x14ac:dyDescent="0.2">
      <c r="A158" s="67" t="s">
        <v>1601</v>
      </c>
      <c r="B158" s="52" t="s">
        <v>1602</v>
      </c>
      <c r="J158" s="5">
        <f>Info!$B$42</f>
        <v>1</v>
      </c>
      <c r="P158" s="7">
        <f t="shared" si="10"/>
        <v>0.14285714285714285</v>
      </c>
      <c r="Q158" s="7">
        <f t="shared" si="9"/>
        <v>7.1428571428571425E-2</v>
      </c>
      <c r="R158">
        <f t="shared" si="8"/>
        <v>0</v>
      </c>
    </row>
    <row r="159" spans="1:18" x14ac:dyDescent="0.2">
      <c r="A159" s="67" t="s">
        <v>1603</v>
      </c>
      <c r="B159" s="52" t="s">
        <v>1604</v>
      </c>
      <c r="J159" s="5">
        <f>Info!$B$42</f>
        <v>1</v>
      </c>
      <c r="P159" s="7">
        <f t="shared" si="10"/>
        <v>0.14285714285714285</v>
      </c>
      <c r="Q159" s="7">
        <f t="shared" si="9"/>
        <v>7.1428571428571425E-2</v>
      </c>
      <c r="R159">
        <f t="shared" si="8"/>
        <v>0</v>
      </c>
    </row>
    <row r="160" spans="1:18" x14ac:dyDescent="0.2">
      <c r="A160" s="67" t="s">
        <v>1605</v>
      </c>
      <c r="B160" s="52" t="s">
        <v>1606</v>
      </c>
      <c r="J160" s="5">
        <f>Info!$B$42</f>
        <v>1</v>
      </c>
      <c r="P160" s="7">
        <f t="shared" si="10"/>
        <v>0.14285714285714285</v>
      </c>
      <c r="Q160" s="7">
        <f t="shared" si="9"/>
        <v>7.1428571428571425E-2</v>
      </c>
      <c r="R160">
        <f t="shared" si="8"/>
        <v>0</v>
      </c>
    </row>
    <row r="161" spans="1:18" x14ac:dyDescent="0.2">
      <c r="A161" s="67" t="s">
        <v>1607</v>
      </c>
      <c r="B161" s="52" t="s">
        <v>1608</v>
      </c>
      <c r="J161" s="5">
        <f>Info!$B$42</f>
        <v>1</v>
      </c>
      <c r="P161" s="7">
        <f t="shared" si="10"/>
        <v>0.14285714285714285</v>
      </c>
      <c r="Q161" s="7">
        <f t="shared" si="9"/>
        <v>7.1428571428571425E-2</v>
      </c>
      <c r="R161">
        <f t="shared" si="8"/>
        <v>0</v>
      </c>
    </row>
    <row r="162" spans="1:18" x14ac:dyDescent="0.2">
      <c r="A162" s="67" t="s">
        <v>1609</v>
      </c>
      <c r="B162" s="52" t="s">
        <v>1610</v>
      </c>
      <c r="J162" s="5">
        <f>Info!$B$42</f>
        <v>1</v>
      </c>
      <c r="P162" s="7">
        <f t="shared" si="10"/>
        <v>0.14285714285714285</v>
      </c>
      <c r="Q162" s="7">
        <f t="shared" si="9"/>
        <v>7.1428571428571425E-2</v>
      </c>
      <c r="R162">
        <f t="shared" si="8"/>
        <v>0</v>
      </c>
    </row>
    <row r="163" spans="1:18" x14ac:dyDescent="0.2">
      <c r="A163" s="67" t="s">
        <v>1611</v>
      </c>
      <c r="B163" s="52" t="s">
        <v>1612</v>
      </c>
      <c r="J163" s="5">
        <f>Info!$B$42</f>
        <v>1</v>
      </c>
      <c r="P163" s="7">
        <f t="shared" si="10"/>
        <v>0.14285714285714285</v>
      </c>
      <c r="Q163" s="7">
        <f t="shared" si="9"/>
        <v>7.1428571428571425E-2</v>
      </c>
      <c r="R163">
        <f t="shared" si="8"/>
        <v>0</v>
      </c>
    </row>
    <row r="164" spans="1:18" x14ac:dyDescent="0.2">
      <c r="A164" s="67" t="s">
        <v>1613</v>
      </c>
      <c r="B164" s="52" t="s">
        <v>1614</v>
      </c>
      <c r="J164" s="5">
        <f>Info!$B$42</f>
        <v>1</v>
      </c>
      <c r="P164" s="7">
        <f t="shared" si="10"/>
        <v>0.14285714285714285</v>
      </c>
      <c r="Q164" s="7">
        <f t="shared" si="9"/>
        <v>7.1428571428571425E-2</v>
      </c>
      <c r="R164">
        <f t="shared" si="8"/>
        <v>0</v>
      </c>
    </row>
    <row r="165" spans="1:18" x14ac:dyDescent="0.2">
      <c r="A165" s="67" t="s">
        <v>1615</v>
      </c>
      <c r="B165" s="52" t="s">
        <v>1616</v>
      </c>
      <c r="J165" s="5">
        <f>Info!$B$42</f>
        <v>1</v>
      </c>
      <c r="P165" s="7">
        <f t="shared" si="10"/>
        <v>0.14285714285714285</v>
      </c>
      <c r="Q165" s="7">
        <f t="shared" si="9"/>
        <v>7.1428571428571425E-2</v>
      </c>
      <c r="R165">
        <f t="shared" si="8"/>
        <v>0</v>
      </c>
    </row>
    <row r="166" spans="1:18" x14ac:dyDescent="0.2">
      <c r="A166" s="67" t="s">
        <v>1617</v>
      </c>
      <c r="B166" s="52" t="s">
        <v>1618</v>
      </c>
      <c r="J166" s="5">
        <f>Info!$B$42</f>
        <v>1</v>
      </c>
      <c r="P166" s="7">
        <f t="shared" si="10"/>
        <v>0.14285714285714285</v>
      </c>
      <c r="Q166" s="7">
        <f t="shared" si="9"/>
        <v>7.1428571428571425E-2</v>
      </c>
      <c r="R166">
        <f t="shared" si="8"/>
        <v>0</v>
      </c>
    </row>
    <row r="167" spans="1:18" x14ac:dyDescent="0.2">
      <c r="A167" s="67" t="s">
        <v>1619</v>
      </c>
      <c r="B167" s="52" t="s">
        <v>1620</v>
      </c>
      <c r="J167" s="5">
        <f>Info!$B$42</f>
        <v>1</v>
      </c>
      <c r="P167" s="7">
        <f t="shared" si="10"/>
        <v>0.14285714285714285</v>
      </c>
      <c r="Q167" s="7">
        <f t="shared" si="9"/>
        <v>7.1428571428571425E-2</v>
      </c>
      <c r="R167">
        <f t="shared" si="8"/>
        <v>0</v>
      </c>
    </row>
    <row r="168" spans="1:18" x14ac:dyDescent="0.2">
      <c r="A168" s="67" t="s">
        <v>1621</v>
      </c>
      <c r="B168" s="52" t="s">
        <v>1622</v>
      </c>
      <c r="J168" s="5">
        <f>Info!$B$42</f>
        <v>1</v>
      </c>
      <c r="P168" s="7">
        <f t="shared" si="10"/>
        <v>0.14285714285714285</v>
      </c>
      <c r="Q168" s="7">
        <f t="shared" si="9"/>
        <v>7.1428571428571425E-2</v>
      </c>
      <c r="R168">
        <f t="shared" si="8"/>
        <v>0</v>
      </c>
    </row>
    <row r="169" spans="1:18" x14ac:dyDescent="0.2">
      <c r="A169" s="67" t="s">
        <v>1623</v>
      </c>
      <c r="B169" s="52" t="s">
        <v>1624</v>
      </c>
      <c r="J169" s="5">
        <f>Info!$B$42</f>
        <v>1</v>
      </c>
      <c r="P169" s="7">
        <f t="shared" si="10"/>
        <v>0.14285714285714285</v>
      </c>
      <c r="Q169" s="7">
        <f t="shared" si="9"/>
        <v>7.1428571428571425E-2</v>
      </c>
      <c r="R169">
        <f t="shared" si="8"/>
        <v>0</v>
      </c>
    </row>
    <row r="170" spans="1:18" x14ac:dyDescent="0.2">
      <c r="A170" s="67" t="s">
        <v>1625</v>
      </c>
      <c r="B170" s="52" t="s">
        <v>1626</v>
      </c>
      <c r="J170" s="5">
        <f>Info!$B$42</f>
        <v>1</v>
      </c>
      <c r="P170" s="7">
        <f t="shared" si="10"/>
        <v>0.14285714285714285</v>
      </c>
      <c r="Q170" s="7">
        <f t="shared" si="9"/>
        <v>7.1428571428571425E-2</v>
      </c>
      <c r="R170">
        <f t="shared" si="8"/>
        <v>0</v>
      </c>
    </row>
    <row r="171" spans="1:18" x14ac:dyDescent="0.2">
      <c r="A171" s="67" t="s">
        <v>1627</v>
      </c>
      <c r="B171" s="52" t="s">
        <v>1628</v>
      </c>
      <c r="J171" s="5">
        <f>Info!$B$42</f>
        <v>1</v>
      </c>
      <c r="P171" s="7">
        <f t="shared" si="10"/>
        <v>0.14285714285714285</v>
      </c>
      <c r="Q171" s="7">
        <f t="shared" si="9"/>
        <v>7.1428571428571425E-2</v>
      </c>
      <c r="R171">
        <f t="shared" si="8"/>
        <v>0</v>
      </c>
    </row>
    <row r="172" spans="1:18" x14ac:dyDescent="0.2">
      <c r="A172" s="67" t="s">
        <v>1629</v>
      </c>
      <c r="B172" s="52" t="s">
        <v>1630</v>
      </c>
      <c r="J172" s="5">
        <f>Info!$B$42</f>
        <v>1</v>
      </c>
      <c r="P172" s="7">
        <f t="shared" si="10"/>
        <v>0.14285714285714285</v>
      </c>
      <c r="Q172" s="7">
        <f t="shared" si="9"/>
        <v>7.1428571428571425E-2</v>
      </c>
      <c r="R172">
        <f t="shared" si="8"/>
        <v>0</v>
      </c>
    </row>
    <row r="173" spans="1:18" x14ac:dyDescent="0.2">
      <c r="A173" s="67" t="s">
        <v>1631</v>
      </c>
      <c r="B173" s="52" t="s">
        <v>1632</v>
      </c>
      <c r="J173" s="5">
        <f>Info!$B$42</f>
        <v>1</v>
      </c>
      <c r="P173" s="7">
        <f t="shared" si="10"/>
        <v>0.14285714285714285</v>
      </c>
      <c r="Q173" s="7">
        <f t="shared" si="9"/>
        <v>7.1428571428571425E-2</v>
      </c>
      <c r="R173">
        <f t="shared" si="8"/>
        <v>0</v>
      </c>
    </row>
    <row r="174" spans="1:18" x14ac:dyDescent="0.2">
      <c r="A174" s="67" t="s">
        <v>1633</v>
      </c>
      <c r="B174" s="52" t="s">
        <v>1634</v>
      </c>
      <c r="J174" s="5">
        <f>Info!$B$42</f>
        <v>1</v>
      </c>
      <c r="P174" s="7">
        <f t="shared" si="10"/>
        <v>0.14285714285714285</v>
      </c>
      <c r="Q174" s="7">
        <f t="shared" si="9"/>
        <v>7.1428571428571425E-2</v>
      </c>
      <c r="R174">
        <f t="shared" si="8"/>
        <v>0</v>
      </c>
    </row>
    <row r="175" spans="1:18" x14ac:dyDescent="0.2">
      <c r="A175" s="67" t="s">
        <v>1635</v>
      </c>
      <c r="B175" s="52" t="s">
        <v>1636</v>
      </c>
      <c r="J175" s="5">
        <f>Info!$B$42</f>
        <v>1</v>
      </c>
      <c r="P175" s="7">
        <f t="shared" si="10"/>
        <v>0.14285714285714285</v>
      </c>
      <c r="Q175" s="7">
        <f t="shared" si="9"/>
        <v>7.1428571428571425E-2</v>
      </c>
      <c r="R175">
        <f t="shared" si="8"/>
        <v>0</v>
      </c>
    </row>
    <row r="176" spans="1:18" x14ac:dyDescent="0.2">
      <c r="A176" s="67" t="s">
        <v>1637</v>
      </c>
      <c r="B176" s="4" t="s">
        <v>1638</v>
      </c>
      <c r="J176" s="5">
        <f>Info!$B$42</f>
        <v>1</v>
      </c>
      <c r="P176" s="7">
        <f t="shared" si="10"/>
        <v>0.14285714285714285</v>
      </c>
      <c r="Q176" s="7">
        <f t="shared" si="9"/>
        <v>7.1428571428571425E-2</v>
      </c>
      <c r="R176">
        <f t="shared" si="8"/>
        <v>0</v>
      </c>
    </row>
    <row r="177" spans="1:18" x14ac:dyDescent="0.2">
      <c r="A177" s="67" t="s">
        <v>1639</v>
      </c>
      <c r="B177" s="4" t="s">
        <v>1640</v>
      </c>
      <c r="J177" s="5">
        <f>Info!$B$42</f>
        <v>1</v>
      </c>
      <c r="P177" s="7">
        <f t="shared" si="10"/>
        <v>0.14285714285714285</v>
      </c>
      <c r="Q177" s="7">
        <f t="shared" si="9"/>
        <v>7.1428571428571425E-2</v>
      </c>
      <c r="R177">
        <f t="shared" si="8"/>
        <v>0</v>
      </c>
    </row>
    <row r="178" spans="1:18" x14ac:dyDescent="0.2">
      <c r="A178" s="67" t="s">
        <v>1641</v>
      </c>
      <c r="B178" s="4" t="s">
        <v>1642</v>
      </c>
      <c r="J178" s="5">
        <f>Info!$B$42</f>
        <v>1</v>
      </c>
      <c r="P178" s="7">
        <f t="shared" si="10"/>
        <v>0.14285714285714285</v>
      </c>
      <c r="Q178" s="7">
        <f t="shared" si="9"/>
        <v>7.1428571428571425E-2</v>
      </c>
      <c r="R178">
        <f t="shared" si="8"/>
        <v>0</v>
      </c>
    </row>
    <row r="179" spans="1:18" x14ac:dyDescent="0.2">
      <c r="A179" s="67" t="s">
        <v>1643</v>
      </c>
      <c r="B179" s="4" t="s">
        <v>1644</v>
      </c>
      <c r="J179" s="5">
        <f>Info!$B$42</f>
        <v>1</v>
      </c>
      <c r="P179" s="7">
        <f t="shared" si="10"/>
        <v>0.14285714285714285</v>
      </c>
      <c r="Q179" s="7">
        <f t="shared" si="9"/>
        <v>7.1428571428571425E-2</v>
      </c>
      <c r="R179">
        <f t="shared" si="8"/>
        <v>0</v>
      </c>
    </row>
    <row r="180" spans="1:18" x14ac:dyDescent="0.2">
      <c r="A180" s="67" t="s">
        <v>1645</v>
      </c>
      <c r="B180" s="4" t="s">
        <v>1646</v>
      </c>
      <c r="J180" s="5">
        <f>Info!$B$42</f>
        <v>1</v>
      </c>
      <c r="P180" s="7">
        <f t="shared" si="10"/>
        <v>0.14285714285714285</v>
      </c>
      <c r="Q180" s="7">
        <f t="shared" si="9"/>
        <v>7.1428571428571425E-2</v>
      </c>
      <c r="R180">
        <f t="shared" si="8"/>
        <v>0</v>
      </c>
    </row>
    <row r="181" spans="1:18" x14ac:dyDescent="0.2">
      <c r="A181" s="67" t="s">
        <v>1647</v>
      </c>
      <c r="B181" s="4" t="s">
        <v>1648</v>
      </c>
      <c r="J181" s="5">
        <f>Info!$B$42</f>
        <v>1</v>
      </c>
      <c r="P181" s="7">
        <f t="shared" si="10"/>
        <v>0.14285714285714285</v>
      </c>
      <c r="Q181" s="7">
        <f t="shared" si="9"/>
        <v>7.1428571428571425E-2</v>
      </c>
      <c r="R181">
        <f t="shared" si="8"/>
        <v>0</v>
      </c>
    </row>
    <row r="182" spans="1:18" x14ac:dyDescent="0.2">
      <c r="A182" s="67" t="s">
        <v>1649</v>
      </c>
      <c r="B182" s="4" t="s">
        <v>1650</v>
      </c>
      <c r="J182" s="5">
        <f>Info!$B$42</f>
        <v>1</v>
      </c>
      <c r="P182" s="7">
        <f t="shared" si="10"/>
        <v>0.14285714285714285</v>
      </c>
      <c r="Q182" s="7">
        <f t="shared" si="9"/>
        <v>7.1428571428571425E-2</v>
      </c>
      <c r="R182">
        <f t="shared" si="8"/>
        <v>0</v>
      </c>
    </row>
    <row r="183" spans="1:18" x14ac:dyDescent="0.2">
      <c r="A183" s="67" t="s">
        <v>1651</v>
      </c>
      <c r="B183" s="4" t="s">
        <v>1652</v>
      </c>
      <c r="J183" s="5">
        <f>Info!$B$42</f>
        <v>1</v>
      </c>
      <c r="P183" s="7">
        <f t="shared" si="10"/>
        <v>0.14285714285714285</v>
      </c>
      <c r="Q183" s="7">
        <f t="shared" si="9"/>
        <v>7.1428571428571425E-2</v>
      </c>
      <c r="R183">
        <f t="shared" si="8"/>
        <v>0</v>
      </c>
    </row>
    <row r="184" spans="1:18" x14ac:dyDescent="0.2">
      <c r="A184" s="67" t="s">
        <v>1653</v>
      </c>
      <c r="B184" s="4" t="s">
        <v>1654</v>
      </c>
      <c r="J184" s="5">
        <f>Info!$B$42</f>
        <v>1</v>
      </c>
      <c r="P184" s="7">
        <f t="shared" si="10"/>
        <v>0.14285714285714285</v>
      </c>
      <c r="Q184" s="7">
        <f t="shared" si="9"/>
        <v>7.1428571428571425E-2</v>
      </c>
      <c r="R184">
        <f t="shared" si="8"/>
        <v>0</v>
      </c>
    </row>
    <row r="185" spans="1:18" x14ac:dyDescent="0.2">
      <c r="A185" s="67" t="s">
        <v>1655</v>
      </c>
      <c r="B185" s="4" t="s">
        <v>1656</v>
      </c>
      <c r="J185" s="5">
        <f>Info!$B$42</f>
        <v>1</v>
      </c>
      <c r="P185" s="7">
        <f t="shared" si="10"/>
        <v>0.14285714285714285</v>
      </c>
      <c r="Q185" s="7">
        <f t="shared" si="9"/>
        <v>7.1428571428571425E-2</v>
      </c>
      <c r="R185">
        <f t="shared" si="8"/>
        <v>0</v>
      </c>
    </row>
    <row r="186" spans="1:18" x14ac:dyDescent="0.2">
      <c r="A186" s="67" t="s">
        <v>1657</v>
      </c>
      <c r="B186" s="4" t="s">
        <v>1658</v>
      </c>
      <c r="J186" s="5">
        <f>Info!$B$42</f>
        <v>1</v>
      </c>
      <c r="P186" s="7">
        <f t="shared" si="10"/>
        <v>0.14285714285714285</v>
      </c>
      <c r="Q186" s="7">
        <f t="shared" si="9"/>
        <v>7.1428571428571425E-2</v>
      </c>
      <c r="R186">
        <f t="shared" si="8"/>
        <v>0</v>
      </c>
    </row>
    <row r="187" spans="1:18" x14ac:dyDescent="0.2">
      <c r="A187" s="67" t="s">
        <v>1659</v>
      </c>
      <c r="B187" s="4" t="s">
        <v>1660</v>
      </c>
      <c r="J187" s="5">
        <f>Info!$B$42</f>
        <v>1</v>
      </c>
      <c r="P187" s="7">
        <f t="shared" si="10"/>
        <v>0.14285714285714285</v>
      </c>
      <c r="Q187" s="7">
        <f t="shared" si="9"/>
        <v>7.1428571428571425E-2</v>
      </c>
      <c r="R187">
        <f t="shared" si="8"/>
        <v>0</v>
      </c>
    </row>
    <row r="188" spans="1:18" x14ac:dyDescent="0.2">
      <c r="A188" s="67" t="s">
        <v>1661</v>
      </c>
      <c r="B188" s="4" t="s">
        <v>1662</v>
      </c>
      <c r="J188" s="5">
        <f>Info!$B$42</f>
        <v>1</v>
      </c>
      <c r="P188" s="7">
        <f t="shared" si="10"/>
        <v>0.14285714285714285</v>
      </c>
      <c r="Q188" s="7">
        <f t="shared" si="9"/>
        <v>7.1428571428571425E-2</v>
      </c>
      <c r="R188">
        <f t="shared" si="8"/>
        <v>0</v>
      </c>
    </row>
    <row r="189" spans="1:18" x14ac:dyDescent="0.2">
      <c r="A189" s="67" t="s">
        <v>1663</v>
      </c>
      <c r="B189" s="4" t="s">
        <v>1664</v>
      </c>
      <c r="J189" s="5">
        <f>Info!$B$42</f>
        <v>1</v>
      </c>
      <c r="P189" s="7">
        <f t="shared" si="10"/>
        <v>0.14285714285714285</v>
      </c>
      <c r="Q189" s="7">
        <f t="shared" si="9"/>
        <v>7.1428571428571425E-2</v>
      </c>
      <c r="R189">
        <f t="shared" si="8"/>
        <v>0</v>
      </c>
    </row>
    <row r="190" spans="1:18" x14ac:dyDescent="0.2">
      <c r="A190" s="67" t="s">
        <v>1665</v>
      </c>
      <c r="B190" s="4" t="s">
        <v>1666</v>
      </c>
      <c r="J190" s="5">
        <f>Info!$B$42</f>
        <v>1</v>
      </c>
      <c r="P190" s="7">
        <f t="shared" si="10"/>
        <v>0.14285714285714285</v>
      </c>
      <c r="Q190" s="7">
        <f t="shared" si="9"/>
        <v>7.1428571428571425E-2</v>
      </c>
      <c r="R190">
        <f t="shared" si="8"/>
        <v>0</v>
      </c>
    </row>
    <row r="191" spans="1:18" x14ac:dyDescent="0.2">
      <c r="A191" s="67" t="s">
        <v>1667</v>
      </c>
      <c r="B191" s="4" t="s">
        <v>1668</v>
      </c>
      <c r="J191" s="5">
        <f>Info!$B$42</f>
        <v>1</v>
      </c>
      <c r="P191" s="7">
        <f t="shared" si="10"/>
        <v>0.14285714285714285</v>
      </c>
      <c r="Q191" s="7">
        <f t="shared" si="9"/>
        <v>7.1428571428571425E-2</v>
      </c>
      <c r="R191">
        <f t="shared" si="8"/>
        <v>0</v>
      </c>
    </row>
    <row r="192" spans="1:18" x14ac:dyDescent="0.2">
      <c r="A192" s="67" t="s">
        <v>1669</v>
      </c>
      <c r="B192" s="4" t="s">
        <v>1670</v>
      </c>
      <c r="J192" s="5">
        <f>Info!$B$42</f>
        <v>1</v>
      </c>
      <c r="P192" s="7">
        <f t="shared" si="10"/>
        <v>0.14285714285714285</v>
      </c>
      <c r="Q192" s="7">
        <f t="shared" si="9"/>
        <v>7.1428571428571425E-2</v>
      </c>
      <c r="R192">
        <f t="shared" si="8"/>
        <v>0</v>
      </c>
    </row>
    <row r="193" spans="1:18" x14ac:dyDescent="0.2">
      <c r="A193" s="67" t="s">
        <v>1671</v>
      </c>
      <c r="B193" s="4" t="s">
        <v>1672</v>
      </c>
      <c r="J193" s="5">
        <f>Info!$B$42</f>
        <v>1</v>
      </c>
      <c r="P193" s="7">
        <f t="shared" si="10"/>
        <v>0.14285714285714285</v>
      </c>
      <c r="Q193" s="7">
        <f t="shared" si="9"/>
        <v>7.1428571428571425E-2</v>
      </c>
      <c r="R193">
        <f t="shared" si="8"/>
        <v>0</v>
      </c>
    </row>
    <row r="194" spans="1:18" x14ac:dyDescent="0.2">
      <c r="A194" s="67" t="s">
        <v>1673</v>
      </c>
      <c r="B194" s="4" t="s">
        <v>1674</v>
      </c>
      <c r="J194" s="5">
        <f>Info!$B$42</f>
        <v>1</v>
      </c>
      <c r="P194" s="7">
        <f t="shared" si="10"/>
        <v>0.14285714285714285</v>
      </c>
      <c r="Q194" s="7">
        <f t="shared" si="9"/>
        <v>7.1428571428571425E-2</v>
      </c>
      <c r="R194">
        <f t="shared" ref="R194:R257" si="11">IF(_xlfn.BITAND(P194&gt;0.4999, Q194&gt;0.4999)=1,1,0)</f>
        <v>0</v>
      </c>
    </row>
    <row r="195" spans="1:18" x14ac:dyDescent="0.2">
      <c r="A195" s="67" t="s">
        <v>1675</v>
      </c>
      <c r="B195" s="4" t="s">
        <v>1676</v>
      </c>
      <c r="J195" s="5">
        <f>Info!$B$42</f>
        <v>1</v>
      </c>
      <c r="P195" s="7">
        <f t="shared" si="10"/>
        <v>0.14285714285714285</v>
      </c>
      <c r="Q195" s="7">
        <f t="shared" si="9"/>
        <v>7.1428571428571425E-2</v>
      </c>
      <c r="R195">
        <f t="shared" si="11"/>
        <v>0</v>
      </c>
    </row>
    <row r="196" spans="1:18" x14ac:dyDescent="0.2">
      <c r="A196" s="67" t="s">
        <v>1677</v>
      </c>
      <c r="B196" s="4" t="s">
        <v>1678</v>
      </c>
      <c r="J196" s="5">
        <f>Info!$B$42</f>
        <v>1</v>
      </c>
      <c r="P196" s="7">
        <f t="shared" si="10"/>
        <v>0.14285714285714285</v>
      </c>
      <c r="Q196" s="7">
        <f t="shared" si="9"/>
        <v>7.1428571428571425E-2</v>
      </c>
      <c r="R196">
        <f t="shared" si="11"/>
        <v>0</v>
      </c>
    </row>
    <row r="197" spans="1:18" x14ac:dyDescent="0.2">
      <c r="A197" s="67" t="s">
        <v>1679</v>
      </c>
      <c r="B197" s="4" t="s">
        <v>1680</v>
      </c>
      <c r="J197" s="5">
        <f>Info!$B$42</f>
        <v>1</v>
      </c>
      <c r="P197" s="7">
        <f t="shared" si="10"/>
        <v>0.14285714285714285</v>
      </c>
      <c r="Q197" s="7">
        <f t="shared" si="9"/>
        <v>7.1428571428571425E-2</v>
      </c>
      <c r="R197">
        <f t="shared" si="11"/>
        <v>0</v>
      </c>
    </row>
    <row r="198" spans="1:18" x14ac:dyDescent="0.2">
      <c r="A198" s="67" t="s">
        <v>1681</v>
      </c>
      <c r="B198" s="4" t="s">
        <v>1682</v>
      </c>
      <c r="J198" s="5">
        <f>Info!$B$42</f>
        <v>1</v>
      </c>
      <c r="P198" s="7">
        <f t="shared" si="10"/>
        <v>0.14285714285714285</v>
      </c>
      <c r="Q198" s="7">
        <f t="shared" si="9"/>
        <v>7.1428571428571425E-2</v>
      </c>
      <c r="R198">
        <f t="shared" si="11"/>
        <v>0</v>
      </c>
    </row>
    <row r="199" spans="1:18" x14ac:dyDescent="0.2">
      <c r="A199" s="67" t="s">
        <v>1683</v>
      </c>
      <c r="B199" s="4" t="s">
        <v>1684</v>
      </c>
      <c r="J199" s="5">
        <f>Info!$B$42</f>
        <v>1</v>
      </c>
      <c r="P199" s="7">
        <f t="shared" si="10"/>
        <v>0.14285714285714285</v>
      </c>
      <c r="Q199" s="7">
        <f t="shared" si="9"/>
        <v>7.1428571428571425E-2</v>
      </c>
      <c r="R199">
        <f t="shared" si="11"/>
        <v>0</v>
      </c>
    </row>
    <row r="200" spans="1:18" x14ac:dyDescent="0.2">
      <c r="A200" s="67" t="s">
        <v>1685</v>
      </c>
      <c r="B200" s="4" t="s">
        <v>1686</v>
      </c>
      <c r="J200" s="5">
        <f>Info!$B$42</f>
        <v>1</v>
      </c>
      <c r="P200" s="7">
        <f t="shared" si="10"/>
        <v>0.14285714285714285</v>
      </c>
      <c r="Q200" s="7">
        <f t="shared" si="9"/>
        <v>7.1428571428571425E-2</v>
      </c>
      <c r="R200">
        <f t="shared" si="11"/>
        <v>0</v>
      </c>
    </row>
    <row r="201" spans="1:18" x14ac:dyDescent="0.2">
      <c r="A201" s="67" t="s">
        <v>1687</v>
      </c>
      <c r="B201" s="4" t="s">
        <v>1688</v>
      </c>
      <c r="J201" s="5">
        <f>Info!$B$42</f>
        <v>1</v>
      </c>
      <c r="P201" s="7">
        <f t="shared" si="10"/>
        <v>0.14285714285714285</v>
      </c>
      <c r="Q201" s="7">
        <f t="shared" si="9"/>
        <v>7.1428571428571425E-2</v>
      </c>
      <c r="R201">
        <f t="shared" si="11"/>
        <v>0</v>
      </c>
    </row>
    <row r="202" spans="1:18" x14ac:dyDescent="0.2">
      <c r="A202" s="67" t="s">
        <v>1689</v>
      </c>
      <c r="B202" s="4" t="s">
        <v>1690</v>
      </c>
      <c r="J202" s="5">
        <f>Info!$B$42</f>
        <v>1</v>
      </c>
      <c r="P202" s="7">
        <f t="shared" si="10"/>
        <v>0.14285714285714285</v>
      </c>
      <c r="Q202" s="7">
        <f t="shared" si="9"/>
        <v>7.1428571428571425E-2</v>
      </c>
      <c r="R202">
        <f t="shared" si="11"/>
        <v>0</v>
      </c>
    </row>
    <row r="203" spans="1:18" x14ac:dyDescent="0.2">
      <c r="A203" s="67" t="s">
        <v>1691</v>
      </c>
      <c r="B203" s="4" t="s">
        <v>1692</v>
      </c>
      <c r="J203" s="5">
        <f>Info!$B$42</f>
        <v>1</v>
      </c>
      <c r="P203" s="7">
        <f t="shared" si="10"/>
        <v>0.14285714285714285</v>
      </c>
      <c r="Q203" s="7">
        <f t="shared" si="9"/>
        <v>7.1428571428571425E-2</v>
      </c>
      <c r="R203">
        <f t="shared" si="11"/>
        <v>0</v>
      </c>
    </row>
    <row r="204" spans="1:18" x14ac:dyDescent="0.2">
      <c r="A204" s="67" t="s">
        <v>1693</v>
      </c>
      <c r="B204" s="4" t="s">
        <v>1694</v>
      </c>
      <c r="J204" s="5">
        <f>Info!$B$42</f>
        <v>1</v>
      </c>
      <c r="P204" s="7">
        <f t="shared" si="10"/>
        <v>0.14285714285714285</v>
      </c>
      <c r="Q204" s="7">
        <f t="shared" si="9"/>
        <v>7.1428571428571425E-2</v>
      </c>
      <c r="R204">
        <f t="shared" si="11"/>
        <v>0</v>
      </c>
    </row>
    <row r="205" spans="1:18" x14ac:dyDescent="0.2">
      <c r="A205" s="67" t="s">
        <v>1695</v>
      </c>
      <c r="B205" s="4" t="s">
        <v>1696</v>
      </c>
      <c r="J205" s="5">
        <f>Info!$B$42</f>
        <v>1</v>
      </c>
      <c r="P205" s="7">
        <f t="shared" si="10"/>
        <v>0.14285714285714285</v>
      </c>
      <c r="Q205" s="7">
        <f t="shared" ref="Q205:Q268" si="12">(O205+P205)/2</f>
        <v>7.1428571428571425E-2</v>
      </c>
      <c r="R205">
        <f t="shared" si="11"/>
        <v>0</v>
      </c>
    </row>
    <row r="206" spans="1:18" x14ac:dyDescent="0.2">
      <c r="A206" s="67" t="s">
        <v>1697</v>
      </c>
      <c r="B206" s="4" t="s">
        <v>1698</v>
      </c>
      <c r="J206" s="5">
        <f>Info!$B$42</f>
        <v>1</v>
      </c>
      <c r="P206" s="7">
        <f t="shared" si="10"/>
        <v>0.14285714285714285</v>
      </c>
      <c r="Q206" s="7">
        <f t="shared" si="12"/>
        <v>7.1428571428571425E-2</v>
      </c>
      <c r="R206">
        <f t="shared" si="11"/>
        <v>0</v>
      </c>
    </row>
    <row r="207" spans="1:18" x14ac:dyDescent="0.2">
      <c r="A207" s="67" t="s">
        <v>1699</v>
      </c>
      <c r="B207" s="4" t="s">
        <v>1700</v>
      </c>
      <c r="J207" s="5">
        <f>Info!$B$42</f>
        <v>1</v>
      </c>
      <c r="P207" s="7">
        <f t="shared" si="10"/>
        <v>0.14285714285714285</v>
      </c>
      <c r="Q207" s="7">
        <f t="shared" si="12"/>
        <v>7.1428571428571425E-2</v>
      </c>
      <c r="R207">
        <f t="shared" si="11"/>
        <v>0</v>
      </c>
    </row>
    <row r="208" spans="1:18" x14ac:dyDescent="0.2">
      <c r="A208" s="67" t="s">
        <v>1701</v>
      </c>
      <c r="B208" s="4" t="s">
        <v>1702</v>
      </c>
      <c r="J208" s="5">
        <f>Info!$B$42</f>
        <v>1</v>
      </c>
      <c r="P208" s="7">
        <f t="shared" si="10"/>
        <v>0.14285714285714285</v>
      </c>
      <c r="Q208" s="7">
        <f t="shared" si="12"/>
        <v>7.1428571428571425E-2</v>
      </c>
      <c r="R208">
        <f t="shared" si="11"/>
        <v>0</v>
      </c>
    </row>
    <row r="209" spans="1:18" x14ac:dyDescent="0.2">
      <c r="A209" s="67" t="s">
        <v>1703</v>
      </c>
      <c r="B209" s="4" t="s">
        <v>1704</v>
      </c>
      <c r="J209" s="5">
        <f>Info!$B$42</f>
        <v>1</v>
      </c>
      <c r="P209" s="7">
        <f t="shared" si="10"/>
        <v>0.14285714285714285</v>
      </c>
      <c r="Q209" s="7">
        <f t="shared" si="12"/>
        <v>7.1428571428571425E-2</v>
      </c>
      <c r="R209">
        <f t="shared" si="11"/>
        <v>0</v>
      </c>
    </row>
    <row r="210" spans="1:18" x14ac:dyDescent="0.2">
      <c r="A210" s="67" t="s">
        <v>1705</v>
      </c>
      <c r="B210" s="4" t="s">
        <v>1706</v>
      </c>
      <c r="J210" s="5">
        <f>Info!$B$42</f>
        <v>1</v>
      </c>
      <c r="P210" s="7">
        <f t="shared" si="10"/>
        <v>0.14285714285714285</v>
      </c>
      <c r="Q210" s="7">
        <f t="shared" si="12"/>
        <v>7.1428571428571425E-2</v>
      </c>
      <c r="R210">
        <f t="shared" si="11"/>
        <v>0</v>
      </c>
    </row>
    <row r="211" spans="1:18" x14ac:dyDescent="0.2">
      <c r="A211" s="67" t="s">
        <v>1707</v>
      </c>
      <c r="B211" s="4" t="s">
        <v>1708</v>
      </c>
      <c r="J211" s="5">
        <f>Info!$B$42</f>
        <v>1</v>
      </c>
      <c r="P211" s="7">
        <f t="shared" si="10"/>
        <v>0.14285714285714285</v>
      </c>
      <c r="Q211" s="7">
        <f t="shared" si="12"/>
        <v>7.1428571428571425E-2</v>
      </c>
      <c r="R211">
        <f t="shared" si="11"/>
        <v>0</v>
      </c>
    </row>
    <row r="212" spans="1:18" x14ac:dyDescent="0.2">
      <c r="A212" s="67" t="s">
        <v>1709</v>
      </c>
      <c r="B212" s="4" t="s">
        <v>1710</v>
      </c>
      <c r="J212" s="5">
        <f>Info!$B$42</f>
        <v>1</v>
      </c>
      <c r="P212" s="7">
        <f t="shared" si="10"/>
        <v>0.14285714285714285</v>
      </c>
      <c r="Q212" s="7">
        <f t="shared" si="12"/>
        <v>7.1428571428571425E-2</v>
      </c>
      <c r="R212">
        <f t="shared" si="11"/>
        <v>0</v>
      </c>
    </row>
    <row r="213" spans="1:18" x14ac:dyDescent="0.2">
      <c r="A213" s="67" t="s">
        <v>1711</v>
      </c>
      <c r="B213" s="4" t="s">
        <v>1712</v>
      </c>
      <c r="J213" s="5">
        <f>Info!$B$42</f>
        <v>1</v>
      </c>
      <c r="P213" s="7">
        <f t="shared" ref="P213:P276" si="13">(D213+E213+F213+G213+H213+I213+J213)/7</f>
        <v>0.14285714285714285</v>
      </c>
      <c r="Q213" s="7">
        <f t="shared" si="12"/>
        <v>7.1428571428571425E-2</v>
      </c>
      <c r="R213">
        <f t="shared" si="11"/>
        <v>0</v>
      </c>
    </row>
    <row r="214" spans="1:18" x14ac:dyDescent="0.2">
      <c r="A214" s="67" t="s">
        <v>1713</v>
      </c>
      <c r="B214" s="4" t="s">
        <v>1714</v>
      </c>
      <c r="J214" s="5">
        <f>Info!$B$42</f>
        <v>1</v>
      </c>
      <c r="P214" s="7">
        <f t="shared" si="13"/>
        <v>0.14285714285714285</v>
      </c>
      <c r="Q214" s="7">
        <f t="shared" si="12"/>
        <v>7.1428571428571425E-2</v>
      </c>
      <c r="R214">
        <f t="shared" si="11"/>
        <v>0</v>
      </c>
    </row>
    <row r="215" spans="1:18" x14ac:dyDescent="0.2">
      <c r="A215" s="67" t="s">
        <v>1715</v>
      </c>
      <c r="B215" s="4" t="s">
        <v>1716</v>
      </c>
      <c r="J215" s="5">
        <f>Info!$B$42</f>
        <v>1</v>
      </c>
      <c r="P215" s="7">
        <f t="shared" si="13"/>
        <v>0.14285714285714285</v>
      </c>
      <c r="Q215" s="7">
        <f t="shared" si="12"/>
        <v>7.1428571428571425E-2</v>
      </c>
      <c r="R215">
        <f t="shared" si="11"/>
        <v>0</v>
      </c>
    </row>
    <row r="216" spans="1:18" x14ac:dyDescent="0.2">
      <c r="A216" s="67" t="s">
        <v>1717</v>
      </c>
      <c r="B216" s="4" t="s">
        <v>1718</v>
      </c>
      <c r="J216" s="5">
        <f>Info!$B$42</f>
        <v>1</v>
      </c>
      <c r="P216" s="7">
        <f t="shared" si="13"/>
        <v>0.14285714285714285</v>
      </c>
      <c r="Q216" s="7">
        <f t="shared" si="12"/>
        <v>7.1428571428571425E-2</v>
      </c>
      <c r="R216">
        <f t="shared" si="11"/>
        <v>0</v>
      </c>
    </row>
    <row r="217" spans="1:18" x14ac:dyDescent="0.2">
      <c r="A217" s="67" t="s">
        <v>1719</v>
      </c>
      <c r="B217" s="4" t="s">
        <v>1720</v>
      </c>
      <c r="J217" s="5">
        <f>Info!$B$42</f>
        <v>1</v>
      </c>
      <c r="P217" s="7">
        <f t="shared" si="13"/>
        <v>0.14285714285714285</v>
      </c>
      <c r="Q217" s="7">
        <f t="shared" si="12"/>
        <v>7.1428571428571425E-2</v>
      </c>
      <c r="R217">
        <f t="shared" si="11"/>
        <v>0</v>
      </c>
    </row>
    <row r="218" spans="1:18" x14ac:dyDescent="0.2">
      <c r="A218" s="67" t="s">
        <v>1721</v>
      </c>
      <c r="B218" s="4" t="s">
        <v>1722</v>
      </c>
      <c r="J218" s="5">
        <f>Info!$B$42</f>
        <v>1</v>
      </c>
      <c r="P218" s="7">
        <f t="shared" si="13"/>
        <v>0.14285714285714285</v>
      </c>
      <c r="Q218" s="7">
        <f t="shared" si="12"/>
        <v>7.1428571428571425E-2</v>
      </c>
      <c r="R218">
        <f t="shared" si="11"/>
        <v>0</v>
      </c>
    </row>
    <row r="219" spans="1:18" x14ac:dyDescent="0.2">
      <c r="A219" s="67" t="s">
        <v>1723</v>
      </c>
      <c r="B219" s="4" t="s">
        <v>1724</v>
      </c>
      <c r="J219" s="5">
        <f>Info!$B$42</f>
        <v>1</v>
      </c>
      <c r="P219" s="7">
        <f t="shared" si="13"/>
        <v>0.14285714285714285</v>
      </c>
      <c r="Q219" s="7">
        <f t="shared" si="12"/>
        <v>7.1428571428571425E-2</v>
      </c>
      <c r="R219">
        <f t="shared" si="11"/>
        <v>0</v>
      </c>
    </row>
    <row r="220" spans="1:18" x14ac:dyDescent="0.2">
      <c r="A220" s="67" t="s">
        <v>1725</v>
      </c>
      <c r="B220" s="4" t="s">
        <v>1726</v>
      </c>
      <c r="J220" s="5">
        <f>Info!$B$42</f>
        <v>1</v>
      </c>
      <c r="P220" s="7">
        <f t="shared" si="13"/>
        <v>0.14285714285714285</v>
      </c>
      <c r="Q220" s="7">
        <f t="shared" si="12"/>
        <v>7.1428571428571425E-2</v>
      </c>
      <c r="R220">
        <f t="shared" si="11"/>
        <v>0</v>
      </c>
    </row>
    <row r="221" spans="1:18" x14ac:dyDescent="0.2">
      <c r="A221" s="67" t="s">
        <v>1727</v>
      </c>
      <c r="B221" s="4" t="s">
        <v>1728</v>
      </c>
      <c r="J221" s="5">
        <f>Info!$B$42</f>
        <v>1</v>
      </c>
      <c r="P221" s="7">
        <f t="shared" si="13"/>
        <v>0.14285714285714285</v>
      </c>
      <c r="Q221" s="7">
        <f t="shared" si="12"/>
        <v>7.1428571428571425E-2</v>
      </c>
      <c r="R221">
        <f t="shared" si="11"/>
        <v>0</v>
      </c>
    </row>
    <row r="222" spans="1:18" x14ac:dyDescent="0.2">
      <c r="A222" s="67" t="s">
        <v>1729</v>
      </c>
      <c r="B222" s="4" t="s">
        <v>1730</v>
      </c>
      <c r="J222" s="5">
        <f>Info!$B$42</f>
        <v>1</v>
      </c>
      <c r="P222" s="7">
        <f t="shared" si="13"/>
        <v>0.14285714285714285</v>
      </c>
      <c r="Q222" s="7">
        <f t="shared" si="12"/>
        <v>7.1428571428571425E-2</v>
      </c>
      <c r="R222">
        <f t="shared" si="11"/>
        <v>0</v>
      </c>
    </row>
    <row r="223" spans="1:18" x14ac:dyDescent="0.2">
      <c r="A223" s="67" t="s">
        <v>1731</v>
      </c>
      <c r="B223" s="4" t="s">
        <v>1732</v>
      </c>
      <c r="J223" s="5">
        <f>Info!$B$42</f>
        <v>1</v>
      </c>
      <c r="P223" s="7">
        <f t="shared" si="13"/>
        <v>0.14285714285714285</v>
      </c>
      <c r="Q223" s="7">
        <f t="shared" si="12"/>
        <v>7.1428571428571425E-2</v>
      </c>
      <c r="R223">
        <f t="shared" si="11"/>
        <v>0</v>
      </c>
    </row>
    <row r="224" spans="1:18" x14ac:dyDescent="0.2">
      <c r="A224" s="67" t="s">
        <v>1733</v>
      </c>
      <c r="B224" s="4" t="s">
        <v>1734</v>
      </c>
      <c r="J224" s="5">
        <f>Info!$B$42</f>
        <v>1</v>
      </c>
      <c r="P224" s="7">
        <f t="shared" si="13"/>
        <v>0.14285714285714285</v>
      </c>
      <c r="Q224" s="7">
        <f t="shared" si="12"/>
        <v>7.1428571428571425E-2</v>
      </c>
      <c r="R224">
        <f t="shared" si="11"/>
        <v>0</v>
      </c>
    </row>
    <row r="225" spans="1:18" x14ac:dyDescent="0.2">
      <c r="A225" s="67" t="s">
        <v>1735</v>
      </c>
      <c r="B225" s="4" t="s">
        <v>1736</v>
      </c>
      <c r="J225" s="5">
        <f>Info!$B$42</f>
        <v>1</v>
      </c>
      <c r="P225" s="7">
        <f t="shared" si="13"/>
        <v>0.14285714285714285</v>
      </c>
      <c r="Q225" s="7">
        <f t="shared" si="12"/>
        <v>7.1428571428571425E-2</v>
      </c>
      <c r="R225">
        <f t="shared" si="11"/>
        <v>0</v>
      </c>
    </row>
    <row r="226" spans="1:18" x14ac:dyDescent="0.2">
      <c r="A226" s="67" t="s">
        <v>1737</v>
      </c>
      <c r="B226" s="4" t="s">
        <v>1738</v>
      </c>
      <c r="J226" s="5">
        <f>Info!$B$42</f>
        <v>1</v>
      </c>
      <c r="P226" s="7">
        <f t="shared" si="13"/>
        <v>0.14285714285714285</v>
      </c>
      <c r="Q226" s="7">
        <f t="shared" si="12"/>
        <v>7.1428571428571425E-2</v>
      </c>
      <c r="R226">
        <f t="shared" si="11"/>
        <v>0</v>
      </c>
    </row>
    <row r="227" spans="1:18" x14ac:dyDescent="0.2">
      <c r="A227" s="67" t="s">
        <v>1739</v>
      </c>
      <c r="B227" s="4" t="s">
        <v>1740</v>
      </c>
      <c r="J227" s="5">
        <f>Info!$B$42</f>
        <v>1</v>
      </c>
      <c r="P227" s="7">
        <f t="shared" si="13"/>
        <v>0.14285714285714285</v>
      </c>
      <c r="Q227" s="7">
        <f t="shared" si="12"/>
        <v>7.1428571428571425E-2</v>
      </c>
      <c r="R227">
        <f t="shared" si="11"/>
        <v>0</v>
      </c>
    </row>
    <row r="228" spans="1:18" x14ac:dyDescent="0.2">
      <c r="A228" s="67" t="s">
        <v>1741</v>
      </c>
      <c r="B228" s="4" t="s">
        <v>1742</v>
      </c>
      <c r="J228" s="5">
        <f>Info!$B$42</f>
        <v>1</v>
      </c>
      <c r="P228" s="7">
        <f t="shared" si="13"/>
        <v>0.14285714285714285</v>
      </c>
      <c r="Q228" s="7">
        <f t="shared" si="12"/>
        <v>7.1428571428571425E-2</v>
      </c>
      <c r="R228">
        <f t="shared" si="11"/>
        <v>0</v>
      </c>
    </row>
    <row r="229" spans="1:18" x14ac:dyDescent="0.2">
      <c r="A229" s="67" t="s">
        <v>1743</v>
      </c>
      <c r="B229" s="4" t="s">
        <v>1744</v>
      </c>
      <c r="J229" s="5">
        <f>Info!$B$42</f>
        <v>1</v>
      </c>
      <c r="P229" s="7">
        <f t="shared" si="13"/>
        <v>0.14285714285714285</v>
      </c>
      <c r="Q229" s="7">
        <f t="shared" si="12"/>
        <v>7.1428571428571425E-2</v>
      </c>
      <c r="R229">
        <f t="shared" si="11"/>
        <v>0</v>
      </c>
    </row>
    <row r="230" spans="1:18" x14ac:dyDescent="0.2">
      <c r="A230" s="67" t="s">
        <v>1745</v>
      </c>
      <c r="B230" s="4" t="s">
        <v>1746</v>
      </c>
      <c r="J230" s="5">
        <f>Info!$B$42</f>
        <v>1</v>
      </c>
      <c r="P230" s="7">
        <f t="shared" si="13"/>
        <v>0.14285714285714285</v>
      </c>
      <c r="Q230" s="7">
        <f t="shared" si="12"/>
        <v>7.1428571428571425E-2</v>
      </c>
      <c r="R230">
        <f t="shared" si="11"/>
        <v>0</v>
      </c>
    </row>
    <row r="231" spans="1:18" x14ac:dyDescent="0.2">
      <c r="A231" s="67" t="s">
        <v>1747</v>
      </c>
      <c r="B231" s="4" t="s">
        <v>1748</v>
      </c>
      <c r="J231" s="5">
        <f>Info!$B$42</f>
        <v>1</v>
      </c>
      <c r="P231" s="7">
        <f t="shared" si="13"/>
        <v>0.14285714285714285</v>
      </c>
      <c r="Q231" s="7">
        <f t="shared" si="12"/>
        <v>7.1428571428571425E-2</v>
      </c>
      <c r="R231">
        <f t="shared" si="11"/>
        <v>0</v>
      </c>
    </row>
    <row r="232" spans="1:18" x14ac:dyDescent="0.2">
      <c r="A232" s="67" t="s">
        <v>1749</v>
      </c>
      <c r="B232" s="4" t="s">
        <v>1750</v>
      </c>
      <c r="J232" s="5">
        <f>Info!$B$42</f>
        <v>1</v>
      </c>
      <c r="P232" s="7">
        <f t="shared" si="13"/>
        <v>0.14285714285714285</v>
      </c>
      <c r="Q232" s="7">
        <f t="shared" si="12"/>
        <v>7.1428571428571425E-2</v>
      </c>
      <c r="R232">
        <f t="shared" si="11"/>
        <v>0</v>
      </c>
    </row>
    <row r="233" spans="1:18" x14ac:dyDescent="0.2">
      <c r="A233" s="67" t="s">
        <v>1751</v>
      </c>
      <c r="B233" s="4" t="s">
        <v>1752</v>
      </c>
      <c r="J233" s="5">
        <f>Info!$B$42</f>
        <v>1</v>
      </c>
      <c r="P233" s="7">
        <f t="shared" si="13"/>
        <v>0.14285714285714285</v>
      </c>
      <c r="Q233" s="7">
        <f t="shared" si="12"/>
        <v>7.1428571428571425E-2</v>
      </c>
      <c r="R233">
        <f t="shared" si="11"/>
        <v>0</v>
      </c>
    </row>
    <row r="234" spans="1:18" x14ac:dyDescent="0.2">
      <c r="A234" s="67" t="s">
        <v>1753</v>
      </c>
      <c r="B234" s="4" t="s">
        <v>1754</v>
      </c>
      <c r="J234" s="5">
        <f>Info!$B$42</f>
        <v>1</v>
      </c>
      <c r="P234" s="7">
        <f t="shared" si="13"/>
        <v>0.14285714285714285</v>
      </c>
      <c r="Q234" s="7">
        <f t="shared" si="12"/>
        <v>7.1428571428571425E-2</v>
      </c>
      <c r="R234">
        <f t="shared" si="11"/>
        <v>0</v>
      </c>
    </row>
    <row r="235" spans="1:18" x14ac:dyDescent="0.2">
      <c r="A235" s="67" t="s">
        <v>1755</v>
      </c>
      <c r="B235" s="4" t="s">
        <v>1756</v>
      </c>
      <c r="J235" s="5">
        <f>Info!$B$42</f>
        <v>1</v>
      </c>
      <c r="P235" s="7">
        <f t="shared" si="13"/>
        <v>0.14285714285714285</v>
      </c>
      <c r="Q235" s="7">
        <f t="shared" si="12"/>
        <v>7.1428571428571425E-2</v>
      </c>
      <c r="R235">
        <f t="shared" si="11"/>
        <v>0</v>
      </c>
    </row>
    <row r="236" spans="1:18" x14ac:dyDescent="0.2">
      <c r="A236" s="67" t="s">
        <v>1757</v>
      </c>
      <c r="B236" s="4" t="s">
        <v>1758</v>
      </c>
      <c r="J236" s="5">
        <f>Info!$B$42</f>
        <v>1</v>
      </c>
      <c r="P236" s="7">
        <f t="shared" si="13"/>
        <v>0.14285714285714285</v>
      </c>
      <c r="Q236" s="7">
        <f t="shared" si="12"/>
        <v>7.1428571428571425E-2</v>
      </c>
      <c r="R236">
        <f t="shared" si="11"/>
        <v>0</v>
      </c>
    </row>
    <row r="237" spans="1:18" x14ac:dyDescent="0.2">
      <c r="A237" s="67" t="s">
        <v>1759</v>
      </c>
      <c r="B237" s="4" t="s">
        <v>1760</v>
      </c>
      <c r="J237" s="5">
        <f>Info!$B$42</f>
        <v>1</v>
      </c>
      <c r="P237" s="7">
        <f t="shared" si="13"/>
        <v>0.14285714285714285</v>
      </c>
      <c r="Q237" s="7">
        <f t="shared" si="12"/>
        <v>7.1428571428571425E-2</v>
      </c>
      <c r="R237">
        <f t="shared" si="11"/>
        <v>0</v>
      </c>
    </row>
    <row r="238" spans="1:18" x14ac:dyDescent="0.2">
      <c r="A238" s="67" t="s">
        <v>1761</v>
      </c>
      <c r="B238" s="4" t="s">
        <v>1762</v>
      </c>
      <c r="J238" s="5">
        <f>Info!$B$42</f>
        <v>1</v>
      </c>
      <c r="P238" s="7">
        <f t="shared" si="13"/>
        <v>0.14285714285714285</v>
      </c>
      <c r="Q238" s="7">
        <f t="shared" si="12"/>
        <v>7.1428571428571425E-2</v>
      </c>
      <c r="R238">
        <f t="shared" si="11"/>
        <v>0</v>
      </c>
    </row>
    <row r="239" spans="1:18" x14ac:dyDescent="0.2">
      <c r="A239" s="67" t="s">
        <v>1763</v>
      </c>
      <c r="B239" s="4" t="s">
        <v>1764</v>
      </c>
      <c r="J239" s="5">
        <f>Info!$B$42</f>
        <v>1</v>
      </c>
      <c r="P239" s="7">
        <f t="shared" si="13"/>
        <v>0.14285714285714285</v>
      </c>
      <c r="Q239" s="7">
        <f t="shared" si="12"/>
        <v>7.1428571428571425E-2</v>
      </c>
      <c r="R239">
        <f t="shared" si="11"/>
        <v>0</v>
      </c>
    </row>
    <row r="240" spans="1:18" x14ac:dyDescent="0.2">
      <c r="A240" s="67" t="s">
        <v>1765</v>
      </c>
      <c r="B240" s="4" t="s">
        <v>1766</v>
      </c>
      <c r="J240" s="5">
        <f>Info!$B$42</f>
        <v>1</v>
      </c>
      <c r="P240" s="7">
        <f t="shared" si="13"/>
        <v>0.14285714285714285</v>
      </c>
      <c r="Q240" s="7">
        <f t="shared" si="12"/>
        <v>7.1428571428571425E-2</v>
      </c>
      <c r="R240">
        <f t="shared" si="11"/>
        <v>0</v>
      </c>
    </row>
    <row r="241" spans="1:18" x14ac:dyDescent="0.2">
      <c r="A241" s="67" t="s">
        <v>1767</v>
      </c>
      <c r="B241" s="4" t="s">
        <v>1768</v>
      </c>
      <c r="J241" s="5">
        <f>Info!$B$42</f>
        <v>1</v>
      </c>
      <c r="P241" s="7">
        <f t="shared" si="13"/>
        <v>0.14285714285714285</v>
      </c>
      <c r="Q241" s="7">
        <f t="shared" si="12"/>
        <v>7.1428571428571425E-2</v>
      </c>
      <c r="R241">
        <f t="shared" si="11"/>
        <v>0</v>
      </c>
    </row>
    <row r="242" spans="1:18" x14ac:dyDescent="0.2">
      <c r="A242" s="67" t="s">
        <v>1769</v>
      </c>
      <c r="B242" s="4" t="s">
        <v>1770</v>
      </c>
      <c r="J242" s="5">
        <f>Info!$B$42</f>
        <v>1</v>
      </c>
      <c r="P242" s="7">
        <f t="shared" si="13"/>
        <v>0.14285714285714285</v>
      </c>
      <c r="Q242" s="7">
        <f t="shared" si="12"/>
        <v>7.1428571428571425E-2</v>
      </c>
      <c r="R242">
        <f t="shared" si="11"/>
        <v>0</v>
      </c>
    </row>
    <row r="243" spans="1:18" x14ac:dyDescent="0.2">
      <c r="A243" s="67" t="s">
        <v>1771</v>
      </c>
      <c r="B243" s="4" t="s">
        <v>1772</v>
      </c>
      <c r="J243" s="5">
        <f>Info!$B$42</f>
        <v>1</v>
      </c>
      <c r="P243" s="7">
        <f t="shared" si="13"/>
        <v>0.14285714285714285</v>
      </c>
      <c r="Q243" s="7">
        <f t="shared" si="12"/>
        <v>7.1428571428571425E-2</v>
      </c>
      <c r="R243">
        <f t="shared" si="11"/>
        <v>0</v>
      </c>
    </row>
    <row r="244" spans="1:18" x14ac:dyDescent="0.2">
      <c r="A244" s="67" t="s">
        <v>1773</v>
      </c>
      <c r="B244" s="4" t="s">
        <v>1774</v>
      </c>
      <c r="J244" s="5">
        <f>Info!$B$42</f>
        <v>1</v>
      </c>
      <c r="P244" s="7">
        <f t="shared" si="13"/>
        <v>0.14285714285714285</v>
      </c>
      <c r="Q244" s="7">
        <f t="shared" si="12"/>
        <v>7.1428571428571425E-2</v>
      </c>
      <c r="R244">
        <f t="shared" si="11"/>
        <v>0</v>
      </c>
    </row>
    <row r="245" spans="1:18" x14ac:dyDescent="0.2">
      <c r="A245" s="67" t="s">
        <v>1775</v>
      </c>
      <c r="B245" s="4" t="s">
        <v>1776</v>
      </c>
      <c r="J245" s="5">
        <f>Info!$B$42</f>
        <v>1</v>
      </c>
      <c r="P245" s="7">
        <f t="shared" si="13"/>
        <v>0.14285714285714285</v>
      </c>
      <c r="Q245" s="7">
        <f t="shared" si="12"/>
        <v>7.1428571428571425E-2</v>
      </c>
      <c r="R245">
        <f t="shared" si="11"/>
        <v>0</v>
      </c>
    </row>
    <row r="246" spans="1:18" x14ac:dyDescent="0.2">
      <c r="A246" s="67" t="s">
        <v>1777</v>
      </c>
      <c r="B246" s="4" t="s">
        <v>1778</v>
      </c>
      <c r="J246" s="5">
        <f>Info!$B$42</f>
        <v>1</v>
      </c>
      <c r="P246" s="7">
        <f t="shared" si="13"/>
        <v>0.14285714285714285</v>
      </c>
      <c r="Q246" s="7">
        <f t="shared" si="12"/>
        <v>7.1428571428571425E-2</v>
      </c>
      <c r="R246">
        <f t="shared" si="11"/>
        <v>0</v>
      </c>
    </row>
    <row r="247" spans="1:18" x14ac:dyDescent="0.2">
      <c r="A247" s="67" t="s">
        <v>1779</v>
      </c>
      <c r="B247" s="4" t="s">
        <v>1780</v>
      </c>
      <c r="J247" s="5">
        <f>Info!$B$42</f>
        <v>1</v>
      </c>
      <c r="P247" s="7">
        <f t="shared" si="13"/>
        <v>0.14285714285714285</v>
      </c>
      <c r="Q247" s="7">
        <f t="shared" si="12"/>
        <v>7.1428571428571425E-2</v>
      </c>
      <c r="R247">
        <f t="shared" si="11"/>
        <v>0</v>
      </c>
    </row>
    <row r="248" spans="1:18" x14ac:dyDescent="0.2">
      <c r="A248" s="67" t="s">
        <v>1781</v>
      </c>
      <c r="B248" s="4" t="s">
        <v>1782</v>
      </c>
      <c r="J248" s="5">
        <f>Info!$B$42</f>
        <v>1</v>
      </c>
      <c r="P248" s="7">
        <f t="shared" si="13"/>
        <v>0.14285714285714285</v>
      </c>
      <c r="Q248" s="7">
        <f t="shared" si="12"/>
        <v>7.1428571428571425E-2</v>
      </c>
      <c r="R248">
        <f t="shared" si="11"/>
        <v>0</v>
      </c>
    </row>
    <row r="249" spans="1:18" x14ac:dyDescent="0.2">
      <c r="A249" s="67" t="s">
        <v>1783</v>
      </c>
      <c r="B249" s="4" t="s">
        <v>1784</v>
      </c>
      <c r="J249" s="5">
        <f>Info!$B$42</f>
        <v>1</v>
      </c>
      <c r="P249" s="7">
        <f t="shared" si="13"/>
        <v>0.14285714285714285</v>
      </c>
      <c r="Q249" s="7">
        <f t="shared" si="12"/>
        <v>7.1428571428571425E-2</v>
      </c>
      <c r="R249">
        <f t="shared" si="11"/>
        <v>0</v>
      </c>
    </row>
    <row r="250" spans="1:18" x14ac:dyDescent="0.2">
      <c r="A250" s="67" t="s">
        <v>1785</v>
      </c>
      <c r="B250" s="4" t="s">
        <v>1786</v>
      </c>
      <c r="J250" s="5">
        <f>Info!$B$42</f>
        <v>1</v>
      </c>
      <c r="P250" s="7">
        <f t="shared" si="13"/>
        <v>0.14285714285714285</v>
      </c>
      <c r="Q250" s="7">
        <f t="shared" si="12"/>
        <v>7.1428571428571425E-2</v>
      </c>
      <c r="R250">
        <f t="shared" si="11"/>
        <v>0</v>
      </c>
    </row>
    <row r="251" spans="1:18" x14ac:dyDescent="0.2">
      <c r="A251" s="67" t="s">
        <v>1787</v>
      </c>
      <c r="B251" s="4" t="s">
        <v>1788</v>
      </c>
      <c r="J251" s="5">
        <f>Info!$B$42</f>
        <v>1</v>
      </c>
      <c r="P251" s="7">
        <f t="shared" si="13"/>
        <v>0.14285714285714285</v>
      </c>
      <c r="Q251" s="7">
        <f t="shared" si="12"/>
        <v>7.1428571428571425E-2</v>
      </c>
      <c r="R251">
        <f t="shared" si="11"/>
        <v>0</v>
      </c>
    </row>
    <row r="252" spans="1:18" x14ac:dyDescent="0.2">
      <c r="A252" s="67" t="s">
        <v>1789</v>
      </c>
      <c r="B252" s="4" t="s">
        <v>1790</v>
      </c>
      <c r="J252" s="5">
        <f>Info!$B$42</f>
        <v>1</v>
      </c>
      <c r="P252" s="7">
        <f t="shared" si="13"/>
        <v>0.14285714285714285</v>
      </c>
      <c r="Q252" s="7">
        <f t="shared" si="12"/>
        <v>7.1428571428571425E-2</v>
      </c>
      <c r="R252">
        <f t="shared" si="11"/>
        <v>0</v>
      </c>
    </row>
    <row r="253" spans="1:18" x14ac:dyDescent="0.2">
      <c r="A253" s="67" t="s">
        <v>1791</v>
      </c>
      <c r="B253" s="4" t="s">
        <v>1792</v>
      </c>
      <c r="J253" s="5">
        <f>Info!$B$42</f>
        <v>1</v>
      </c>
      <c r="P253" s="7">
        <f t="shared" si="13"/>
        <v>0.14285714285714285</v>
      </c>
      <c r="Q253" s="7">
        <f t="shared" si="12"/>
        <v>7.1428571428571425E-2</v>
      </c>
      <c r="R253">
        <f t="shared" si="11"/>
        <v>0</v>
      </c>
    </row>
    <row r="254" spans="1:18" x14ac:dyDescent="0.2">
      <c r="A254" s="67" t="s">
        <v>1793</v>
      </c>
      <c r="B254" s="4" t="s">
        <v>1794</v>
      </c>
      <c r="J254" s="5">
        <f>Info!$B$42</f>
        <v>1</v>
      </c>
      <c r="P254" s="7">
        <f t="shared" si="13"/>
        <v>0.14285714285714285</v>
      </c>
      <c r="Q254" s="7">
        <f t="shared" si="12"/>
        <v>7.1428571428571425E-2</v>
      </c>
      <c r="R254">
        <f t="shared" si="11"/>
        <v>0</v>
      </c>
    </row>
    <row r="255" spans="1:18" x14ac:dyDescent="0.2">
      <c r="A255" s="67" t="s">
        <v>362</v>
      </c>
      <c r="B255" s="4" t="s">
        <v>363</v>
      </c>
      <c r="J255" s="5">
        <f>Info!$B$42</f>
        <v>1</v>
      </c>
      <c r="P255" s="7">
        <f t="shared" si="13"/>
        <v>0.14285714285714285</v>
      </c>
      <c r="Q255" s="7">
        <f t="shared" si="12"/>
        <v>7.1428571428571425E-2</v>
      </c>
      <c r="R255">
        <f t="shared" si="11"/>
        <v>0</v>
      </c>
    </row>
    <row r="256" spans="1:18" x14ac:dyDescent="0.2">
      <c r="A256" s="67" t="s">
        <v>1795</v>
      </c>
      <c r="B256" s="4" t="s">
        <v>1796</v>
      </c>
      <c r="J256" s="5">
        <f>Info!$B$42</f>
        <v>1</v>
      </c>
      <c r="P256" s="7">
        <f t="shared" si="13"/>
        <v>0.14285714285714285</v>
      </c>
      <c r="Q256" s="7">
        <f t="shared" si="12"/>
        <v>7.1428571428571425E-2</v>
      </c>
      <c r="R256">
        <f t="shared" si="11"/>
        <v>0</v>
      </c>
    </row>
    <row r="257" spans="1:18" x14ac:dyDescent="0.2">
      <c r="A257" s="67" t="s">
        <v>1797</v>
      </c>
      <c r="B257" s="4" t="s">
        <v>1798</v>
      </c>
      <c r="J257" s="5">
        <f>Info!$B$42</f>
        <v>1</v>
      </c>
      <c r="P257" s="7">
        <f t="shared" si="13"/>
        <v>0.14285714285714285</v>
      </c>
      <c r="Q257" s="7">
        <f t="shared" si="12"/>
        <v>7.1428571428571425E-2</v>
      </c>
      <c r="R257">
        <f t="shared" si="11"/>
        <v>0</v>
      </c>
    </row>
    <row r="258" spans="1:18" x14ac:dyDescent="0.2">
      <c r="A258" s="67" t="s">
        <v>1799</v>
      </c>
      <c r="B258" s="4" t="s">
        <v>1800</v>
      </c>
      <c r="J258" s="5">
        <f>Info!$B$42</f>
        <v>1</v>
      </c>
      <c r="P258" s="7">
        <f t="shared" si="13"/>
        <v>0.14285714285714285</v>
      </c>
      <c r="Q258" s="7">
        <f t="shared" si="12"/>
        <v>7.1428571428571425E-2</v>
      </c>
      <c r="R258">
        <f t="shared" ref="R258:R321" si="14">IF(_xlfn.BITAND(P258&gt;0.4999, Q258&gt;0.4999)=1,1,0)</f>
        <v>0</v>
      </c>
    </row>
    <row r="259" spans="1:18" x14ac:dyDescent="0.2">
      <c r="A259" s="67" t="s">
        <v>1801</v>
      </c>
      <c r="B259" s="4" t="s">
        <v>1802</v>
      </c>
      <c r="J259" s="5">
        <f>Info!$B$42</f>
        <v>1</v>
      </c>
      <c r="P259" s="7">
        <f t="shared" si="13"/>
        <v>0.14285714285714285</v>
      </c>
      <c r="Q259" s="7">
        <f t="shared" si="12"/>
        <v>7.1428571428571425E-2</v>
      </c>
      <c r="R259">
        <f t="shared" si="14"/>
        <v>0</v>
      </c>
    </row>
    <row r="260" spans="1:18" x14ac:dyDescent="0.2">
      <c r="A260" s="67" t="s">
        <v>1803</v>
      </c>
      <c r="B260" s="4" t="s">
        <v>1804</v>
      </c>
      <c r="J260" s="5">
        <f>Info!$B$42</f>
        <v>1</v>
      </c>
      <c r="P260" s="7">
        <f t="shared" si="13"/>
        <v>0.14285714285714285</v>
      </c>
      <c r="Q260" s="7">
        <f t="shared" si="12"/>
        <v>7.1428571428571425E-2</v>
      </c>
      <c r="R260">
        <f t="shared" si="14"/>
        <v>0</v>
      </c>
    </row>
    <row r="261" spans="1:18" x14ac:dyDescent="0.2">
      <c r="A261" s="67" t="s">
        <v>1805</v>
      </c>
      <c r="B261" s="4" t="s">
        <v>1806</v>
      </c>
      <c r="J261" s="5">
        <f>Info!$B$42</f>
        <v>1</v>
      </c>
      <c r="P261" s="7">
        <f t="shared" si="13"/>
        <v>0.14285714285714285</v>
      </c>
      <c r="Q261" s="7">
        <f t="shared" si="12"/>
        <v>7.1428571428571425E-2</v>
      </c>
      <c r="R261">
        <f t="shared" si="14"/>
        <v>0</v>
      </c>
    </row>
    <row r="262" spans="1:18" x14ac:dyDescent="0.2">
      <c r="A262" s="67" t="s">
        <v>1807</v>
      </c>
      <c r="B262" s="4" t="s">
        <v>1808</v>
      </c>
      <c r="J262" s="5">
        <f>Info!$B$42</f>
        <v>1</v>
      </c>
      <c r="P262" s="7">
        <f t="shared" si="13"/>
        <v>0.14285714285714285</v>
      </c>
      <c r="Q262" s="7">
        <f t="shared" si="12"/>
        <v>7.1428571428571425E-2</v>
      </c>
      <c r="R262">
        <f t="shared" si="14"/>
        <v>0</v>
      </c>
    </row>
    <row r="263" spans="1:18" x14ac:dyDescent="0.2">
      <c r="A263" s="67" t="s">
        <v>1809</v>
      </c>
      <c r="B263" s="4" t="s">
        <v>1810</v>
      </c>
      <c r="J263" s="5">
        <f>Info!$B$42</f>
        <v>1</v>
      </c>
      <c r="P263" s="7">
        <f t="shared" si="13"/>
        <v>0.14285714285714285</v>
      </c>
      <c r="Q263" s="7">
        <f t="shared" si="12"/>
        <v>7.1428571428571425E-2</v>
      </c>
      <c r="R263">
        <f t="shared" si="14"/>
        <v>0</v>
      </c>
    </row>
    <row r="264" spans="1:18" x14ac:dyDescent="0.2">
      <c r="A264" s="67" t="s">
        <v>1811</v>
      </c>
      <c r="B264" s="4" t="s">
        <v>1812</v>
      </c>
      <c r="J264" s="5">
        <f>Info!$B$42</f>
        <v>1</v>
      </c>
      <c r="P264" s="7">
        <f t="shared" si="13"/>
        <v>0.14285714285714285</v>
      </c>
      <c r="Q264" s="7">
        <f t="shared" si="12"/>
        <v>7.1428571428571425E-2</v>
      </c>
      <c r="R264">
        <f t="shared" si="14"/>
        <v>0</v>
      </c>
    </row>
    <row r="265" spans="1:18" x14ac:dyDescent="0.2">
      <c r="A265" s="67" t="s">
        <v>1813</v>
      </c>
      <c r="B265" s="4" t="s">
        <v>1814</v>
      </c>
      <c r="J265" s="5">
        <f>Info!$B$42</f>
        <v>1</v>
      </c>
      <c r="P265" s="7">
        <f t="shared" si="13"/>
        <v>0.14285714285714285</v>
      </c>
      <c r="Q265" s="7">
        <f t="shared" si="12"/>
        <v>7.1428571428571425E-2</v>
      </c>
      <c r="R265">
        <f t="shared" si="14"/>
        <v>0</v>
      </c>
    </row>
    <row r="266" spans="1:18" x14ac:dyDescent="0.2">
      <c r="A266" s="67" t="s">
        <v>1815</v>
      </c>
      <c r="B266" s="4" t="s">
        <v>1816</v>
      </c>
      <c r="J266" s="5">
        <f>Info!$B$42</f>
        <v>1</v>
      </c>
      <c r="P266" s="7">
        <f t="shared" si="13"/>
        <v>0.14285714285714285</v>
      </c>
      <c r="Q266" s="7">
        <f t="shared" si="12"/>
        <v>7.1428571428571425E-2</v>
      </c>
      <c r="R266">
        <f t="shared" si="14"/>
        <v>0</v>
      </c>
    </row>
    <row r="267" spans="1:18" x14ac:dyDescent="0.2">
      <c r="A267" s="67" t="s">
        <v>1817</v>
      </c>
      <c r="B267" s="4" t="s">
        <v>1818</v>
      </c>
      <c r="J267" s="5">
        <f>Info!$B$42</f>
        <v>1</v>
      </c>
      <c r="P267" s="7">
        <f t="shared" si="13"/>
        <v>0.14285714285714285</v>
      </c>
      <c r="Q267" s="7">
        <f t="shared" si="12"/>
        <v>7.1428571428571425E-2</v>
      </c>
      <c r="R267">
        <f t="shared" si="14"/>
        <v>0</v>
      </c>
    </row>
    <row r="268" spans="1:18" x14ac:dyDescent="0.2">
      <c r="A268" s="67" t="s">
        <v>1819</v>
      </c>
      <c r="B268" s="4" t="s">
        <v>1820</v>
      </c>
      <c r="J268" s="5">
        <f>Info!$B$42</f>
        <v>1</v>
      </c>
      <c r="P268" s="7">
        <f t="shared" si="13"/>
        <v>0.14285714285714285</v>
      </c>
      <c r="Q268" s="7">
        <f t="shared" si="12"/>
        <v>7.1428571428571425E-2</v>
      </c>
      <c r="R268">
        <f t="shared" si="14"/>
        <v>0</v>
      </c>
    </row>
    <row r="269" spans="1:18" x14ac:dyDescent="0.2">
      <c r="A269" s="67" t="s">
        <v>1821</v>
      </c>
      <c r="B269" s="4" t="s">
        <v>1822</v>
      </c>
      <c r="J269" s="5">
        <f>Info!$B$42</f>
        <v>1</v>
      </c>
      <c r="P269" s="7">
        <f t="shared" si="13"/>
        <v>0.14285714285714285</v>
      </c>
      <c r="Q269" s="7">
        <f t="shared" ref="Q269:Q332" si="15">(O269+P269)/2</f>
        <v>7.1428571428571425E-2</v>
      </c>
      <c r="R269">
        <f t="shared" si="14"/>
        <v>0</v>
      </c>
    </row>
    <row r="270" spans="1:18" x14ac:dyDescent="0.2">
      <c r="A270" s="67" t="s">
        <v>1823</v>
      </c>
      <c r="B270" s="4" t="s">
        <v>1824</v>
      </c>
      <c r="J270" s="5">
        <f>Info!$B$42</f>
        <v>1</v>
      </c>
      <c r="P270" s="7">
        <f t="shared" si="13"/>
        <v>0.14285714285714285</v>
      </c>
      <c r="Q270" s="7">
        <f t="shared" si="15"/>
        <v>7.1428571428571425E-2</v>
      </c>
      <c r="R270">
        <f t="shared" si="14"/>
        <v>0</v>
      </c>
    </row>
    <row r="271" spans="1:18" x14ac:dyDescent="0.2">
      <c r="A271" s="67" t="s">
        <v>1825</v>
      </c>
      <c r="B271" s="4" t="s">
        <v>1826</v>
      </c>
      <c r="J271" s="5">
        <f>Info!$B$42</f>
        <v>1</v>
      </c>
      <c r="P271" s="7">
        <f t="shared" si="13"/>
        <v>0.14285714285714285</v>
      </c>
      <c r="Q271" s="7">
        <f t="shared" si="15"/>
        <v>7.1428571428571425E-2</v>
      </c>
      <c r="R271">
        <f t="shared" si="14"/>
        <v>0</v>
      </c>
    </row>
    <row r="272" spans="1:18" x14ac:dyDescent="0.2">
      <c r="A272" s="67" t="s">
        <v>1827</v>
      </c>
      <c r="B272" s="4" t="s">
        <v>1828</v>
      </c>
      <c r="J272" s="5">
        <f>Info!$B$42</f>
        <v>1</v>
      </c>
      <c r="P272" s="7">
        <f t="shared" si="13"/>
        <v>0.14285714285714285</v>
      </c>
      <c r="Q272" s="7">
        <f t="shared" si="15"/>
        <v>7.1428571428571425E-2</v>
      </c>
      <c r="R272">
        <f t="shared" si="14"/>
        <v>0</v>
      </c>
    </row>
    <row r="273" spans="1:18" x14ac:dyDescent="0.2">
      <c r="A273" s="67" t="s">
        <v>1829</v>
      </c>
      <c r="B273" s="4" t="s">
        <v>1830</v>
      </c>
      <c r="J273" s="5">
        <f>Info!$B$42</f>
        <v>1</v>
      </c>
      <c r="P273" s="7">
        <f t="shared" si="13"/>
        <v>0.14285714285714285</v>
      </c>
      <c r="Q273" s="7">
        <f t="shared" si="15"/>
        <v>7.1428571428571425E-2</v>
      </c>
      <c r="R273">
        <f t="shared" si="14"/>
        <v>0</v>
      </c>
    </row>
    <row r="274" spans="1:18" x14ac:dyDescent="0.2">
      <c r="A274" s="67" t="s">
        <v>1831</v>
      </c>
      <c r="B274" s="4" t="s">
        <v>1832</v>
      </c>
      <c r="J274" s="5">
        <f>Info!$B$42</f>
        <v>1</v>
      </c>
      <c r="P274" s="7">
        <f t="shared" si="13"/>
        <v>0.14285714285714285</v>
      </c>
      <c r="Q274" s="7">
        <f t="shared" si="15"/>
        <v>7.1428571428571425E-2</v>
      </c>
      <c r="R274">
        <f t="shared" si="14"/>
        <v>0</v>
      </c>
    </row>
    <row r="275" spans="1:18" x14ac:dyDescent="0.2">
      <c r="A275" s="67" t="s">
        <v>1833</v>
      </c>
      <c r="B275" s="4" t="s">
        <v>1834</v>
      </c>
      <c r="J275" s="5">
        <f>Info!$B$42</f>
        <v>1</v>
      </c>
      <c r="P275" s="7">
        <f t="shared" si="13"/>
        <v>0.14285714285714285</v>
      </c>
      <c r="Q275" s="7">
        <f t="shared" si="15"/>
        <v>7.1428571428571425E-2</v>
      </c>
      <c r="R275">
        <f t="shared" si="14"/>
        <v>0</v>
      </c>
    </row>
    <row r="276" spans="1:18" x14ac:dyDescent="0.2">
      <c r="A276" s="67" t="s">
        <v>1835</v>
      </c>
      <c r="B276" s="4" t="s">
        <v>1836</v>
      </c>
      <c r="J276" s="5">
        <f>Info!$B$42</f>
        <v>1</v>
      </c>
      <c r="P276" s="7">
        <f t="shared" si="13"/>
        <v>0.14285714285714285</v>
      </c>
      <c r="Q276" s="7">
        <f t="shared" si="15"/>
        <v>7.1428571428571425E-2</v>
      </c>
      <c r="R276">
        <f t="shared" si="14"/>
        <v>0</v>
      </c>
    </row>
    <row r="277" spans="1:18" x14ac:dyDescent="0.2">
      <c r="A277" s="67" t="s">
        <v>1837</v>
      </c>
      <c r="B277" s="4" t="s">
        <v>1838</v>
      </c>
      <c r="J277" s="5">
        <f>Info!$B$42</f>
        <v>1</v>
      </c>
      <c r="P277" s="7">
        <f t="shared" ref="P277:P340" si="16">(D277+E277+F277+G277+H277+I277+J277)/7</f>
        <v>0.14285714285714285</v>
      </c>
      <c r="Q277" s="7">
        <f t="shared" si="15"/>
        <v>7.1428571428571425E-2</v>
      </c>
      <c r="R277">
        <f t="shared" si="14"/>
        <v>0</v>
      </c>
    </row>
    <row r="278" spans="1:18" x14ac:dyDescent="0.2">
      <c r="A278" s="67" t="s">
        <v>1839</v>
      </c>
      <c r="B278" s="4" t="s">
        <v>1840</v>
      </c>
      <c r="J278" s="5">
        <f>Info!$B$42</f>
        <v>1</v>
      </c>
      <c r="P278" s="7">
        <f t="shared" si="16"/>
        <v>0.14285714285714285</v>
      </c>
      <c r="Q278" s="7">
        <f t="shared" si="15"/>
        <v>7.1428571428571425E-2</v>
      </c>
      <c r="R278">
        <f t="shared" si="14"/>
        <v>0</v>
      </c>
    </row>
    <row r="279" spans="1:18" x14ac:dyDescent="0.2">
      <c r="A279" s="67" t="s">
        <v>1841</v>
      </c>
      <c r="B279" s="4" t="s">
        <v>1842</v>
      </c>
      <c r="J279" s="5">
        <f>Info!$B$42</f>
        <v>1</v>
      </c>
      <c r="P279" s="7">
        <f t="shared" si="16"/>
        <v>0.14285714285714285</v>
      </c>
      <c r="Q279" s="7">
        <f t="shared" si="15"/>
        <v>7.1428571428571425E-2</v>
      </c>
      <c r="R279">
        <f t="shared" si="14"/>
        <v>0</v>
      </c>
    </row>
    <row r="280" spans="1:18" x14ac:dyDescent="0.2">
      <c r="A280" s="67" t="s">
        <v>1843</v>
      </c>
      <c r="B280" s="4" t="s">
        <v>1844</v>
      </c>
      <c r="J280" s="5">
        <f>Info!$B$42</f>
        <v>1</v>
      </c>
      <c r="P280" s="7">
        <f t="shared" si="16"/>
        <v>0.14285714285714285</v>
      </c>
      <c r="Q280" s="7">
        <f t="shared" si="15"/>
        <v>7.1428571428571425E-2</v>
      </c>
      <c r="R280">
        <f t="shared" si="14"/>
        <v>0</v>
      </c>
    </row>
    <row r="281" spans="1:18" x14ac:dyDescent="0.2">
      <c r="A281" s="67" t="s">
        <v>1845</v>
      </c>
      <c r="B281" s="4" t="s">
        <v>1846</v>
      </c>
      <c r="J281" s="5">
        <f>Info!$B$42</f>
        <v>1</v>
      </c>
      <c r="P281" s="7">
        <f t="shared" si="16"/>
        <v>0.14285714285714285</v>
      </c>
      <c r="Q281" s="7">
        <f t="shared" si="15"/>
        <v>7.1428571428571425E-2</v>
      </c>
      <c r="R281">
        <f t="shared" si="14"/>
        <v>0</v>
      </c>
    </row>
    <row r="282" spans="1:18" x14ac:dyDescent="0.2">
      <c r="A282" s="67" t="s">
        <v>1847</v>
      </c>
      <c r="B282" s="4" t="s">
        <v>1848</v>
      </c>
      <c r="J282" s="5">
        <f>Info!$B$42</f>
        <v>1</v>
      </c>
      <c r="P282" s="7">
        <f t="shared" si="16"/>
        <v>0.14285714285714285</v>
      </c>
      <c r="Q282" s="7">
        <f t="shared" si="15"/>
        <v>7.1428571428571425E-2</v>
      </c>
      <c r="R282">
        <f t="shared" si="14"/>
        <v>0</v>
      </c>
    </row>
    <row r="283" spans="1:18" x14ac:dyDescent="0.2">
      <c r="A283" s="67" t="s">
        <v>1849</v>
      </c>
      <c r="B283" s="4" t="s">
        <v>1850</v>
      </c>
      <c r="J283" s="5">
        <f>Info!$B$42</f>
        <v>1</v>
      </c>
      <c r="P283" s="7">
        <f t="shared" si="16"/>
        <v>0.14285714285714285</v>
      </c>
      <c r="Q283" s="7">
        <f t="shared" si="15"/>
        <v>7.1428571428571425E-2</v>
      </c>
      <c r="R283">
        <f t="shared" si="14"/>
        <v>0</v>
      </c>
    </row>
    <row r="284" spans="1:18" x14ac:dyDescent="0.2">
      <c r="A284" s="67" t="s">
        <v>1851</v>
      </c>
      <c r="B284" s="4" t="s">
        <v>1852</v>
      </c>
      <c r="J284" s="5">
        <f>Info!$B$42</f>
        <v>1</v>
      </c>
      <c r="P284" s="7">
        <f t="shared" si="16"/>
        <v>0.14285714285714285</v>
      </c>
      <c r="Q284" s="7">
        <f t="shared" si="15"/>
        <v>7.1428571428571425E-2</v>
      </c>
      <c r="R284">
        <f t="shared" si="14"/>
        <v>0</v>
      </c>
    </row>
    <row r="285" spans="1:18" x14ac:dyDescent="0.2">
      <c r="A285" s="67" t="s">
        <v>1853</v>
      </c>
      <c r="B285" s="4" t="s">
        <v>1854</v>
      </c>
      <c r="J285" s="5">
        <f>Info!$B$42</f>
        <v>1</v>
      </c>
      <c r="P285" s="7">
        <f t="shared" si="16"/>
        <v>0.14285714285714285</v>
      </c>
      <c r="Q285" s="7">
        <f t="shared" si="15"/>
        <v>7.1428571428571425E-2</v>
      </c>
      <c r="R285">
        <f t="shared" si="14"/>
        <v>0</v>
      </c>
    </row>
    <row r="286" spans="1:18" x14ac:dyDescent="0.2">
      <c r="A286" s="67" t="s">
        <v>1855</v>
      </c>
      <c r="B286" s="4" t="s">
        <v>1856</v>
      </c>
      <c r="J286" s="5">
        <f>Info!$B$42</f>
        <v>1</v>
      </c>
      <c r="P286" s="7">
        <f t="shared" si="16"/>
        <v>0.14285714285714285</v>
      </c>
      <c r="Q286" s="7">
        <f t="shared" si="15"/>
        <v>7.1428571428571425E-2</v>
      </c>
      <c r="R286">
        <f t="shared" si="14"/>
        <v>0</v>
      </c>
    </row>
    <row r="287" spans="1:18" x14ac:dyDescent="0.2">
      <c r="A287" s="67" t="s">
        <v>1857</v>
      </c>
      <c r="B287" s="4" t="s">
        <v>1858</v>
      </c>
      <c r="J287" s="5">
        <f>Info!$B$42</f>
        <v>1</v>
      </c>
      <c r="P287" s="7">
        <f t="shared" si="16"/>
        <v>0.14285714285714285</v>
      </c>
      <c r="Q287" s="7">
        <f t="shared" si="15"/>
        <v>7.1428571428571425E-2</v>
      </c>
      <c r="R287">
        <f t="shared" si="14"/>
        <v>0</v>
      </c>
    </row>
    <row r="288" spans="1:18" x14ac:dyDescent="0.2">
      <c r="A288" s="67" t="s">
        <v>1859</v>
      </c>
      <c r="B288" s="4" t="s">
        <v>1860</v>
      </c>
      <c r="J288" s="5">
        <f>Info!$B$42</f>
        <v>1</v>
      </c>
      <c r="P288" s="7">
        <f t="shared" si="16"/>
        <v>0.14285714285714285</v>
      </c>
      <c r="Q288" s="7">
        <f t="shared" si="15"/>
        <v>7.1428571428571425E-2</v>
      </c>
      <c r="R288">
        <f t="shared" si="14"/>
        <v>0</v>
      </c>
    </row>
    <row r="289" spans="1:18" x14ac:dyDescent="0.2">
      <c r="A289" s="67" t="s">
        <v>1861</v>
      </c>
      <c r="B289" s="4" t="s">
        <v>1862</v>
      </c>
      <c r="J289" s="5">
        <f>Info!$B$42</f>
        <v>1</v>
      </c>
      <c r="P289" s="7">
        <f t="shared" si="16"/>
        <v>0.14285714285714285</v>
      </c>
      <c r="Q289" s="7">
        <f t="shared" si="15"/>
        <v>7.1428571428571425E-2</v>
      </c>
      <c r="R289">
        <f t="shared" si="14"/>
        <v>0</v>
      </c>
    </row>
    <row r="290" spans="1:18" x14ac:dyDescent="0.2">
      <c r="A290" s="67" t="s">
        <v>1863</v>
      </c>
      <c r="B290" s="4" t="s">
        <v>1864</v>
      </c>
      <c r="J290" s="5">
        <f>Info!$B$42</f>
        <v>1</v>
      </c>
      <c r="P290" s="7">
        <f t="shared" si="16"/>
        <v>0.14285714285714285</v>
      </c>
      <c r="Q290" s="7">
        <f t="shared" si="15"/>
        <v>7.1428571428571425E-2</v>
      </c>
      <c r="R290">
        <f t="shared" si="14"/>
        <v>0</v>
      </c>
    </row>
    <row r="291" spans="1:18" x14ac:dyDescent="0.2">
      <c r="A291" s="67" t="s">
        <v>1865</v>
      </c>
      <c r="B291" s="4" t="s">
        <v>1866</v>
      </c>
      <c r="J291" s="5">
        <f>Info!$B$42</f>
        <v>1</v>
      </c>
      <c r="P291" s="7">
        <f t="shared" si="16"/>
        <v>0.14285714285714285</v>
      </c>
      <c r="Q291" s="7">
        <f t="shared" si="15"/>
        <v>7.1428571428571425E-2</v>
      </c>
      <c r="R291">
        <f t="shared" si="14"/>
        <v>0</v>
      </c>
    </row>
    <row r="292" spans="1:18" x14ac:dyDescent="0.2">
      <c r="A292" s="67" t="s">
        <v>1867</v>
      </c>
      <c r="B292" s="4" t="s">
        <v>1868</v>
      </c>
      <c r="J292" s="5">
        <f>Info!$B$42</f>
        <v>1</v>
      </c>
      <c r="P292" s="7">
        <f t="shared" si="16"/>
        <v>0.14285714285714285</v>
      </c>
      <c r="Q292" s="7">
        <f t="shared" si="15"/>
        <v>7.1428571428571425E-2</v>
      </c>
      <c r="R292">
        <f t="shared" si="14"/>
        <v>0</v>
      </c>
    </row>
    <row r="293" spans="1:18" x14ac:dyDescent="0.2">
      <c r="A293" s="67" t="s">
        <v>1869</v>
      </c>
      <c r="B293" s="4" t="s">
        <v>1870</v>
      </c>
      <c r="J293" s="5">
        <f>Info!$B$42</f>
        <v>1</v>
      </c>
      <c r="P293" s="7">
        <f t="shared" si="16"/>
        <v>0.14285714285714285</v>
      </c>
      <c r="Q293" s="7">
        <f t="shared" si="15"/>
        <v>7.1428571428571425E-2</v>
      </c>
      <c r="R293">
        <f t="shared" si="14"/>
        <v>0</v>
      </c>
    </row>
    <row r="294" spans="1:18" x14ac:dyDescent="0.2">
      <c r="A294" s="67" t="s">
        <v>1871</v>
      </c>
      <c r="B294" s="4" t="s">
        <v>1872</v>
      </c>
      <c r="J294" s="5">
        <f>Info!$B$42</f>
        <v>1</v>
      </c>
      <c r="P294" s="7">
        <f t="shared" si="16"/>
        <v>0.14285714285714285</v>
      </c>
      <c r="Q294" s="7">
        <f t="shared" si="15"/>
        <v>7.1428571428571425E-2</v>
      </c>
      <c r="R294">
        <f t="shared" si="14"/>
        <v>0</v>
      </c>
    </row>
    <row r="295" spans="1:18" x14ac:dyDescent="0.2">
      <c r="A295" s="67" t="s">
        <v>1873</v>
      </c>
      <c r="B295" s="4" t="s">
        <v>1874</v>
      </c>
      <c r="J295" s="5">
        <f>Info!$B$42</f>
        <v>1</v>
      </c>
      <c r="P295" s="7">
        <f t="shared" si="16"/>
        <v>0.14285714285714285</v>
      </c>
      <c r="Q295" s="7">
        <f t="shared" si="15"/>
        <v>7.1428571428571425E-2</v>
      </c>
      <c r="R295">
        <f t="shared" si="14"/>
        <v>0</v>
      </c>
    </row>
    <row r="296" spans="1:18" x14ac:dyDescent="0.2">
      <c r="A296" s="67" t="s">
        <v>1875</v>
      </c>
      <c r="B296" s="4" t="s">
        <v>1876</v>
      </c>
      <c r="J296" s="5">
        <f>Info!$B$42</f>
        <v>1</v>
      </c>
      <c r="P296" s="7">
        <f t="shared" si="16"/>
        <v>0.14285714285714285</v>
      </c>
      <c r="Q296" s="7">
        <f t="shared" si="15"/>
        <v>7.1428571428571425E-2</v>
      </c>
      <c r="R296">
        <f t="shared" si="14"/>
        <v>0</v>
      </c>
    </row>
    <row r="297" spans="1:18" x14ac:dyDescent="0.2">
      <c r="A297" s="67" t="s">
        <v>1877</v>
      </c>
      <c r="B297" s="4" t="s">
        <v>1878</v>
      </c>
      <c r="J297" s="5">
        <f>Info!$B$42</f>
        <v>1</v>
      </c>
      <c r="P297" s="7">
        <f t="shared" si="16"/>
        <v>0.14285714285714285</v>
      </c>
      <c r="Q297" s="7">
        <f t="shared" si="15"/>
        <v>7.1428571428571425E-2</v>
      </c>
      <c r="R297">
        <f t="shared" si="14"/>
        <v>0</v>
      </c>
    </row>
    <row r="298" spans="1:18" x14ac:dyDescent="0.2">
      <c r="A298" s="67" t="s">
        <v>1879</v>
      </c>
      <c r="B298" s="4" t="s">
        <v>1880</v>
      </c>
      <c r="J298" s="5">
        <f>Info!$B$42</f>
        <v>1</v>
      </c>
      <c r="P298" s="7">
        <f t="shared" si="16"/>
        <v>0.14285714285714285</v>
      </c>
      <c r="Q298" s="7">
        <f t="shared" si="15"/>
        <v>7.1428571428571425E-2</v>
      </c>
      <c r="R298">
        <f t="shared" si="14"/>
        <v>0</v>
      </c>
    </row>
    <row r="299" spans="1:18" x14ac:dyDescent="0.2">
      <c r="A299" s="67" t="s">
        <v>1881</v>
      </c>
      <c r="B299" s="4" t="s">
        <v>1882</v>
      </c>
      <c r="J299" s="5">
        <f>Info!$B$42</f>
        <v>1</v>
      </c>
      <c r="P299" s="7">
        <f t="shared" si="16"/>
        <v>0.14285714285714285</v>
      </c>
      <c r="Q299" s="7">
        <f t="shared" si="15"/>
        <v>7.1428571428571425E-2</v>
      </c>
      <c r="R299">
        <f t="shared" si="14"/>
        <v>0</v>
      </c>
    </row>
    <row r="300" spans="1:18" x14ac:dyDescent="0.2">
      <c r="A300" s="67" t="s">
        <v>1883</v>
      </c>
      <c r="B300" s="4" t="s">
        <v>1884</v>
      </c>
      <c r="J300" s="5">
        <f>Info!$B$42</f>
        <v>1</v>
      </c>
      <c r="P300" s="7">
        <f t="shared" si="16"/>
        <v>0.14285714285714285</v>
      </c>
      <c r="Q300" s="7">
        <f t="shared" si="15"/>
        <v>7.1428571428571425E-2</v>
      </c>
      <c r="R300">
        <f t="shared" si="14"/>
        <v>0</v>
      </c>
    </row>
    <row r="301" spans="1:18" x14ac:dyDescent="0.2">
      <c r="A301" s="67" t="s">
        <v>1885</v>
      </c>
      <c r="B301" s="4" t="s">
        <v>1886</v>
      </c>
      <c r="J301" s="5">
        <f>Info!$B$42</f>
        <v>1</v>
      </c>
      <c r="P301" s="7">
        <f t="shared" si="16"/>
        <v>0.14285714285714285</v>
      </c>
      <c r="Q301" s="7">
        <f t="shared" si="15"/>
        <v>7.1428571428571425E-2</v>
      </c>
      <c r="R301">
        <f t="shared" si="14"/>
        <v>0</v>
      </c>
    </row>
    <row r="302" spans="1:18" x14ac:dyDescent="0.2">
      <c r="A302" s="67" t="s">
        <v>1887</v>
      </c>
      <c r="B302" s="4" t="s">
        <v>1888</v>
      </c>
      <c r="J302" s="5">
        <f>Info!$B$42</f>
        <v>1</v>
      </c>
      <c r="P302" s="7">
        <f t="shared" si="16"/>
        <v>0.14285714285714285</v>
      </c>
      <c r="Q302" s="7">
        <f t="shared" si="15"/>
        <v>7.1428571428571425E-2</v>
      </c>
      <c r="R302">
        <f t="shared" si="14"/>
        <v>0</v>
      </c>
    </row>
    <row r="303" spans="1:18" x14ac:dyDescent="0.2">
      <c r="A303" s="67" t="s">
        <v>1889</v>
      </c>
      <c r="B303" s="4" t="s">
        <v>1890</v>
      </c>
      <c r="J303" s="5">
        <f>Info!$B$42</f>
        <v>1</v>
      </c>
      <c r="P303" s="7">
        <f t="shared" si="16"/>
        <v>0.14285714285714285</v>
      </c>
      <c r="Q303" s="7">
        <f t="shared" si="15"/>
        <v>7.1428571428571425E-2</v>
      </c>
      <c r="R303">
        <f t="shared" si="14"/>
        <v>0</v>
      </c>
    </row>
    <row r="304" spans="1:18" x14ac:dyDescent="0.2">
      <c r="A304" s="67" t="s">
        <v>1891</v>
      </c>
      <c r="B304" s="4" t="s">
        <v>1892</v>
      </c>
      <c r="J304" s="5">
        <f>Info!$B$42</f>
        <v>1</v>
      </c>
      <c r="P304" s="7">
        <f t="shared" si="16"/>
        <v>0.14285714285714285</v>
      </c>
      <c r="Q304" s="7">
        <f t="shared" si="15"/>
        <v>7.1428571428571425E-2</v>
      </c>
      <c r="R304">
        <f t="shared" si="14"/>
        <v>0</v>
      </c>
    </row>
    <row r="305" spans="1:18" x14ac:dyDescent="0.2">
      <c r="A305" s="67" t="s">
        <v>1893</v>
      </c>
      <c r="B305" s="4" t="s">
        <v>1894</v>
      </c>
      <c r="J305" s="5">
        <f>Info!$B$42</f>
        <v>1</v>
      </c>
      <c r="P305" s="7">
        <f t="shared" si="16"/>
        <v>0.14285714285714285</v>
      </c>
      <c r="Q305" s="7">
        <f t="shared" si="15"/>
        <v>7.1428571428571425E-2</v>
      </c>
      <c r="R305">
        <f t="shared" si="14"/>
        <v>0</v>
      </c>
    </row>
    <row r="306" spans="1:18" x14ac:dyDescent="0.2">
      <c r="A306" s="67" t="s">
        <v>1895</v>
      </c>
      <c r="B306" s="4" t="s">
        <v>1896</v>
      </c>
      <c r="J306" s="5">
        <f>Info!$B$42</f>
        <v>1</v>
      </c>
      <c r="P306" s="7">
        <f t="shared" si="16"/>
        <v>0.14285714285714285</v>
      </c>
      <c r="Q306" s="7">
        <f t="shared" si="15"/>
        <v>7.1428571428571425E-2</v>
      </c>
      <c r="R306">
        <f t="shared" si="14"/>
        <v>0</v>
      </c>
    </row>
    <row r="307" spans="1:18" x14ac:dyDescent="0.2">
      <c r="A307" s="67" t="s">
        <v>1897</v>
      </c>
      <c r="B307" s="4" t="s">
        <v>1898</v>
      </c>
      <c r="J307" s="5">
        <f>Info!$B$42</f>
        <v>1</v>
      </c>
      <c r="P307" s="7">
        <f t="shared" si="16"/>
        <v>0.14285714285714285</v>
      </c>
      <c r="Q307" s="7">
        <f t="shared" si="15"/>
        <v>7.1428571428571425E-2</v>
      </c>
      <c r="R307">
        <f t="shared" si="14"/>
        <v>0</v>
      </c>
    </row>
    <row r="308" spans="1:18" x14ac:dyDescent="0.2">
      <c r="A308" s="67" t="s">
        <v>1899</v>
      </c>
      <c r="B308" s="4" t="s">
        <v>1900</v>
      </c>
      <c r="J308" s="5">
        <f>Info!$B$42</f>
        <v>1</v>
      </c>
      <c r="P308" s="7">
        <f t="shared" si="16"/>
        <v>0.14285714285714285</v>
      </c>
      <c r="Q308" s="7">
        <f t="shared" si="15"/>
        <v>7.1428571428571425E-2</v>
      </c>
      <c r="R308">
        <f t="shared" si="14"/>
        <v>0</v>
      </c>
    </row>
    <row r="309" spans="1:18" x14ac:dyDescent="0.2">
      <c r="A309" s="67" t="s">
        <v>1901</v>
      </c>
      <c r="B309" s="4" t="s">
        <v>1902</v>
      </c>
      <c r="J309" s="5">
        <f>Info!$B$42</f>
        <v>1</v>
      </c>
      <c r="P309" s="7">
        <f t="shared" si="16"/>
        <v>0.14285714285714285</v>
      </c>
      <c r="Q309" s="7">
        <f t="shared" si="15"/>
        <v>7.1428571428571425E-2</v>
      </c>
      <c r="R309">
        <f t="shared" si="14"/>
        <v>0</v>
      </c>
    </row>
    <row r="310" spans="1:18" x14ac:dyDescent="0.2">
      <c r="A310" s="67" t="s">
        <v>1903</v>
      </c>
      <c r="B310" s="52" t="s">
        <v>1904</v>
      </c>
      <c r="D310" s="5">
        <f>Info!$B$17</f>
        <v>0</v>
      </c>
      <c r="E310" s="5">
        <f>Info!$B$22</f>
        <v>0</v>
      </c>
      <c r="F310" s="5">
        <f>Info!$B$27</f>
        <v>0</v>
      </c>
      <c r="G310" s="5">
        <f>Info!$B$32</f>
        <v>0</v>
      </c>
      <c r="H310" s="5">
        <f>Info!$B$37</f>
        <v>0</v>
      </c>
      <c r="I310" s="5">
        <f>Info!$B$40</f>
        <v>0</v>
      </c>
      <c r="J310" s="5">
        <f>Info!$B$43</f>
        <v>0.5</v>
      </c>
      <c r="P310" s="7">
        <f t="shared" si="16"/>
        <v>7.1428571428571425E-2</v>
      </c>
      <c r="Q310" s="7">
        <f t="shared" si="15"/>
        <v>3.5714285714285712E-2</v>
      </c>
      <c r="R310">
        <f t="shared" si="14"/>
        <v>0</v>
      </c>
    </row>
    <row r="311" spans="1:18" x14ac:dyDescent="0.2">
      <c r="A311" s="67" t="s">
        <v>1905</v>
      </c>
      <c r="B311" s="52" t="s">
        <v>1906</v>
      </c>
      <c r="D311" s="5">
        <f>Info!$B$17</f>
        <v>0</v>
      </c>
      <c r="E311" s="5">
        <f>Info!$B$22</f>
        <v>0</v>
      </c>
      <c r="F311" s="5">
        <f>Info!$B$27</f>
        <v>0</v>
      </c>
      <c r="G311" s="5">
        <f>Info!$B$32</f>
        <v>0</v>
      </c>
      <c r="H311" s="5">
        <f>Info!$B$37</f>
        <v>0</v>
      </c>
      <c r="I311" s="5">
        <f>Info!$B$40</f>
        <v>0</v>
      </c>
      <c r="J311" s="5">
        <f>Info!$B$43</f>
        <v>0.5</v>
      </c>
      <c r="P311" s="7">
        <f t="shared" si="16"/>
        <v>7.1428571428571425E-2</v>
      </c>
      <c r="Q311" s="7">
        <f t="shared" si="15"/>
        <v>3.5714285714285712E-2</v>
      </c>
      <c r="R311">
        <f t="shared" si="14"/>
        <v>0</v>
      </c>
    </row>
    <row r="312" spans="1:18" x14ac:dyDescent="0.2">
      <c r="A312" s="67" t="s">
        <v>1907</v>
      </c>
      <c r="B312" s="52" t="s">
        <v>1908</v>
      </c>
      <c r="D312" s="5">
        <f>Info!$B$17</f>
        <v>0</v>
      </c>
      <c r="E312" s="5">
        <f>Info!$B$22</f>
        <v>0</v>
      </c>
      <c r="F312" s="5">
        <f>Info!$B$27</f>
        <v>0</v>
      </c>
      <c r="G312" s="5">
        <f>Info!$B$32</f>
        <v>0</v>
      </c>
      <c r="H312" s="5">
        <f>Info!$B$37</f>
        <v>0</v>
      </c>
      <c r="I312" s="5">
        <f>Info!$B$40</f>
        <v>0</v>
      </c>
      <c r="J312" s="5">
        <f>Info!$B$43</f>
        <v>0.5</v>
      </c>
      <c r="P312" s="7">
        <f t="shared" si="16"/>
        <v>7.1428571428571425E-2</v>
      </c>
      <c r="Q312" s="7">
        <f t="shared" si="15"/>
        <v>3.5714285714285712E-2</v>
      </c>
      <c r="R312">
        <f t="shared" si="14"/>
        <v>0</v>
      </c>
    </row>
    <row r="313" spans="1:18" x14ac:dyDescent="0.2">
      <c r="A313" s="67" t="s">
        <v>1909</v>
      </c>
      <c r="B313" s="52" t="s">
        <v>1910</v>
      </c>
      <c r="D313" s="5">
        <f>Info!$B$17</f>
        <v>0</v>
      </c>
      <c r="E313" s="5">
        <f>Info!$B$22</f>
        <v>0</v>
      </c>
      <c r="F313" s="5">
        <f>Info!$B$27</f>
        <v>0</v>
      </c>
      <c r="G313" s="5">
        <f>Info!$B$32</f>
        <v>0</v>
      </c>
      <c r="H313" s="5">
        <f>Info!$B$37</f>
        <v>0</v>
      </c>
      <c r="I313" s="5">
        <f>Info!$B$40</f>
        <v>0</v>
      </c>
      <c r="J313" s="5">
        <f>Info!$B$43</f>
        <v>0.5</v>
      </c>
      <c r="P313" s="7">
        <f t="shared" si="16"/>
        <v>7.1428571428571425E-2</v>
      </c>
      <c r="Q313" s="7">
        <f t="shared" si="15"/>
        <v>3.5714285714285712E-2</v>
      </c>
      <c r="R313">
        <f t="shared" si="14"/>
        <v>0</v>
      </c>
    </row>
    <row r="314" spans="1:18" x14ac:dyDescent="0.2">
      <c r="A314" s="67" t="s">
        <v>1911</v>
      </c>
      <c r="B314" s="52" t="s">
        <v>1912</v>
      </c>
      <c r="D314" s="5">
        <f>Info!$B$17</f>
        <v>0</v>
      </c>
      <c r="E314" s="5">
        <f>Info!$B$22</f>
        <v>0</v>
      </c>
      <c r="F314" s="5">
        <f>Info!$B$27</f>
        <v>0</v>
      </c>
      <c r="G314" s="5">
        <f>Info!$B$32</f>
        <v>0</v>
      </c>
      <c r="H314" s="5">
        <f>Info!$B$37</f>
        <v>0</v>
      </c>
      <c r="I314" s="5">
        <f>Info!$B$40</f>
        <v>0</v>
      </c>
      <c r="J314" s="5">
        <f>Info!$B$43</f>
        <v>0.5</v>
      </c>
      <c r="P314" s="7">
        <f t="shared" si="16"/>
        <v>7.1428571428571425E-2</v>
      </c>
      <c r="Q314" s="7">
        <f t="shared" si="15"/>
        <v>3.5714285714285712E-2</v>
      </c>
      <c r="R314">
        <f t="shared" si="14"/>
        <v>0</v>
      </c>
    </row>
    <row r="315" spans="1:18" x14ac:dyDescent="0.2">
      <c r="A315" s="67" t="s">
        <v>1913</v>
      </c>
      <c r="B315" s="52" t="s">
        <v>1914</v>
      </c>
      <c r="D315" s="5">
        <f>Info!$B$17</f>
        <v>0</v>
      </c>
      <c r="E315" s="5">
        <f>Info!$B$22</f>
        <v>0</v>
      </c>
      <c r="F315" s="5">
        <f>Info!$B$27</f>
        <v>0</v>
      </c>
      <c r="G315" s="5">
        <f>Info!$B$32</f>
        <v>0</v>
      </c>
      <c r="H315" s="5">
        <f>Info!$B$37</f>
        <v>0</v>
      </c>
      <c r="I315" s="5">
        <f>Info!$B$40</f>
        <v>0</v>
      </c>
      <c r="J315" s="5">
        <f>Info!$B$43</f>
        <v>0.5</v>
      </c>
      <c r="P315" s="7">
        <f t="shared" si="16"/>
        <v>7.1428571428571425E-2</v>
      </c>
      <c r="Q315" s="7">
        <f t="shared" si="15"/>
        <v>3.5714285714285712E-2</v>
      </c>
      <c r="R315">
        <f t="shared" si="14"/>
        <v>0</v>
      </c>
    </row>
    <row r="316" spans="1:18" x14ac:dyDescent="0.2">
      <c r="A316" s="67" t="s">
        <v>1915</v>
      </c>
      <c r="B316" s="52" t="s">
        <v>1916</v>
      </c>
      <c r="D316" s="5">
        <f>Info!$B$17</f>
        <v>0</v>
      </c>
      <c r="E316" s="5">
        <f>Info!$B$22</f>
        <v>0</v>
      </c>
      <c r="F316" s="5">
        <f>Info!$B$27</f>
        <v>0</v>
      </c>
      <c r="G316" s="5">
        <f>Info!$B$32</f>
        <v>0</v>
      </c>
      <c r="H316" s="5">
        <f>Info!$B$37</f>
        <v>0</v>
      </c>
      <c r="I316" s="5">
        <f>Info!$B$40</f>
        <v>0</v>
      </c>
      <c r="J316" s="5">
        <f>Info!$B$43</f>
        <v>0.5</v>
      </c>
      <c r="P316" s="7">
        <f t="shared" si="16"/>
        <v>7.1428571428571425E-2</v>
      </c>
      <c r="Q316" s="7">
        <f t="shared" si="15"/>
        <v>3.5714285714285712E-2</v>
      </c>
      <c r="R316">
        <f t="shared" si="14"/>
        <v>0</v>
      </c>
    </row>
    <row r="317" spans="1:18" x14ac:dyDescent="0.2">
      <c r="A317" s="67" t="s">
        <v>1917</v>
      </c>
      <c r="B317" s="52" t="s">
        <v>1918</v>
      </c>
      <c r="D317" s="5">
        <f>Info!$B$17</f>
        <v>0</v>
      </c>
      <c r="E317" s="5">
        <f>Info!$B$22</f>
        <v>0</v>
      </c>
      <c r="F317" s="5">
        <f>Info!$B$27</f>
        <v>0</v>
      </c>
      <c r="G317" s="5">
        <f>Info!$B$32</f>
        <v>0</v>
      </c>
      <c r="H317" s="5">
        <f>Info!$B$37</f>
        <v>0</v>
      </c>
      <c r="I317" s="5">
        <f>Info!$B$40</f>
        <v>0</v>
      </c>
      <c r="J317" s="5">
        <f>Info!$B$43</f>
        <v>0.5</v>
      </c>
      <c r="P317" s="7">
        <f t="shared" si="16"/>
        <v>7.1428571428571425E-2</v>
      </c>
      <c r="Q317" s="7">
        <f t="shared" si="15"/>
        <v>3.5714285714285712E-2</v>
      </c>
      <c r="R317">
        <f t="shared" si="14"/>
        <v>0</v>
      </c>
    </row>
    <row r="318" spans="1:18" x14ac:dyDescent="0.2">
      <c r="A318" s="67" t="s">
        <v>1919</v>
      </c>
      <c r="B318" s="52" t="s">
        <v>1920</v>
      </c>
      <c r="D318" s="5">
        <f>Info!$B$17</f>
        <v>0</v>
      </c>
      <c r="E318" s="5">
        <f>Info!$B$22</f>
        <v>0</v>
      </c>
      <c r="F318" s="5">
        <f>Info!$B$27</f>
        <v>0</v>
      </c>
      <c r="G318" s="5">
        <f>Info!$B$32</f>
        <v>0</v>
      </c>
      <c r="H318" s="5">
        <f>Info!$B$37</f>
        <v>0</v>
      </c>
      <c r="I318" s="5">
        <f>Info!$B$40</f>
        <v>0</v>
      </c>
      <c r="J318" s="5">
        <f>Info!$B$43</f>
        <v>0.5</v>
      </c>
      <c r="P318" s="7">
        <f t="shared" si="16"/>
        <v>7.1428571428571425E-2</v>
      </c>
      <c r="Q318" s="7">
        <f t="shared" si="15"/>
        <v>3.5714285714285712E-2</v>
      </c>
      <c r="R318">
        <f t="shared" si="14"/>
        <v>0</v>
      </c>
    </row>
    <row r="319" spans="1:18" x14ac:dyDescent="0.2">
      <c r="A319" s="67" t="s">
        <v>1921</v>
      </c>
      <c r="B319" s="52" t="s">
        <v>1922</v>
      </c>
      <c r="D319" s="5">
        <f>Info!$B$17</f>
        <v>0</v>
      </c>
      <c r="E319" s="5">
        <f>Info!$B$22</f>
        <v>0</v>
      </c>
      <c r="F319" s="5">
        <f>Info!$B$27</f>
        <v>0</v>
      </c>
      <c r="G319" s="5">
        <f>Info!$B$32</f>
        <v>0</v>
      </c>
      <c r="H319" s="5">
        <f>Info!$B$37</f>
        <v>0</v>
      </c>
      <c r="I319" s="5">
        <f>Info!$B$40</f>
        <v>0</v>
      </c>
      <c r="J319" s="5">
        <f>Info!$B$43</f>
        <v>0.5</v>
      </c>
      <c r="P319" s="7">
        <f t="shared" si="16"/>
        <v>7.1428571428571425E-2</v>
      </c>
      <c r="Q319" s="7">
        <f t="shared" si="15"/>
        <v>3.5714285714285712E-2</v>
      </c>
      <c r="R319">
        <f t="shared" si="14"/>
        <v>0</v>
      </c>
    </row>
    <row r="320" spans="1:18" x14ac:dyDescent="0.2">
      <c r="A320" s="67" t="s">
        <v>1923</v>
      </c>
      <c r="B320" s="52" t="s">
        <v>1924</v>
      </c>
      <c r="D320" s="5">
        <f>Info!$B$17</f>
        <v>0</v>
      </c>
      <c r="E320" s="5">
        <f>Info!$B$22</f>
        <v>0</v>
      </c>
      <c r="F320" s="5">
        <f>Info!$B$27</f>
        <v>0</v>
      </c>
      <c r="G320" s="5">
        <f>Info!$B$32</f>
        <v>0</v>
      </c>
      <c r="H320" s="5">
        <f>Info!$B$37</f>
        <v>0</v>
      </c>
      <c r="I320" s="5">
        <f>Info!$B$40</f>
        <v>0</v>
      </c>
      <c r="J320" s="5">
        <f>Info!$B$43</f>
        <v>0.5</v>
      </c>
      <c r="P320" s="7">
        <f t="shared" si="16"/>
        <v>7.1428571428571425E-2</v>
      </c>
      <c r="Q320" s="7">
        <f t="shared" si="15"/>
        <v>3.5714285714285712E-2</v>
      </c>
      <c r="R320">
        <f t="shared" si="14"/>
        <v>0</v>
      </c>
    </row>
    <row r="321" spans="1:18" x14ac:dyDescent="0.2">
      <c r="A321" s="67" t="s">
        <v>1925</v>
      </c>
      <c r="B321" s="52" t="s">
        <v>1926</v>
      </c>
      <c r="D321" s="5">
        <f>Info!$B$17</f>
        <v>0</v>
      </c>
      <c r="E321" s="5">
        <f>Info!$B$22</f>
        <v>0</v>
      </c>
      <c r="F321" s="5">
        <f>Info!$B$27</f>
        <v>0</v>
      </c>
      <c r="G321" s="5">
        <f>Info!$B$32</f>
        <v>0</v>
      </c>
      <c r="H321" s="5">
        <f>Info!$B$37</f>
        <v>0</v>
      </c>
      <c r="I321" s="5">
        <f>Info!$B$40</f>
        <v>0</v>
      </c>
      <c r="J321" s="5">
        <f>Info!$B$43</f>
        <v>0.5</v>
      </c>
      <c r="P321" s="7">
        <f t="shared" si="16"/>
        <v>7.1428571428571425E-2</v>
      </c>
      <c r="Q321" s="7">
        <f t="shared" si="15"/>
        <v>3.5714285714285712E-2</v>
      </c>
      <c r="R321">
        <f t="shared" si="14"/>
        <v>0</v>
      </c>
    </row>
    <row r="322" spans="1:18" x14ac:dyDescent="0.2">
      <c r="A322" s="67" t="s">
        <v>173</v>
      </c>
      <c r="B322" s="52" t="s">
        <v>174</v>
      </c>
      <c r="J322" s="5">
        <f>Info!$B$43</f>
        <v>0.5</v>
      </c>
      <c r="P322" s="7">
        <f t="shared" si="16"/>
        <v>7.1428571428571425E-2</v>
      </c>
      <c r="Q322" s="7">
        <f t="shared" si="15"/>
        <v>3.5714285714285712E-2</v>
      </c>
      <c r="R322">
        <f t="shared" ref="R322:R385" si="17">IF(_xlfn.BITAND(P322&gt;0.4999, Q322&gt;0.4999)=1,1,0)</f>
        <v>0</v>
      </c>
    </row>
    <row r="323" spans="1:18" x14ac:dyDescent="0.2">
      <c r="A323" s="67" t="s">
        <v>1927</v>
      </c>
      <c r="B323" s="52" t="s">
        <v>1928</v>
      </c>
      <c r="J323" s="5">
        <f>Info!$B$43</f>
        <v>0.5</v>
      </c>
      <c r="P323" s="7">
        <f t="shared" si="16"/>
        <v>7.1428571428571425E-2</v>
      </c>
      <c r="Q323" s="7">
        <f t="shared" si="15"/>
        <v>3.5714285714285712E-2</v>
      </c>
      <c r="R323">
        <f t="shared" si="17"/>
        <v>0</v>
      </c>
    </row>
    <row r="324" spans="1:18" x14ac:dyDescent="0.2">
      <c r="A324" s="67" t="s">
        <v>1929</v>
      </c>
      <c r="B324" s="52" t="s">
        <v>1930</v>
      </c>
      <c r="J324" s="5">
        <f>Info!$B$43</f>
        <v>0.5</v>
      </c>
      <c r="P324" s="7">
        <f t="shared" si="16"/>
        <v>7.1428571428571425E-2</v>
      </c>
      <c r="Q324" s="7">
        <f t="shared" si="15"/>
        <v>3.5714285714285712E-2</v>
      </c>
      <c r="R324">
        <f t="shared" si="17"/>
        <v>0</v>
      </c>
    </row>
    <row r="325" spans="1:18" x14ac:dyDescent="0.2">
      <c r="A325" s="67" t="s">
        <v>1931</v>
      </c>
      <c r="B325" s="52" t="s">
        <v>1932</v>
      </c>
      <c r="J325" s="5">
        <f>Info!$B$43</f>
        <v>0.5</v>
      </c>
      <c r="P325" s="7">
        <f t="shared" si="16"/>
        <v>7.1428571428571425E-2</v>
      </c>
      <c r="Q325" s="7">
        <f t="shared" si="15"/>
        <v>3.5714285714285712E-2</v>
      </c>
      <c r="R325">
        <f t="shared" si="17"/>
        <v>0</v>
      </c>
    </row>
    <row r="326" spans="1:18" x14ac:dyDescent="0.2">
      <c r="A326" s="67" t="s">
        <v>1933</v>
      </c>
      <c r="B326" s="52" t="s">
        <v>1934</v>
      </c>
      <c r="J326" s="5">
        <f>Info!$B$43</f>
        <v>0.5</v>
      </c>
      <c r="P326" s="7">
        <f t="shared" si="16"/>
        <v>7.1428571428571425E-2</v>
      </c>
      <c r="Q326" s="7">
        <f t="shared" si="15"/>
        <v>3.5714285714285712E-2</v>
      </c>
      <c r="R326">
        <f t="shared" si="17"/>
        <v>0</v>
      </c>
    </row>
    <row r="327" spans="1:18" x14ac:dyDescent="0.2">
      <c r="A327" s="67" t="s">
        <v>1935</v>
      </c>
      <c r="B327" s="52" t="s">
        <v>1936</v>
      </c>
      <c r="J327" s="5">
        <f>Info!$B$43</f>
        <v>0.5</v>
      </c>
      <c r="P327" s="7">
        <f t="shared" si="16"/>
        <v>7.1428571428571425E-2</v>
      </c>
      <c r="Q327" s="7">
        <f t="shared" si="15"/>
        <v>3.5714285714285712E-2</v>
      </c>
      <c r="R327">
        <f t="shared" si="17"/>
        <v>0</v>
      </c>
    </row>
    <row r="328" spans="1:18" x14ac:dyDescent="0.2">
      <c r="A328" s="67" t="s">
        <v>895</v>
      </c>
      <c r="B328" s="52" t="s">
        <v>896</v>
      </c>
      <c r="J328" s="5">
        <f>Info!$B$43</f>
        <v>0.5</v>
      </c>
      <c r="P328" s="7">
        <f t="shared" si="16"/>
        <v>7.1428571428571425E-2</v>
      </c>
      <c r="Q328" s="7">
        <f t="shared" si="15"/>
        <v>3.5714285714285712E-2</v>
      </c>
      <c r="R328">
        <f t="shared" si="17"/>
        <v>0</v>
      </c>
    </row>
    <row r="329" spans="1:18" x14ac:dyDescent="0.2">
      <c r="A329" s="67" t="s">
        <v>1937</v>
      </c>
      <c r="B329" s="52" t="s">
        <v>1938</v>
      </c>
      <c r="J329" s="5">
        <f>Info!$B$43</f>
        <v>0.5</v>
      </c>
      <c r="P329" s="7">
        <f t="shared" si="16"/>
        <v>7.1428571428571425E-2</v>
      </c>
      <c r="Q329" s="7">
        <f t="shared" si="15"/>
        <v>3.5714285714285712E-2</v>
      </c>
      <c r="R329">
        <f t="shared" si="17"/>
        <v>0</v>
      </c>
    </row>
    <row r="330" spans="1:18" x14ac:dyDescent="0.2">
      <c r="A330" s="67" t="s">
        <v>1939</v>
      </c>
      <c r="B330" s="52" t="s">
        <v>1940</v>
      </c>
      <c r="J330" s="5">
        <f>Info!$B$43</f>
        <v>0.5</v>
      </c>
      <c r="P330" s="7">
        <f t="shared" si="16"/>
        <v>7.1428571428571425E-2</v>
      </c>
      <c r="Q330" s="7">
        <f t="shared" si="15"/>
        <v>3.5714285714285712E-2</v>
      </c>
      <c r="R330">
        <f t="shared" si="17"/>
        <v>0</v>
      </c>
    </row>
    <row r="331" spans="1:18" x14ac:dyDescent="0.2">
      <c r="A331" s="67" t="s">
        <v>1941</v>
      </c>
      <c r="B331" s="52" t="s">
        <v>1942</v>
      </c>
      <c r="J331" s="5">
        <f>Info!$B$43</f>
        <v>0.5</v>
      </c>
      <c r="P331" s="7">
        <f t="shared" si="16"/>
        <v>7.1428571428571425E-2</v>
      </c>
      <c r="Q331" s="7">
        <f t="shared" si="15"/>
        <v>3.5714285714285712E-2</v>
      </c>
      <c r="R331">
        <f t="shared" si="17"/>
        <v>0</v>
      </c>
    </row>
    <row r="332" spans="1:18" x14ac:dyDescent="0.2">
      <c r="A332" s="67" t="s">
        <v>1943</v>
      </c>
      <c r="B332" s="52" t="s">
        <v>1944</v>
      </c>
      <c r="J332" s="5">
        <f>Info!$B$43</f>
        <v>0.5</v>
      </c>
      <c r="P332" s="7">
        <f t="shared" si="16"/>
        <v>7.1428571428571425E-2</v>
      </c>
      <c r="Q332" s="7">
        <f t="shared" si="15"/>
        <v>3.5714285714285712E-2</v>
      </c>
      <c r="R332">
        <f t="shared" si="17"/>
        <v>0</v>
      </c>
    </row>
    <row r="333" spans="1:18" x14ac:dyDescent="0.2">
      <c r="A333" s="67" t="s">
        <v>1945</v>
      </c>
      <c r="B333" s="52" t="s">
        <v>1946</v>
      </c>
      <c r="J333" s="5">
        <f>Info!$B$43</f>
        <v>0.5</v>
      </c>
      <c r="P333" s="7">
        <f t="shared" si="16"/>
        <v>7.1428571428571425E-2</v>
      </c>
      <c r="Q333" s="7">
        <f t="shared" ref="Q333:Q396" si="18">(O333+P333)/2</f>
        <v>3.5714285714285712E-2</v>
      </c>
      <c r="R333">
        <f t="shared" si="17"/>
        <v>0</v>
      </c>
    </row>
    <row r="334" spans="1:18" x14ac:dyDescent="0.2">
      <c r="A334" s="67" t="s">
        <v>1947</v>
      </c>
      <c r="B334" s="52" t="s">
        <v>1948</v>
      </c>
      <c r="J334" s="5">
        <f>Info!$B$43</f>
        <v>0.5</v>
      </c>
      <c r="P334" s="7">
        <f t="shared" si="16"/>
        <v>7.1428571428571425E-2</v>
      </c>
      <c r="Q334" s="7">
        <f t="shared" si="18"/>
        <v>3.5714285714285712E-2</v>
      </c>
      <c r="R334">
        <f t="shared" si="17"/>
        <v>0</v>
      </c>
    </row>
    <row r="335" spans="1:18" x14ac:dyDescent="0.2">
      <c r="A335" s="67" t="s">
        <v>1949</v>
      </c>
      <c r="B335" s="52" t="s">
        <v>1950</v>
      </c>
      <c r="J335" s="5">
        <f>Info!$B$43</f>
        <v>0.5</v>
      </c>
      <c r="P335" s="7">
        <f t="shared" si="16"/>
        <v>7.1428571428571425E-2</v>
      </c>
      <c r="Q335" s="7">
        <f t="shared" si="18"/>
        <v>3.5714285714285712E-2</v>
      </c>
      <c r="R335">
        <f t="shared" si="17"/>
        <v>0</v>
      </c>
    </row>
    <row r="336" spans="1:18" x14ac:dyDescent="0.2">
      <c r="A336" s="67" t="s">
        <v>1951</v>
      </c>
      <c r="B336" s="4" t="s">
        <v>1952</v>
      </c>
      <c r="J336" s="5">
        <f>Info!$B$43</f>
        <v>0.5</v>
      </c>
      <c r="P336" s="7">
        <f t="shared" si="16"/>
        <v>7.1428571428571425E-2</v>
      </c>
      <c r="Q336" s="7">
        <f t="shared" si="18"/>
        <v>3.5714285714285712E-2</v>
      </c>
      <c r="R336">
        <f t="shared" si="17"/>
        <v>0</v>
      </c>
    </row>
    <row r="337" spans="1:18" x14ac:dyDescent="0.2">
      <c r="A337" s="67" t="s">
        <v>1953</v>
      </c>
      <c r="B337" s="4" t="s">
        <v>1954</v>
      </c>
      <c r="J337" s="5">
        <f>Info!$B$43</f>
        <v>0.5</v>
      </c>
      <c r="P337" s="7">
        <f t="shared" si="16"/>
        <v>7.1428571428571425E-2</v>
      </c>
      <c r="Q337" s="7">
        <f t="shared" si="18"/>
        <v>3.5714285714285712E-2</v>
      </c>
      <c r="R337">
        <f t="shared" si="17"/>
        <v>0</v>
      </c>
    </row>
    <row r="338" spans="1:18" x14ac:dyDescent="0.2">
      <c r="A338" s="67" t="s">
        <v>1955</v>
      </c>
      <c r="B338" s="4" t="s">
        <v>1956</v>
      </c>
      <c r="J338" s="5">
        <f>Info!$B$43</f>
        <v>0.5</v>
      </c>
      <c r="P338" s="7">
        <f t="shared" si="16"/>
        <v>7.1428571428571425E-2</v>
      </c>
      <c r="Q338" s="7">
        <f t="shared" si="18"/>
        <v>3.5714285714285712E-2</v>
      </c>
      <c r="R338">
        <f t="shared" si="17"/>
        <v>0</v>
      </c>
    </row>
    <row r="339" spans="1:18" x14ac:dyDescent="0.2">
      <c r="A339" s="67" t="s">
        <v>1957</v>
      </c>
      <c r="B339" s="4" t="s">
        <v>1958</v>
      </c>
      <c r="J339" s="5">
        <f>Info!$B$43</f>
        <v>0.5</v>
      </c>
      <c r="P339" s="7">
        <f t="shared" si="16"/>
        <v>7.1428571428571425E-2</v>
      </c>
      <c r="Q339" s="7">
        <f t="shared" si="18"/>
        <v>3.5714285714285712E-2</v>
      </c>
      <c r="R339">
        <f t="shared" si="17"/>
        <v>0</v>
      </c>
    </row>
    <row r="340" spans="1:18" x14ac:dyDescent="0.2">
      <c r="A340" s="67" t="s">
        <v>1959</v>
      </c>
      <c r="B340" s="4" t="s">
        <v>1960</v>
      </c>
      <c r="J340" s="5">
        <f>Info!$B$43</f>
        <v>0.5</v>
      </c>
      <c r="P340" s="7">
        <f t="shared" si="16"/>
        <v>7.1428571428571425E-2</v>
      </c>
      <c r="Q340" s="7">
        <f t="shared" si="18"/>
        <v>3.5714285714285712E-2</v>
      </c>
      <c r="R340">
        <f t="shared" si="17"/>
        <v>0</v>
      </c>
    </row>
    <row r="341" spans="1:18" x14ac:dyDescent="0.2">
      <c r="A341" s="67" t="s">
        <v>49</v>
      </c>
      <c r="B341" s="4" t="s">
        <v>50</v>
      </c>
      <c r="J341" s="5">
        <f>Info!$B$43</f>
        <v>0.5</v>
      </c>
      <c r="P341" s="7">
        <f t="shared" ref="P341:P404" si="19">(D341+E341+F341+G341+H341+I341+J341)/7</f>
        <v>7.1428571428571425E-2</v>
      </c>
      <c r="Q341" s="7">
        <f t="shared" si="18"/>
        <v>3.5714285714285712E-2</v>
      </c>
      <c r="R341">
        <f t="shared" si="17"/>
        <v>0</v>
      </c>
    </row>
    <row r="342" spans="1:18" x14ac:dyDescent="0.2">
      <c r="A342" s="67" t="s">
        <v>1961</v>
      </c>
      <c r="B342" s="4" t="s">
        <v>1962</v>
      </c>
      <c r="J342" s="5">
        <f>Info!$B$43</f>
        <v>0.5</v>
      </c>
      <c r="P342" s="7">
        <f t="shared" si="19"/>
        <v>7.1428571428571425E-2</v>
      </c>
      <c r="Q342" s="7">
        <f t="shared" si="18"/>
        <v>3.5714285714285712E-2</v>
      </c>
      <c r="R342">
        <f t="shared" si="17"/>
        <v>0</v>
      </c>
    </row>
    <row r="343" spans="1:18" x14ac:dyDescent="0.2">
      <c r="A343" s="67" t="s">
        <v>1963</v>
      </c>
      <c r="B343" s="4" t="s">
        <v>1964</v>
      </c>
      <c r="J343" s="5">
        <f>Info!$B$43</f>
        <v>0.5</v>
      </c>
      <c r="P343" s="7">
        <f t="shared" si="19"/>
        <v>7.1428571428571425E-2</v>
      </c>
      <c r="Q343" s="7">
        <f t="shared" si="18"/>
        <v>3.5714285714285712E-2</v>
      </c>
      <c r="R343">
        <f t="shared" si="17"/>
        <v>0</v>
      </c>
    </row>
    <row r="344" spans="1:18" x14ac:dyDescent="0.2">
      <c r="A344" s="67" t="s">
        <v>1965</v>
      </c>
      <c r="B344" s="4" t="s">
        <v>1966</v>
      </c>
      <c r="J344" s="5">
        <f>Info!$B$43</f>
        <v>0.5</v>
      </c>
      <c r="P344" s="7">
        <f t="shared" si="19"/>
        <v>7.1428571428571425E-2</v>
      </c>
      <c r="Q344" s="7">
        <f t="shared" si="18"/>
        <v>3.5714285714285712E-2</v>
      </c>
      <c r="R344">
        <f t="shared" si="17"/>
        <v>0</v>
      </c>
    </row>
    <row r="345" spans="1:18" x14ac:dyDescent="0.2">
      <c r="A345" s="67" t="s">
        <v>1967</v>
      </c>
      <c r="B345" s="4" t="s">
        <v>1968</v>
      </c>
      <c r="J345" s="5">
        <f>Info!$B$43</f>
        <v>0.5</v>
      </c>
      <c r="P345" s="7">
        <f t="shared" si="19"/>
        <v>7.1428571428571425E-2</v>
      </c>
      <c r="Q345" s="7">
        <f t="shared" si="18"/>
        <v>3.5714285714285712E-2</v>
      </c>
      <c r="R345">
        <f t="shared" si="17"/>
        <v>0</v>
      </c>
    </row>
    <row r="346" spans="1:18" x14ac:dyDescent="0.2">
      <c r="A346" s="67" t="s">
        <v>1969</v>
      </c>
      <c r="B346" s="52" t="s">
        <v>1970</v>
      </c>
      <c r="J346" s="5">
        <f>Info!$B$43</f>
        <v>0.5</v>
      </c>
      <c r="P346" s="7">
        <f t="shared" si="19"/>
        <v>7.1428571428571425E-2</v>
      </c>
      <c r="Q346" s="7">
        <f t="shared" si="18"/>
        <v>3.5714285714285712E-2</v>
      </c>
      <c r="R346">
        <f t="shared" si="17"/>
        <v>0</v>
      </c>
    </row>
    <row r="347" spans="1:18" x14ac:dyDescent="0.2">
      <c r="A347" s="67" t="s">
        <v>1971</v>
      </c>
      <c r="B347" s="52" t="s">
        <v>1972</v>
      </c>
      <c r="J347" s="5">
        <f>Info!$B$43</f>
        <v>0.5</v>
      </c>
      <c r="P347" s="7">
        <f t="shared" si="19"/>
        <v>7.1428571428571425E-2</v>
      </c>
      <c r="Q347" s="7">
        <f t="shared" si="18"/>
        <v>3.5714285714285712E-2</v>
      </c>
      <c r="R347">
        <f t="shared" si="17"/>
        <v>0</v>
      </c>
    </row>
    <row r="348" spans="1:18" x14ac:dyDescent="0.2">
      <c r="A348" s="67" t="s">
        <v>1973</v>
      </c>
      <c r="B348" s="52" t="s">
        <v>1974</v>
      </c>
      <c r="J348" s="5">
        <f>Info!$B$43</f>
        <v>0.5</v>
      </c>
      <c r="P348" s="7">
        <f t="shared" si="19"/>
        <v>7.1428571428571425E-2</v>
      </c>
      <c r="Q348" s="7">
        <f t="shared" si="18"/>
        <v>3.5714285714285712E-2</v>
      </c>
      <c r="R348">
        <f t="shared" si="17"/>
        <v>0</v>
      </c>
    </row>
    <row r="349" spans="1:18" x14ac:dyDescent="0.2">
      <c r="A349" s="67" t="s">
        <v>1975</v>
      </c>
      <c r="B349" s="52" t="s">
        <v>1976</v>
      </c>
      <c r="J349" s="5">
        <f>Info!$B$43</f>
        <v>0.5</v>
      </c>
      <c r="P349" s="7">
        <f t="shared" si="19"/>
        <v>7.1428571428571425E-2</v>
      </c>
      <c r="Q349" s="7">
        <f t="shared" si="18"/>
        <v>3.5714285714285712E-2</v>
      </c>
      <c r="R349">
        <f t="shared" si="17"/>
        <v>0</v>
      </c>
    </row>
    <row r="350" spans="1:18" x14ac:dyDescent="0.2">
      <c r="A350" s="67" t="s">
        <v>1977</v>
      </c>
      <c r="B350" s="52" t="s">
        <v>1978</v>
      </c>
      <c r="J350" s="5">
        <f>Info!$B$43</f>
        <v>0.5</v>
      </c>
      <c r="P350" s="7">
        <f t="shared" si="19"/>
        <v>7.1428571428571425E-2</v>
      </c>
      <c r="Q350" s="7">
        <f t="shared" si="18"/>
        <v>3.5714285714285712E-2</v>
      </c>
      <c r="R350">
        <f t="shared" si="17"/>
        <v>0</v>
      </c>
    </row>
    <row r="351" spans="1:18" x14ac:dyDescent="0.2">
      <c r="A351" s="67" t="s">
        <v>1979</v>
      </c>
      <c r="B351" s="52" t="s">
        <v>1980</v>
      </c>
      <c r="J351" s="5">
        <f>Info!$B$43</f>
        <v>0.5</v>
      </c>
      <c r="P351" s="7">
        <f t="shared" si="19"/>
        <v>7.1428571428571425E-2</v>
      </c>
      <c r="Q351" s="7">
        <f t="shared" si="18"/>
        <v>3.5714285714285712E-2</v>
      </c>
      <c r="R351">
        <f t="shared" si="17"/>
        <v>0</v>
      </c>
    </row>
    <row r="352" spans="1:18" x14ac:dyDescent="0.2">
      <c r="A352" s="67" t="s">
        <v>1981</v>
      </c>
      <c r="B352" s="52" t="s">
        <v>1982</v>
      </c>
      <c r="J352" s="5">
        <f>Info!$B$43</f>
        <v>0.5</v>
      </c>
      <c r="P352" s="7">
        <f t="shared" si="19"/>
        <v>7.1428571428571425E-2</v>
      </c>
      <c r="Q352" s="7">
        <f t="shared" si="18"/>
        <v>3.5714285714285712E-2</v>
      </c>
      <c r="R352">
        <f t="shared" si="17"/>
        <v>0</v>
      </c>
    </row>
    <row r="353" spans="1:18" x14ac:dyDescent="0.2">
      <c r="A353" s="67" t="s">
        <v>1983</v>
      </c>
      <c r="B353" s="52" t="s">
        <v>1984</v>
      </c>
      <c r="J353" s="5">
        <f>Info!$B$43</f>
        <v>0.5</v>
      </c>
      <c r="P353" s="7">
        <f t="shared" si="19"/>
        <v>7.1428571428571425E-2</v>
      </c>
      <c r="Q353" s="7">
        <f t="shared" si="18"/>
        <v>3.5714285714285712E-2</v>
      </c>
      <c r="R353">
        <f t="shared" si="17"/>
        <v>0</v>
      </c>
    </row>
    <row r="354" spans="1:18" x14ac:dyDescent="0.2">
      <c r="A354" s="67" t="s">
        <v>1985</v>
      </c>
      <c r="B354" s="52" t="s">
        <v>1986</v>
      </c>
      <c r="J354" s="5">
        <f>Info!$B$43</f>
        <v>0.5</v>
      </c>
      <c r="P354" s="7">
        <f t="shared" si="19"/>
        <v>7.1428571428571425E-2</v>
      </c>
      <c r="Q354" s="7">
        <f t="shared" si="18"/>
        <v>3.5714285714285712E-2</v>
      </c>
      <c r="R354">
        <f t="shared" si="17"/>
        <v>0</v>
      </c>
    </row>
    <row r="355" spans="1:18" x14ac:dyDescent="0.2">
      <c r="A355" s="67" t="s">
        <v>1987</v>
      </c>
      <c r="B355" s="52" t="s">
        <v>1988</v>
      </c>
      <c r="J355" s="5">
        <f>Info!$B$43</f>
        <v>0.5</v>
      </c>
      <c r="P355" s="7">
        <f t="shared" si="19"/>
        <v>7.1428571428571425E-2</v>
      </c>
      <c r="Q355" s="7">
        <f t="shared" si="18"/>
        <v>3.5714285714285712E-2</v>
      </c>
      <c r="R355">
        <f t="shared" si="17"/>
        <v>0</v>
      </c>
    </row>
    <row r="356" spans="1:18" x14ac:dyDescent="0.2">
      <c r="A356" s="67" t="s">
        <v>1989</v>
      </c>
      <c r="B356" s="52" t="s">
        <v>1990</v>
      </c>
      <c r="J356" s="5">
        <f>Info!$B$43</f>
        <v>0.5</v>
      </c>
      <c r="P356" s="7">
        <f t="shared" si="19"/>
        <v>7.1428571428571425E-2</v>
      </c>
      <c r="Q356" s="7">
        <f t="shared" si="18"/>
        <v>3.5714285714285712E-2</v>
      </c>
      <c r="R356">
        <f t="shared" si="17"/>
        <v>0</v>
      </c>
    </row>
    <row r="357" spans="1:18" x14ac:dyDescent="0.2">
      <c r="A357" s="67" t="s">
        <v>1991</v>
      </c>
      <c r="B357" s="52" t="s">
        <v>1992</v>
      </c>
      <c r="J357" s="5">
        <f>Info!$B$43</f>
        <v>0.5</v>
      </c>
      <c r="P357" s="7">
        <f t="shared" si="19"/>
        <v>7.1428571428571425E-2</v>
      </c>
      <c r="Q357" s="7">
        <f t="shared" si="18"/>
        <v>3.5714285714285712E-2</v>
      </c>
      <c r="R357">
        <f t="shared" si="17"/>
        <v>0</v>
      </c>
    </row>
    <row r="358" spans="1:18" x14ac:dyDescent="0.2">
      <c r="A358" s="67" t="s">
        <v>1993</v>
      </c>
      <c r="B358" s="4" t="s">
        <v>1994</v>
      </c>
      <c r="J358" s="5">
        <f>Info!$B$43</f>
        <v>0.5</v>
      </c>
      <c r="P358" s="7">
        <f t="shared" si="19"/>
        <v>7.1428571428571425E-2</v>
      </c>
      <c r="Q358" s="7">
        <f t="shared" si="18"/>
        <v>3.5714285714285712E-2</v>
      </c>
      <c r="R358">
        <f t="shared" si="17"/>
        <v>0</v>
      </c>
    </row>
    <row r="359" spans="1:18" x14ac:dyDescent="0.2">
      <c r="A359" s="67" t="s">
        <v>1995</v>
      </c>
      <c r="B359" s="52" t="s">
        <v>1996</v>
      </c>
      <c r="J359" s="5">
        <f>Info!$B$43</f>
        <v>0.5</v>
      </c>
      <c r="P359" s="7">
        <f t="shared" si="19"/>
        <v>7.1428571428571425E-2</v>
      </c>
      <c r="Q359" s="7">
        <f t="shared" si="18"/>
        <v>3.5714285714285712E-2</v>
      </c>
      <c r="R359">
        <f t="shared" si="17"/>
        <v>0</v>
      </c>
    </row>
    <row r="360" spans="1:18" x14ac:dyDescent="0.2">
      <c r="A360" s="67" t="s">
        <v>1997</v>
      </c>
      <c r="B360" s="52" t="s">
        <v>1998</v>
      </c>
      <c r="J360" s="5">
        <f>Info!$B$43</f>
        <v>0.5</v>
      </c>
      <c r="P360" s="7">
        <f t="shared" si="19"/>
        <v>7.1428571428571425E-2</v>
      </c>
      <c r="Q360" s="7">
        <f t="shared" si="18"/>
        <v>3.5714285714285712E-2</v>
      </c>
      <c r="R360">
        <f t="shared" si="17"/>
        <v>0</v>
      </c>
    </row>
    <row r="361" spans="1:18" x14ac:dyDescent="0.2">
      <c r="A361" s="67" t="s">
        <v>1999</v>
      </c>
      <c r="B361" s="52" t="s">
        <v>2000</v>
      </c>
      <c r="J361" s="5">
        <f>Info!$B$43</f>
        <v>0.5</v>
      </c>
      <c r="P361" s="7">
        <f t="shared" si="19"/>
        <v>7.1428571428571425E-2</v>
      </c>
      <c r="Q361" s="7">
        <f t="shared" si="18"/>
        <v>3.5714285714285712E-2</v>
      </c>
      <c r="R361">
        <f t="shared" si="17"/>
        <v>0</v>
      </c>
    </row>
    <row r="362" spans="1:18" x14ac:dyDescent="0.2">
      <c r="A362" s="67" t="s">
        <v>2001</v>
      </c>
      <c r="B362" s="52" t="s">
        <v>2002</v>
      </c>
      <c r="J362" s="5">
        <f>Info!$B$43</f>
        <v>0.5</v>
      </c>
      <c r="P362" s="7">
        <f t="shared" si="19"/>
        <v>7.1428571428571425E-2</v>
      </c>
      <c r="Q362" s="7">
        <f t="shared" si="18"/>
        <v>3.5714285714285712E-2</v>
      </c>
      <c r="R362">
        <f t="shared" si="17"/>
        <v>0</v>
      </c>
    </row>
    <row r="363" spans="1:18" x14ac:dyDescent="0.2">
      <c r="A363" s="67" t="s">
        <v>2003</v>
      </c>
      <c r="B363" s="52" t="s">
        <v>2004</v>
      </c>
      <c r="J363" s="5">
        <f>Info!$B$43</f>
        <v>0.5</v>
      </c>
      <c r="P363" s="7">
        <f t="shared" si="19"/>
        <v>7.1428571428571425E-2</v>
      </c>
      <c r="Q363" s="7">
        <f t="shared" si="18"/>
        <v>3.5714285714285712E-2</v>
      </c>
      <c r="R363">
        <f t="shared" si="17"/>
        <v>0</v>
      </c>
    </row>
    <row r="364" spans="1:18" x14ac:dyDescent="0.2">
      <c r="A364" s="67" t="s">
        <v>2005</v>
      </c>
      <c r="B364" s="52" t="s">
        <v>2006</v>
      </c>
      <c r="J364" s="5">
        <f>Info!$B$43</f>
        <v>0.5</v>
      </c>
      <c r="P364" s="7">
        <f t="shared" si="19"/>
        <v>7.1428571428571425E-2</v>
      </c>
      <c r="Q364" s="7">
        <f t="shared" si="18"/>
        <v>3.5714285714285712E-2</v>
      </c>
      <c r="R364">
        <f t="shared" si="17"/>
        <v>0</v>
      </c>
    </row>
    <row r="365" spans="1:18" x14ac:dyDescent="0.2">
      <c r="A365" s="67" t="s">
        <v>2007</v>
      </c>
      <c r="B365" s="52" t="s">
        <v>2008</v>
      </c>
      <c r="J365" s="5">
        <f>Info!$B$43</f>
        <v>0.5</v>
      </c>
      <c r="P365" s="7">
        <f t="shared" si="19"/>
        <v>7.1428571428571425E-2</v>
      </c>
      <c r="Q365" s="7">
        <f t="shared" si="18"/>
        <v>3.5714285714285712E-2</v>
      </c>
      <c r="R365">
        <f t="shared" si="17"/>
        <v>0</v>
      </c>
    </row>
    <row r="366" spans="1:18" x14ac:dyDescent="0.2">
      <c r="A366" s="67" t="s">
        <v>2009</v>
      </c>
      <c r="B366" s="52" t="s">
        <v>2010</v>
      </c>
      <c r="J366" s="5">
        <f>Info!$B$43</f>
        <v>0.5</v>
      </c>
      <c r="P366" s="7">
        <f t="shared" si="19"/>
        <v>7.1428571428571425E-2</v>
      </c>
      <c r="Q366" s="7">
        <f t="shared" si="18"/>
        <v>3.5714285714285712E-2</v>
      </c>
      <c r="R366">
        <f t="shared" si="17"/>
        <v>0</v>
      </c>
    </row>
    <row r="367" spans="1:18" x14ac:dyDescent="0.2">
      <c r="A367" s="67" t="s">
        <v>2011</v>
      </c>
      <c r="B367" s="52" t="s">
        <v>2012</v>
      </c>
      <c r="J367" s="5">
        <f>Info!$B$43</f>
        <v>0.5</v>
      </c>
      <c r="P367" s="7">
        <f t="shared" si="19"/>
        <v>7.1428571428571425E-2</v>
      </c>
      <c r="Q367" s="7">
        <f t="shared" si="18"/>
        <v>3.5714285714285712E-2</v>
      </c>
      <c r="R367">
        <f t="shared" si="17"/>
        <v>0</v>
      </c>
    </row>
    <row r="368" spans="1:18" x14ac:dyDescent="0.2">
      <c r="A368" s="67" t="s">
        <v>2013</v>
      </c>
      <c r="B368" s="52" t="s">
        <v>2014</v>
      </c>
      <c r="J368" s="5">
        <f>Info!$B$43</f>
        <v>0.5</v>
      </c>
      <c r="P368" s="7">
        <f t="shared" si="19"/>
        <v>7.1428571428571425E-2</v>
      </c>
      <c r="Q368" s="7">
        <f t="shared" si="18"/>
        <v>3.5714285714285712E-2</v>
      </c>
      <c r="R368">
        <f t="shared" si="17"/>
        <v>0</v>
      </c>
    </row>
    <row r="369" spans="1:18" x14ac:dyDescent="0.2">
      <c r="A369" s="67" t="s">
        <v>2015</v>
      </c>
      <c r="B369" s="52" t="s">
        <v>2016</v>
      </c>
      <c r="J369" s="5">
        <f>Info!$B$43</f>
        <v>0.5</v>
      </c>
      <c r="P369" s="7">
        <f t="shared" si="19"/>
        <v>7.1428571428571425E-2</v>
      </c>
      <c r="Q369" s="7">
        <f t="shared" si="18"/>
        <v>3.5714285714285712E-2</v>
      </c>
      <c r="R369">
        <f t="shared" si="17"/>
        <v>0</v>
      </c>
    </row>
    <row r="370" spans="1:18" x14ac:dyDescent="0.2">
      <c r="A370" s="67" t="s">
        <v>2017</v>
      </c>
      <c r="B370" s="52" t="s">
        <v>2018</v>
      </c>
      <c r="J370" s="5">
        <f>Info!$B$43</f>
        <v>0.5</v>
      </c>
      <c r="P370" s="7">
        <f t="shared" si="19"/>
        <v>7.1428571428571425E-2</v>
      </c>
      <c r="Q370" s="7">
        <f t="shared" si="18"/>
        <v>3.5714285714285712E-2</v>
      </c>
      <c r="R370">
        <f t="shared" si="17"/>
        <v>0</v>
      </c>
    </row>
    <row r="371" spans="1:18" x14ac:dyDescent="0.2">
      <c r="A371" s="67" t="s">
        <v>2019</v>
      </c>
      <c r="B371" s="52" t="s">
        <v>2020</v>
      </c>
      <c r="J371" s="5">
        <f>Info!$B$43</f>
        <v>0.5</v>
      </c>
      <c r="P371" s="7">
        <f t="shared" si="19"/>
        <v>7.1428571428571425E-2</v>
      </c>
      <c r="Q371" s="7">
        <f t="shared" si="18"/>
        <v>3.5714285714285712E-2</v>
      </c>
      <c r="R371">
        <f t="shared" si="17"/>
        <v>0</v>
      </c>
    </row>
    <row r="372" spans="1:18" x14ac:dyDescent="0.2">
      <c r="A372" s="67" t="s">
        <v>2021</v>
      </c>
      <c r="B372" s="52" t="s">
        <v>2022</v>
      </c>
      <c r="J372" s="5">
        <f>Info!$B$43</f>
        <v>0.5</v>
      </c>
      <c r="P372" s="7">
        <f t="shared" si="19"/>
        <v>7.1428571428571425E-2</v>
      </c>
      <c r="Q372" s="7">
        <f t="shared" si="18"/>
        <v>3.5714285714285712E-2</v>
      </c>
      <c r="R372">
        <f t="shared" si="17"/>
        <v>0</v>
      </c>
    </row>
    <row r="373" spans="1:18" x14ac:dyDescent="0.2">
      <c r="A373" s="67" t="s">
        <v>2023</v>
      </c>
      <c r="B373" s="52" t="s">
        <v>2024</v>
      </c>
      <c r="J373" s="5">
        <f>Info!$B$43</f>
        <v>0.5</v>
      </c>
      <c r="P373" s="7">
        <f t="shared" si="19"/>
        <v>7.1428571428571425E-2</v>
      </c>
      <c r="Q373" s="7">
        <f t="shared" si="18"/>
        <v>3.5714285714285712E-2</v>
      </c>
      <c r="R373">
        <f t="shared" si="17"/>
        <v>0</v>
      </c>
    </row>
    <row r="374" spans="1:18" x14ac:dyDescent="0.2">
      <c r="A374" s="67" t="s">
        <v>2025</v>
      </c>
      <c r="B374" s="52" t="s">
        <v>2026</v>
      </c>
      <c r="J374" s="5">
        <f>Info!$B$43</f>
        <v>0.5</v>
      </c>
      <c r="P374" s="7">
        <f t="shared" si="19"/>
        <v>7.1428571428571425E-2</v>
      </c>
      <c r="Q374" s="7">
        <f t="shared" si="18"/>
        <v>3.5714285714285712E-2</v>
      </c>
      <c r="R374">
        <f t="shared" si="17"/>
        <v>0</v>
      </c>
    </row>
    <row r="375" spans="1:18" x14ac:dyDescent="0.2">
      <c r="A375" s="67" t="s">
        <v>2027</v>
      </c>
      <c r="B375" s="52" t="s">
        <v>2028</v>
      </c>
      <c r="J375" s="5">
        <f>Info!$B$43</f>
        <v>0.5</v>
      </c>
      <c r="P375" s="7">
        <f t="shared" si="19"/>
        <v>7.1428571428571425E-2</v>
      </c>
      <c r="Q375" s="7">
        <f t="shared" si="18"/>
        <v>3.5714285714285712E-2</v>
      </c>
      <c r="R375">
        <f t="shared" si="17"/>
        <v>0</v>
      </c>
    </row>
    <row r="376" spans="1:18" x14ac:dyDescent="0.2">
      <c r="A376" s="67" t="s">
        <v>2029</v>
      </c>
      <c r="B376" s="52" t="s">
        <v>2030</v>
      </c>
      <c r="J376" s="5">
        <f>Info!$B$43</f>
        <v>0.5</v>
      </c>
      <c r="P376" s="7">
        <f t="shared" si="19"/>
        <v>7.1428571428571425E-2</v>
      </c>
      <c r="Q376" s="7">
        <f t="shared" si="18"/>
        <v>3.5714285714285712E-2</v>
      </c>
      <c r="R376">
        <f t="shared" si="17"/>
        <v>0</v>
      </c>
    </row>
    <row r="377" spans="1:18" x14ac:dyDescent="0.2">
      <c r="A377" s="67" t="s">
        <v>2031</v>
      </c>
      <c r="B377" s="4" t="s">
        <v>2032</v>
      </c>
      <c r="J377" s="5">
        <f>Info!$B$43</f>
        <v>0.5</v>
      </c>
      <c r="P377" s="7">
        <f t="shared" si="19"/>
        <v>7.1428571428571425E-2</v>
      </c>
      <c r="Q377" s="7">
        <f t="shared" si="18"/>
        <v>3.5714285714285712E-2</v>
      </c>
      <c r="R377">
        <f t="shared" si="17"/>
        <v>0</v>
      </c>
    </row>
    <row r="378" spans="1:18" x14ac:dyDescent="0.2">
      <c r="A378" s="67" t="s">
        <v>2033</v>
      </c>
      <c r="B378" s="4" t="s">
        <v>2034</v>
      </c>
      <c r="J378" s="5">
        <f>Info!$B$43</f>
        <v>0.5</v>
      </c>
      <c r="P378" s="7">
        <f t="shared" si="19"/>
        <v>7.1428571428571425E-2</v>
      </c>
      <c r="Q378" s="7">
        <f t="shared" si="18"/>
        <v>3.5714285714285712E-2</v>
      </c>
      <c r="R378">
        <f t="shared" si="17"/>
        <v>0</v>
      </c>
    </row>
    <row r="379" spans="1:18" x14ac:dyDescent="0.2">
      <c r="A379" s="67" t="s">
        <v>2035</v>
      </c>
      <c r="B379" s="4" t="s">
        <v>2036</v>
      </c>
      <c r="J379" s="5">
        <f>Info!$B$43</f>
        <v>0.5</v>
      </c>
      <c r="P379" s="7">
        <f t="shared" si="19"/>
        <v>7.1428571428571425E-2</v>
      </c>
      <c r="Q379" s="7">
        <f t="shared" si="18"/>
        <v>3.5714285714285712E-2</v>
      </c>
      <c r="R379">
        <f t="shared" si="17"/>
        <v>0</v>
      </c>
    </row>
    <row r="380" spans="1:18" x14ac:dyDescent="0.2">
      <c r="A380" s="67" t="s">
        <v>2037</v>
      </c>
      <c r="B380" s="4" t="s">
        <v>2038</v>
      </c>
      <c r="J380" s="5">
        <f>Info!$B$43</f>
        <v>0.5</v>
      </c>
      <c r="P380" s="7">
        <f t="shared" si="19"/>
        <v>7.1428571428571425E-2</v>
      </c>
      <c r="Q380" s="7">
        <f t="shared" si="18"/>
        <v>3.5714285714285712E-2</v>
      </c>
      <c r="R380">
        <f t="shared" si="17"/>
        <v>0</v>
      </c>
    </row>
    <row r="381" spans="1:18" x14ac:dyDescent="0.2">
      <c r="A381" s="67" t="s">
        <v>2039</v>
      </c>
      <c r="B381" s="4" t="s">
        <v>2040</v>
      </c>
      <c r="J381" s="5">
        <f>Info!$B$43</f>
        <v>0.5</v>
      </c>
      <c r="P381" s="7">
        <f t="shared" si="19"/>
        <v>7.1428571428571425E-2</v>
      </c>
      <c r="Q381" s="7">
        <f t="shared" si="18"/>
        <v>3.5714285714285712E-2</v>
      </c>
      <c r="R381">
        <f t="shared" si="17"/>
        <v>0</v>
      </c>
    </row>
    <row r="382" spans="1:18" x14ac:dyDescent="0.2">
      <c r="A382" s="67" t="s">
        <v>2041</v>
      </c>
      <c r="B382" s="4" t="s">
        <v>2042</v>
      </c>
      <c r="J382" s="5">
        <f>Info!$B$43</f>
        <v>0.5</v>
      </c>
      <c r="P382" s="7">
        <f t="shared" si="19"/>
        <v>7.1428571428571425E-2</v>
      </c>
      <c r="Q382" s="7">
        <f t="shared" si="18"/>
        <v>3.5714285714285712E-2</v>
      </c>
      <c r="R382">
        <f t="shared" si="17"/>
        <v>0</v>
      </c>
    </row>
    <row r="383" spans="1:18" x14ac:dyDescent="0.2">
      <c r="A383" s="67" t="s">
        <v>2043</v>
      </c>
      <c r="B383" s="4" t="s">
        <v>2044</v>
      </c>
      <c r="J383" s="5">
        <f>Info!$B$43</f>
        <v>0.5</v>
      </c>
      <c r="P383" s="7">
        <f t="shared" si="19"/>
        <v>7.1428571428571425E-2</v>
      </c>
      <c r="Q383" s="7">
        <f t="shared" si="18"/>
        <v>3.5714285714285712E-2</v>
      </c>
      <c r="R383">
        <f t="shared" si="17"/>
        <v>0</v>
      </c>
    </row>
    <row r="384" spans="1:18" x14ac:dyDescent="0.2">
      <c r="A384" s="67" t="s">
        <v>2045</v>
      </c>
      <c r="B384" s="4" t="s">
        <v>2046</v>
      </c>
      <c r="J384" s="5">
        <f>Info!$B$43</f>
        <v>0.5</v>
      </c>
      <c r="P384" s="7">
        <f t="shared" si="19"/>
        <v>7.1428571428571425E-2</v>
      </c>
      <c r="Q384" s="7">
        <f t="shared" si="18"/>
        <v>3.5714285714285712E-2</v>
      </c>
      <c r="R384">
        <f t="shared" si="17"/>
        <v>0</v>
      </c>
    </row>
    <row r="385" spans="1:18" x14ac:dyDescent="0.2">
      <c r="A385" s="67" t="s">
        <v>2047</v>
      </c>
      <c r="B385" s="4" t="s">
        <v>2048</v>
      </c>
      <c r="J385" s="5">
        <f>Info!$B$43</f>
        <v>0.5</v>
      </c>
      <c r="P385" s="7">
        <f t="shared" si="19"/>
        <v>7.1428571428571425E-2</v>
      </c>
      <c r="Q385" s="7">
        <f t="shared" si="18"/>
        <v>3.5714285714285712E-2</v>
      </c>
      <c r="R385">
        <f t="shared" si="17"/>
        <v>0</v>
      </c>
    </row>
    <row r="386" spans="1:18" x14ac:dyDescent="0.2">
      <c r="A386" s="67" t="s">
        <v>2049</v>
      </c>
      <c r="B386" s="4" t="s">
        <v>2050</v>
      </c>
      <c r="J386" s="5">
        <f>Info!$B$43</f>
        <v>0.5</v>
      </c>
      <c r="P386" s="7">
        <f t="shared" si="19"/>
        <v>7.1428571428571425E-2</v>
      </c>
      <c r="Q386" s="7">
        <f t="shared" si="18"/>
        <v>3.5714285714285712E-2</v>
      </c>
      <c r="R386">
        <f t="shared" ref="R386:R449" si="20">IF(_xlfn.BITAND(P386&gt;0.4999, Q386&gt;0.4999)=1,1,0)</f>
        <v>0</v>
      </c>
    </row>
    <row r="387" spans="1:18" x14ac:dyDescent="0.2">
      <c r="A387" s="67" t="s">
        <v>2051</v>
      </c>
      <c r="B387" s="4" t="s">
        <v>2052</v>
      </c>
      <c r="J387" s="5">
        <f>Info!$B$43</f>
        <v>0.5</v>
      </c>
      <c r="P387" s="7">
        <f t="shared" si="19"/>
        <v>7.1428571428571425E-2</v>
      </c>
      <c r="Q387" s="7">
        <f t="shared" si="18"/>
        <v>3.5714285714285712E-2</v>
      </c>
      <c r="R387">
        <f t="shared" si="20"/>
        <v>0</v>
      </c>
    </row>
    <row r="388" spans="1:18" x14ac:dyDescent="0.2">
      <c r="A388" s="67" t="s">
        <v>2053</v>
      </c>
      <c r="B388" s="4" t="s">
        <v>2054</v>
      </c>
      <c r="J388" s="5">
        <f>Info!$B$43</f>
        <v>0.5</v>
      </c>
      <c r="P388" s="7">
        <f t="shared" si="19"/>
        <v>7.1428571428571425E-2</v>
      </c>
      <c r="Q388" s="7">
        <f t="shared" si="18"/>
        <v>3.5714285714285712E-2</v>
      </c>
      <c r="R388">
        <f t="shared" si="20"/>
        <v>0</v>
      </c>
    </row>
    <row r="389" spans="1:18" x14ac:dyDescent="0.2">
      <c r="A389" s="67" t="s">
        <v>2055</v>
      </c>
      <c r="B389" s="4" t="s">
        <v>2056</v>
      </c>
      <c r="J389" s="5">
        <f>Info!$B$43</f>
        <v>0.5</v>
      </c>
      <c r="P389" s="7">
        <f t="shared" si="19"/>
        <v>7.1428571428571425E-2</v>
      </c>
      <c r="Q389" s="7">
        <f t="shared" si="18"/>
        <v>3.5714285714285712E-2</v>
      </c>
      <c r="R389">
        <f t="shared" si="20"/>
        <v>0</v>
      </c>
    </row>
    <row r="390" spans="1:18" x14ac:dyDescent="0.2">
      <c r="A390" s="67" t="s">
        <v>2057</v>
      </c>
      <c r="B390" s="4" t="s">
        <v>2058</v>
      </c>
      <c r="J390" s="5">
        <f>Info!$B$43</f>
        <v>0.5</v>
      </c>
      <c r="P390" s="7">
        <f t="shared" si="19"/>
        <v>7.1428571428571425E-2</v>
      </c>
      <c r="Q390" s="7">
        <f t="shared" si="18"/>
        <v>3.5714285714285712E-2</v>
      </c>
      <c r="R390">
        <f t="shared" si="20"/>
        <v>0</v>
      </c>
    </row>
    <row r="391" spans="1:18" x14ac:dyDescent="0.2">
      <c r="A391" s="67" t="s">
        <v>2059</v>
      </c>
      <c r="B391" s="4" t="s">
        <v>2060</v>
      </c>
      <c r="J391" s="5">
        <f>Info!$B$43</f>
        <v>0.5</v>
      </c>
      <c r="P391" s="7">
        <f t="shared" si="19"/>
        <v>7.1428571428571425E-2</v>
      </c>
      <c r="Q391" s="7">
        <f t="shared" si="18"/>
        <v>3.5714285714285712E-2</v>
      </c>
      <c r="R391">
        <f t="shared" si="20"/>
        <v>0</v>
      </c>
    </row>
    <row r="392" spans="1:18" x14ac:dyDescent="0.2">
      <c r="A392" s="67" t="s">
        <v>2061</v>
      </c>
      <c r="B392" s="4" t="s">
        <v>2062</v>
      </c>
      <c r="J392" s="5">
        <f>Info!$B$43</f>
        <v>0.5</v>
      </c>
      <c r="P392" s="7">
        <f t="shared" si="19"/>
        <v>7.1428571428571425E-2</v>
      </c>
      <c r="Q392" s="7">
        <f t="shared" si="18"/>
        <v>3.5714285714285712E-2</v>
      </c>
      <c r="R392">
        <f t="shared" si="20"/>
        <v>0</v>
      </c>
    </row>
    <row r="393" spans="1:18" x14ac:dyDescent="0.2">
      <c r="A393" s="67" t="s">
        <v>2063</v>
      </c>
      <c r="B393" s="4" t="s">
        <v>2064</v>
      </c>
      <c r="J393" s="5">
        <f>Info!$B$43</f>
        <v>0.5</v>
      </c>
      <c r="P393" s="7">
        <f t="shared" si="19"/>
        <v>7.1428571428571425E-2</v>
      </c>
      <c r="Q393" s="7">
        <f t="shared" si="18"/>
        <v>3.5714285714285712E-2</v>
      </c>
      <c r="R393">
        <f t="shared" si="20"/>
        <v>0</v>
      </c>
    </row>
    <row r="394" spans="1:18" x14ac:dyDescent="0.2">
      <c r="A394" s="67" t="s">
        <v>2065</v>
      </c>
      <c r="B394" s="4" t="s">
        <v>2066</v>
      </c>
      <c r="J394" s="5">
        <f>Info!$B$43</f>
        <v>0.5</v>
      </c>
      <c r="P394" s="7">
        <f t="shared" si="19"/>
        <v>7.1428571428571425E-2</v>
      </c>
      <c r="Q394" s="7">
        <f t="shared" si="18"/>
        <v>3.5714285714285712E-2</v>
      </c>
      <c r="R394">
        <f t="shared" si="20"/>
        <v>0</v>
      </c>
    </row>
    <row r="395" spans="1:18" x14ac:dyDescent="0.2">
      <c r="A395" s="67" t="s">
        <v>2067</v>
      </c>
      <c r="B395" s="4" t="s">
        <v>2068</v>
      </c>
      <c r="J395" s="5">
        <f>Info!$B$43</f>
        <v>0.5</v>
      </c>
      <c r="P395" s="7">
        <f t="shared" si="19"/>
        <v>7.1428571428571425E-2</v>
      </c>
      <c r="Q395" s="7">
        <f t="shared" si="18"/>
        <v>3.5714285714285712E-2</v>
      </c>
      <c r="R395">
        <f t="shared" si="20"/>
        <v>0</v>
      </c>
    </row>
    <row r="396" spans="1:18" x14ac:dyDescent="0.2">
      <c r="A396" s="67" t="s">
        <v>2069</v>
      </c>
      <c r="B396" s="4" t="s">
        <v>2070</v>
      </c>
      <c r="J396" s="5">
        <f>Info!$B$43</f>
        <v>0.5</v>
      </c>
      <c r="P396" s="7">
        <f t="shared" si="19"/>
        <v>7.1428571428571425E-2</v>
      </c>
      <c r="Q396" s="7">
        <f t="shared" si="18"/>
        <v>3.5714285714285712E-2</v>
      </c>
      <c r="R396">
        <f t="shared" si="20"/>
        <v>0</v>
      </c>
    </row>
    <row r="397" spans="1:18" x14ac:dyDescent="0.2">
      <c r="A397" s="67" t="s">
        <v>2071</v>
      </c>
      <c r="B397" s="4" t="s">
        <v>2072</v>
      </c>
      <c r="J397" s="5">
        <f>Info!$B$43</f>
        <v>0.5</v>
      </c>
      <c r="P397" s="7">
        <f t="shared" si="19"/>
        <v>7.1428571428571425E-2</v>
      </c>
      <c r="Q397" s="7">
        <f t="shared" ref="Q397:Q460" si="21">(O397+P397)/2</f>
        <v>3.5714285714285712E-2</v>
      </c>
      <c r="R397">
        <f t="shared" si="20"/>
        <v>0</v>
      </c>
    </row>
    <row r="398" spans="1:18" x14ac:dyDescent="0.2">
      <c r="A398" s="67" t="s">
        <v>2073</v>
      </c>
      <c r="B398" s="4" t="s">
        <v>2074</v>
      </c>
      <c r="J398" s="5">
        <f>Info!$B$43</f>
        <v>0.5</v>
      </c>
      <c r="P398" s="7">
        <f t="shared" si="19"/>
        <v>7.1428571428571425E-2</v>
      </c>
      <c r="Q398" s="7">
        <f t="shared" si="21"/>
        <v>3.5714285714285712E-2</v>
      </c>
      <c r="R398">
        <f t="shared" si="20"/>
        <v>0</v>
      </c>
    </row>
    <row r="399" spans="1:18" x14ac:dyDescent="0.2">
      <c r="A399" s="67" t="s">
        <v>2075</v>
      </c>
      <c r="B399" s="4" t="s">
        <v>2076</v>
      </c>
      <c r="J399" s="5">
        <f>Info!$B$43</f>
        <v>0.5</v>
      </c>
      <c r="P399" s="7">
        <f t="shared" si="19"/>
        <v>7.1428571428571425E-2</v>
      </c>
      <c r="Q399" s="7">
        <f t="shared" si="21"/>
        <v>3.5714285714285712E-2</v>
      </c>
      <c r="R399">
        <f t="shared" si="20"/>
        <v>0</v>
      </c>
    </row>
    <row r="400" spans="1:18" x14ac:dyDescent="0.2">
      <c r="A400" s="67" t="s">
        <v>2077</v>
      </c>
      <c r="B400" s="4" t="s">
        <v>2078</v>
      </c>
      <c r="J400" s="5">
        <f>Info!$B$43</f>
        <v>0.5</v>
      </c>
      <c r="P400" s="7">
        <f t="shared" si="19"/>
        <v>7.1428571428571425E-2</v>
      </c>
      <c r="Q400" s="7">
        <f t="shared" si="21"/>
        <v>3.5714285714285712E-2</v>
      </c>
      <c r="R400">
        <f t="shared" si="20"/>
        <v>0</v>
      </c>
    </row>
    <row r="401" spans="1:18" x14ac:dyDescent="0.2">
      <c r="A401" s="67" t="s">
        <v>2079</v>
      </c>
      <c r="B401" s="4" t="s">
        <v>2080</v>
      </c>
      <c r="J401" s="5">
        <f>Info!$B$43</f>
        <v>0.5</v>
      </c>
      <c r="P401" s="7">
        <f t="shared" si="19"/>
        <v>7.1428571428571425E-2</v>
      </c>
      <c r="Q401" s="7">
        <f t="shared" si="21"/>
        <v>3.5714285714285712E-2</v>
      </c>
      <c r="R401">
        <f t="shared" si="20"/>
        <v>0</v>
      </c>
    </row>
    <row r="402" spans="1:18" x14ac:dyDescent="0.2">
      <c r="A402" s="67" t="s">
        <v>2081</v>
      </c>
      <c r="B402" s="4" t="s">
        <v>2082</v>
      </c>
      <c r="J402" s="5">
        <f>Info!$B$43</f>
        <v>0.5</v>
      </c>
      <c r="P402" s="7">
        <f t="shared" si="19"/>
        <v>7.1428571428571425E-2</v>
      </c>
      <c r="Q402" s="7">
        <f t="shared" si="21"/>
        <v>3.5714285714285712E-2</v>
      </c>
      <c r="R402">
        <f t="shared" si="20"/>
        <v>0</v>
      </c>
    </row>
    <row r="403" spans="1:18" x14ac:dyDescent="0.2">
      <c r="A403" s="67" t="s">
        <v>2083</v>
      </c>
      <c r="B403" s="4" t="s">
        <v>2084</v>
      </c>
      <c r="J403" s="5">
        <f>Info!$B$43</f>
        <v>0.5</v>
      </c>
      <c r="P403" s="7">
        <f t="shared" si="19"/>
        <v>7.1428571428571425E-2</v>
      </c>
      <c r="Q403" s="7">
        <f t="shared" si="21"/>
        <v>3.5714285714285712E-2</v>
      </c>
      <c r="R403">
        <f t="shared" si="20"/>
        <v>0</v>
      </c>
    </row>
    <row r="404" spans="1:18" x14ac:dyDescent="0.2">
      <c r="A404" s="67" t="s">
        <v>2085</v>
      </c>
      <c r="B404" s="4" t="s">
        <v>2086</v>
      </c>
      <c r="J404" s="5">
        <f>Info!$B$43</f>
        <v>0.5</v>
      </c>
      <c r="P404" s="7">
        <f t="shared" si="19"/>
        <v>7.1428571428571425E-2</v>
      </c>
      <c r="Q404" s="7">
        <f t="shared" si="21"/>
        <v>3.5714285714285712E-2</v>
      </c>
      <c r="R404">
        <f t="shared" si="20"/>
        <v>0</v>
      </c>
    </row>
    <row r="405" spans="1:18" x14ac:dyDescent="0.2">
      <c r="A405" s="67" t="s">
        <v>2087</v>
      </c>
      <c r="B405" s="4" t="s">
        <v>2088</v>
      </c>
      <c r="J405" s="5">
        <f>Info!$B$43</f>
        <v>0.5</v>
      </c>
      <c r="P405" s="7">
        <f t="shared" ref="P405:P468" si="22">(D405+E405+F405+G405+H405+I405+J405)/7</f>
        <v>7.1428571428571425E-2</v>
      </c>
      <c r="Q405" s="7">
        <f t="shared" si="21"/>
        <v>3.5714285714285712E-2</v>
      </c>
      <c r="R405">
        <f t="shared" si="20"/>
        <v>0</v>
      </c>
    </row>
    <row r="406" spans="1:18" x14ac:dyDescent="0.2">
      <c r="A406" s="67" t="s">
        <v>2089</v>
      </c>
      <c r="B406" s="4" t="s">
        <v>2090</v>
      </c>
      <c r="J406" s="5">
        <f>Info!$B$43</f>
        <v>0.5</v>
      </c>
      <c r="P406" s="7">
        <f t="shared" si="22"/>
        <v>7.1428571428571425E-2</v>
      </c>
      <c r="Q406" s="7">
        <f t="shared" si="21"/>
        <v>3.5714285714285712E-2</v>
      </c>
      <c r="R406">
        <f t="shared" si="20"/>
        <v>0</v>
      </c>
    </row>
    <row r="407" spans="1:18" x14ac:dyDescent="0.2">
      <c r="A407" s="67" t="s">
        <v>2091</v>
      </c>
      <c r="B407" s="4" t="s">
        <v>2092</v>
      </c>
      <c r="J407" s="5">
        <f>Info!$B$43</f>
        <v>0.5</v>
      </c>
      <c r="P407" s="7">
        <f t="shared" si="22"/>
        <v>7.1428571428571425E-2</v>
      </c>
      <c r="Q407" s="7">
        <f t="shared" si="21"/>
        <v>3.5714285714285712E-2</v>
      </c>
      <c r="R407">
        <f t="shared" si="20"/>
        <v>0</v>
      </c>
    </row>
    <row r="408" spans="1:18" x14ac:dyDescent="0.2">
      <c r="A408" s="67" t="s">
        <v>2093</v>
      </c>
      <c r="B408" s="4" t="s">
        <v>2094</v>
      </c>
      <c r="J408" s="5">
        <f>Info!$B$43</f>
        <v>0.5</v>
      </c>
      <c r="P408" s="7">
        <f t="shared" si="22"/>
        <v>7.1428571428571425E-2</v>
      </c>
      <c r="Q408" s="7">
        <f t="shared" si="21"/>
        <v>3.5714285714285712E-2</v>
      </c>
      <c r="R408">
        <f t="shared" si="20"/>
        <v>0</v>
      </c>
    </row>
    <row r="409" spans="1:18" x14ac:dyDescent="0.2">
      <c r="A409" s="67" t="s">
        <v>2095</v>
      </c>
      <c r="B409" s="4" t="s">
        <v>2096</v>
      </c>
      <c r="J409" s="5">
        <f>Info!$B$43</f>
        <v>0.5</v>
      </c>
      <c r="P409" s="7">
        <f t="shared" si="22"/>
        <v>7.1428571428571425E-2</v>
      </c>
      <c r="Q409" s="7">
        <f t="shared" si="21"/>
        <v>3.5714285714285712E-2</v>
      </c>
      <c r="R409">
        <f t="shared" si="20"/>
        <v>0</v>
      </c>
    </row>
    <row r="410" spans="1:18" x14ac:dyDescent="0.2">
      <c r="A410" s="67" t="s">
        <v>2097</v>
      </c>
      <c r="B410" s="4" t="s">
        <v>2098</v>
      </c>
      <c r="J410" s="5">
        <f>Info!$B$43</f>
        <v>0.5</v>
      </c>
      <c r="P410" s="7">
        <f t="shared" si="22"/>
        <v>7.1428571428571425E-2</v>
      </c>
      <c r="Q410" s="7">
        <f t="shared" si="21"/>
        <v>3.5714285714285712E-2</v>
      </c>
      <c r="R410">
        <f t="shared" si="20"/>
        <v>0</v>
      </c>
    </row>
    <row r="411" spans="1:18" x14ac:dyDescent="0.2">
      <c r="A411" s="67" t="s">
        <v>2099</v>
      </c>
      <c r="B411" s="4" t="s">
        <v>2100</v>
      </c>
      <c r="J411" s="5">
        <f>Info!$B$43</f>
        <v>0.5</v>
      </c>
      <c r="P411" s="7">
        <f t="shared" si="22"/>
        <v>7.1428571428571425E-2</v>
      </c>
      <c r="Q411" s="7">
        <f t="shared" si="21"/>
        <v>3.5714285714285712E-2</v>
      </c>
      <c r="R411">
        <f t="shared" si="20"/>
        <v>0</v>
      </c>
    </row>
    <row r="412" spans="1:18" x14ac:dyDescent="0.2">
      <c r="A412" s="67" t="s">
        <v>2101</v>
      </c>
      <c r="B412" s="4" t="s">
        <v>2102</v>
      </c>
      <c r="J412" s="5">
        <f>Info!$B$43</f>
        <v>0.5</v>
      </c>
      <c r="P412" s="7">
        <f t="shared" si="22"/>
        <v>7.1428571428571425E-2</v>
      </c>
      <c r="Q412" s="7">
        <f t="shared" si="21"/>
        <v>3.5714285714285712E-2</v>
      </c>
      <c r="R412">
        <f t="shared" si="20"/>
        <v>0</v>
      </c>
    </row>
    <row r="413" spans="1:18" x14ac:dyDescent="0.2">
      <c r="A413" s="67" t="s">
        <v>2103</v>
      </c>
      <c r="B413" s="4" t="s">
        <v>2104</v>
      </c>
      <c r="J413" s="5">
        <f>Info!$B$43</f>
        <v>0.5</v>
      </c>
      <c r="P413" s="7">
        <f t="shared" si="22"/>
        <v>7.1428571428571425E-2</v>
      </c>
      <c r="Q413" s="7">
        <f t="shared" si="21"/>
        <v>3.5714285714285712E-2</v>
      </c>
      <c r="R413">
        <f t="shared" si="20"/>
        <v>0</v>
      </c>
    </row>
    <row r="414" spans="1:18" x14ac:dyDescent="0.2">
      <c r="A414" s="67" t="s">
        <v>510</v>
      </c>
      <c r="B414" s="4" t="s">
        <v>511</v>
      </c>
      <c r="J414" s="5">
        <f>Info!$B$43</f>
        <v>0.5</v>
      </c>
      <c r="P414" s="7">
        <f t="shared" si="22"/>
        <v>7.1428571428571425E-2</v>
      </c>
      <c r="Q414" s="7">
        <f t="shared" si="21"/>
        <v>3.5714285714285712E-2</v>
      </c>
      <c r="R414">
        <f t="shared" si="20"/>
        <v>0</v>
      </c>
    </row>
    <row r="415" spans="1:18" x14ac:dyDescent="0.2">
      <c r="A415" s="67" t="s">
        <v>2105</v>
      </c>
      <c r="B415" s="4" t="s">
        <v>2106</v>
      </c>
      <c r="J415" s="5">
        <f>Info!$B$43</f>
        <v>0.5</v>
      </c>
      <c r="P415" s="7">
        <f t="shared" si="22"/>
        <v>7.1428571428571425E-2</v>
      </c>
      <c r="Q415" s="7">
        <f t="shared" si="21"/>
        <v>3.5714285714285712E-2</v>
      </c>
      <c r="R415">
        <f t="shared" si="20"/>
        <v>0</v>
      </c>
    </row>
    <row r="416" spans="1:18" x14ac:dyDescent="0.2">
      <c r="A416" s="67" t="s">
        <v>2107</v>
      </c>
      <c r="B416" s="4" t="s">
        <v>2108</v>
      </c>
      <c r="J416" s="5">
        <f>Info!$B$43</f>
        <v>0.5</v>
      </c>
      <c r="P416" s="7">
        <f t="shared" si="22"/>
        <v>7.1428571428571425E-2</v>
      </c>
      <c r="Q416" s="7">
        <f t="shared" si="21"/>
        <v>3.5714285714285712E-2</v>
      </c>
      <c r="R416">
        <f t="shared" si="20"/>
        <v>0</v>
      </c>
    </row>
    <row r="417" spans="1:18" x14ac:dyDescent="0.2">
      <c r="A417" s="67" t="s">
        <v>2109</v>
      </c>
      <c r="B417" s="4" t="s">
        <v>2110</v>
      </c>
      <c r="J417" s="5">
        <f>Info!$B$43</f>
        <v>0.5</v>
      </c>
      <c r="P417" s="7">
        <f t="shared" si="22"/>
        <v>7.1428571428571425E-2</v>
      </c>
      <c r="Q417" s="7">
        <f t="shared" si="21"/>
        <v>3.5714285714285712E-2</v>
      </c>
      <c r="R417">
        <f t="shared" si="20"/>
        <v>0</v>
      </c>
    </row>
    <row r="418" spans="1:18" x14ac:dyDescent="0.2">
      <c r="A418" s="67" t="s">
        <v>2111</v>
      </c>
      <c r="B418" s="4" t="s">
        <v>2112</v>
      </c>
      <c r="J418" s="5">
        <f>Info!$B$43</f>
        <v>0.5</v>
      </c>
      <c r="P418" s="7">
        <f t="shared" si="22"/>
        <v>7.1428571428571425E-2</v>
      </c>
      <c r="Q418" s="7">
        <f t="shared" si="21"/>
        <v>3.5714285714285712E-2</v>
      </c>
      <c r="R418">
        <f t="shared" si="20"/>
        <v>0</v>
      </c>
    </row>
    <row r="419" spans="1:18" x14ac:dyDescent="0.2">
      <c r="A419" s="67" t="s">
        <v>2113</v>
      </c>
      <c r="B419" s="4" t="s">
        <v>2114</v>
      </c>
      <c r="J419" s="5">
        <f>Info!$B$43</f>
        <v>0.5</v>
      </c>
      <c r="P419" s="7">
        <f t="shared" si="22"/>
        <v>7.1428571428571425E-2</v>
      </c>
      <c r="Q419" s="7">
        <f t="shared" si="21"/>
        <v>3.5714285714285712E-2</v>
      </c>
      <c r="R419">
        <f t="shared" si="20"/>
        <v>0</v>
      </c>
    </row>
    <row r="420" spans="1:18" x14ac:dyDescent="0.2">
      <c r="A420" s="67" t="s">
        <v>2115</v>
      </c>
      <c r="B420" s="4" t="s">
        <v>2116</v>
      </c>
      <c r="J420" s="5">
        <f>Info!$B$43</f>
        <v>0.5</v>
      </c>
      <c r="P420" s="7">
        <f t="shared" si="22"/>
        <v>7.1428571428571425E-2</v>
      </c>
      <c r="Q420" s="7">
        <f t="shared" si="21"/>
        <v>3.5714285714285712E-2</v>
      </c>
      <c r="R420">
        <f t="shared" si="20"/>
        <v>0</v>
      </c>
    </row>
    <row r="421" spans="1:18" x14ac:dyDescent="0.2">
      <c r="A421" s="67" t="s">
        <v>2117</v>
      </c>
      <c r="B421" s="4" t="s">
        <v>2118</v>
      </c>
      <c r="J421" s="5">
        <f>Info!$B$43</f>
        <v>0.5</v>
      </c>
      <c r="P421" s="7">
        <f t="shared" si="22"/>
        <v>7.1428571428571425E-2</v>
      </c>
      <c r="Q421" s="7">
        <f t="shared" si="21"/>
        <v>3.5714285714285712E-2</v>
      </c>
      <c r="R421">
        <f t="shared" si="20"/>
        <v>0</v>
      </c>
    </row>
    <row r="422" spans="1:18" x14ac:dyDescent="0.2">
      <c r="A422" s="67" t="s">
        <v>2119</v>
      </c>
      <c r="B422" s="4" t="s">
        <v>2120</v>
      </c>
      <c r="J422" s="5">
        <f>Info!$B$43</f>
        <v>0.5</v>
      </c>
      <c r="P422" s="7">
        <f t="shared" si="22"/>
        <v>7.1428571428571425E-2</v>
      </c>
      <c r="Q422" s="7">
        <f t="shared" si="21"/>
        <v>3.5714285714285712E-2</v>
      </c>
      <c r="R422">
        <f t="shared" si="20"/>
        <v>0</v>
      </c>
    </row>
    <row r="423" spans="1:18" x14ac:dyDescent="0.2">
      <c r="A423" s="67" t="s">
        <v>2121</v>
      </c>
      <c r="B423" s="4" t="s">
        <v>2122</v>
      </c>
      <c r="J423" s="5">
        <f>Info!$B$43</f>
        <v>0.5</v>
      </c>
      <c r="P423" s="7">
        <f t="shared" si="22"/>
        <v>7.1428571428571425E-2</v>
      </c>
      <c r="Q423" s="7">
        <f t="shared" si="21"/>
        <v>3.5714285714285712E-2</v>
      </c>
      <c r="R423">
        <f t="shared" si="20"/>
        <v>0</v>
      </c>
    </row>
    <row r="424" spans="1:18" x14ac:dyDescent="0.2">
      <c r="A424" s="67" t="s">
        <v>2123</v>
      </c>
      <c r="B424" s="4" t="s">
        <v>2124</v>
      </c>
      <c r="J424" s="5">
        <f>Info!$B$43</f>
        <v>0.5</v>
      </c>
      <c r="P424" s="7">
        <f t="shared" si="22"/>
        <v>7.1428571428571425E-2</v>
      </c>
      <c r="Q424" s="7">
        <f t="shared" si="21"/>
        <v>3.5714285714285712E-2</v>
      </c>
      <c r="R424">
        <f t="shared" si="20"/>
        <v>0</v>
      </c>
    </row>
    <row r="425" spans="1:18" x14ac:dyDescent="0.2">
      <c r="A425" s="67" t="s">
        <v>2125</v>
      </c>
      <c r="B425" s="4" t="s">
        <v>2126</v>
      </c>
      <c r="J425" s="5">
        <f>Info!$B$43</f>
        <v>0.5</v>
      </c>
      <c r="P425" s="7">
        <f t="shared" si="22"/>
        <v>7.1428571428571425E-2</v>
      </c>
      <c r="Q425" s="7">
        <f t="shared" si="21"/>
        <v>3.5714285714285712E-2</v>
      </c>
      <c r="R425">
        <f t="shared" si="20"/>
        <v>0</v>
      </c>
    </row>
    <row r="426" spans="1:18" x14ac:dyDescent="0.2">
      <c r="A426" s="67" t="s">
        <v>2127</v>
      </c>
      <c r="B426" s="4" t="s">
        <v>2128</v>
      </c>
      <c r="J426" s="5">
        <f>Info!$B$43</f>
        <v>0.5</v>
      </c>
      <c r="P426" s="7">
        <f t="shared" si="22"/>
        <v>7.1428571428571425E-2</v>
      </c>
      <c r="Q426" s="7">
        <f t="shared" si="21"/>
        <v>3.5714285714285712E-2</v>
      </c>
      <c r="R426">
        <f t="shared" si="20"/>
        <v>0</v>
      </c>
    </row>
    <row r="427" spans="1:18" x14ac:dyDescent="0.2">
      <c r="A427" s="67" t="s">
        <v>2129</v>
      </c>
      <c r="B427" s="4" t="s">
        <v>2130</v>
      </c>
      <c r="J427" s="5">
        <f>Info!$B$43</f>
        <v>0.5</v>
      </c>
      <c r="P427" s="7">
        <f t="shared" si="22"/>
        <v>7.1428571428571425E-2</v>
      </c>
      <c r="Q427" s="7">
        <f t="shared" si="21"/>
        <v>3.5714285714285712E-2</v>
      </c>
      <c r="R427">
        <f t="shared" si="20"/>
        <v>0</v>
      </c>
    </row>
    <row r="428" spans="1:18" x14ac:dyDescent="0.2">
      <c r="A428" s="67" t="s">
        <v>2131</v>
      </c>
      <c r="B428" s="4" t="s">
        <v>2132</v>
      </c>
      <c r="J428" s="5">
        <f>Info!$B$43</f>
        <v>0.5</v>
      </c>
      <c r="P428" s="7">
        <f t="shared" si="22"/>
        <v>7.1428571428571425E-2</v>
      </c>
      <c r="Q428" s="7">
        <f t="shared" si="21"/>
        <v>3.5714285714285712E-2</v>
      </c>
      <c r="R428">
        <f t="shared" si="20"/>
        <v>0</v>
      </c>
    </row>
    <row r="429" spans="1:18" x14ac:dyDescent="0.2">
      <c r="A429" s="67" t="s">
        <v>2133</v>
      </c>
      <c r="B429" s="4" t="s">
        <v>2134</v>
      </c>
      <c r="J429" s="5">
        <f>Info!$B$43</f>
        <v>0.5</v>
      </c>
      <c r="P429" s="7">
        <f t="shared" si="22"/>
        <v>7.1428571428571425E-2</v>
      </c>
      <c r="Q429" s="7">
        <f t="shared" si="21"/>
        <v>3.5714285714285712E-2</v>
      </c>
      <c r="R429">
        <f t="shared" si="20"/>
        <v>0</v>
      </c>
    </row>
    <row r="430" spans="1:18" x14ac:dyDescent="0.2">
      <c r="A430" s="67" t="s">
        <v>2135</v>
      </c>
      <c r="B430" s="4" t="s">
        <v>2136</v>
      </c>
      <c r="J430" s="5">
        <f>Info!$B$43</f>
        <v>0.5</v>
      </c>
      <c r="P430" s="7">
        <f t="shared" si="22"/>
        <v>7.1428571428571425E-2</v>
      </c>
      <c r="Q430" s="7">
        <f t="shared" si="21"/>
        <v>3.5714285714285712E-2</v>
      </c>
      <c r="R430">
        <f t="shared" si="20"/>
        <v>0</v>
      </c>
    </row>
    <row r="431" spans="1:18" x14ac:dyDescent="0.2">
      <c r="A431" s="67" t="s">
        <v>2137</v>
      </c>
      <c r="B431" s="4" t="s">
        <v>2138</v>
      </c>
      <c r="J431" s="5">
        <f>Info!$B$43</f>
        <v>0.5</v>
      </c>
      <c r="P431" s="7">
        <f t="shared" si="22"/>
        <v>7.1428571428571425E-2</v>
      </c>
      <c r="Q431" s="7">
        <f t="shared" si="21"/>
        <v>3.5714285714285712E-2</v>
      </c>
      <c r="R431">
        <f t="shared" si="20"/>
        <v>0</v>
      </c>
    </row>
    <row r="432" spans="1:18" x14ac:dyDescent="0.2">
      <c r="A432" s="67" t="s">
        <v>2139</v>
      </c>
      <c r="B432" s="4" t="s">
        <v>2140</v>
      </c>
      <c r="J432" s="5">
        <f>Info!$B$43</f>
        <v>0.5</v>
      </c>
      <c r="P432" s="7">
        <f t="shared" si="22"/>
        <v>7.1428571428571425E-2</v>
      </c>
      <c r="Q432" s="7">
        <f t="shared" si="21"/>
        <v>3.5714285714285712E-2</v>
      </c>
      <c r="R432">
        <f t="shared" si="20"/>
        <v>0</v>
      </c>
    </row>
    <row r="433" spans="1:18" x14ac:dyDescent="0.2">
      <c r="A433" s="67" t="s">
        <v>2141</v>
      </c>
      <c r="B433" s="4" t="s">
        <v>2142</v>
      </c>
      <c r="J433" s="5">
        <f>Info!$B$43</f>
        <v>0.5</v>
      </c>
      <c r="P433" s="7">
        <f t="shared" si="22"/>
        <v>7.1428571428571425E-2</v>
      </c>
      <c r="Q433" s="7">
        <f t="shared" si="21"/>
        <v>3.5714285714285712E-2</v>
      </c>
      <c r="R433">
        <f t="shared" si="20"/>
        <v>0</v>
      </c>
    </row>
    <row r="434" spans="1:18" x14ac:dyDescent="0.2">
      <c r="A434" s="67" t="s">
        <v>2143</v>
      </c>
      <c r="B434" s="4" t="s">
        <v>2144</v>
      </c>
      <c r="J434" s="5">
        <f>Info!$B$43</f>
        <v>0.5</v>
      </c>
      <c r="P434" s="7">
        <f t="shared" si="22"/>
        <v>7.1428571428571425E-2</v>
      </c>
      <c r="Q434" s="7">
        <f t="shared" si="21"/>
        <v>3.5714285714285712E-2</v>
      </c>
      <c r="R434">
        <f t="shared" si="20"/>
        <v>0</v>
      </c>
    </row>
    <row r="435" spans="1:18" x14ac:dyDescent="0.2">
      <c r="A435" s="67" t="s">
        <v>2145</v>
      </c>
      <c r="B435" s="4" t="s">
        <v>2146</v>
      </c>
      <c r="J435" s="5">
        <f>Info!$B$43</f>
        <v>0.5</v>
      </c>
      <c r="P435" s="7">
        <f t="shared" si="22"/>
        <v>7.1428571428571425E-2</v>
      </c>
      <c r="Q435" s="7">
        <f t="shared" si="21"/>
        <v>3.5714285714285712E-2</v>
      </c>
      <c r="R435">
        <f t="shared" si="20"/>
        <v>0</v>
      </c>
    </row>
    <row r="436" spans="1:18" x14ac:dyDescent="0.2">
      <c r="A436" s="67" t="s">
        <v>2147</v>
      </c>
      <c r="B436" s="4" t="s">
        <v>2148</v>
      </c>
      <c r="J436" s="5">
        <f>Info!$B$43</f>
        <v>0.5</v>
      </c>
      <c r="P436" s="7">
        <f t="shared" si="22"/>
        <v>7.1428571428571425E-2</v>
      </c>
      <c r="Q436" s="7">
        <f t="shared" si="21"/>
        <v>3.5714285714285712E-2</v>
      </c>
      <c r="R436">
        <f t="shared" si="20"/>
        <v>0</v>
      </c>
    </row>
    <row r="437" spans="1:18" x14ac:dyDescent="0.2">
      <c r="A437" s="67" t="s">
        <v>2149</v>
      </c>
      <c r="B437" s="4" t="s">
        <v>2150</v>
      </c>
      <c r="J437" s="5">
        <f>Info!$B$43</f>
        <v>0.5</v>
      </c>
      <c r="P437" s="7">
        <f t="shared" si="22"/>
        <v>7.1428571428571425E-2</v>
      </c>
      <c r="Q437" s="7">
        <f t="shared" si="21"/>
        <v>3.5714285714285712E-2</v>
      </c>
      <c r="R437">
        <f t="shared" si="20"/>
        <v>0</v>
      </c>
    </row>
    <row r="438" spans="1:18" x14ac:dyDescent="0.2">
      <c r="A438" s="67" t="s">
        <v>2151</v>
      </c>
      <c r="B438" s="4" t="s">
        <v>2152</v>
      </c>
      <c r="J438" s="5">
        <f>Info!$B$43</f>
        <v>0.5</v>
      </c>
      <c r="P438" s="7">
        <f t="shared" si="22"/>
        <v>7.1428571428571425E-2</v>
      </c>
      <c r="Q438" s="7">
        <f t="shared" si="21"/>
        <v>3.5714285714285712E-2</v>
      </c>
      <c r="R438">
        <f t="shared" si="20"/>
        <v>0</v>
      </c>
    </row>
    <row r="439" spans="1:18" x14ac:dyDescent="0.2">
      <c r="A439" s="67" t="s">
        <v>2153</v>
      </c>
      <c r="B439" s="4" t="s">
        <v>2154</v>
      </c>
      <c r="J439" s="5">
        <f>Info!$B$43</f>
        <v>0.5</v>
      </c>
      <c r="P439" s="7">
        <f t="shared" si="22"/>
        <v>7.1428571428571425E-2</v>
      </c>
      <c r="Q439" s="7">
        <f t="shared" si="21"/>
        <v>3.5714285714285712E-2</v>
      </c>
      <c r="R439">
        <f t="shared" si="20"/>
        <v>0</v>
      </c>
    </row>
    <row r="440" spans="1:18" x14ac:dyDescent="0.2">
      <c r="A440" s="67" t="s">
        <v>2155</v>
      </c>
      <c r="B440" s="4" t="s">
        <v>2156</v>
      </c>
      <c r="J440" s="5">
        <f>Info!$B$43</f>
        <v>0.5</v>
      </c>
      <c r="P440" s="7">
        <f t="shared" si="22"/>
        <v>7.1428571428571425E-2</v>
      </c>
      <c r="Q440" s="7">
        <f t="shared" si="21"/>
        <v>3.5714285714285712E-2</v>
      </c>
      <c r="R440">
        <f t="shared" si="20"/>
        <v>0</v>
      </c>
    </row>
    <row r="441" spans="1:18" x14ac:dyDescent="0.2">
      <c r="A441" s="67" t="s">
        <v>2157</v>
      </c>
      <c r="B441" s="4" t="s">
        <v>2158</v>
      </c>
      <c r="J441" s="5">
        <f>Info!$B$43</f>
        <v>0.5</v>
      </c>
      <c r="P441" s="7">
        <f t="shared" si="22"/>
        <v>7.1428571428571425E-2</v>
      </c>
      <c r="Q441" s="7">
        <f t="shared" si="21"/>
        <v>3.5714285714285712E-2</v>
      </c>
      <c r="R441">
        <f t="shared" si="20"/>
        <v>0</v>
      </c>
    </row>
    <row r="442" spans="1:18" x14ac:dyDescent="0.2">
      <c r="A442" s="67" t="s">
        <v>2159</v>
      </c>
      <c r="B442" s="4" t="s">
        <v>2160</v>
      </c>
      <c r="J442" s="5">
        <f>Info!$B$43</f>
        <v>0.5</v>
      </c>
      <c r="P442" s="7">
        <f t="shared" si="22"/>
        <v>7.1428571428571425E-2</v>
      </c>
      <c r="Q442" s="7">
        <f t="shared" si="21"/>
        <v>3.5714285714285712E-2</v>
      </c>
      <c r="R442">
        <f t="shared" si="20"/>
        <v>0</v>
      </c>
    </row>
    <row r="443" spans="1:18" x14ac:dyDescent="0.2">
      <c r="A443" s="67" t="s">
        <v>2161</v>
      </c>
      <c r="B443" s="4" t="s">
        <v>2162</v>
      </c>
      <c r="J443" s="5">
        <f>Info!$B$43</f>
        <v>0.5</v>
      </c>
      <c r="P443" s="7">
        <f t="shared" si="22"/>
        <v>7.1428571428571425E-2</v>
      </c>
      <c r="Q443" s="7">
        <f t="shared" si="21"/>
        <v>3.5714285714285712E-2</v>
      </c>
      <c r="R443">
        <f t="shared" si="20"/>
        <v>0</v>
      </c>
    </row>
    <row r="444" spans="1:18" x14ac:dyDescent="0.2">
      <c r="A444" s="67" t="s">
        <v>2163</v>
      </c>
      <c r="B444" s="4" t="s">
        <v>2164</v>
      </c>
      <c r="J444" s="5">
        <f>Info!$B$43</f>
        <v>0.5</v>
      </c>
      <c r="P444" s="7">
        <f t="shared" si="22"/>
        <v>7.1428571428571425E-2</v>
      </c>
      <c r="Q444" s="7">
        <f t="shared" si="21"/>
        <v>3.5714285714285712E-2</v>
      </c>
      <c r="R444">
        <f t="shared" si="20"/>
        <v>0</v>
      </c>
    </row>
    <row r="445" spans="1:18" x14ac:dyDescent="0.2">
      <c r="A445" s="67" t="s">
        <v>2165</v>
      </c>
      <c r="B445" s="4" t="s">
        <v>2166</v>
      </c>
      <c r="J445" s="5">
        <f>Info!$B$43</f>
        <v>0.5</v>
      </c>
      <c r="P445" s="7">
        <f t="shared" si="22"/>
        <v>7.1428571428571425E-2</v>
      </c>
      <c r="Q445" s="7">
        <f t="shared" si="21"/>
        <v>3.5714285714285712E-2</v>
      </c>
      <c r="R445">
        <f t="shared" si="20"/>
        <v>0</v>
      </c>
    </row>
    <row r="446" spans="1:18" x14ac:dyDescent="0.2">
      <c r="A446" s="67" t="s">
        <v>2167</v>
      </c>
      <c r="B446" s="4" t="s">
        <v>2168</v>
      </c>
      <c r="J446" s="5">
        <f>Info!$B$43</f>
        <v>0.5</v>
      </c>
      <c r="P446" s="7">
        <f t="shared" si="22"/>
        <v>7.1428571428571425E-2</v>
      </c>
      <c r="Q446" s="7">
        <f t="shared" si="21"/>
        <v>3.5714285714285712E-2</v>
      </c>
      <c r="R446">
        <f t="shared" si="20"/>
        <v>0</v>
      </c>
    </row>
    <row r="447" spans="1:18" x14ac:dyDescent="0.2">
      <c r="A447" s="67" t="s">
        <v>2169</v>
      </c>
      <c r="B447" s="4" t="s">
        <v>2170</v>
      </c>
      <c r="J447" s="5">
        <f>Info!$B$43</f>
        <v>0.5</v>
      </c>
      <c r="P447" s="7">
        <f t="shared" si="22"/>
        <v>7.1428571428571425E-2</v>
      </c>
      <c r="Q447" s="7">
        <f t="shared" si="21"/>
        <v>3.5714285714285712E-2</v>
      </c>
      <c r="R447">
        <f t="shared" si="20"/>
        <v>0</v>
      </c>
    </row>
    <row r="448" spans="1:18" x14ac:dyDescent="0.2">
      <c r="A448" s="67" t="s">
        <v>2171</v>
      </c>
      <c r="B448" s="4" t="s">
        <v>2172</v>
      </c>
      <c r="J448" s="5">
        <f>Info!$B$43</f>
        <v>0.5</v>
      </c>
      <c r="P448" s="7">
        <f t="shared" si="22"/>
        <v>7.1428571428571425E-2</v>
      </c>
      <c r="Q448" s="7">
        <f t="shared" si="21"/>
        <v>3.5714285714285712E-2</v>
      </c>
      <c r="R448">
        <f t="shared" si="20"/>
        <v>0</v>
      </c>
    </row>
    <row r="449" spans="1:18" x14ac:dyDescent="0.2">
      <c r="A449" s="67" t="s">
        <v>2173</v>
      </c>
      <c r="B449" s="4" t="s">
        <v>2174</v>
      </c>
      <c r="J449" s="5">
        <f>Info!$B$43</f>
        <v>0.5</v>
      </c>
      <c r="P449" s="7">
        <f t="shared" si="22"/>
        <v>7.1428571428571425E-2</v>
      </c>
      <c r="Q449" s="7">
        <f t="shared" si="21"/>
        <v>3.5714285714285712E-2</v>
      </c>
      <c r="R449">
        <f t="shared" si="20"/>
        <v>0</v>
      </c>
    </row>
    <row r="450" spans="1:18" x14ac:dyDescent="0.2">
      <c r="A450" s="67" t="s">
        <v>2175</v>
      </c>
      <c r="B450" s="4" t="s">
        <v>2176</v>
      </c>
      <c r="J450" s="5">
        <f>Info!$B$43</f>
        <v>0.5</v>
      </c>
      <c r="P450" s="7">
        <f t="shared" si="22"/>
        <v>7.1428571428571425E-2</v>
      </c>
      <c r="Q450" s="7">
        <f t="shared" si="21"/>
        <v>3.5714285714285712E-2</v>
      </c>
      <c r="R450">
        <f t="shared" ref="R450:R513" si="23">IF(_xlfn.BITAND(P450&gt;0.4999, Q450&gt;0.4999)=1,1,0)</f>
        <v>0</v>
      </c>
    </row>
    <row r="451" spans="1:18" x14ac:dyDescent="0.2">
      <c r="A451" s="67" t="s">
        <v>2177</v>
      </c>
      <c r="B451" s="4" t="s">
        <v>2178</v>
      </c>
      <c r="J451" s="5">
        <f>Info!$B$43</f>
        <v>0.5</v>
      </c>
      <c r="P451" s="7">
        <f t="shared" si="22"/>
        <v>7.1428571428571425E-2</v>
      </c>
      <c r="Q451" s="7">
        <f t="shared" si="21"/>
        <v>3.5714285714285712E-2</v>
      </c>
      <c r="R451">
        <f t="shared" si="23"/>
        <v>0</v>
      </c>
    </row>
    <row r="452" spans="1:18" x14ac:dyDescent="0.2">
      <c r="A452" s="67" t="s">
        <v>2179</v>
      </c>
      <c r="B452" s="4" t="s">
        <v>2180</v>
      </c>
      <c r="J452" s="5">
        <f>Info!$B$43</f>
        <v>0.5</v>
      </c>
      <c r="P452" s="7">
        <f t="shared" si="22"/>
        <v>7.1428571428571425E-2</v>
      </c>
      <c r="Q452" s="7">
        <f t="shared" si="21"/>
        <v>3.5714285714285712E-2</v>
      </c>
      <c r="R452">
        <f t="shared" si="23"/>
        <v>0</v>
      </c>
    </row>
    <row r="453" spans="1:18" x14ac:dyDescent="0.2">
      <c r="A453" s="67" t="s">
        <v>2181</v>
      </c>
      <c r="B453" s="4" t="s">
        <v>2182</v>
      </c>
      <c r="J453" s="5">
        <f>Info!$B$43</f>
        <v>0.5</v>
      </c>
      <c r="P453" s="7">
        <f t="shared" si="22"/>
        <v>7.1428571428571425E-2</v>
      </c>
      <c r="Q453" s="7">
        <f t="shared" si="21"/>
        <v>3.5714285714285712E-2</v>
      </c>
      <c r="R453">
        <f t="shared" si="23"/>
        <v>0</v>
      </c>
    </row>
    <row r="454" spans="1:18" x14ac:dyDescent="0.2">
      <c r="A454" s="67" t="s">
        <v>2183</v>
      </c>
      <c r="B454" s="4" t="s">
        <v>2184</v>
      </c>
      <c r="J454" s="5">
        <f>Info!$B$43</f>
        <v>0.5</v>
      </c>
      <c r="P454" s="7">
        <f t="shared" si="22"/>
        <v>7.1428571428571425E-2</v>
      </c>
      <c r="Q454" s="7">
        <f t="shared" si="21"/>
        <v>3.5714285714285712E-2</v>
      </c>
      <c r="R454">
        <f t="shared" si="23"/>
        <v>0</v>
      </c>
    </row>
    <row r="455" spans="1:18" x14ac:dyDescent="0.2">
      <c r="A455" s="67" t="s">
        <v>2185</v>
      </c>
      <c r="B455" s="4" t="s">
        <v>2186</v>
      </c>
      <c r="J455" s="5">
        <f>Info!$B$43</f>
        <v>0.5</v>
      </c>
      <c r="P455" s="7">
        <f t="shared" si="22"/>
        <v>7.1428571428571425E-2</v>
      </c>
      <c r="Q455" s="7">
        <f t="shared" si="21"/>
        <v>3.5714285714285712E-2</v>
      </c>
      <c r="R455">
        <f t="shared" si="23"/>
        <v>0</v>
      </c>
    </row>
    <row r="456" spans="1:18" x14ac:dyDescent="0.2">
      <c r="A456" s="67" t="s">
        <v>2187</v>
      </c>
      <c r="B456" s="4" t="s">
        <v>2188</v>
      </c>
      <c r="J456" s="5">
        <f>Info!$B$43</f>
        <v>0.5</v>
      </c>
      <c r="P456" s="7">
        <f t="shared" si="22"/>
        <v>7.1428571428571425E-2</v>
      </c>
      <c r="Q456" s="7">
        <f t="shared" si="21"/>
        <v>3.5714285714285712E-2</v>
      </c>
      <c r="R456">
        <f t="shared" si="23"/>
        <v>0</v>
      </c>
    </row>
    <row r="457" spans="1:18" x14ac:dyDescent="0.2">
      <c r="A457" s="67" t="s">
        <v>2189</v>
      </c>
      <c r="B457" s="4" t="s">
        <v>2190</v>
      </c>
      <c r="J457" s="5">
        <f>Info!$B$43</f>
        <v>0.5</v>
      </c>
      <c r="P457" s="7">
        <f t="shared" si="22"/>
        <v>7.1428571428571425E-2</v>
      </c>
      <c r="Q457" s="7">
        <f t="shared" si="21"/>
        <v>3.5714285714285712E-2</v>
      </c>
      <c r="R457">
        <f t="shared" si="23"/>
        <v>0</v>
      </c>
    </row>
    <row r="458" spans="1:18" x14ac:dyDescent="0.2">
      <c r="A458" s="67" t="s">
        <v>2191</v>
      </c>
      <c r="B458" s="4" t="s">
        <v>2192</v>
      </c>
      <c r="J458" s="5">
        <f>Info!$B$43</f>
        <v>0.5</v>
      </c>
      <c r="P458" s="7">
        <f t="shared" si="22"/>
        <v>7.1428571428571425E-2</v>
      </c>
      <c r="Q458" s="7">
        <f t="shared" si="21"/>
        <v>3.5714285714285712E-2</v>
      </c>
      <c r="R458">
        <f t="shared" si="23"/>
        <v>0</v>
      </c>
    </row>
    <row r="459" spans="1:18" x14ac:dyDescent="0.2">
      <c r="A459" s="67" t="s">
        <v>2193</v>
      </c>
      <c r="B459" s="4" t="s">
        <v>2194</v>
      </c>
      <c r="J459" s="5">
        <f>Info!$B$43</f>
        <v>0.5</v>
      </c>
      <c r="P459" s="7">
        <f t="shared" si="22"/>
        <v>7.1428571428571425E-2</v>
      </c>
      <c r="Q459" s="7">
        <f t="shared" si="21"/>
        <v>3.5714285714285712E-2</v>
      </c>
      <c r="R459">
        <f t="shared" si="23"/>
        <v>0</v>
      </c>
    </row>
    <row r="460" spans="1:18" x14ac:dyDescent="0.2">
      <c r="A460" s="67" t="s">
        <v>2195</v>
      </c>
      <c r="B460" s="4" t="s">
        <v>2196</v>
      </c>
      <c r="J460" s="5">
        <f>Info!$B$43</f>
        <v>0.5</v>
      </c>
      <c r="P460" s="7">
        <f t="shared" si="22"/>
        <v>7.1428571428571425E-2</v>
      </c>
      <c r="Q460" s="7">
        <f t="shared" si="21"/>
        <v>3.5714285714285712E-2</v>
      </c>
      <c r="R460">
        <f t="shared" si="23"/>
        <v>0</v>
      </c>
    </row>
    <row r="461" spans="1:18" x14ac:dyDescent="0.2">
      <c r="A461" s="67" t="s">
        <v>2197</v>
      </c>
      <c r="B461" s="4" t="s">
        <v>2198</v>
      </c>
      <c r="J461" s="5">
        <f>Info!$B$43</f>
        <v>0.5</v>
      </c>
      <c r="P461" s="7">
        <f t="shared" si="22"/>
        <v>7.1428571428571425E-2</v>
      </c>
      <c r="Q461" s="7">
        <f t="shared" ref="Q461:Q524" si="24">(O461+P461)/2</f>
        <v>3.5714285714285712E-2</v>
      </c>
      <c r="R461">
        <f t="shared" si="23"/>
        <v>0</v>
      </c>
    </row>
    <row r="462" spans="1:18" x14ac:dyDescent="0.2">
      <c r="A462" s="67" t="s">
        <v>2199</v>
      </c>
      <c r="B462" s="4" t="s">
        <v>2200</v>
      </c>
      <c r="J462" s="5">
        <f>Info!$B$43</f>
        <v>0.5</v>
      </c>
      <c r="P462" s="7">
        <f t="shared" si="22"/>
        <v>7.1428571428571425E-2</v>
      </c>
      <c r="Q462" s="7">
        <f t="shared" si="24"/>
        <v>3.5714285714285712E-2</v>
      </c>
      <c r="R462">
        <f t="shared" si="23"/>
        <v>0</v>
      </c>
    </row>
    <row r="463" spans="1:18" x14ac:dyDescent="0.2">
      <c r="A463" s="67" t="s">
        <v>2201</v>
      </c>
      <c r="B463" s="4" t="s">
        <v>2202</v>
      </c>
      <c r="J463" s="5">
        <f>Info!$B$43</f>
        <v>0.5</v>
      </c>
      <c r="P463" s="7">
        <f t="shared" si="22"/>
        <v>7.1428571428571425E-2</v>
      </c>
      <c r="Q463" s="7">
        <f t="shared" si="24"/>
        <v>3.5714285714285712E-2</v>
      </c>
      <c r="R463">
        <f t="shared" si="23"/>
        <v>0</v>
      </c>
    </row>
    <row r="464" spans="1:18" x14ac:dyDescent="0.2">
      <c r="A464" s="67" t="s">
        <v>2203</v>
      </c>
      <c r="B464" s="4" t="s">
        <v>2204</v>
      </c>
      <c r="J464" s="5">
        <f>Info!$B$43</f>
        <v>0.5</v>
      </c>
      <c r="P464" s="7">
        <f t="shared" si="22"/>
        <v>7.1428571428571425E-2</v>
      </c>
      <c r="Q464" s="7">
        <f t="shared" si="24"/>
        <v>3.5714285714285712E-2</v>
      </c>
      <c r="R464">
        <f t="shared" si="23"/>
        <v>0</v>
      </c>
    </row>
    <row r="465" spans="1:18" x14ac:dyDescent="0.2">
      <c r="A465" s="67" t="s">
        <v>2205</v>
      </c>
      <c r="B465" s="4" t="s">
        <v>2206</v>
      </c>
      <c r="J465" s="5">
        <f>Info!$B$43</f>
        <v>0.5</v>
      </c>
      <c r="P465" s="7">
        <f t="shared" si="22"/>
        <v>7.1428571428571425E-2</v>
      </c>
      <c r="Q465" s="7">
        <f t="shared" si="24"/>
        <v>3.5714285714285712E-2</v>
      </c>
      <c r="R465">
        <f t="shared" si="23"/>
        <v>0</v>
      </c>
    </row>
    <row r="466" spans="1:18" x14ac:dyDescent="0.2">
      <c r="A466" s="67" t="s">
        <v>2207</v>
      </c>
      <c r="B466" s="4" t="s">
        <v>2208</v>
      </c>
      <c r="J466" s="5">
        <f>Info!$B$43</f>
        <v>0.5</v>
      </c>
      <c r="P466" s="7">
        <f t="shared" si="22"/>
        <v>7.1428571428571425E-2</v>
      </c>
      <c r="Q466" s="7">
        <f t="shared" si="24"/>
        <v>3.5714285714285712E-2</v>
      </c>
      <c r="R466">
        <f t="shared" si="23"/>
        <v>0</v>
      </c>
    </row>
    <row r="467" spans="1:18" x14ac:dyDescent="0.2">
      <c r="A467" s="67" t="s">
        <v>2209</v>
      </c>
      <c r="B467" s="4" t="s">
        <v>2210</v>
      </c>
      <c r="J467" s="5">
        <f>Info!$B$43</f>
        <v>0.5</v>
      </c>
      <c r="P467" s="7">
        <f t="shared" si="22"/>
        <v>7.1428571428571425E-2</v>
      </c>
      <c r="Q467" s="7">
        <f t="shared" si="24"/>
        <v>3.5714285714285712E-2</v>
      </c>
      <c r="R467">
        <f t="shared" si="23"/>
        <v>0</v>
      </c>
    </row>
    <row r="468" spans="1:18" x14ac:dyDescent="0.2">
      <c r="A468" s="67" t="s">
        <v>2211</v>
      </c>
      <c r="B468" s="4" t="s">
        <v>2212</v>
      </c>
      <c r="J468" s="5">
        <f>Info!$B$43</f>
        <v>0.5</v>
      </c>
      <c r="P468" s="7">
        <f t="shared" si="22"/>
        <v>7.1428571428571425E-2</v>
      </c>
      <c r="Q468" s="7">
        <f t="shared" si="24"/>
        <v>3.5714285714285712E-2</v>
      </c>
      <c r="R468">
        <f t="shared" si="23"/>
        <v>0</v>
      </c>
    </row>
    <row r="469" spans="1:18" x14ac:dyDescent="0.2">
      <c r="A469" s="67" t="s">
        <v>2213</v>
      </c>
      <c r="B469" s="4" t="s">
        <v>2214</v>
      </c>
      <c r="J469" s="5">
        <f>Info!$B$43</f>
        <v>0.5</v>
      </c>
      <c r="P469" s="7">
        <f t="shared" ref="P469:P532" si="25">(D469+E469+F469+G469+H469+I469+J469)/7</f>
        <v>7.1428571428571425E-2</v>
      </c>
      <c r="Q469" s="7">
        <f t="shared" si="24"/>
        <v>3.5714285714285712E-2</v>
      </c>
      <c r="R469">
        <f t="shared" si="23"/>
        <v>0</v>
      </c>
    </row>
    <row r="470" spans="1:18" x14ac:dyDescent="0.2">
      <c r="A470" s="67" t="s">
        <v>2215</v>
      </c>
      <c r="B470" s="4" t="s">
        <v>2216</v>
      </c>
      <c r="J470" s="5">
        <f>Info!$B$43</f>
        <v>0.5</v>
      </c>
      <c r="P470" s="7">
        <f t="shared" si="25"/>
        <v>7.1428571428571425E-2</v>
      </c>
      <c r="Q470" s="7">
        <f t="shared" si="24"/>
        <v>3.5714285714285712E-2</v>
      </c>
      <c r="R470">
        <f t="shared" si="23"/>
        <v>0</v>
      </c>
    </row>
    <row r="471" spans="1:18" x14ac:dyDescent="0.2">
      <c r="A471" s="67" t="s">
        <v>2217</v>
      </c>
      <c r="B471" s="4" t="s">
        <v>2218</v>
      </c>
      <c r="J471" s="5">
        <f>Info!$B$43</f>
        <v>0.5</v>
      </c>
      <c r="P471" s="7">
        <f t="shared" si="25"/>
        <v>7.1428571428571425E-2</v>
      </c>
      <c r="Q471" s="7">
        <f t="shared" si="24"/>
        <v>3.5714285714285712E-2</v>
      </c>
      <c r="R471">
        <f t="shared" si="23"/>
        <v>0</v>
      </c>
    </row>
    <row r="472" spans="1:18" x14ac:dyDescent="0.2">
      <c r="A472" s="67" t="s">
        <v>2219</v>
      </c>
      <c r="B472" s="4" t="s">
        <v>2220</v>
      </c>
      <c r="J472" s="5">
        <f>Info!$B$43</f>
        <v>0.5</v>
      </c>
      <c r="P472" s="7">
        <f t="shared" si="25"/>
        <v>7.1428571428571425E-2</v>
      </c>
      <c r="Q472" s="7">
        <f t="shared" si="24"/>
        <v>3.5714285714285712E-2</v>
      </c>
      <c r="R472">
        <f t="shared" si="23"/>
        <v>0</v>
      </c>
    </row>
    <row r="473" spans="1:18" x14ac:dyDescent="0.2">
      <c r="A473" s="67" t="s">
        <v>2221</v>
      </c>
      <c r="B473" s="4" t="s">
        <v>2222</v>
      </c>
      <c r="J473" s="5">
        <f>Info!$B$43</f>
        <v>0.5</v>
      </c>
      <c r="P473" s="7">
        <f t="shared" si="25"/>
        <v>7.1428571428571425E-2</v>
      </c>
      <c r="Q473" s="7">
        <f t="shared" si="24"/>
        <v>3.5714285714285712E-2</v>
      </c>
      <c r="R473">
        <f t="shared" si="23"/>
        <v>0</v>
      </c>
    </row>
    <row r="474" spans="1:18" x14ac:dyDescent="0.2">
      <c r="A474" s="67" t="s">
        <v>2223</v>
      </c>
      <c r="B474" s="4" t="s">
        <v>2224</v>
      </c>
      <c r="J474" s="5">
        <f>Info!$B$43</f>
        <v>0.5</v>
      </c>
      <c r="P474" s="7">
        <f t="shared" si="25"/>
        <v>7.1428571428571425E-2</v>
      </c>
      <c r="Q474" s="7">
        <f t="shared" si="24"/>
        <v>3.5714285714285712E-2</v>
      </c>
      <c r="R474">
        <f t="shared" si="23"/>
        <v>0</v>
      </c>
    </row>
    <row r="475" spans="1:18" x14ac:dyDescent="0.2">
      <c r="A475" s="67" t="s">
        <v>2225</v>
      </c>
      <c r="B475" s="4" t="s">
        <v>2226</v>
      </c>
      <c r="J475" s="5">
        <f>Info!$B$43</f>
        <v>0.5</v>
      </c>
      <c r="P475" s="7">
        <f t="shared" si="25"/>
        <v>7.1428571428571425E-2</v>
      </c>
      <c r="Q475" s="7">
        <f t="shared" si="24"/>
        <v>3.5714285714285712E-2</v>
      </c>
      <c r="R475">
        <f t="shared" si="23"/>
        <v>0</v>
      </c>
    </row>
    <row r="476" spans="1:18" x14ac:dyDescent="0.2">
      <c r="A476" s="67" t="s">
        <v>2227</v>
      </c>
      <c r="B476" s="4" t="s">
        <v>2228</v>
      </c>
      <c r="J476" s="5">
        <f>Info!$B$43</f>
        <v>0.5</v>
      </c>
      <c r="P476" s="7">
        <f t="shared" si="25"/>
        <v>7.1428571428571425E-2</v>
      </c>
      <c r="Q476" s="7">
        <f t="shared" si="24"/>
        <v>3.5714285714285712E-2</v>
      </c>
      <c r="R476">
        <f t="shared" si="23"/>
        <v>0</v>
      </c>
    </row>
    <row r="477" spans="1:18" x14ac:dyDescent="0.2">
      <c r="A477" s="67" t="s">
        <v>2229</v>
      </c>
      <c r="B477" s="4" t="s">
        <v>2230</v>
      </c>
      <c r="J477" s="5">
        <f>Info!$B$43</f>
        <v>0.5</v>
      </c>
      <c r="P477" s="7">
        <f t="shared" si="25"/>
        <v>7.1428571428571425E-2</v>
      </c>
      <c r="Q477" s="7">
        <f t="shared" si="24"/>
        <v>3.5714285714285712E-2</v>
      </c>
      <c r="R477">
        <f t="shared" si="23"/>
        <v>0</v>
      </c>
    </row>
    <row r="478" spans="1:18" x14ac:dyDescent="0.2">
      <c r="A478" s="67" t="s">
        <v>2231</v>
      </c>
      <c r="B478" s="4" t="s">
        <v>2232</v>
      </c>
      <c r="J478" s="5">
        <f>Info!$B$43</f>
        <v>0.5</v>
      </c>
      <c r="P478" s="7">
        <f t="shared" si="25"/>
        <v>7.1428571428571425E-2</v>
      </c>
      <c r="Q478" s="7">
        <f t="shared" si="24"/>
        <v>3.5714285714285712E-2</v>
      </c>
      <c r="R478">
        <f t="shared" si="23"/>
        <v>0</v>
      </c>
    </row>
    <row r="479" spans="1:18" x14ac:dyDescent="0.2">
      <c r="A479" s="67" t="s">
        <v>2233</v>
      </c>
      <c r="B479" s="4" t="s">
        <v>2234</v>
      </c>
      <c r="J479" s="5">
        <f>Info!$B$43</f>
        <v>0.5</v>
      </c>
      <c r="P479" s="7">
        <f t="shared" si="25"/>
        <v>7.1428571428571425E-2</v>
      </c>
      <c r="Q479" s="7">
        <f t="shared" si="24"/>
        <v>3.5714285714285712E-2</v>
      </c>
      <c r="R479">
        <f t="shared" si="23"/>
        <v>0</v>
      </c>
    </row>
    <row r="480" spans="1:18" x14ac:dyDescent="0.2">
      <c r="A480" s="67" t="s">
        <v>2235</v>
      </c>
      <c r="B480" s="4" t="s">
        <v>2236</v>
      </c>
      <c r="J480" s="5">
        <f>Info!$B$43</f>
        <v>0.5</v>
      </c>
      <c r="P480" s="7">
        <f t="shared" si="25"/>
        <v>7.1428571428571425E-2</v>
      </c>
      <c r="Q480" s="7">
        <f t="shared" si="24"/>
        <v>3.5714285714285712E-2</v>
      </c>
      <c r="R480">
        <f t="shared" si="23"/>
        <v>0</v>
      </c>
    </row>
    <row r="481" spans="1:18" x14ac:dyDescent="0.2">
      <c r="A481" s="67" t="s">
        <v>2237</v>
      </c>
      <c r="B481" s="4" t="s">
        <v>2238</v>
      </c>
      <c r="J481" s="5">
        <f>Info!$B$43</f>
        <v>0.5</v>
      </c>
      <c r="P481" s="7">
        <f t="shared" si="25"/>
        <v>7.1428571428571425E-2</v>
      </c>
      <c r="Q481" s="7">
        <f t="shared" si="24"/>
        <v>3.5714285714285712E-2</v>
      </c>
      <c r="R481">
        <f t="shared" si="23"/>
        <v>0</v>
      </c>
    </row>
    <row r="482" spans="1:18" x14ac:dyDescent="0.2">
      <c r="A482" s="67" t="s">
        <v>2239</v>
      </c>
      <c r="B482" s="4" t="s">
        <v>2240</v>
      </c>
      <c r="J482" s="5">
        <f>Info!$B$43</f>
        <v>0.5</v>
      </c>
      <c r="P482" s="7">
        <f t="shared" si="25"/>
        <v>7.1428571428571425E-2</v>
      </c>
      <c r="Q482" s="7">
        <f t="shared" si="24"/>
        <v>3.5714285714285712E-2</v>
      </c>
      <c r="R482">
        <f t="shared" si="23"/>
        <v>0</v>
      </c>
    </row>
    <row r="483" spans="1:18" x14ac:dyDescent="0.2">
      <c r="A483" s="67" t="s">
        <v>2241</v>
      </c>
      <c r="B483" s="4" t="s">
        <v>2242</v>
      </c>
      <c r="J483" s="5">
        <f>Info!$B$43</f>
        <v>0.5</v>
      </c>
      <c r="P483" s="7">
        <f t="shared" si="25"/>
        <v>7.1428571428571425E-2</v>
      </c>
      <c r="Q483" s="7">
        <f t="shared" si="24"/>
        <v>3.5714285714285712E-2</v>
      </c>
      <c r="R483">
        <f t="shared" si="23"/>
        <v>0</v>
      </c>
    </row>
    <row r="484" spans="1:18" x14ac:dyDescent="0.2">
      <c r="A484" s="67" t="s">
        <v>2243</v>
      </c>
      <c r="B484" s="4" t="s">
        <v>2244</v>
      </c>
      <c r="J484" s="5">
        <f>Info!$B$43</f>
        <v>0.5</v>
      </c>
      <c r="P484" s="7">
        <f t="shared" si="25"/>
        <v>7.1428571428571425E-2</v>
      </c>
      <c r="Q484" s="7">
        <f t="shared" si="24"/>
        <v>3.5714285714285712E-2</v>
      </c>
      <c r="R484">
        <f t="shared" si="23"/>
        <v>0</v>
      </c>
    </row>
    <row r="485" spans="1:18" x14ac:dyDescent="0.2">
      <c r="A485" s="67" t="s">
        <v>2245</v>
      </c>
      <c r="B485" s="4" t="s">
        <v>2246</v>
      </c>
      <c r="J485" s="5">
        <f>Info!$B$43</f>
        <v>0.5</v>
      </c>
      <c r="P485" s="7">
        <f t="shared" si="25"/>
        <v>7.1428571428571425E-2</v>
      </c>
      <c r="Q485" s="7">
        <f t="shared" si="24"/>
        <v>3.5714285714285712E-2</v>
      </c>
      <c r="R485">
        <f t="shared" si="23"/>
        <v>0</v>
      </c>
    </row>
    <row r="486" spans="1:18" x14ac:dyDescent="0.2">
      <c r="A486" s="67" t="s">
        <v>2247</v>
      </c>
      <c r="B486" s="4" t="s">
        <v>2248</v>
      </c>
      <c r="J486" s="5">
        <f>Info!$B$43</f>
        <v>0.5</v>
      </c>
      <c r="P486" s="7">
        <f t="shared" si="25"/>
        <v>7.1428571428571425E-2</v>
      </c>
      <c r="Q486" s="7">
        <f t="shared" si="24"/>
        <v>3.5714285714285712E-2</v>
      </c>
      <c r="R486">
        <f t="shared" si="23"/>
        <v>0</v>
      </c>
    </row>
    <row r="487" spans="1:18" x14ac:dyDescent="0.2">
      <c r="A487" s="67" t="s">
        <v>2249</v>
      </c>
      <c r="B487" s="4" t="s">
        <v>2250</v>
      </c>
      <c r="J487" s="5">
        <f>Info!$B$43</f>
        <v>0.5</v>
      </c>
      <c r="P487" s="7">
        <f t="shared" si="25"/>
        <v>7.1428571428571425E-2</v>
      </c>
      <c r="Q487" s="7">
        <f t="shared" si="24"/>
        <v>3.5714285714285712E-2</v>
      </c>
      <c r="R487">
        <f t="shared" si="23"/>
        <v>0</v>
      </c>
    </row>
    <row r="488" spans="1:18" x14ac:dyDescent="0.2">
      <c r="A488" s="67" t="s">
        <v>2251</v>
      </c>
      <c r="B488" s="4" t="s">
        <v>2252</v>
      </c>
      <c r="J488" s="5">
        <f>Info!$B$43</f>
        <v>0.5</v>
      </c>
      <c r="P488" s="7">
        <f t="shared" si="25"/>
        <v>7.1428571428571425E-2</v>
      </c>
      <c r="Q488" s="7">
        <f t="shared" si="24"/>
        <v>3.5714285714285712E-2</v>
      </c>
      <c r="R488">
        <f t="shared" si="23"/>
        <v>0</v>
      </c>
    </row>
    <row r="489" spans="1:18" x14ac:dyDescent="0.2">
      <c r="A489" s="67" t="s">
        <v>2253</v>
      </c>
      <c r="B489" s="4" t="s">
        <v>2254</v>
      </c>
      <c r="J489" s="5">
        <f>Info!$B$43</f>
        <v>0.5</v>
      </c>
      <c r="P489" s="7">
        <f t="shared" si="25"/>
        <v>7.1428571428571425E-2</v>
      </c>
      <c r="Q489" s="7">
        <f t="shared" si="24"/>
        <v>3.5714285714285712E-2</v>
      </c>
      <c r="R489">
        <f t="shared" si="23"/>
        <v>0</v>
      </c>
    </row>
    <row r="490" spans="1:18" x14ac:dyDescent="0.2">
      <c r="A490" s="67" t="s">
        <v>2255</v>
      </c>
      <c r="B490" s="4" t="s">
        <v>2256</v>
      </c>
      <c r="J490" s="5">
        <f>Info!$B$43</f>
        <v>0.5</v>
      </c>
      <c r="P490" s="7">
        <f t="shared" si="25"/>
        <v>7.1428571428571425E-2</v>
      </c>
      <c r="Q490" s="7">
        <f t="shared" si="24"/>
        <v>3.5714285714285712E-2</v>
      </c>
      <c r="R490">
        <f t="shared" si="23"/>
        <v>0</v>
      </c>
    </row>
    <row r="491" spans="1:18" x14ac:dyDescent="0.2">
      <c r="A491" s="67" t="s">
        <v>2257</v>
      </c>
      <c r="B491" s="4" t="s">
        <v>2258</v>
      </c>
      <c r="J491" s="5">
        <f>Info!$B$43</f>
        <v>0.5</v>
      </c>
      <c r="P491" s="7">
        <f t="shared" si="25"/>
        <v>7.1428571428571425E-2</v>
      </c>
      <c r="Q491" s="7">
        <f t="shared" si="24"/>
        <v>3.5714285714285712E-2</v>
      </c>
      <c r="R491">
        <f t="shared" si="23"/>
        <v>0</v>
      </c>
    </row>
    <row r="492" spans="1:18" x14ac:dyDescent="0.2">
      <c r="A492" s="67" t="s">
        <v>2259</v>
      </c>
      <c r="B492" s="52" t="s">
        <v>2260</v>
      </c>
      <c r="D492" s="5">
        <f>Info!$B$17</f>
        <v>0</v>
      </c>
      <c r="E492" s="5">
        <f>Info!$B$21</f>
        <v>0.3</v>
      </c>
      <c r="F492" s="5">
        <f>Info!$B$27</f>
        <v>0</v>
      </c>
      <c r="G492" s="5">
        <f>Info!$B$32</f>
        <v>0</v>
      </c>
      <c r="H492" s="5">
        <f>Info!$B$37</f>
        <v>0</v>
      </c>
      <c r="I492" s="5">
        <f>Info!$B$40</f>
        <v>0</v>
      </c>
      <c r="J492" s="5">
        <f>Info!$B$44</f>
        <v>0</v>
      </c>
      <c r="P492" s="7">
        <f t="shared" si="25"/>
        <v>4.2857142857142858E-2</v>
      </c>
      <c r="Q492" s="7">
        <f t="shared" si="24"/>
        <v>2.1428571428571429E-2</v>
      </c>
      <c r="R492">
        <f t="shared" si="23"/>
        <v>0</v>
      </c>
    </row>
    <row r="493" spans="1:18" x14ac:dyDescent="0.2">
      <c r="A493" s="67" t="s">
        <v>2261</v>
      </c>
      <c r="B493" s="52" t="s">
        <v>2262</v>
      </c>
      <c r="D493" s="5">
        <f>Info!$B$17</f>
        <v>0</v>
      </c>
      <c r="E493" s="5">
        <f>Info!$B$21</f>
        <v>0.3</v>
      </c>
      <c r="F493" s="5">
        <f>Info!$B$27</f>
        <v>0</v>
      </c>
      <c r="G493" s="5">
        <f>Info!$B$32</f>
        <v>0</v>
      </c>
      <c r="H493" s="5">
        <f>Info!$B$37</f>
        <v>0</v>
      </c>
      <c r="I493" s="5">
        <f>Info!$B$40</f>
        <v>0</v>
      </c>
      <c r="J493" s="5">
        <f>Info!$B$44</f>
        <v>0</v>
      </c>
      <c r="P493" s="7">
        <f t="shared" si="25"/>
        <v>4.2857142857142858E-2</v>
      </c>
      <c r="Q493" s="7">
        <f t="shared" si="24"/>
        <v>2.1428571428571429E-2</v>
      </c>
      <c r="R493">
        <f t="shared" si="23"/>
        <v>0</v>
      </c>
    </row>
    <row r="494" spans="1:18" x14ac:dyDescent="0.2">
      <c r="A494" s="67" t="s">
        <v>2266</v>
      </c>
      <c r="B494" s="52" t="s">
        <v>2267</v>
      </c>
      <c r="D494" s="5">
        <f>Info!$B$17</f>
        <v>0</v>
      </c>
      <c r="E494" s="5">
        <f>Info!$B$22</f>
        <v>0</v>
      </c>
      <c r="F494" s="5">
        <f>Info!$B$27</f>
        <v>0</v>
      </c>
      <c r="G494" s="5">
        <f>Info!$B$32</f>
        <v>0</v>
      </c>
      <c r="H494" s="5">
        <f>Info!$B$37</f>
        <v>0</v>
      </c>
      <c r="I494" s="5">
        <f>Info!$B$40</f>
        <v>0</v>
      </c>
      <c r="J494" s="5">
        <f>Info!$B$44</f>
        <v>0</v>
      </c>
      <c r="P494" s="7">
        <f t="shared" si="25"/>
        <v>0</v>
      </c>
      <c r="Q494" s="7">
        <f t="shared" si="24"/>
        <v>0</v>
      </c>
      <c r="R494">
        <f t="shared" si="23"/>
        <v>0</v>
      </c>
    </row>
    <row r="495" spans="1:18" x14ac:dyDescent="0.2">
      <c r="A495" s="67" t="s">
        <v>2268</v>
      </c>
      <c r="B495" s="52" t="s">
        <v>2269</v>
      </c>
      <c r="D495" s="5">
        <f>Info!$B$17</f>
        <v>0</v>
      </c>
      <c r="E495" s="5">
        <f>Info!$B$22</f>
        <v>0</v>
      </c>
      <c r="F495" s="5">
        <f>Info!$B$27</f>
        <v>0</v>
      </c>
      <c r="G495" s="5">
        <f>Info!$B$32</f>
        <v>0</v>
      </c>
      <c r="H495" s="5">
        <f>Info!$B$37</f>
        <v>0</v>
      </c>
      <c r="I495" s="5">
        <f>Info!$B$40</f>
        <v>0</v>
      </c>
      <c r="J495" s="5">
        <f>Info!$B$44</f>
        <v>0</v>
      </c>
      <c r="P495" s="7">
        <f t="shared" si="25"/>
        <v>0</v>
      </c>
      <c r="Q495" s="7">
        <f t="shared" si="24"/>
        <v>0</v>
      </c>
      <c r="R495">
        <f t="shared" si="23"/>
        <v>0</v>
      </c>
    </row>
    <row r="496" spans="1:18" x14ac:dyDescent="0.2">
      <c r="A496" s="67" t="s">
        <v>2270</v>
      </c>
      <c r="B496" s="52" t="s">
        <v>2271</v>
      </c>
      <c r="D496" s="5">
        <f>Info!$B$17</f>
        <v>0</v>
      </c>
      <c r="E496" s="5">
        <f>Info!$B$22</f>
        <v>0</v>
      </c>
      <c r="F496" s="5">
        <f>Info!$B$27</f>
        <v>0</v>
      </c>
      <c r="G496" s="5">
        <f>Info!$B$32</f>
        <v>0</v>
      </c>
      <c r="H496" s="5">
        <f>Info!$B$37</f>
        <v>0</v>
      </c>
      <c r="I496" s="5">
        <f>Info!$B$40</f>
        <v>0</v>
      </c>
      <c r="J496" s="5">
        <f>Info!$B$44</f>
        <v>0</v>
      </c>
      <c r="P496" s="7">
        <f t="shared" si="25"/>
        <v>0</v>
      </c>
      <c r="Q496" s="7">
        <f t="shared" si="24"/>
        <v>0</v>
      </c>
      <c r="R496">
        <f t="shared" si="23"/>
        <v>0</v>
      </c>
    </row>
    <row r="497" spans="1:18" x14ac:dyDescent="0.2">
      <c r="A497" s="67" t="s">
        <v>2272</v>
      </c>
      <c r="B497" s="52" t="s">
        <v>2273</v>
      </c>
      <c r="D497" s="5">
        <f>Info!$B$17</f>
        <v>0</v>
      </c>
      <c r="E497" s="5">
        <f>Info!$B$22</f>
        <v>0</v>
      </c>
      <c r="F497" s="5">
        <f>Info!$B$27</f>
        <v>0</v>
      </c>
      <c r="G497" s="5">
        <f>Info!$B$32</f>
        <v>0</v>
      </c>
      <c r="H497" s="5">
        <f>Info!$B$37</f>
        <v>0</v>
      </c>
      <c r="I497" s="5">
        <f>Info!$B$40</f>
        <v>0</v>
      </c>
      <c r="J497" s="5">
        <f>Info!$B$44</f>
        <v>0</v>
      </c>
      <c r="P497" s="7">
        <f t="shared" si="25"/>
        <v>0</v>
      </c>
      <c r="Q497" s="7">
        <f t="shared" si="24"/>
        <v>0</v>
      </c>
      <c r="R497">
        <f t="shared" si="23"/>
        <v>0</v>
      </c>
    </row>
    <row r="498" spans="1:18" x14ac:dyDescent="0.2">
      <c r="A498" s="67" t="s">
        <v>2274</v>
      </c>
      <c r="B498" s="52" t="s">
        <v>2275</v>
      </c>
      <c r="D498" s="5">
        <f>Info!$B$17</f>
        <v>0</v>
      </c>
      <c r="E498" s="5">
        <f>Info!$B$22</f>
        <v>0</v>
      </c>
      <c r="F498" s="5">
        <f>Info!$B$27</f>
        <v>0</v>
      </c>
      <c r="G498" s="5">
        <f>Info!$B$32</f>
        <v>0</v>
      </c>
      <c r="H498" s="5">
        <f>Info!$B$37</f>
        <v>0</v>
      </c>
      <c r="I498" s="5">
        <f>Info!$B$40</f>
        <v>0</v>
      </c>
      <c r="J498" s="5">
        <f>Info!$B$44</f>
        <v>0</v>
      </c>
      <c r="P498" s="7">
        <f t="shared" si="25"/>
        <v>0</v>
      </c>
      <c r="Q498" s="7">
        <f t="shared" si="24"/>
        <v>0</v>
      </c>
      <c r="R498">
        <f t="shared" si="23"/>
        <v>0</v>
      </c>
    </row>
    <row r="499" spans="1:18" x14ac:dyDescent="0.2">
      <c r="A499" s="67" t="s">
        <v>2276</v>
      </c>
      <c r="B499" s="52" t="s">
        <v>2277</v>
      </c>
      <c r="D499" s="5">
        <f>Info!$B$17</f>
        <v>0</v>
      </c>
      <c r="E499" s="5">
        <f>Info!$B$22</f>
        <v>0</v>
      </c>
      <c r="F499" s="5">
        <f>Info!$B$27</f>
        <v>0</v>
      </c>
      <c r="G499" s="5">
        <f>Info!$B$32</f>
        <v>0</v>
      </c>
      <c r="H499" s="5">
        <f>Info!$B$37</f>
        <v>0</v>
      </c>
      <c r="I499" s="5">
        <f>Info!$B$40</f>
        <v>0</v>
      </c>
      <c r="J499" s="5">
        <f>Info!$B$44</f>
        <v>0</v>
      </c>
      <c r="P499" s="7">
        <f t="shared" si="25"/>
        <v>0</v>
      </c>
      <c r="Q499" s="7">
        <f t="shared" si="24"/>
        <v>0</v>
      </c>
      <c r="R499">
        <f t="shared" si="23"/>
        <v>0</v>
      </c>
    </row>
    <row r="500" spans="1:18" x14ac:dyDescent="0.2">
      <c r="A500" s="67" t="s">
        <v>2278</v>
      </c>
      <c r="B500" s="52" t="s">
        <v>2279</v>
      </c>
      <c r="D500" s="5">
        <f>Info!$B$17</f>
        <v>0</v>
      </c>
      <c r="E500" s="5">
        <f>Info!$B$22</f>
        <v>0</v>
      </c>
      <c r="F500" s="5">
        <f>Info!$B$27</f>
        <v>0</v>
      </c>
      <c r="G500" s="5">
        <f>Info!$B$32</f>
        <v>0</v>
      </c>
      <c r="H500" s="5">
        <f>Info!$B$37</f>
        <v>0</v>
      </c>
      <c r="I500" s="5">
        <f>Info!$B$40</f>
        <v>0</v>
      </c>
      <c r="J500" s="5">
        <f>Info!$B$44</f>
        <v>0</v>
      </c>
      <c r="P500" s="7">
        <f t="shared" si="25"/>
        <v>0</v>
      </c>
      <c r="Q500" s="7">
        <f t="shared" si="24"/>
        <v>0</v>
      </c>
      <c r="R500">
        <f t="shared" si="23"/>
        <v>0</v>
      </c>
    </row>
    <row r="501" spans="1:18" x14ac:dyDescent="0.2">
      <c r="A501" s="87" t="s">
        <v>234</v>
      </c>
      <c r="B501" s="52" t="s">
        <v>2280</v>
      </c>
      <c r="L501" s="2"/>
      <c r="M501" s="2"/>
      <c r="N501" s="2"/>
      <c r="P501" s="7">
        <f t="shared" si="25"/>
        <v>0</v>
      </c>
      <c r="Q501" s="7">
        <f t="shared" si="24"/>
        <v>0</v>
      </c>
      <c r="R501">
        <f t="shared" si="23"/>
        <v>0</v>
      </c>
    </row>
    <row r="502" spans="1:18" x14ac:dyDescent="0.2">
      <c r="A502" s="87" t="s">
        <v>95</v>
      </c>
      <c r="P502" s="7">
        <f t="shared" si="25"/>
        <v>0</v>
      </c>
      <c r="Q502" s="7">
        <f t="shared" si="24"/>
        <v>0</v>
      </c>
      <c r="R502">
        <f t="shared" si="23"/>
        <v>0</v>
      </c>
    </row>
    <row r="503" spans="1:18" x14ac:dyDescent="0.2">
      <c r="A503" s="87" t="s">
        <v>58</v>
      </c>
      <c r="P503" s="7">
        <f t="shared" si="25"/>
        <v>0</v>
      </c>
      <c r="Q503" s="7">
        <f t="shared" si="24"/>
        <v>0</v>
      </c>
      <c r="R503">
        <f t="shared" si="23"/>
        <v>0</v>
      </c>
    </row>
    <row r="504" spans="1:18" x14ac:dyDescent="0.2">
      <c r="A504" s="87" t="s">
        <v>2281</v>
      </c>
      <c r="P504" s="7">
        <f t="shared" si="25"/>
        <v>0</v>
      </c>
      <c r="Q504" s="7">
        <f t="shared" si="24"/>
        <v>0</v>
      </c>
      <c r="R504">
        <f t="shared" si="23"/>
        <v>0</v>
      </c>
    </row>
    <row r="505" spans="1:18" x14ac:dyDescent="0.2">
      <c r="A505" s="87" t="s">
        <v>60</v>
      </c>
      <c r="P505" s="7">
        <f t="shared" si="25"/>
        <v>0</v>
      </c>
      <c r="Q505" s="7">
        <f t="shared" si="24"/>
        <v>0</v>
      </c>
      <c r="R505">
        <f t="shared" si="23"/>
        <v>0</v>
      </c>
    </row>
    <row r="506" spans="1:18" x14ac:dyDescent="0.2">
      <c r="A506" s="87" t="s">
        <v>497</v>
      </c>
      <c r="B506" s="52" t="s">
        <v>2282</v>
      </c>
      <c r="P506" s="7">
        <f t="shared" si="25"/>
        <v>0</v>
      </c>
      <c r="Q506" s="7">
        <f t="shared" si="24"/>
        <v>0</v>
      </c>
      <c r="R506">
        <f t="shared" si="23"/>
        <v>0</v>
      </c>
    </row>
    <row r="507" spans="1:18" x14ac:dyDescent="0.2">
      <c r="A507" s="87" t="s">
        <v>925</v>
      </c>
      <c r="B507" s="52" t="s">
        <v>2283</v>
      </c>
      <c r="J507" s="5">
        <f>Info!$B$44</f>
        <v>0</v>
      </c>
      <c r="P507" s="7">
        <f t="shared" si="25"/>
        <v>0</v>
      </c>
      <c r="Q507" s="7">
        <f t="shared" si="24"/>
        <v>0</v>
      </c>
      <c r="R507">
        <f t="shared" si="23"/>
        <v>0</v>
      </c>
    </row>
    <row r="508" spans="1:18" x14ac:dyDescent="0.2">
      <c r="A508" s="67" t="s">
        <v>344</v>
      </c>
      <c r="B508" s="52" t="s">
        <v>2284</v>
      </c>
      <c r="J508" s="5">
        <f>Info!$B$44</f>
        <v>0</v>
      </c>
      <c r="P508" s="7">
        <f t="shared" si="25"/>
        <v>0</v>
      </c>
      <c r="Q508" s="7">
        <f t="shared" si="24"/>
        <v>0</v>
      </c>
      <c r="R508">
        <f t="shared" si="23"/>
        <v>0</v>
      </c>
    </row>
    <row r="509" spans="1:18" x14ac:dyDescent="0.2">
      <c r="A509" s="67" t="s">
        <v>2285</v>
      </c>
      <c r="B509" s="52" t="s">
        <v>2286</v>
      </c>
      <c r="K509">
        <v>4</v>
      </c>
      <c r="P509" s="7">
        <f t="shared" si="25"/>
        <v>0</v>
      </c>
      <c r="Q509" s="7">
        <f t="shared" si="24"/>
        <v>0</v>
      </c>
      <c r="R509">
        <f t="shared" si="23"/>
        <v>0</v>
      </c>
    </row>
    <row r="510" spans="1:18" x14ac:dyDescent="0.2">
      <c r="A510" s="67" t="s">
        <v>897</v>
      </c>
      <c r="B510" s="52" t="s">
        <v>2287</v>
      </c>
      <c r="J510" s="5">
        <f>Info!$B$44</f>
        <v>0</v>
      </c>
      <c r="P510" s="7">
        <f t="shared" si="25"/>
        <v>0</v>
      </c>
      <c r="Q510" s="7">
        <f t="shared" si="24"/>
        <v>0</v>
      </c>
      <c r="R510">
        <f t="shared" si="23"/>
        <v>0</v>
      </c>
    </row>
    <row r="511" spans="1:18" x14ac:dyDescent="0.2">
      <c r="A511" s="67" t="s">
        <v>2288</v>
      </c>
      <c r="B511" s="52" t="s">
        <v>2289</v>
      </c>
      <c r="K511">
        <v>4</v>
      </c>
      <c r="P511" s="7">
        <f t="shared" si="25"/>
        <v>0</v>
      </c>
      <c r="Q511" s="7">
        <f t="shared" si="24"/>
        <v>0</v>
      </c>
      <c r="R511">
        <f t="shared" si="23"/>
        <v>0</v>
      </c>
    </row>
    <row r="512" spans="1:18" x14ac:dyDescent="0.2">
      <c r="A512" s="67" t="s">
        <v>2290</v>
      </c>
      <c r="B512" s="52" t="s">
        <v>2291</v>
      </c>
      <c r="K512">
        <v>4</v>
      </c>
      <c r="P512" s="7">
        <f t="shared" si="25"/>
        <v>0</v>
      </c>
      <c r="Q512" s="7">
        <f t="shared" si="24"/>
        <v>0</v>
      </c>
      <c r="R512">
        <f t="shared" si="23"/>
        <v>0</v>
      </c>
    </row>
    <row r="513" spans="1:18" x14ac:dyDescent="0.2">
      <c r="A513" s="67" t="s">
        <v>601</v>
      </c>
      <c r="B513" s="52" t="s">
        <v>602</v>
      </c>
      <c r="J513" s="5">
        <f>Info!$B$44</f>
        <v>0</v>
      </c>
      <c r="P513" s="7">
        <f t="shared" si="25"/>
        <v>0</v>
      </c>
      <c r="Q513" s="7">
        <f t="shared" si="24"/>
        <v>0</v>
      </c>
      <c r="R513">
        <f t="shared" si="23"/>
        <v>0</v>
      </c>
    </row>
    <row r="514" spans="1:18" x14ac:dyDescent="0.2">
      <c r="A514" s="67" t="s">
        <v>2292</v>
      </c>
      <c r="B514" s="52" t="s">
        <v>2293</v>
      </c>
      <c r="J514" s="5">
        <f>Info!$B$44</f>
        <v>0</v>
      </c>
      <c r="P514" s="7">
        <f t="shared" si="25"/>
        <v>0</v>
      </c>
      <c r="Q514" s="7">
        <f t="shared" si="24"/>
        <v>0</v>
      </c>
      <c r="R514">
        <f t="shared" ref="R514:R577" si="26">IF(_xlfn.BITAND(P514&gt;0.4999, Q514&gt;0.4999)=1,1,0)</f>
        <v>0</v>
      </c>
    </row>
    <row r="515" spans="1:18" x14ac:dyDescent="0.2">
      <c r="A515" s="67" t="s">
        <v>2294</v>
      </c>
      <c r="B515" s="52" t="s">
        <v>2295</v>
      </c>
      <c r="J515" s="5">
        <f>Info!$B$44</f>
        <v>0</v>
      </c>
      <c r="P515" s="7">
        <f t="shared" si="25"/>
        <v>0</v>
      </c>
      <c r="Q515" s="7">
        <f t="shared" si="24"/>
        <v>0</v>
      </c>
      <c r="R515">
        <f t="shared" si="26"/>
        <v>0</v>
      </c>
    </row>
    <row r="516" spans="1:18" x14ac:dyDescent="0.2">
      <c r="A516" s="67" t="s">
        <v>2296</v>
      </c>
      <c r="B516" s="52" t="s">
        <v>2297</v>
      </c>
      <c r="J516" s="5">
        <f>Info!$B$44</f>
        <v>0</v>
      </c>
      <c r="P516" s="7">
        <f t="shared" si="25"/>
        <v>0</v>
      </c>
      <c r="Q516" s="7">
        <f t="shared" si="24"/>
        <v>0</v>
      </c>
      <c r="R516">
        <f t="shared" si="26"/>
        <v>0</v>
      </c>
    </row>
    <row r="517" spans="1:18" x14ac:dyDescent="0.2">
      <c r="A517" s="67" t="s">
        <v>2298</v>
      </c>
      <c r="B517" s="52" t="s">
        <v>2299</v>
      </c>
      <c r="J517" s="5">
        <f>Info!$B$44</f>
        <v>0</v>
      </c>
      <c r="P517" s="7">
        <f t="shared" si="25"/>
        <v>0</v>
      </c>
      <c r="Q517" s="7">
        <f t="shared" si="24"/>
        <v>0</v>
      </c>
      <c r="R517">
        <f t="shared" si="26"/>
        <v>0</v>
      </c>
    </row>
    <row r="518" spans="1:18" x14ac:dyDescent="0.2">
      <c r="A518" s="67" t="s">
        <v>2300</v>
      </c>
      <c r="B518" s="52" t="s">
        <v>2301</v>
      </c>
      <c r="J518" s="5">
        <f>Info!$B$44</f>
        <v>0</v>
      </c>
      <c r="P518" s="7">
        <f t="shared" si="25"/>
        <v>0</v>
      </c>
      <c r="Q518" s="7">
        <f t="shared" si="24"/>
        <v>0</v>
      </c>
      <c r="R518">
        <f t="shared" si="26"/>
        <v>0</v>
      </c>
    </row>
    <row r="519" spans="1:18" x14ac:dyDescent="0.2">
      <c r="A519" s="67" t="s">
        <v>2302</v>
      </c>
      <c r="B519" s="52" t="s">
        <v>2303</v>
      </c>
      <c r="J519" s="5">
        <f>Info!$B$44</f>
        <v>0</v>
      </c>
      <c r="P519" s="7">
        <f t="shared" si="25"/>
        <v>0</v>
      </c>
      <c r="Q519" s="7">
        <f t="shared" si="24"/>
        <v>0</v>
      </c>
      <c r="R519">
        <f t="shared" si="26"/>
        <v>0</v>
      </c>
    </row>
    <row r="520" spans="1:18" x14ac:dyDescent="0.2">
      <c r="A520" s="67" t="s">
        <v>2304</v>
      </c>
      <c r="B520" s="52" t="s">
        <v>2305</v>
      </c>
      <c r="J520" s="5">
        <f>Info!$B$44</f>
        <v>0</v>
      </c>
      <c r="P520" s="7">
        <f t="shared" si="25"/>
        <v>0</v>
      </c>
      <c r="Q520" s="7">
        <f t="shared" si="24"/>
        <v>0</v>
      </c>
      <c r="R520">
        <f t="shared" si="26"/>
        <v>0</v>
      </c>
    </row>
    <row r="521" spans="1:18" x14ac:dyDescent="0.2">
      <c r="A521" s="67" t="s">
        <v>2306</v>
      </c>
      <c r="B521" s="52" t="s">
        <v>2307</v>
      </c>
      <c r="J521" s="5">
        <f>Info!$B$44</f>
        <v>0</v>
      </c>
      <c r="P521" s="7">
        <f t="shared" si="25"/>
        <v>0</v>
      </c>
      <c r="Q521" s="7">
        <f t="shared" si="24"/>
        <v>0</v>
      </c>
      <c r="R521">
        <f t="shared" si="26"/>
        <v>0</v>
      </c>
    </row>
    <row r="522" spans="1:18" x14ac:dyDescent="0.2">
      <c r="A522" s="67" t="s">
        <v>2308</v>
      </c>
      <c r="B522" s="4" t="s">
        <v>2309</v>
      </c>
      <c r="J522" s="5">
        <f>Info!$B$44</f>
        <v>0</v>
      </c>
      <c r="P522" s="7">
        <f t="shared" si="25"/>
        <v>0</v>
      </c>
      <c r="Q522" s="7">
        <f t="shared" si="24"/>
        <v>0</v>
      </c>
      <c r="R522">
        <f t="shared" si="26"/>
        <v>0</v>
      </c>
    </row>
    <row r="523" spans="1:18" x14ac:dyDescent="0.2">
      <c r="A523" s="67" t="s">
        <v>2310</v>
      </c>
      <c r="B523" s="4" t="s">
        <v>2311</v>
      </c>
      <c r="J523" s="5">
        <f>Info!$B$44</f>
        <v>0</v>
      </c>
      <c r="P523" s="7">
        <f t="shared" si="25"/>
        <v>0</v>
      </c>
      <c r="Q523" s="7">
        <f t="shared" si="24"/>
        <v>0</v>
      </c>
      <c r="R523">
        <f t="shared" si="26"/>
        <v>0</v>
      </c>
    </row>
    <row r="524" spans="1:18" x14ac:dyDescent="0.2">
      <c r="A524" s="67" t="s">
        <v>2312</v>
      </c>
      <c r="B524" s="4" t="s">
        <v>2313</v>
      </c>
      <c r="J524" s="5">
        <f>Info!$B$44</f>
        <v>0</v>
      </c>
      <c r="P524" s="7">
        <f t="shared" si="25"/>
        <v>0</v>
      </c>
      <c r="Q524" s="7">
        <f t="shared" si="24"/>
        <v>0</v>
      </c>
      <c r="R524">
        <f t="shared" si="26"/>
        <v>0</v>
      </c>
    </row>
    <row r="525" spans="1:18" x14ac:dyDescent="0.2">
      <c r="A525" s="67" t="s">
        <v>2314</v>
      </c>
      <c r="B525" s="4" t="s">
        <v>2315</v>
      </c>
      <c r="J525" s="5">
        <f>Info!$B$44</f>
        <v>0</v>
      </c>
      <c r="P525" s="7">
        <f t="shared" si="25"/>
        <v>0</v>
      </c>
      <c r="Q525" s="7">
        <f t="shared" ref="Q525:Q588" si="27">(O525+P525)/2</f>
        <v>0</v>
      </c>
      <c r="R525">
        <f t="shared" si="26"/>
        <v>0</v>
      </c>
    </row>
    <row r="526" spans="1:18" x14ac:dyDescent="0.2">
      <c r="A526" s="67" t="s">
        <v>2316</v>
      </c>
      <c r="B526" s="4" t="s">
        <v>2317</v>
      </c>
      <c r="J526" s="5">
        <f>Info!$B$44</f>
        <v>0</v>
      </c>
      <c r="P526" s="7">
        <f t="shared" si="25"/>
        <v>0</v>
      </c>
      <c r="Q526" s="7">
        <f t="shared" si="27"/>
        <v>0</v>
      </c>
      <c r="R526">
        <f t="shared" si="26"/>
        <v>0</v>
      </c>
    </row>
    <row r="527" spans="1:18" x14ac:dyDescent="0.2">
      <c r="A527" s="67" t="s">
        <v>2318</v>
      </c>
      <c r="B527" s="4" t="s">
        <v>2319</v>
      </c>
      <c r="J527" s="5">
        <f>Info!$B$44</f>
        <v>0</v>
      </c>
      <c r="P527" s="7">
        <f t="shared" si="25"/>
        <v>0</v>
      </c>
      <c r="Q527" s="7">
        <f t="shared" si="27"/>
        <v>0</v>
      </c>
      <c r="R527">
        <f t="shared" si="26"/>
        <v>0</v>
      </c>
    </row>
    <row r="528" spans="1:18" x14ac:dyDescent="0.2">
      <c r="A528" s="67" t="s">
        <v>2320</v>
      </c>
      <c r="B528" s="4" t="s">
        <v>2321</v>
      </c>
      <c r="J528" s="5">
        <f>Info!$B$44</f>
        <v>0</v>
      </c>
      <c r="P528" s="7">
        <f t="shared" si="25"/>
        <v>0</v>
      </c>
      <c r="Q528" s="7">
        <f t="shared" si="27"/>
        <v>0</v>
      </c>
      <c r="R528">
        <f t="shared" si="26"/>
        <v>0</v>
      </c>
    </row>
    <row r="529" spans="1:18" x14ac:dyDescent="0.2">
      <c r="A529" s="67" t="s">
        <v>2322</v>
      </c>
      <c r="B529" s="4" t="s">
        <v>2323</v>
      </c>
      <c r="J529" s="5">
        <f>Info!$B$44</f>
        <v>0</v>
      </c>
      <c r="P529" s="7">
        <f t="shared" si="25"/>
        <v>0</v>
      </c>
      <c r="Q529" s="7">
        <f t="shared" si="27"/>
        <v>0</v>
      </c>
      <c r="R529">
        <f t="shared" si="26"/>
        <v>0</v>
      </c>
    </row>
    <row r="530" spans="1:18" x14ac:dyDescent="0.2">
      <c r="A530" s="67" t="s">
        <v>2324</v>
      </c>
      <c r="B530" s="4" t="s">
        <v>2325</v>
      </c>
      <c r="J530" s="5">
        <f>Info!$B$44</f>
        <v>0</v>
      </c>
      <c r="P530" s="7">
        <f t="shared" si="25"/>
        <v>0</v>
      </c>
      <c r="Q530" s="7">
        <f t="shared" si="27"/>
        <v>0</v>
      </c>
      <c r="R530">
        <f t="shared" si="26"/>
        <v>0</v>
      </c>
    </row>
    <row r="531" spans="1:18" x14ac:dyDescent="0.2">
      <c r="A531" s="67" t="s">
        <v>2326</v>
      </c>
      <c r="B531" s="52" t="s">
        <v>2327</v>
      </c>
      <c r="J531" s="5">
        <f>Info!$B$44</f>
        <v>0</v>
      </c>
      <c r="P531" s="7">
        <f t="shared" si="25"/>
        <v>0</v>
      </c>
      <c r="Q531" s="7">
        <f t="shared" si="27"/>
        <v>0</v>
      </c>
      <c r="R531">
        <f t="shared" si="26"/>
        <v>0</v>
      </c>
    </row>
    <row r="532" spans="1:18" x14ac:dyDescent="0.2">
      <c r="A532" s="67" t="s">
        <v>2328</v>
      </c>
      <c r="B532" s="52" t="s">
        <v>2329</v>
      </c>
      <c r="J532" s="5">
        <f>Info!$B$44</f>
        <v>0</v>
      </c>
      <c r="P532" s="7">
        <f t="shared" si="25"/>
        <v>0</v>
      </c>
      <c r="Q532" s="7">
        <f t="shared" si="27"/>
        <v>0</v>
      </c>
      <c r="R532">
        <f t="shared" si="26"/>
        <v>0</v>
      </c>
    </row>
    <row r="533" spans="1:18" x14ac:dyDescent="0.2">
      <c r="A533" s="67" t="s">
        <v>2330</v>
      </c>
      <c r="B533" s="52" t="s">
        <v>2331</v>
      </c>
      <c r="J533" s="5">
        <f>Info!$B$44</f>
        <v>0</v>
      </c>
      <c r="P533" s="7">
        <f t="shared" ref="P533:P596" si="28">(D533+E533+F533+G533+H533+I533+J533)/7</f>
        <v>0</v>
      </c>
      <c r="Q533" s="7">
        <f t="shared" si="27"/>
        <v>0</v>
      </c>
      <c r="R533">
        <f t="shared" si="26"/>
        <v>0</v>
      </c>
    </row>
    <row r="534" spans="1:18" x14ac:dyDescent="0.2">
      <c r="A534" s="67" t="s">
        <v>2332</v>
      </c>
      <c r="B534" s="52" t="s">
        <v>2333</v>
      </c>
      <c r="J534" s="5">
        <f>Info!$B$44</f>
        <v>0</v>
      </c>
      <c r="P534" s="7">
        <f t="shared" si="28"/>
        <v>0</v>
      </c>
      <c r="Q534" s="7">
        <f t="shared" si="27"/>
        <v>0</v>
      </c>
      <c r="R534">
        <f t="shared" si="26"/>
        <v>0</v>
      </c>
    </row>
    <row r="535" spans="1:18" x14ac:dyDescent="0.2">
      <c r="A535" s="67" t="s">
        <v>2334</v>
      </c>
      <c r="B535" s="52" t="s">
        <v>2335</v>
      </c>
      <c r="J535" s="5">
        <f>Info!$B$44</f>
        <v>0</v>
      </c>
      <c r="P535" s="7">
        <f t="shared" si="28"/>
        <v>0</v>
      </c>
      <c r="Q535" s="7">
        <f t="shared" si="27"/>
        <v>0</v>
      </c>
      <c r="R535">
        <f t="shared" si="26"/>
        <v>0</v>
      </c>
    </row>
    <row r="536" spans="1:18" x14ac:dyDescent="0.2">
      <c r="A536" s="67" t="s">
        <v>2336</v>
      </c>
      <c r="B536" s="52" t="s">
        <v>2337</v>
      </c>
      <c r="J536" s="5">
        <f>Info!$B$44</f>
        <v>0</v>
      </c>
      <c r="P536" s="7">
        <f t="shared" si="28"/>
        <v>0</v>
      </c>
      <c r="Q536" s="7">
        <f t="shared" si="27"/>
        <v>0</v>
      </c>
      <c r="R536">
        <f t="shared" si="26"/>
        <v>0</v>
      </c>
    </row>
    <row r="537" spans="1:18" x14ac:dyDescent="0.2">
      <c r="A537" s="67" t="s">
        <v>2338</v>
      </c>
      <c r="B537" s="52" t="s">
        <v>2339</v>
      </c>
      <c r="J537" s="5">
        <f>Info!$B$44</f>
        <v>0</v>
      </c>
      <c r="P537" s="7">
        <f t="shared" si="28"/>
        <v>0</v>
      </c>
      <c r="Q537" s="7">
        <f t="shared" si="27"/>
        <v>0</v>
      </c>
      <c r="R537">
        <f t="shared" si="26"/>
        <v>0</v>
      </c>
    </row>
    <row r="538" spans="1:18" x14ac:dyDescent="0.2">
      <c r="A538" s="67" t="s">
        <v>2340</v>
      </c>
      <c r="B538" s="52" t="s">
        <v>2341</v>
      </c>
      <c r="J538" s="5">
        <f>Info!$B$44</f>
        <v>0</v>
      </c>
      <c r="P538" s="7">
        <f t="shared" si="28"/>
        <v>0</v>
      </c>
      <c r="Q538" s="7">
        <f t="shared" si="27"/>
        <v>0</v>
      </c>
      <c r="R538">
        <f t="shared" si="26"/>
        <v>0</v>
      </c>
    </row>
    <row r="539" spans="1:18" x14ac:dyDescent="0.2">
      <c r="A539" s="67" t="s">
        <v>2342</v>
      </c>
      <c r="B539" s="4" t="s">
        <v>2343</v>
      </c>
      <c r="J539" s="5">
        <f>Info!$B$44</f>
        <v>0</v>
      </c>
      <c r="P539" s="7">
        <f t="shared" si="28"/>
        <v>0</v>
      </c>
      <c r="Q539" s="7">
        <f t="shared" si="27"/>
        <v>0</v>
      </c>
      <c r="R539">
        <f t="shared" si="26"/>
        <v>0</v>
      </c>
    </row>
    <row r="540" spans="1:18" x14ac:dyDescent="0.2">
      <c r="A540" s="67" t="s">
        <v>2344</v>
      </c>
      <c r="B540" s="4" t="s">
        <v>2345</v>
      </c>
      <c r="J540" s="5">
        <f>Info!$B$44</f>
        <v>0</v>
      </c>
      <c r="P540" s="7">
        <f t="shared" si="28"/>
        <v>0</v>
      </c>
      <c r="Q540" s="7">
        <f t="shared" si="27"/>
        <v>0</v>
      </c>
      <c r="R540">
        <f t="shared" si="26"/>
        <v>0</v>
      </c>
    </row>
    <row r="541" spans="1:18" x14ac:dyDescent="0.2">
      <c r="A541" s="67" t="s">
        <v>2346</v>
      </c>
      <c r="B541" s="52" t="s">
        <v>2347</v>
      </c>
      <c r="J541" s="5">
        <f>Info!$B$44</f>
        <v>0</v>
      </c>
      <c r="P541" s="7">
        <f t="shared" si="28"/>
        <v>0</v>
      </c>
      <c r="Q541" s="7">
        <f t="shared" si="27"/>
        <v>0</v>
      </c>
      <c r="R541">
        <f t="shared" si="26"/>
        <v>0</v>
      </c>
    </row>
    <row r="542" spans="1:18" x14ac:dyDescent="0.2">
      <c r="A542" s="67" t="s">
        <v>2348</v>
      </c>
      <c r="B542" s="52" t="s">
        <v>2349</v>
      </c>
      <c r="J542" s="5">
        <f>Info!$B$44</f>
        <v>0</v>
      </c>
      <c r="P542" s="7">
        <f t="shared" si="28"/>
        <v>0</v>
      </c>
      <c r="Q542" s="7">
        <f t="shared" si="27"/>
        <v>0</v>
      </c>
      <c r="R542">
        <f t="shared" si="26"/>
        <v>0</v>
      </c>
    </row>
    <row r="543" spans="1:18" x14ac:dyDescent="0.2">
      <c r="A543" s="67" t="s">
        <v>2350</v>
      </c>
      <c r="B543" s="52" t="s">
        <v>2351</v>
      </c>
      <c r="J543" s="5">
        <f>Info!$B$44</f>
        <v>0</v>
      </c>
      <c r="P543" s="7">
        <f t="shared" si="28"/>
        <v>0</v>
      </c>
      <c r="Q543" s="7">
        <f t="shared" si="27"/>
        <v>0</v>
      </c>
      <c r="R543">
        <f t="shared" si="26"/>
        <v>0</v>
      </c>
    </row>
    <row r="544" spans="1:18" x14ac:dyDescent="0.2">
      <c r="A544" s="67" t="s">
        <v>2352</v>
      </c>
      <c r="B544" s="52" t="s">
        <v>2353</v>
      </c>
      <c r="J544" s="5">
        <f>Info!$B$44</f>
        <v>0</v>
      </c>
      <c r="P544" s="7">
        <f t="shared" si="28"/>
        <v>0</v>
      </c>
      <c r="Q544" s="7">
        <f t="shared" si="27"/>
        <v>0</v>
      </c>
      <c r="R544">
        <f t="shared" si="26"/>
        <v>0</v>
      </c>
    </row>
    <row r="545" spans="1:18" x14ac:dyDescent="0.2">
      <c r="A545" s="67" t="s">
        <v>2354</v>
      </c>
      <c r="B545" s="4" t="s">
        <v>2355</v>
      </c>
      <c r="J545" s="5">
        <f>Info!$B$44</f>
        <v>0</v>
      </c>
      <c r="P545" s="7">
        <f t="shared" si="28"/>
        <v>0</v>
      </c>
      <c r="Q545" s="7">
        <f t="shared" si="27"/>
        <v>0</v>
      </c>
      <c r="R545">
        <f t="shared" si="26"/>
        <v>0</v>
      </c>
    </row>
    <row r="546" spans="1:18" x14ac:dyDescent="0.2">
      <c r="A546" s="67" t="s">
        <v>2356</v>
      </c>
      <c r="B546" s="4" t="s">
        <v>2357</v>
      </c>
      <c r="J546" s="5">
        <f>Info!$B$44</f>
        <v>0</v>
      </c>
      <c r="P546" s="7">
        <f t="shared" si="28"/>
        <v>0</v>
      </c>
      <c r="Q546" s="7">
        <f t="shared" si="27"/>
        <v>0</v>
      </c>
      <c r="R546">
        <f t="shared" si="26"/>
        <v>0</v>
      </c>
    </row>
    <row r="547" spans="1:18" x14ac:dyDescent="0.2">
      <c r="A547" s="67" t="s">
        <v>2358</v>
      </c>
      <c r="B547" s="4" t="s">
        <v>2359</v>
      </c>
      <c r="J547" s="5">
        <f>Info!$B$44</f>
        <v>0</v>
      </c>
      <c r="P547" s="7">
        <f t="shared" si="28"/>
        <v>0</v>
      </c>
      <c r="Q547" s="7">
        <f t="shared" si="27"/>
        <v>0</v>
      </c>
      <c r="R547">
        <f t="shared" si="26"/>
        <v>0</v>
      </c>
    </row>
    <row r="548" spans="1:18" x14ac:dyDescent="0.2">
      <c r="A548" s="67" t="s">
        <v>2360</v>
      </c>
      <c r="B548" s="4" t="s">
        <v>2361</v>
      </c>
      <c r="J548" s="5">
        <f>Info!$B$44</f>
        <v>0</v>
      </c>
      <c r="P548" s="7">
        <f t="shared" si="28"/>
        <v>0</v>
      </c>
      <c r="Q548" s="7">
        <f t="shared" si="27"/>
        <v>0</v>
      </c>
      <c r="R548">
        <f t="shared" si="26"/>
        <v>0</v>
      </c>
    </row>
    <row r="549" spans="1:18" x14ac:dyDescent="0.2">
      <c r="A549" s="67" t="s">
        <v>2362</v>
      </c>
      <c r="B549" s="4" t="s">
        <v>2363</v>
      </c>
      <c r="J549" s="5">
        <f>Info!$B$44</f>
        <v>0</v>
      </c>
      <c r="P549" s="7">
        <f t="shared" si="28"/>
        <v>0</v>
      </c>
      <c r="Q549" s="7">
        <f t="shared" si="27"/>
        <v>0</v>
      </c>
      <c r="R549">
        <f t="shared" si="26"/>
        <v>0</v>
      </c>
    </row>
    <row r="550" spans="1:18" x14ac:dyDescent="0.2">
      <c r="A550" s="67" t="s">
        <v>2364</v>
      </c>
      <c r="B550" s="4" t="s">
        <v>2365</v>
      </c>
      <c r="J550" s="5">
        <f>Info!$B$44</f>
        <v>0</v>
      </c>
      <c r="P550" s="7">
        <f t="shared" si="28"/>
        <v>0</v>
      </c>
      <c r="Q550" s="7">
        <f t="shared" si="27"/>
        <v>0</v>
      </c>
      <c r="R550">
        <f t="shared" si="26"/>
        <v>0</v>
      </c>
    </row>
    <row r="551" spans="1:18" x14ac:dyDescent="0.2">
      <c r="A551" s="67" t="s">
        <v>2366</v>
      </c>
      <c r="B551" s="4" t="s">
        <v>2367</v>
      </c>
      <c r="J551" s="5">
        <f>Info!$B$44</f>
        <v>0</v>
      </c>
      <c r="P551" s="7">
        <f t="shared" si="28"/>
        <v>0</v>
      </c>
      <c r="Q551" s="7">
        <f t="shared" si="27"/>
        <v>0</v>
      </c>
      <c r="R551">
        <f t="shared" si="26"/>
        <v>0</v>
      </c>
    </row>
    <row r="552" spans="1:18" x14ac:dyDescent="0.2">
      <c r="A552" s="67" t="s">
        <v>2368</v>
      </c>
      <c r="B552" s="4" t="s">
        <v>2369</v>
      </c>
      <c r="J552" s="5">
        <f>Info!$B$44</f>
        <v>0</v>
      </c>
      <c r="P552" s="7">
        <f t="shared" si="28"/>
        <v>0</v>
      </c>
      <c r="Q552" s="7">
        <f t="shared" si="27"/>
        <v>0</v>
      </c>
      <c r="R552">
        <f t="shared" si="26"/>
        <v>0</v>
      </c>
    </row>
    <row r="553" spans="1:18" x14ac:dyDescent="0.2">
      <c r="A553" s="67" t="s">
        <v>2370</v>
      </c>
      <c r="B553" s="4" t="s">
        <v>2371</v>
      </c>
      <c r="J553" s="5">
        <f>Info!$B$44</f>
        <v>0</v>
      </c>
      <c r="P553" s="7">
        <f t="shared" si="28"/>
        <v>0</v>
      </c>
      <c r="Q553" s="7">
        <f t="shared" si="27"/>
        <v>0</v>
      </c>
      <c r="R553">
        <f t="shared" si="26"/>
        <v>0</v>
      </c>
    </row>
    <row r="554" spans="1:18" x14ac:dyDescent="0.2">
      <c r="A554" s="67" t="s">
        <v>2372</v>
      </c>
      <c r="B554" s="4" t="s">
        <v>2373</v>
      </c>
      <c r="J554" s="5">
        <f>Info!$B$44</f>
        <v>0</v>
      </c>
      <c r="P554" s="7">
        <f t="shared" si="28"/>
        <v>0</v>
      </c>
      <c r="Q554" s="7">
        <f t="shared" si="27"/>
        <v>0</v>
      </c>
      <c r="R554">
        <f t="shared" si="26"/>
        <v>0</v>
      </c>
    </row>
    <row r="555" spans="1:18" x14ac:dyDescent="0.2">
      <c r="A555" s="67" t="s">
        <v>2374</v>
      </c>
      <c r="B555" s="4" t="s">
        <v>2375</v>
      </c>
      <c r="J555" s="5">
        <f>Info!$B$44</f>
        <v>0</v>
      </c>
      <c r="P555" s="7">
        <f t="shared" si="28"/>
        <v>0</v>
      </c>
      <c r="Q555" s="7">
        <f t="shared" si="27"/>
        <v>0</v>
      </c>
      <c r="R555">
        <f t="shared" si="26"/>
        <v>0</v>
      </c>
    </row>
    <row r="556" spans="1:18" x14ac:dyDescent="0.2">
      <c r="A556" s="67" t="s">
        <v>2376</v>
      </c>
      <c r="B556" s="4" t="s">
        <v>2377</v>
      </c>
      <c r="J556" s="5">
        <f>Info!$B$44</f>
        <v>0</v>
      </c>
      <c r="P556" s="7">
        <f t="shared" si="28"/>
        <v>0</v>
      </c>
      <c r="Q556" s="7">
        <f t="shared" si="27"/>
        <v>0</v>
      </c>
      <c r="R556">
        <f t="shared" si="26"/>
        <v>0</v>
      </c>
    </row>
    <row r="557" spans="1:18" x14ac:dyDescent="0.2">
      <c r="A557" s="67" t="s">
        <v>2378</v>
      </c>
      <c r="B557" s="4" t="s">
        <v>2379</v>
      </c>
      <c r="J557" s="5">
        <f>Info!$B$44</f>
        <v>0</v>
      </c>
      <c r="P557" s="7">
        <f t="shared" si="28"/>
        <v>0</v>
      </c>
      <c r="Q557" s="7">
        <f t="shared" si="27"/>
        <v>0</v>
      </c>
      <c r="R557">
        <f t="shared" si="26"/>
        <v>0</v>
      </c>
    </row>
    <row r="558" spans="1:18" x14ac:dyDescent="0.2">
      <c r="A558" s="67" t="s">
        <v>2380</v>
      </c>
      <c r="B558" s="4" t="s">
        <v>2381</v>
      </c>
      <c r="J558" s="5">
        <f>Info!$B$44</f>
        <v>0</v>
      </c>
      <c r="P558" s="7">
        <f t="shared" si="28"/>
        <v>0</v>
      </c>
      <c r="Q558" s="7">
        <f t="shared" si="27"/>
        <v>0</v>
      </c>
      <c r="R558">
        <f t="shared" si="26"/>
        <v>0</v>
      </c>
    </row>
    <row r="559" spans="1:18" x14ac:dyDescent="0.2">
      <c r="A559" s="67" t="s">
        <v>2382</v>
      </c>
      <c r="B559" s="4" t="s">
        <v>2383</v>
      </c>
      <c r="J559" s="5">
        <f>Info!$B$44</f>
        <v>0</v>
      </c>
      <c r="P559" s="7">
        <f t="shared" si="28"/>
        <v>0</v>
      </c>
      <c r="Q559" s="7">
        <f t="shared" si="27"/>
        <v>0</v>
      </c>
      <c r="R559">
        <f t="shared" si="26"/>
        <v>0</v>
      </c>
    </row>
    <row r="560" spans="1:18" x14ac:dyDescent="0.2">
      <c r="A560" s="67" t="s">
        <v>2384</v>
      </c>
      <c r="B560" s="4" t="s">
        <v>2385</v>
      </c>
      <c r="J560" s="5">
        <f>Info!$B$44</f>
        <v>0</v>
      </c>
      <c r="P560" s="7">
        <f t="shared" si="28"/>
        <v>0</v>
      </c>
      <c r="Q560" s="7">
        <f t="shared" si="27"/>
        <v>0</v>
      </c>
      <c r="R560">
        <f t="shared" si="26"/>
        <v>0</v>
      </c>
    </row>
    <row r="561" spans="1:18" x14ac:dyDescent="0.2">
      <c r="A561" s="67" t="s">
        <v>2386</v>
      </c>
      <c r="B561" s="4" t="s">
        <v>2387</v>
      </c>
      <c r="J561" s="5">
        <f>Info!$B$44</f>
        <v>0</v>
      </c>
      <c r="P561" s="7">
        <f t="shared" si="28"/>
        <v>0</v>
      </c>
      <c r="Q561" s="7">
        <f t="shared" si="27"/>
        <v>0</v>
      </c>
      <c r="R561">
        <f t="shared" si="26"/>
        <v>0</v>
      </c>
    </row>
    <row r="562" spans="1:18" x14ac:dyDescent="0.2">
      <c r="A562" s="67" t="s">
        <v>2388</v>
      </c>
      <c r="B562" s="4" t="s">
        <v>2389</v>
      </c>
      <c r="J562" s="5">
        <f>Info!$B$44</f>
        <v>0</v>
      </c>
      <c r="P562" s="7">
        <f t="shared" si="28"/>
        <v>0</v>
      </c>
      <c r="Q562" s="7">
        <f t="shared" si="27"/>
        <v>0</v>
      </c>
      <c r="R562">
        <f t="shared" si="26"/>
        <v>0</v>
      </c>
    </row>
    <row r="563" spans="1:18" x14ac:dyDescent="0.2">
      <c r="A563" s="67" t="s">
        <v>2390</v>
      </c>
      <c r="B563" s="4" t="s">
        <v>2391</v>
      </c>
      <c r="J563" s="5">
        <f>Info!$B$44</f>
        <v>0</v>
      </c>
      <c r="P563" s="7">
        <f t="shared" si="28"/>
        <v>0</v>
      </c>
      <c r="Q563" s="7">
        <f t="shared" si="27"/>
        <v>0</v>
      </c>
      <c r="R563">
        <f t="shared" si="26"/>
        <v>0</v>
      </c>
    </row>
    <row r="564" spans="1:18" x14ac:dyDescent="0.2">
      <c r="A564" s="67" t="s">
        <v>2392</v>
      </c>
      <c r="B564" s="4" t="s">
        <v>2393</v>
      </c>
      <c r="J564" s="5">
        <f>Info!$B$44</f>
        <v>0</v>
      </c>
      <c r="P564" s="7">
        <f t="shared" si="28"/>
        <v>0</v>
      </c>
      <c r="Q564" s="7">
        <f t="shared" si="27"/>
        <v>0</v>
      </c>
      <c r="R564">
        <f t="shared" si="26"/>
        <v>0</v>
      </c>
    </row>
    <row r="565" spans="1:18" x14ac:dyDescent="0.2">
      <c r="A565" s="67" t="s">
        <v>2394</v>
      </c>
      <c r="B565" s="4" t="s">
        <v>2395</v>
      </c>
      <c r="J565" s="5">
        <f>Info!$B$44</f>
        <v>0</v>
      </c>
      <c r="P565" s="7">
        <f t="shared" si="28"/>
        <v>0</v>
      </c>
      <c r="Q565" s="7">
        <f t="shared" si="27"/>
        <v>0</v>
      </c>
      <c r="R565">
        <f t="shared" si="26"/>
        <v>0</v>
      </c>
    </row>
    <row r="566" spans="1:18" x14ac:dyDescent="0.2">
      <c r="A566" s="67" t="s">
        <v>2396</v>
      </c>
      <c r="B566" s="4" t="s">
        <v>2397</v>
      </c>
      <c r="J566" s="5">
        <f>Info!$B$44</f>
        <v>0</v>
      </c>
      <c r="P566" s="7">
        <f t="shared" si="28"/>
        <v>0</v>
      </c>
      <c r="Q566" s="7">
        <f t="shared" si="27"/>
        <v>0</v>
      </c>
      <c r="R566">
        <f t="shared" si="26"/>
        <v>0</v>
      </c>
    </row>
    <row r="567" spans="1:18" x14ac:dyDescent="0.2">
      <c r="A567" s="67" t="s">
        <v>2398</v>
      </c>
      <c r="B567" s="4" t="s">
        <v>2399</v>
      </c>
      <c r="J567" s="5">
        <f>Info!$B$44</f>
        <v>0</v>
      </c>
      <c r="P567" s="7">
        <f t="shared" si="28"/>
        <v>0</v>
      </c>
      <c r="Q567" s="7">
        <f t="shared" si="27"/>
        <v>0</v>
      </c>
      <c r="R567">
        <f t="shared" si="26"/>
        <v>0</v>
      </c>
    </row>
    <row r="568" spans="1:18" x14ac:dyDescent="0.2">
      <c r="A568" s="67" t="s">
        <v>2400</v>
      </c>
      <c r="B568" s="4" t="s">
        <v>2401</v>
      </c>
      <c r="J568" s="5">
        <f>Info!$B$44</f>
        <v>0</v>
      </c>
      <c r="P568" s="7">
        <f t="shared" si="28"/>
        <v>0</v>
      </c>
      <c r="Q568" s="7">
        <f t="shared" si="27"/>
        <v>0</v>
      </c>
      <c r="R568">
        <f t="shared" si="26"/>
        <v>0</v>
      </c>
    </row>
    <row r="569" spans="1:18" x14ac:dyDescent="0.2">
      <c r="A569" s="67" t="s">
        <v>2402</v>
      </c>
      <c r="B569" s="4" t="s">
        <v>2403</v>
      </c>
      <c r="J569" s="5">
        <f>Info!$B$44</f>
        <v>0</v>
      </c>
      <c r="P569" s="7">
        <f t="shared" si="28"/>
        <v>0</v>
      </c>
      <c r="Q569" s="7">
        <f t="shared" si="27"/>
        <v>0</v>
      </c>
      <c r="R569">
        <f t="shared" si="26"/>
        <v>0</v>
      </c>
    </row>
    <row r="570" spans="1:18" x14ac:dyDescent="0.2">
      <c r="A570" s="67" t="s">
        <v>2404</v>
      </c>
      <c r="B570" s="4" t="s">
        <v>2405</v>
      </c>
      <c r="J570" s="5">
        <f>Info!$B$44</f>
        <v>0</v>
      </c>
      <c r="P570" s="7">
        <f t="shared" si="28"/>
        <v>0</v>
      </c>
      <c r="Q570" s="7">
        <f t="shared" si="27"/>
        <v>0</v>
      </c>
      <c r="R570">
        <f t="shared" si="26"/>
        <v>0</v>
      </c>
    </row>
    <row r="571" spans="1:18" x14ac:dyDescent="0.2">
      <c r="A571" s="67" t="s">
        <v>2406</v>
      </c>
      <c r="B571" s="4" t="s">
        <v>2407</v>
      </c>
      <c r="J571" s="5">
        <f>Info!$B$44</f>
        <v>0</v>
      </c>
      <c r="P571" s="7">
        <f t="shared" si="28"/>
        <v>0</v>
      </c>
      <c r="Q571" s="7">
        <f t="shared" si="27"/>
        <v>0</v>
      </c>
      <c r="R571">
        <f t="shared" si="26"/>
        <v>0</v>
      </c>
    </row>
    <row r="572" spans="1:18" x14ac:dyDescent="0.2">
      <c r="A572" s="67" t="s">
        <v>2408</v>
      </c>
      <c r="B572" s="4" t="s">
        <v>2409</v>
      </c>
      <c r="J572" s="5">
        <f>Info!$B$44</f>
        <v>0</v>
      </c>
      <c r="P572" s="7">
        <f t="shared" si="28"/>
        <v>0</v>
      </c>
      <c r="Q572" s="7">
        <f t="shared" si="27"/>
        <v>0</v>
      </c>
      <c r="R572">
        <f t="shared" si="26"/>
        <v>0</v>
      </c>
    </row>
    <row r="573" spans="1:18" x14ac:dyDescent="0.2">
      <c r="A573" s="67" t="s">
        <v>2410</v>
      </c>
      <c r="B573" s="4" t="s">
        <v>2411</v>
      </c>
      <c r="J573" s="5">
        <f>Info!$B$44</f>
        <v>0</v>
      </c>
      <c r="P573" s="7">
        <f t="shared" si="28"/>
        <v>0</v>
      </c>
      <c r="Q573" s="7">
        <f t="shared" si="27"/>
        <v>0</v>
      </c>
      <c r="R573">
        <f t="shared" si="26"/>
        <v>0</v>
      </c>
    </row>
    <row r="574" spans="1:18" x14ac:dyDescent="0.2">
      <c r="A574" s="67" t="s">
        <v>2412</v>
      </c>
      <c r="B574" s="4" t="s">
        <v>2413</v>
      </c>
      <c r="J574" s="5">
        <f>Info!$B$44</f>
        <v>0</v>
      </c>
      <c r="P574" s="7">
        <f t="shared" si="28"/>
        <v>0</v>
      </c>
      <c r="Q574" s="7">
        <f t="shared" si="27"/>
        <v>0</v>
      </c>
      <c r="R574">
        <f t="shared" si="26"/>
        <v>0</v>
      </c>
    </row>
    <row r="575" spans="1:18" x14ac:dyDescent="0.2">
      <c r="A575" s="67" t="s">
        <v>2414</v>
      </c>
      <c r="B575" s="4" t="s">
        <v>2415</v>
      </c>
      <c r="J575" s="5">
        <f>Info!$B$44</f>
        <v>0</v>
      </c>
      <c r="P575" s="7">
        <f t="shared" si="28"/>
        <v>0</v>
      </c>
      <c r="Q575" s="7">
        <f t="shared" si="27"/>
        <v>0</v>
      </c>
      <c r="R575">
        <f t="shared" si="26"/>
        <v>0</v>
      </c>
    </row>
    <row r="576" spans="1:18" x14ac:dyDescent="0.2">
      <c r="A576" s="67" t="s">
        <v>2416</v>
      </c>
      <c r="B576" s="4" t="s">
        <v>2417</v>
      </c>
      <c r="J576" s="5">
        <f>Info!$B$44</f>
        <v>0</v>
      </c>
      <c r="P576" s="7">
        <f t="shared" si="28"/>
        <v>0</v>
      </c>
      <c r="Q576" s="7">
        <f t="shared" si="27"/>
        <v>0</v>
      </c>
      <c r="R576">
        <f t="shared" si="26"/>
        <v>0</v>
      </c>
    </row>
    <row r="577" spans="1:18" x14ac:dyDescent="0.2">
      <c r="A577" s="67" t="s">
        <v>2418</v>
      </c>
      <c r="B577" s="4" t="s">
        <v>2419</v>
      </c>
      <c r="J577" s="5">
        <f>Info!$B$44</f>
        <v>0</v>
      </c>
      <c r="P577" s="7">
        <f t="shared" si="28"/>
        <v>0</v>
      </c>
      <c r="Q577" s="7">
        <f t="shared" si="27"/>
        <v>0</v>
      </c>
      <c r="R577">
        <f t="shared" si="26"/>
        <v>0</v>
      </c>
    </row>
    <row r="578" spans="1:18" x14ac:dyDescent="0.2">
      <c r="A578" s="67" t="s">
        <v>2420</v>
      </c>
      <c r="B578" s="4" t="s">
        <v>2421</v>
      </c>
      <c r="J578" s="5">
        <f>Info!$B$44</f>
        <v>0</v>
      </c>
      <c r="P578" s="7">
        <f t="shared" si="28"/>
        <v>0</v>
      </c>
      <c r="Q578" s="7">
        <f t="shared" si="27"/>
        <v>0</v>
      </c>
      <c r="R578">
        <f t="shared" ref="R578:R641" si="29">IF(_xlfn.BITAND(P578&gt;0.4999, Q578&gt;0.4999)=1,1,0)</f>
        <v>0</v>
      </c>
    </row>
    <row r="579" spans="1:18" x14ac:dyDescent="0.2">
      <c r="A579" s="67" t="s">
        <v>2422</v>
      </c>
      <c r="B579" s="4" t="s">
        <v>2423</v>
      </c>
      <c r="J579" s="5">
        <f>Info!$B$44</f>
        <v>0</v>
      </c>
      <c r="P579" s="7">
        <f t="shared" si="28"/>
        <v>0</v>
      </c>
      <c r="Q579" s="7">
        <f t="shared" si="27"/>
        <v>0</v>
      </c>
      <c r="R579">
        <f t="shared" si="29"/>
        <v>0</v>
      </c>
    </row>
    <row r="580" spans="1:18" x14ac:dyDescent="0.2">
      <c r="A580" s="67" t="s">
        <v>2424</v>
      </c>
      <c r="B580" s="4" t="s">
        <v>2425</v>
      </c>
      <c r="J580" s="5">
        <f>Info!$B$44</f>
        <v>0</v>
      </c>
      <c r="P580" s="7">
        <f t="shared" si="28"/>
        <v>0</v>
      </c>
      <c r="Q580" s="7">
        <f t="shared" si="27"/>
        <v>0</v>
      </c>
      <c r="R580">
        <f t="shared" si="29"/>
        <v>0</v>
      </c>
    </row>
    <row r="581" spans="1:18" x14ac:dyDescent="0.2">
      <c r="A581" s="67" t="s">
        <v>2426</v>
      </c>
      <c r="B581" s="4" t="s">
        <v>2427</v>
      </c>
      <c r="J581" s="5">
        <f>Info!$B$44</f>
        <v>0</v>
      </c>
      <c r="P581" s="7">
        <f t="shared" si="28"/>
        <v>0</v>
      </c>
      <c r="Q581" s="7">
        <f t="shared" si="27"/>
        <v>0</v>
      </c>
      <c r="R581">
        <f t="shared" si="29"/>
        <v>0</v>
      </c>
    </row>
    <row r="582" spans="1:18" x14ac:dyDescent="0.2">
      <c r="A582" s="67" t="s">
        <v>2428</v>
      </c>
      <c r="B582" s="4" t="s">
        <v>2429</v>
      </c>
      <c r="J582" s="5">
        <f>Info!$B$44</f>
        <v>0</v>
      </c>
      <c r="P582" s="7">
        <f t="shared" si="28"/>
        <v>0</v>
      </c>
      <c r="Q582" s="7">
        <f t="shared" si="27"/>
        <v>0</v>
      </c>
      <c r="R582">
        <f t="shared" si="29"/>
        <v>0</v>
      </c>
    </row>
    <row r="583" spans="1:18" x14ac:dyDescent="0.2">
      <c r="A583" s="67" t="s">
        <v>2430</v>
      </c>
      <c r="B583" s="4" t="s">
        <v>2431</v>
      </c>
      <c r="J583" s="5">
        <f>Info!$B$44</f>
        <v>0</v>
      </c>
      <c r="P583" s="7">
        <f t="shared" si="28"/>
        <v>0</v>
      </c>
      <c r="Q583" s="7">
        <f t="shared" si="27"/>
        <v>0</v>
      </c>
      <c r="R583">
        <f t="shared" si="29"/>
        <v>0</v>
      </c>
    </row>
    <row r="584" spans="1:18" x14ac:dyDescent="0.2">
      <c r="A584" s="67" t="s">
        <v>2432</v>
      </c>
      <c r="B584" s="4" t="s">
        <v>2433</v>
      </c>
      <c r="J584" s="5">
        <f>Info!$B$44</f>
        <v>0</v>
      </c>
      <c r="P584" s="7">
        <f t="shared" si="28"/>
        <v>0</v>
      </c>
      <c r="Q584" s="7">
        <f t="shared" si="27"/>
        <v>0</v>
      </c>
      <c r="R584">
        <f t="shared" si="29"/>
        <v>0</v>
      </c>
    </row>
    <row r="585" spans="1:18" x14ac:dyDescent="0.2">
      <c r="A585" s="67" t="s">
        <v>2434</v>
      </c>
      <c r="B585" s="4" t="s">
        <v>2435</v>
      </c>
      <c r="J585" s="5">
        <f>Info!$B$44</f>
        <v>0</v>
      </c>
      <c r="P585" s="7">
        <f t="shared" si="28"/>
        <v>0</v>
      </c>
      <c r="Q585" s="7">
        <f t="shared" si="27"/>
        <v>0</v>
      </c>
      <c r="R585">
        <f t="shared" si="29"/>
        <v>0</v>
      </c>
    </row>
    <row r="586" spans="1:18" x14ac:dyDescent="0.2">
      <c r="A586" s="67" t="s">
        <v>2436</v>
      </c>
      <c r="B586" s="4" t="s">
        <v>2437</v>
      </c>
      <c r="J586" s="5">
        <f>Info!$B$44</f>
        <v>0</v>
      </c>
      <c r="P586" s="7">
        <f t="shared" si="28"/>
        <v>0</v>
      </c>
      <c r="Q586" s="7">
        <f t="shared" si="27"/>
        <v>0</v>
      </c>
      <c r="R586">
        <f t="shared" si="29"/>
        <v>0</v>
      </c>
    </row>
    <row r="587" spans="1:18" x14ac:dyDescent="0.2">
      <c r="A587" s="67" t="s">
        <v>2438</v>
      </c>
      <c r="B587" s="4" t="s">
        <v>2439</v>
      </c>
      <c r="J587" s="5">
        <f>Info!$B$44</f>
        <v>0</v>
      </c>
      <c r="P587" s="7">
        <f t="shared" si="28"/>
        <v>0</v>
      </c>
      <c r="Q587" s="7">
        <f t="shared" si="27"/>
        <v>0</v>
      </c>
      <c r="R587">
        <f t="shared" si="29"/>
        <v>0</v>
      </c>
    </row>
    <row r="588" spans="1:18" x14ac:dyDescent="0.2">
      <c r="A588" s="67" t="s">
        <v>2440</v>
      </c>
      <c r="B588" s="4" t="s">
        <v>2441</v>
      </c>
      <c r="J588" s="5">
        <f>Info!$B$44</f>
        <v>0</v>
      </c>
      <c r="P588" s="7">
        <f t="shared" si="28"/>
        <v>0</v>
      </c>
      <c r="Q588" s="7">
        <f t="shared" si="27"/>
        <v>0</v>
      </c>
      <c r="R588">
        <f t="shared" si="29"/>
        <v>0</v>
      </c>
    </row>
    <row r="589" spans="1:18" x14ac:dyDescent="0.2">
      <c r="A589" s="67" t="s">
        <v>2442</v>
      </c>
      <c r="B589" s="4" t="s">
        <v>2443</v>
      </c>
      <c r="J589" s="5">
        <f>Info!$B$44</f>
        <v>0</v>
      </c>
      <c r="P589" s="7">
        <f t="shared" si="28"/>
        <v>0</v>
      </c>
      <c r="Q589" s="7">
        <f t="shared" ref="Q589:Q652" si="30">(O589+P589)/2</f>
        <v>0</v>
      </c>
      <c r="R589">
        <f t="shared" si="29"/>
        <v>0</v>
      </c>
    </row>
    <row r="590" spans="1:18" x14ac:dyDescent="0.2">
      <c r="A590" s="67" t="s">
        <v>2444</v>
      </c>
      <c r="B590" s="4" t="s">
        <v>2445</v>
      </c>
      <c r="J590" s="5">
        <f>Info!$B$44</f>
        <v>0</v>
      </c>
      <c r="P590" s="7">
        <f t="shared" si="28"/>
        <v>0</v>
      </c>
      <c r="Q590" s="7">
        <f t="shared" si="30"/>
        <v>0</v>
      </c>
      <c r="R590">
        <f t="shared" si="29"/>
        <v>0</v>
      </c>
    </row>
    <row r="591" spans="1:18" x14ac:dyDescent="0.2">
      <c r="A591" s="67" t="s">
        <v>2446</v>
      </c>
      <c r="B591" s="4" t="s">
        <v>2447</v>
      </c>
      <c r="J591" s="5">
        <f>Info!$B$44</f>
        <v>0</v>
      </c>
      <c r="P591" s="7">
        <f t="shared" si="28"/>
        <v>0</v>
      </c>
      <c r="Q591" s="7">
        <f t="shared" si="30"/>
        <v>0</v>
      </c>
      <c r="R591">
        <f t="shared" si="29"/>
        <v>0</v>
      </c>
    </row>
    <row r="592" spans="1:18" x14ac:dyDescent="0.2">
      <c r="A592" s="67" t="s">
        <v>2448</v>
      </c>
      <c r="B592" s="4" t="s">
        <v>2449</v>
      </c>
      <c r="J592" s="5">
        <f>Info!$B$44</f>
        <v>0</v>
      </c>
      <c r="P592" s="7">
        <f t="shared" si="28"/>
        <v>0</v>
      </c>
      <c r="Q592" s="7">
        <f t="shared" si="30"/>
        <v>0</v>
      </c>
      <c r="R592">
        <f t="shared" si="29"/>
        <v>0</v>
      </c>
    </row>
    <row r="593" spans="1:18" x14ac:dyDescent="0.2">
      <c r="A593" s="67" t="s">
        <v>2450</v>
      </c>
      <c r="B593" s="4" t="s">
        <v>2451</v>
      </c>
      <c r="J593" s="5">
        <f>Info!$B$44</f>
        <v>0</v>
      </c>
      <c r="P593" s="7">
        <f t="shared" si="28"/>
        <v>0</v>
      </c>
      <c r="Q593" s="7">
        <f t="shared" si="30"/>
        <v>0</v>
      </c>
      <c r="R593">
        <f t="shared" si="29"/>
        <v>0</v>
      </c>
    </row>
    <row r="594" spans="1:18" x14ac:dyDescent="0.2">
      <c r="A594" s="67" t="s">
        <v>2452</v>
      </c>
      <c r="B594" s="4" t="s">
        <v>2453</v>
      </c>
      <c r="J594" s="5">
        <f>Info!$B$44</f>
        <v>0</v>
      </c>
      <c r="P594" s="7">
        <f t="shared" si="28"/>
        <v>0</v>
      </c>
      <c r="Q594" s="7">
        <f t="shared" si="30"/>
        <v>0</v>
      </c>
      <c r="R594">
        <f t="shared" si="29"/>
        <v>0</v>
      </c>
    </row>
    <row r="595" spans="1:18" x14ac:dyDescent="0.2">
      <c r="A595" s="67" t="s">
        <v>2454</v>
      </c>
      <c r="B595" s="4" t="s">
        <v>2455</v>
      </c>
      <c r="J595" s="5">
        <f>Info!$B$44</f>
        <v>0</v>
      </c>
      <c r="P595" s="7">
        <f t="shared" si="28"/>
        <v>0</v>
      </c>
      <c r="Q595" s="7">
        <f t="shared" si="30"/>
        <v>0</v>
      </c>
      <c r="R595">
        <f t="shared" si="29"/>
        <v>0</v>
      </c>
    </row>
    <row r="596" spans="1:18" x14ac:dyDescent="0.2">
      <c r="A596" s="67" t="s">
        <v>2456</v>
      </c>
      <c r="B596" s="4" t="s">
        <v>2457</v>
      </c>
      <c r="J596" s="5">
        <f>Info!$B$44</f>
        <v>0</v>
      </c>
      <c r="P596" s="7">
        <f t="shared" si="28"/>
        <v>0</v>
      </c>
      <c r="Q596" s="7">
        <f t="shared" si="30"/>
        <v>0</v>
      </c>
      <c r="R596">
        <f t="shared" si="29"/>
        <v>0</v>
      </c>
    </row>
    <row r="597" spans="1:18" x14ac:dyDescent="0.2">
      <c r="A597" s="67" t="s">
        <v>2458</v>
      </c>
      <c r="B597" s="4" t="s">
        <v>2459</v>
      </c>
      <c r="J597" s="5">
        <f>Info!$B$44</f>
        <v>0</v>
      </c>
      <c r="P597" s="7">
        <f t="shared" ref="P597:P660" si="31">(D597+E597+F597+G597+H597+I597+J597)/7</f>
        <v>0</v>
      </c>
      <c r="Q597" s="7">
        <f t="shared" si="30"/>
        <v>0</v>
      </c>
      <c r="R597">
        <f t="shared" si="29"/>
        <v>0</v>
      </c>
    </row>
    <row r="598" spans="1:18" x14ac:dyDescent="0.2">
      <c r="A598" s="67" t="s">
        <v>2460</v>
      </c>
      <c r="B598" s="4" t="s">
        <v>2461</v>
      </c>
      <c r="J598" s="5">
        <f>Info!$B$44</f>
        <v>0</v>
      </c>
      <c r="P598" s="7">
        <f t="shared" si="31"/>
        <v>0</v>
      </c>
      <c r="Q598" s="7">
        <f t="shared" si="30"/>
        <v>0</v>
      </c>
      <c r="R598">
        <f t="shared" si="29"/>
        <v>0</v>
      </c>
    </row>
    <row r="599" spans="1:18" x14ac:dyDescent="0.2">
      <c r="A599" s="67" t="s">
        <v>2462</v>
      </c>
      <c r="B599" s="4" t="s">
        <v>2463</v>
      </c>
      <c r="J599" s="5">
        <f>Info!$B$44</f>
        <v>0</v>
      </c>
      <c r="P599" s="7">
        <f t="shared" si="31"/>
        <v>0</v>
      </c>
      <c r="Q599" s="7">
        <f t="shared" si="30"/>
        <v>0</v>
      </c>
      <c r="R599">
        <f t="shared" si="29"/>
        <v>0</v>
      </c>
    </row>
    <row r="600" spans="1:18" x14ac:dyDescent="0.2">
      <c r="A600" s="67" t="s">
        <v>2464</v>
      </c>
      <c r="B600" s="4" t="s">
        <v>2465</v>
      </c>
      <c r="J600" s="5">
        <f>Info!$B$44</f>
        <v>0</v>
      </c>
      <c r="P600" s="7">
        <f t="shared" si="31"/>
        <v>0</v>
      </c>
      <c r="Q600" s="7">
        <f t="shared" si="30"/>
        <v>0</v>
      </c>
      <c r="R600">
        <f t="shared" si="29"/>
        <v>0</v>
      </c>
    </row>
    <row r="601" spans="1:18" x14ac:dyDescent="0.2">
      <c r="A601" s="67" t="s">
        <v>2466</v>
      </c>
      <c r="B601" s="4" t="s">
        <v>2467</v>
      </c>
      <c r="J601" s="5">
        <f>Info!$B$44</f>
        <v>0</v>
      </c>
      <c r="P601" s="7">
        <f t="shared" si="31"/>
        <v>0</v>
      </c>
      <c r="Q601" s="7">
        <f t="shared" si="30"/>
        <v>0</v>
      </c>
      <c r="R601">
        <f t="shared" si="29"/>
        <v>0</v>
      </c>
    </row>
    <row r="602" spans="1:18" x14ac:dyDescent="0.2">
      <c r="A602" s="67" t="s">
        <v>2468</v>
      </c>
      <c r="B602" s="4" t="s">
        <v>2469</v>
      </c>
      <c r="J602" s="5">
        <f>Info!$B$44</f>
        <v>0</v>
      </c>
      <c r="P602" s="7">
        <f t="shared" si="31"/>
        <v>0</v>
      </c>
      <c r="Q602" s="7">
        <f t="shared" si="30"/>
        <v>0</v>
      </c>
      <c r="R602">
        <f t="shared" si="29"/>
        <v>0</v>
      </c>
    </row>
    <row r="603" spans="1:18" x14ac:dyDescent="0.2">
      <c r="A603" s="67" t="s">
        <v>2470</v>
      </c>
      <c r="B603" s="4" t="s">
        <v>2471</v>
      </c>
      <c r="J603" s="5">
        <f>Info!$B$44</f>
        <v>0</v>
      </c>
      <c r="P603" s="7">
        <f t="shared" si="31"/>
        <v>0</v>
      </c>
      <c r="Q603" s="7">
        <f t="shared" si="30"/>
        <v>0</v>
      </c>
      <c r="R603">
        <f t="shared" si="29"/>
        <v>0</v>
      </c>
    </row>
    <row r="604" spans="1:18" x14ac:dyDescent="0.2">
      <c r="A604" s="67" t="s">
        <v>2472</v>
      </c>
      <c r="B604" s="4" t="s">
        <v>2473</v>
      </c>
      <c r="J604" s="5">
        <f>Info!$B$44</f>
        <v>0</v>
      </c>
      <c r="P604" s="7">
        <f t="shared" si="31"/>
        <v>0</v>
      </c>
      <c r="Q604" s="7">
        <f t="shared" si="30"/>
        <v>0</v>
      </c>
      <c r="R604">
        <f t="shared" si="29"/>
        <v>0</v>
      </c>
    </row>
    <row r="605" spans="1:18" x14ac:dyDescent="0.2">
      <c r="A605" s="67" t="s">
        <v>2474</v>
      </c>
      <c r="B605" s="4" t="s">
        <v>2475</v>
      </c>
      <c r="J605" s="5">
        <f>Info!$B$44</f>
        <v>0</v>
      </c>
      <c r="P605" s="7">
        <f t="shared" si="31"/>
        <v>0</v>
      </c>
      <c r="Q605" s="7">
        <f t="shared" si="30"/>
        <v>0</v>
      </c>
      <c r="R605">
        <f t="shared" si="29"/>
        <v>0</v>
      </c>
    </row>
    <row r="606" spans="1:18" x14ac:dyDescent="0.2">
      <c r="A606" s="67" t="s">
        <v>2476</v>
      </c>
      <c r="B606" s="4" t="s">
        <v>2477</v>
      </c>
      <c r="J606" s="5">
        <f>Info!$B$44</f>
        <v>0</v>
      </c>
      <c r="P606" s="7">
        <f t="shared" si="31"/>
        <v>0</v>
      </c>
      <c r="Q606" s="7">
        <f t="shared" si="30"/>
        <v>0</v>
      </c>
      <c r="R606">
        <f t="shared" si="29"/>
        <v>0</v>
      </c>
    </row>
    <row r="607" spans="1:18" x14ac:dyDescent="0.2">
      <c r="A607" s="67" t="s">
        <v>2478</v>
      </c>
      <c r="B607" s="4" t="s">
        <v>2479</v>
      </c>
      <c r="J607" s="5">
        <f>Info!$B$44</f>
        <v>0</v>
      </c>
      <c r="P607" s="7">
        <f t="shared" si="31"/>
        <v>0</v>
      </c>
      <c r="Q607" s="7">
        <f t="shared" si="30"/>
        <v>0</v>
      </c>
      <c r="R607">
        <f t="shared" si="29"/>
        <v>0</v>
      </c>
    </row>
    <row r="608" spans="1:18" x14ac:dyDescent="0.2">
      <c r="A608" s="67" t="s">
        <v>2480</v>
      </c>
      <c r="B608" s="4" t="s">
        <v>2481</v>
      </c>
      <c r="J608" s="5">
        <f>Info!$B$44</f>
        <v>0</v>
      </c>
      <c r="P608" s="7">
        <f t="shared" si="31"/>
        <v>0</v>
      </c>
      <c r="Q608" s="7">
        <f t="shared" si="30"/>
        <v>0</v>
      </c>
      <c r="R608">
        <f t="shared" si="29"/>
        <v>0</v>
      </c>
    </row>
    <row r="609" spans="1:18" x14ac:dyDescent="0.2">
      <c r="A609" s="67" t="s">
        <v>2482</v>
      </c>
      <c r="B609" s="4" t="s">
        <v>2483</v>
      </c>
      <c r="J609" s="5">
        <f>Info!$B$44</f>
        <v>0</v>
      </c>
      <c r="P609" s="7">
        <f t="shared" si="31"/>
        <v>0</v>
      </c>
      <c r="Q609" s="7">
        <f t="shared" si="30"/>
        <v>0</v>
      </c>
      <c r="R609">
        <f t="shared" si="29"/>
        <v>0</v>
      </c>
    </row>
    <row r="610" spans="1:18" x14ac:dyDescent="0.2">
      <c r="A610" s="67" t="s">
        <v>2484</v>
      </c>
      <c r="B610" s="4" t="s">
        <v>2485</v>
      </c>
      <c r="J610" s="5">
        <f>Info!$B$44</f>
        <v>0</v>
      </c>
      <c r="P610" s="7">
        <f t="shared" si="31"/>
        <v>0</v>
      </c>
      <c r="Q610" s="7">
        <f t="shared" si="30"/>
        <v>0</v>
      </c>
      <c r="R610">
        <f t="shared" si="29"/>
        <v>0</v>
      </c>
    </row>
    <row r="611" spans="1:18" x14ac:dyDescent="0.2">
      <c r="A611" s="67" t="s">
        <v>2486</v>
      </c>
      <c r="B611" s="4" t="s">
        <v>2487</v>
      </c>
      <c r="J611" s="5">
        <f>Info!$B$44</f>
        <v>0</v>
      </c>
      <c r="P611" s="7">
        <f t="shared" si="31"/>
        <v>0</v>
      </c>
      <c r="Q611" s="7">
        <f t="shared" si="30"/>
        <v>0</v>
      </c>
      <c r="R611">
        <f t="shared" si="29"/>
        <v>0</v>
      </c>
    </row>
    <row r="612" spans="1:18" x14ac:dyDescent="0.2">
      <c r="A612" s="67" t="s">
        <v>2488</v>
      </c>
      <c r="B612" s="4" t="s">
        <v>2489</v>
      </c>
      <c r="J612" s="5">
        <f>Info!$B$44</f>
        <v>0</v>
      </c>
      <c r="P612" s="7">
        <f t="shared" si="31"/>
        <v>0</v>
      </c>
      <c r="Q612" s="7">
        <f t="shared" si="30"/>
        <v>0</v>
      </c>
      <c r="R612">
        <f t="shared" si="29"/>
        <v>0</v>
      </c>
    </row>
    <row r="613" spans="1:18" x14ac:dyDescent="0.2">
      <c r="A613" s="67" t="s">
        <v>2490</v>
      </c>
      <c r="B613" s="4" t="s">
        <v>2491</v>
      </c>
      <c r="J613" s="5">
        <f>Info!$B$44</f>
        <v>0</v>
      </c>
      <c r="P613" s="7">
        <f t="shared" si="31"/>
        <v>0</v>
      </c>
      <c r="Q613" s="7">
        <f t="shared" si="30"/>
        <v>0</v>
      </c>
      <c r="R613">
        <f t="shared" si="29"/>
        <v>0</v>
      </c>
    </row>
    <row r="614" spans="1:18" x14ac:dyDescent="0.2">
      <c r="A614" s="67" t="s">
        <v>2492</v>
      </c>
      <c r="B614" s="4" t="s">
        <v>2493</v>
      </c>
      <c r="J614" s="5">
        <f>Info!$B$44</f>
        <v>0</v>
      </c>
      <c r="P614" s="7">
        <f t="shared" si="31"/>
        <v>0</v>
      </c>
      <c r="Q614" s="7">
        <f t="shared" si="30"/>
        <v>0</v>
      </c>
      <c r="R614">
        <f t="shared" si="29"/>
        <v>0</v>
      </c>
    </row>
    <row r="615" spans="1:18" x14ac:dyDescent="0.2">
      <c r="A615" s="67" t="s">
        <v>2494</v>
      </c>
      <c r="B615" s="4" t="s">
        <v>2495</v>
      </c>
      <c r="J615" s="5">
        <f>Info!$B$44</f>
        <v>0</v>
      </c>
      <c r="P615" s="7">
        <f t="shared" si="31"/>
        <v>0</v>
      </c>
      <c r="Q615" s="7">
        <f t="shared" si="30"/>
        <v>0</v>
      </c>
      <c r="R615">
        <f t="shared" si="29"/>
        <v>0</v>
      </c>
    </row>
    <row r="616" spans="1:18" x14ac:dyDescent="0.2">
      <c r="A616" s="67" t="s">
        <v>2496</v>
      </c>
      <c r="B616" s="4" t="s">
        <v>2497</v>
      </c>
      <c r="J616" s="5">
        <f>Info!$B$44</f>
        <v>0</v>
      </c>
      <c r="P616" s="7">
        <f t="shared" si="31"/>
        <v>0</v>
      </c>
      <c r="Q616" s="7">
        <f t="shared" si="30"/>
        <v>0</v>
      </c>
      <c r="R616">
        <f t="shared" si="29"/>
        <v>0</v>
      </c>
    </row>
    <row r="617" spans="1:18" x14ac:dyDescent="0.2">
      <c r="A617" s="67" t="s">
        <v>2498</v>
      </c>
      <c r="B617" s="4" t="s">
        <v>2499</v>
      </c>
      <c r="J617" s="5">
        <f>Info!$B$44</f>
        <v>0</v>
      </c>
      <c r="P617" s="7">
        <f t="shared" si="31"/>
        <v>0</v>
      </c>
      <c r="Q617" s="7">
        <f t="shared" si="30"/>
        <v>0</v>
      </c>
      <c r="R617">
        <f t="shared" si="29"/>
        <v>0</v>
      </c>
    </row>
    <row r="618" spans="1:18" x14ac:dyDescent="0.2">
      <c r="A618" s="67" t="s">
        <v>2500</v>
      </c>
      <c r="B618" s="4" t="s">
        <v>2501</v>
      </c>
      <c r="J618" s="5">
        <f>Info!$B$44</f>
        <v>0</v>
      </c>
      <c r="P618" s="7">
        <f t="shared" si="31"/>
        <v>0</v>
      </c>
      <c r="Q618" s="7">
        <f t="shared" si="30"/>
        <v>0</v>
      </c>
      <c r="R618">
        <f t="shared" si="29"/>
        <v>0</v>
      </c>
    </row>
    <row r="619" spans="1:18" x14ac:dyDescent="0.2">
      <c r="A619" s="67" t="s">
        <v>2502</v>
      </c>
      <c r="B619" s="4" t="s">
        <v>2503</v>
      </c>
      <c r="J619" s="5">
        <f>Info!$B$44</f>
        <v>0</v>
      </c>
      <c r="P619" s="7">
        <f t="shared" si="31"/>
        <v>0</v>
      </c>
      <c r="Q619" s="7">
        <f t="shared" si="30"/>
        <v>0</v>
      </c>
      <c r="R619">
        <f t="shared" si="29"/>
        <v>0</v>
      </c>
    </row>
    <row r="620" spans="1:18" x14ac:dyDescent="0.2">
      <c r="A620" s="67" t="s">
        <v>2504</v>
      </c>
      <c r="B620" s="4" t="s">
        <v>2505</v>
      </c>
      <c r="J620" s="5">
        <f>Info!$B$44</f>
        <v>0</v>
      </c>
      <c r="P620" s="7">
        <f t="shared" si="31"/>
        <v>0</v>
      </c>
      <c r="Q620" s="7">
        <f t="shared" si="30"/>
        <v>0</v>
      </c>
      <c r="R620">
        <f t="shared" si="29"/>
        <v>0</v>
      </c>
    </row>
    <row r="621" spans="1:18" x14ac:dyDescent="0.2">
      <c r="A621" s="67" t="s">
        <v>2506</v>
      </c>
      <c r="B621" s="4" t="s">
        <v>2507</v>
      </c>
      <c r="J621" s="5">
        <f>Info!$B$44</f>
        <v>0</v>
      </c>
      <c r="P621" s="7">
        <f t="shared" si="31"/>
        <v>0</v>
      </c>
      <c r="Q621" s="7">
        <f t="shared" si="30"/>
        <v>0</v>
      </c>
      <c r="R621">
        <f t="shared" si="29"/>
        <v>0</v>
      </c>
    </row>
    <row r="622" spans="1:18" x14ac:dyDescent="0.2">
      <c r="A622" s="67" t="s">
        <v>2508</v>
      </c>
      <c r="B622" s="4" t="s">
        <v>2509</v>
      </c>
      <c r="J622" s="5">
        <f>Info!$B$44</f>
        <v>0</v>
      </c>
      <c r="P622" s="7">
        <f t="shared" si="31"/>
        <v>0</v>
      </c>
      <c r="Q622" s="7">
        <f t="shared" si="30"/>
        <v>0</v>
      </c>
      <c r="R622">
        <f t="shared" si="29"/>
        <v>0</v>
      </c>
    </row>
    <row r="623" spans="1:18" x14ac:dyDescent="0.2">
      <c r="A623" s="67" t="s">
        <v>2510</v>
      </c>
      <c r="B623" s="4" t="s">
        <v>2511</v>
      </c>
      <c r="J623" s="5">
        <f>Info!$B$44</f>
        <v>0</v>
      </c>
      <c r="P623" s="7">
        <f t="shared" si="31"/>
        <v>0</v>
      </c>
      <c r="Q623" s="7">
        <f t="shared" si="30"/>
        <v>0</v>
      </c>
      <c r="R623">
        <f t="shared" si="29"/>
        <v>0</v>
      </c>
    </row>
    <row r="624" spans="1:18" x14ac:dyDescent="0.2">
      <c r="A624" s="67" t="s">
        <v>2512</v>
      </c>
      <c r="B624" s="4" t="s">
        <v>2513</v>
      </c>
      <c r="J624" s="5">
        <f>Info!$B$44</f>
        <v>0</v>
      </c>
      <c r="P624" s="7">
        <f t="shared" si="31"/>
        <v>0</v>
      </c>
      <c r="Q624" s="7">
        <f t="shared" si="30"/>
        <v>0</v>
      </c>
      <c r="R624">
        <f t="shared" si="29"/>
        <v>0</v>
      </c>
    </row>
    <row r="625" spans="1:18" x14ac:dyDescent="0.2">
      <c r="A625" s="67" t="s">
        <v>2514</v>
      </c>
      <c r="B625" s="4" t="s">
        <v>2515</v>
      </c>
      <c r="J625" s="5">
        <f>Info!$B$44</f>
        <v>0</v>
      </c>
      <c r="P625" s="7">
        <f t="shared" si="31"/>
        <v>0</v>
      </c>
      <c r="Q625" s="7">
        <f t="shared" si="30"/>
        <v>0</v>
      </c>
      <c r="R625">
        <f t="shared" si="29"/>
        <v>0</v>
      </c>
    </row>
    <row r="626" spans="1:18" x14ac:dyDescent="0.2">
      <c r="A626" s="67" t="s">
        <v>2516</v>
      </c>
      <c r="B626" s="4" t="s">
        <v>2517</v>
      </c>
      <c r="J626" s="5">
        <f>Info!$B$44</f>
        <v>0</v>
      </c>
      <c r="P626" s="7">
        <f t="shared" si="31"/>
        <v>0</v>
      </c>
      <c r="Q626" s="7">
        <f t="shared" si="30"/>
        <v>0</v>
      </c>
      <c r="R626">
        <f t="shared" si="29"/>
        <v>0</v>
      </c>
    </row>
    <row r="627" spans="1:18" x14ac:dyDescent="0.2">
      <c r="A627" s="67" t="s">
        <v>2518</v>
      </c>
      <c r="B627" s="4" t="s">
        <v>2519</v>
      </c>
      <c r="J627" s="5">
        <f>Info!$B$44</f>
        <v>0</v>
      </c>
      <c r="P627" s="7">
        <f t="shared" si="31"/>
        <v>0</v>
      </c>
      <c r="Q627" s="7">
        <f t="shared" si="30"/>
        <v>0</v>
      </c>
      <c r="R627">
        <f t="shared" si="29"/>
        <v>0</v>
      </c>
    </row>
    <row r="628" spans="1:18" x14ac:dyDescent="0.2">
      <c r="A628" s="67" t="s">
        <v>2520</v>
      </c>
      <c r="B628" s="4" t="s">
        <v>2521</v>
      </c>
      <c r="J628" s="5">
        <f>Info!$B$44</f>
        <v>0</v>
      </c>
      <c r="P628" s="7">
        <f t="shared" si="31"/>
        <v>0</v>
      </c>
      <c r="Q628" s="7">
        <f t="shared" si="30"/>
        <v>0</v>
      </c>
      <c r="R628">
        <f t="shared" si="29"/>
        <v>0</v>
      </c>
    </row>
    <row r="629" spans="1:18" x14ac:dyDescent="0.2">
      <c r="A629" s="67" t="s">
        <v>2522</v>
      </c>
      <c r="B629" s="4" t="s">
        <v>2523</v>
      </c>
      <c r="J629" s="5">
        <f>Info!$B$44</f>
        <v>0</v>
      </c>
      <c r="P629" s="7">
        <f t="shared" si="31"/>
        <v>0</v>
      </c>
      <c r="Q629" s="7">
        <f t="shared" si="30"/>
        <v>0</v>
      </c>
      <c r="R629">
        <f t="shared" si="29"/>
        <v>0</v>
      </c>
    </row>
    <row r="630" spans="1:18" x14ac:dyDescent="0.2">
      <c r="A630" s="67" t="s">
        <v>2524</v>
      </c>
      <c r="B630" s="4" t="s">
        <v>2525</v>
      </c>
      <c r="J630" s="5">
        <f>Info!$B$44</f>
        <v>0</v>
      </c>
      <c r="P630" s="7">
        <f t="shared" si="31"/>
        <v>0</v>
      </c>
      <c r="Q630" s="7">
        <f t="shared" si="30"/>
        <v>0</v>
      </c>
      <c r="R630">
        <f t="shared" si="29"/>
        <v>0</v>
      </c>
    </row>
    <row r="631" spans="1:18" x14ac:dyDescent="0.2">
      <c r="A631" s="67" t="s">
        <v>2526</v>
      </c>
      <c r="B631" s="4" t="s">
        <v>2527</v>
      </c>
      <c r="J631" s="5">
        <f>Info!$B$44</f>
        <v>0</v>
      </c>
      <c r="P631" s="7">
        <f t="shared" si="31"/>
        <v>0</v>
      </c>
      <c r="Q631" s="7">
        <f t="shared" si="30"/>
        <v>0</v>
      </c>
      <c r="R631">
        <f t="shared" si="29"/>
        <v>0</v>
      </c>
    </row>
    <row r="632" spans="1:18" x14ac:dyDescent="0.2">
      <c r="A632" s="67" t="s">
        <v>2528</v>
      </c>
      <c r="B632" s="4" t="s">
        <v>2529</v>
      </c>
      <c r="J632" s="5">
        <f>Info!$B$44</f>
        <v>0</v>
      </c>
      <c r="P632" s="7">
        <f t="shared" si="31"/>
        <v>0</v>
      </c>
      <c r="Q632" s="7">
        <f t="shared" si="30"/>
        <v>0</v>
      </c>
      <c r="R632">
        <f t="shared" si="29"/>
        <v>0</v>
      </c>
    </row>
    <row r="633" spans="1:18" x14ac:dyDescent="0.2">
      <c r="A633" s="67" t="s">
        <v>2530</v>
      </c>
      <c r="B633" s="4" t="s">
        <v>2531</v>
      </c>
      <c r="J633" s="5">
        <f>Info!$B$44</f>
        <v>0</v>
      </c>
      <c r="P633" s="7">
        <f t="shared" si="31"/>
        <v>0</v>
      </c>
      <c r="Q633" s="7">
        <f t="shared" si="30"/>
        <v>0</v>
      </c>
      <c r="R633">
        <f t="shared" si="29"/>
        <v>0</v>
      </c>
    </row>
    <row r="634" spans="1:18" x14ac:dyDescent="0.2">
      <c r="A634" s="67" t="s">
        <v>2532</v>
      </c>
      <c r="B634" s="4" t="s">
        <v>2533</v>
      </c>
      <c r="J634" s="5">
        <f>Info!$B$44</f>
        <v>0</v>
      </c>
      <c r="P634" s="7">
        <f t="shared" si="31"/>
        <v>0</v>
      </c>
      <c r="Q634" s="7">
        <f t="shared" si="30"/>
        <v>0</v>
      </c>
      <c r="R634">
        <f t="shared" si="29"/>
        <v>0</v>
      </c>
    </row>
    <row r="635" spans="1:18" x14ac:dyDescent="0.2">
      <c r="A635" s="67" t="s">
        <v>2534</v>
      </c>
      <c r="B635" s="4" t="s">
        <v>2535</v>
      </c>
      <c r="J635" s="5">
        <f>Info!$B$44</f>
        <v>0</v>
      </c>
      <c r="P635" s="7">
        <f t="shared" si="31"/>
        <v>0</v>
      </c>
      <c r="Q635" s="7">
        <f t="shared" si="30"/>
        <v>0</v>
      </c>
      <c r="R635">
        <f t="shared" si="29"/>
        <v>0</v>
      </c>
    </row>
    <row r="636" spans="1:18" x14ac:dyDescent="0.2">
      <c r="A636" s="67" t="s">
        <v>2536</v>
      </c>
      <c r="B636" s="4" t="s">
        <v>2537</v>
      </c>
      <c r="J636" s="5">
        <f>Info!$B$44</f>
        <v>0</v>
      </c>
      <c r="P636" s="7">
        <f t="shared" si="31"/>
        <v>0</v>
      </c>
      <c r="Q636" s="7">
        <f t="shared" si="30"/>
        <v>0</v>
      </c>
      <c r="R636">
        <f t="shared" si="29"/>
        <v>0</v>
      </c>
    </row>
    <row r="637" spans="1:18" x14ac:dyDescent="0.2">
      <c r="A637" s="67" t="s">
        <v>2538</v>
      </c>
      <c r="B637" s="4" t="s">
        <v>2539</v>
      </c>
      <c r="J637" s="5">
        <f>Info!$B$44</f>
        <v>0</v>
      </c>
      <c r="P637" s="7">
        <f t="shared" si="31"/>
        <v>0</v>
      </c>
      <c r="Q637" s="7">
        <f t="shared" si="30"/>
        <v>0</v>
      </c>
      <c r="R637">
        <f t="shared" si="29"/>
        <v>0</v>
      </c>
    </row>
    <row r="638" spans="1:18" x14ac:dyDescent="0.2">
      <c r="A638" s="67" t="s">
        <v>2540</v>
      </c>
      <c r="B638" s="4" t="s">
        <v>2541</v>
      </c>
      <c r="J638" s="5">
        <f>Info!$B$44</f>
        <v>0</v>
      </c>
      <c r="P638" s="7">
        <f t="shared" si="31"/>
        <v>0</v>
      </c>
      <c r="Q638" s="7">
        <f t="shared" si="30"/>
        <v>0</v>
      </c>
      <c r="R638">
        <f t="shared" si="29"/>
        <v>0</v>
      </c>
    </row>
    <row r="639" spans="1:18" x14ac:dyDescent="0.2">
      <c r="A639" s="67" t="s">
        <v>2542</v>
      </c>
      <c r="B639" s="4" t="s">
        <v>2543</v>
      </c>
      <c r="J639" s="5">
        <f>Info!$B$44</f>
        <v>0</v>
      </c>
      <c r="P639" s="7">
        <f t="shared" si="31"/>
        <v>0</v>
      </c>
      <c r="Q639" s="7">
        <f t="shared" si="30"/>
        <v>0</v>
      </c>
      <c r="R639">
        <f t="shared" si="29"/>
        <v>0</v>
      </c>
    </row>
    <row r="640" spans="1:18" x14ac:dyDescent="0.2">
      <c r="A640" s="67" t="s">
        <v>2544</v>
      </c>
      <c r="B640" s="4" t="s">
        <v>2545</v>
      </c>
      <c r="J640" s="5">
        <f>Info!$B$44</f>
        <v>0</v>
      </c>
      <c r="P640" s="7">
        <f t="shared" si="31"/>
        <v>0</v>
      </c>
      <c r="Q640" s="7">
        <f t="shared" si="30"/>
        <v>0</v>
      </c>
      <c r="R640">
        <f t="shared" si="29"/>
        <v>0</v>
      </c>
    </row>
    <row r="641" spans="1:18" x14ac:dyDescent="0.2">
      <c r="A641" s="67" t="s">
        <v>2546</v>
      </c>
      <c r="B641" s="4" t="s">
        <v>2547</v>
      </c>
      <c r="J641" s="5">
        <f>Info!$B$44</f>
        <v>0</v>
      </c>
      <c r="P641" s="7">
        <f t="shared" si="31"/>
        <v>0</v>
      </c>
      <c r="Q641" s="7">
        <f t="shared" si="30"/>
        <v>0</v>
      </c>
      <c r="R641">
        <f t="shared" si="29"/>
        <v>0</v>
      </c>
    </row>
    <row r="642" spans="1:18" x14ac:dyDescent="0.2">
      <c r="A642" s="67" t="s">
        <v>2548</v>
      </c>
      <c r="B642" s="4" t="s">
        <v>2549</v>
      </c>
      <c r="J642" s="5">
        <f>Info!$B$44</f>
        <v>0</v>
      </c>
      <c r="P642" s="7">
        <f t="shared" si="31"/>
        <v>0</v>
      </c>
      <c r="Q642" s="7">
        <f t="shared" si="30"/>
        <v>0</v>
      </c>
      <c r="R642">
        <f t="shared" ref="R642:R705" si="32">IF(_xlfn.BITAND(P642&gt;0.4999, Q642&gt;0.4999)=1,1,0)</f>
        <v>0</v>
      </c>
    </row>
    <row r="643" spans="1:18" x14ac:dyDescent="0.2">
      <c r="A643" s="67" t="s">
        <v>2550</v>
      </c>
      <c r="B643" s="4" t="s">
        <v>2551</v>
      </c>
      <c r="J643" s="5">
        <f>Info!$B$44</f>
        <v>0</v>
      </c>
      <c r="P643" s="7">
        <f t="shared" si="31"/>
        <v>0</v>
      </c>
      <c r="Q643" s="7">
        <f t="shared" si="30"/>
        <v>0</v>
      </c>
      <c r="R643">
        <f t="shared" si="32"/>
        <v>0</v>
      </c>
    </row>
    <row r="644" spans="1:18" x14ac:dyDescent="0.2">
      <c r="A644" s="67" t="s">
        <v>2552</v>
      </c>
      <c r="B644" s="4" t="s">
        <v>2553</v>
      </c>
      <c r="J644" s="5">
        <f>Info!$B$44</f>
        <v>0</v>
      </c>
      <c r="P644" s="7">
        <f t="shared" si="31"/>
        <v>0</v>
      </c>
      <c r="Q644" s="7">
        <f t="shared" si="30"/>
        <v>0</v>
      </c>
      <c r="R644">
        <f t="shared" si="32"/>
        <v>0</v>
      </c>
    </row>
    <row r="645" spans="1:18" x14ac:dyDescent="0.2">
      <c r="A645" s="67" t="s">
        <v>2554</v>
      </c>
      <c r="B645" s="4" t="s">
        <v>2555</v>
      </c>
      <c r="J645" s="5">
        <f>Info!$B$44</f>
        <v>0</v>
      </c>
      <c r="P645" s="7">
        <f t="shared" si="31"/>
        <v>0</v>
      </c>
      <c r="Q645" s="7">
        <f t="shared" si="30"/>
        <v>0</v>
      </c>
      <c r="R645">
        <f t="shared" si="32"/>
        <v>0</v>
      </c>
    </row>
    <row r="646" spans="1:18" x14ac:dyDescent="0.2">
      <c r="A646" s="67" t="s">
        <v>2556</v>
      </c>
      <c r="B646" s="4" t="s">
        <v>2557</v>
      </c>
      <c r="J646" s="5">
        <f>Info!$B$44</f>
        <v>0</v>
      </c>
      <c r="P646" s="7">
        <f t="shared" si="31"/>
        <v>0</v>
      </c>
      <c r="Q646" s="7">
        <f t="shared" si="30"/>
        <v>0</v>
      </c>
      <c r="R646">
        <f t="shared" si="32"/>
        <v>0</v>
      </c>
    </row>
    <row r="647" spans="1:18" x14ac:dyDescent="0.2">
      <c r="A647" s="67" t="s">
        <v>2558</v>
      </c>
      <c r="B647" s="4" t="s">
        <v>2559</v>
      </c>
      <c r="J647" s="5">
        <f>Info!$B$44</f>
        <v>0</v>
      </c>
      <c r="P647" s="7">
        <f t="shared" si="31"/>
        <v>0</v>
      </c>
      <c r="Q647" s="7">
        <f t="shared" si="30"/>
        <v>0</v>
      </c>
      <c r="R647">
        <f t="shared" si="32"/>
        <v>0</v>
      </c>
    </row>
    <row r="648" spans="1:18" x14ac:dyDescent="0.2">
      <c r="A648" s="67" t="s">
        <v>2560</v>
      </c>
      <c r="B648" s="4" t="s">
        <v>2561</v>
      </c>
      <c r="J648" s="5">
        <f>Info!$B$44</f>
        <v>0</v>
      </c>
      <c r="P648" s="7">
        <f t="shared" si="31"/>
        <v>0</v>
      </c>
      <c r="Q648" s="7">
        <f t="shared" si="30"/>
        <v>0</v>
      </c>
      <c r="R648">
        <f t="shared" si="32"/>
        <v>0</v>
      </c>
    </row>
    <row r="649" spans="1:18" x14ac:dyDescent="0.2">
      <c r="A649" s="67" t="s">
        <v>2562</v>
      </c>
      <c r="B649" s="4" t="s">
        <v>2563</v>
      </c>
      <c r="J649" s="5">
        <f>Info!$B$44</f>
        <v>0</v>
      </c>
      <c r="P649" s="7">
        <f t="shared" si="31"/>
        <v>0</v>
      </c>
      <c r="Q649" s="7">
        <f t="shared" si="30"/>
        <v>0</v>
      </c>
      <c r="R649">
        <f t="shared" si="32"/>
        <v>0</v>
      </c>
    </row>
    <row r="650" spans="1:18" x14ac:dyDescent="0.2">
      <c r="A650" s="67" t="s">
        <v>2564</v>
      </c>
      <c r="B650" s="4" t="s">
        <v>2565</v>
      </c>
      <c r="J650" s="5">
        <f>Info!$B$44</f>
        <v>0</v>
      </c>
      <c r="P650" s="7">
        <f t="shared" si="31"/>
        <v>0</v>
      </c>
      <c r="Q650" s="7">
        <f t="shared" si="30"/>
        <v>0</v>
      </c>
      <c r="R650">
        <f t="shared" si="32"/>
        <v>0</v>
      </c>
    </row>
    <row r="651" spans="1:18" x14ac:dyDescent="0.2">
      <c r="A651" s="67" t="s">
        <v>2566</v>
      </c>
      <c r="B651" s="4" t="s">
        <v>2567</v>
      </c>
      <c r="J651" s="5">
        <f>Info!$B$44</f>
        <v>0</v>
      </c>
      <c r="P651" s="7">
        <f t="shared" si="31"/>
        <v>0</v>
      </c>
      <c r="Q651" s="7">
        <f t="shared" si="30"/>
        <v>0</v>
      </c>
      <c r="R651">
        <f t="shared" si="32"/>
        <v>0</v>
      </c>
    </row>
    <row r="652" spans="1:18" x14ac:dyDescent="0.2">
      <c r="A652" s="67" t="s">
        <v>2568</v>
      </c>
      <c r="B652" s="4" t="s">
        <v>2569</v>
      </c>
      <c r="J652" s="5">
        <f>Info!$B$44</f>
        <v>0</v>
      </c>
      <c r="P652" s="7">
        <f t="shared" si="31"/>
        <v>0</v>
      </c>
      <c r="Q652" s="7">
        <f t="shared" si="30"/>
        <v>0</v>
      </c>
      <c r="R652">
        <f t="shared" si="32"/>
        <v>0</v>
      </c>
    </row>
    <row r="653" spans="1:18" x14ac:dyDescent="0.2">
      <c r="A653" s="67" t="s">
        <v>2570</v>
      </c>
      <c r="B653" s="4" t="s">
        <v>2571</v>
      </c>
      <c r="J653" s="5">
        <f>Info!$B$44</f>
        <v>0</v>
      </c>
      <c r="P653" s="7">
        <f t="shared" si="31"/>
        <v>0</v>
      </c>
      <c r="Q653" s="7">
        <f t="shared" ref="Q653:Q716" si="33">(O653+P653)/2</f>
        <v>0</v>
      </c>
      <c r="R653">
        <f t="shared" si="32"/>
        <v>0</v>
      </c>
    </row>
    <row r="654" spans="1:18" x14ac:dyDescent="0.2">
      <c r="A654" t="s">
        <v>1731</v>
      </c>
      <c r="B654" s="4" t="s">
        <v>1732</v>
      </c>
      <c r="J654"/>
      <c r="M654" s="9" t="s">
        <v>21</v>
      </c>
      <c r="N654" t="s">
        <v>5505</v>
      </c>
      <c r="O654" s="73"/>
      <c r="P654" s="7">
        <f t="shared" si="31"/>
        <v>0</v>
      </c>
      <c r="Q654" s="7">
        <f t="shared" si="33"/>
        <v>0</v>
      </c>
      <c r="R654">
        <f t="shared" si="32"/>
        <v>0</v>
      </c>
    </row>
    <row r="655" spans="1:18" x14ac:dyDescent="0.2">
      <c r="A655" t="s">
        <v>5506</v>
      </c>
      <c r="B655" s="4" t="s">
        <v>5507</v>
      </c>
      <c r="J655"/>
      <c r="K655">
        <v>1</v>
      </c>
      <c r="M655" s="9"/>
      <c r="N655" t="s">
        <v>1323</v>
      </c>
      <c r="O655" s="73"/>
      <c r="P655" s="7">
        <f t="shared" si="31"/>
        <v>0</v>
      </c>
      <c r="Q655" s="7">
        <f t="shared" si="33"/>
        <v>0</v>
      </c>
      <c r="R655">
        <f t="shared" si="32"/>
        <v>0</v>
      </c>
    </row>
    <row r="656" spans="1:18" x14ac:dyDescent="0.2">
      <c r="A656" t="s">
        <v>5508</v>
      </c>
      <c r="B656" s="4" t="s">
        <v>5509</v>
      </c>
      <c r="J656"/>
      <c r="K656">
        <v>1</v>
      </c>
      <c r="M656" s="9" t="s">
        <v>21</v>
      </c>
      <c r="N656" t="s">
        <v>5510</v>
      </c>
      <c r="O656" s="73"/>
      <c r="P656" s="7">
        <f t="shared" si="31"/>
        <v>0</v>
      </c>
      <c r="Q656" s="7">
        <f t="shared" si="33"/>
        <v>0</v>
      </c>
      <c r="R656">
        <f t="shared" si="32"/>
        <v>0</v>
      </c>
    </row>
    <row r="657" spans="1:18" x14ac:dyDescent="0.2">
      <c r="A657" t="s">
        <v>5511</v>
      </c>
      <c r="B657" s="4" t="s">
        <v>5512</v>
      </c>
      <c r="J657"/>
      <c r="M657" s="9" t="s">
        <v>21</v>
      </c>
      <c r="N657" t="s">
        <v>5513</v>
      </c>
      <c r="O657" s="73"/>
      <c r="P657" s="7">
        <f t="shared" si="31"/>
        <v>0</v>
      </c>
      <c r="Q657" s="7">
        <f t="shared" si="33"/>
        <v>0</v>
      </c>
      <c r="R657">
        <f t="shared" si="32"/>
        <v>0</v>
      </c>
    </row>
    <row r="658" spans="1:18" x14ac:dyDescent="0.2">
      <c r="A658" t="s">
        <v>5514</v>
      </c>
      <c r="B658" s="4" t="s">
        <v>5515</v>
      </c>
      <c r="J658"/>
      <c r="M658" s="9" t="s">
        <v>32</v>
      </c>
      <c r="N658" t="s">
        <v>5516</v>
      </c>
      <c r="O658" s="73"/>
      <c r="P658" s="7">
        <f t="shared" si="31"/>
        <v>0</v>
      </c>
      <c r="Q658" s="7">
        <f t="shared" si="33"/>
        <v>0</v>
      </c>
      <c r="R658">
        <f t="shared" si="32"/>
        <v>0</v>
      </c>
    </row>
    <row r="659" spans="1:18" x14ac:dyDescent="0.2">
      <c r="A659" t="s">
        <v>5517</v>
      </c>
      <c r="B659" s="4" t="s">
        <v>5518</v>
      </c>
      <c r="J659"/>
      <c r="K659">
        <v>1</v>
      </c>
      <c r="M659" s="9"/>
      <c r="N659" t="s">
        <v>5519</v>
      </c>
      <c r="O659" s="73"/>
      <c r="P659" s="7">
        <f t="shared" si="31"/>
        <v>0</v>
      </c>
      <c r="Q659" s="7">
        <f t="shared" si="33"/>
        <v>0</v>
      </c>
      <c r="R659">
        <f t="shared" si="32"/>
        <v>0</v>
      </c>
    </row>
    <row r="660" spans="1:18" x14ac:dyDescent="0.2">
      <c r="A660" t="s">
        <v>1839</v>
      </c>
      <c r="B660" s="4" t="s">
        <v>1840</v>
      </c>
      <c r="J660"/>
      <c r="K660">
        <v>1</v>
      </c>
      <c r="M660" s="9"/>
      <c r="N660" t="s">
        <v>2265</v>
      </c>
      <c r="O660" s="73"/>
      <c r="P660" s="7">
        <f t="shared" si="31"/>
        <v>0</v>
      </c>
      <c r="Q660" s="7">
        <f t="shared" si="33"/>
        <v>0</v>
      </c>
      <c r="R660">
        <f t="shared" si="32"/>
        <v>0</v>
      </c>
    </row>
    <row r="661" spans="1:18" x14ac:dyDescent="0.2">
      <c r="A661" t="s">
        <v>5520</v>
      </c>
      <c r="B661" s="4" t="s">
        <v>5521</v>
      </c>
      <c r="J661"/>
      <c r="K661">
        <v>1</v>
      </c>
      <c r="M661" s="9"/>
      <c r="N661" t="s">
        <v>5522</v>
      </c>
      <c r="O661" s="73"/>
      <c r="P661" s="7">
        <f t="shared" ref="P661:P724" si="34">(D661+E661+F661+G661+H661+I661+J661)/7</f>
        <v>0</v>
      </c>
      <c r="Q661" s="7">
        <f t="shared" si="33"/>
        <v>0</v>
      </c>
      <c r="R661">
        <f t="shared" si="32"/>
        <v>0</v>
      </c>
    </row>
    <row r="662" spans="1:18" x14ac:dyDescent="0.2">
      <c r="A662" t="s">
        <v>5523</v>
      </c>
      <c r="B662" s="4" t="s">
        <v>5524</v>
      </c>
      <c r="J662"/>
      <c r="M662" s="9"/>
      <c r="N662" t="s">
        <v>5525</v>
      </c>
      <c r="O662" s="73"/>
      <c r="P662" s="7">
        <f t="shared" si="34"/>
        <v>0</v>
      </c>
      <c r="Q662" s="7">
        <f t="shared" si="33"/>
        <v>0</v>
      </c>
      <c r="R662">
        <f t="shared" si="32"/>
        <v>0</v>
      </c>
    </row>
    <row r="663" spans="1:18" x14ac:dyDescent="0.2">
      <c r="A663" t="s">
        <v>1649</v>
      </c>
      <c r="B663" s="4" t="s">
        <v>1650</v>
      </c>
      <c r="J663"/>
      <c r="K663">
        <v>1</v>
      </c>
      <c r="M663" s="9"/>
      <c r="N663" t="s">
        <v>5522</v>
      </c>
      <c r="O663" s="73"/>
      <c r="P663" s="7">
        <f t="shared" si="34"/>
        <v>0</v>
      </c>
      <c r="Q663" s="7">
        <f t="shared" si="33"/>
        <v>0</v>
      </c>
      <c r="R663">
        <f t="shared" si="32"/>
        <v>0</v>
      </c>
    </row>
    <row r="664" spans="1:18" x14ac:dyDescent="0.2">
      <c r="A664" t="s">
        <v>5526</v>
      </c>
      <c r="B664" s="4" t="s">
        <v>5527</v>
      </c>
      <c r="J664"/>
      <c r="K664">
        <v>1</v>
      </c>
      <c r="M664" s="9" t="s">
        <v>21</v>
      </c>
      <c r="N664" t="s">
        <v>5528</v>
      </c>
      <c r="O664" s="73"/>
      <c r="P664" s="7">
        <f t="shared" si="34"/>
        <v>0</v>
      </c>
      <c r="Q664" s="7">
        <f t="shared" si="33"/>
        <v>0</v>
      </c>
      <c r="R664">
        <f t="shared" si="32"/>
        <v>0</v>
      </c>
    </row>
    <row r="665" spans="1:18" x14ac:dyDescent="0.2">
      <c r="A665" t="s">
        <v>5529</v>
      </c>
      <c r="B665" s="4" t="s">
        <v>5530</v>
      </c>
      <c r="J665"/>
      <c r="M665" s="9" t="s">
        <v>21</v>
      </c>
      <c r="N665" t="s">
        <v>5531</v>
      </c>
      <c r="O665" s="73">
        <v>1</v>
      </c>
      <c r="P665" s="7">
        <f t="shared" si="34"/>
        <v>0</v>
      </c>
      <c r="Q665" s="7">
        <f t="shared" si="33"/>
        <v>0.5</v>
      </c>
      <c r="R665">
        <f t="shared" si="32"/>
        <v>0</v>
      </c>
    </row>
    <row r="666" spans="1:18" ht="16" x14ac:dyDescent="0.2">
      <c r="A666" t="s">
        <v>5532</v>
      </c>
      <c r="B666" s="4" t="s">
        <v>5533</v>
      </c>
      <c r="J666"/>
      <c r="M666" s="9"/>
      <c r="N666" t="s">
        <v>5534</v>
      </c>
      <c r="O666" s="74">
        <v>0.5</v>
      </c>
      <c r="P666" s="7">
        <f t="shared" si="34"/>
        <v>0</v>
      </c>
      <c r="Q666" s="7">
        <f t="shared" si="33"/>
        <v>0.25</v>
      </c>
      <c r="R666">
        <f t="shared" si="32"/>
        <v>0</v>
      </c>
    </row>
    <row r="667" spans="1:18" x14ac:dyDescent="0.2">
      <c r="A667" t="s">
        <v>5535</v>
      </c>
      <c r="B667" s="4" t="s">
        <v>5536</v>
      </c>
      <c r="J667"/>
      <c r="K667">
        <v>1</v>
      </c>
      <c r="M667" s="9"/>
      <c r="N667" t="s">
        <v>5537</v>
      </c>
      <c r="O667" s="73"/>
      <c r="P667" s="7">
        <f t="shared" si="34"/>
        <v>0</v>
      </c>
      <c r="Q667" s="7">
        <f t="shared" si="33"/>
        <v>0</v>
      </c>
      <c r="R667">
        <f t="shared" si="32"/>
        <v>0</v>
      </c>
    </row>
    <row r="668" spans="1:18" x14ac:dyDescent="0.2">
      <c r="A668" t="s">
        <v>5538</v>
      </c>
      <c r="J668"/>
      <c r="K668">
        <v>1</v>
      </c>
      <c r="M668" s="9" t="s">
        <v>32</v>
      </c>
      <c r="N668" t="s">
        <v>5539</v>
      </c>
      <c r="O668" s="73"/>
      <c r="P668" s="7">
        <f t="shared" si="34"/>
        <v>0</v>
      </c>
      <c r="Q668" s="7">
        <f t="shared" si="33"/>
        <v>0</v>
      </c>
      <c r="R668">
        <f t="shared" si="32"/>
        <v>0</v>
      </c>
    </row>
    <row r="669" spans="1:18" x14ac:dyDescent="0.2">
      <c r="A669" t="s">
        <v>5540</v>
      </c>
      <c r="B669" s="4" t="s">
        <v>5541</v>
      </c>
      <c r="J669"/>
      <c r="K669">
        <v>1</v>
      </c>
      <c r="M669" s="9"/>
      <c r="N669" t="s">
        <v>5542</v>
      </c>
      <c r="O669" s="73"/>
      <c r="P669" s="7">
        <f t="shared" si="34"/>
        <v>0</v>
      </c>
      <c r="Q669" s="7">
        <f t="shared" si="33"/>
        <v>0</v>
      </c>
      <c r="R669">
        <f t="shared" si="32"/>
        <v>0</v>
      </c>
    </row>
    <row r="670" spans="1:18" x14ac:dyDescent="0.2">
      <c r="A670" t="s">
        <v>5543</v>
      </c>
      <c r="B670" s="4" t="s">
        <v>5544</v>
      </c>
      <c r="J670"/>
      <c r="K670">
        <v>1</v>
      </c>
      <c r="M670" s="9" t="s">
        <v>32</v>
      </c>
      <c r="N670" t="s">
        <v>5539</v>
      </c>
      <c r="O670" s="73"/>
      <c r="P670" s="7">
        <f t="shared" si="34"/>
        <v>0</v>
      </c>
      <c r="Q670" s="7">
        <f t="shared" si="33"/>
        <v>0</v>
      </c>
      <c r="R670">
        <f t="shared" si="32"/>
        <v>0</v>
      </c>
    </row>
    <row r="671" spans="1:18" x14ac:dyDescent="0.2">
      <c r="A671" t="s">
        <v>5545</v>
      </c>
      <c r="B671" s="4" t="s">
        <v>5546</v>
      </c>
      <c r="J671"/>
      <c r="M671" s="9" t="s">
        <v>21</v>
      </c>
      <c r="N671" t="s">
        <v>5531</v>
      </c>
      <c r="O671" s="73">
        <v>1</v>
      </c>
      <c r="P671" s="7">
        <f t="shared" si="34"/>
        <v>0</v>
      </c>
      <c r="Q671" s="7">
        <f t="shared" si="33"/>
        <v>0.5</v>
      </c>
      <c r="R671">
        <f t="shared" si="32"/>
        <v>0</v>
      </c>
    </row>
    <row r="672" spans="1:18" x14ac:dyDescent="0.2">
      <c r="A672" t="s">
        <v>5547</v>
      </c>
      <c r="B672" s="4" t="s">
        <v>5548</v>
      </c>
      <c r="J672"/>
      <c r="M672" s="9"/>
      <c r="N672" t="s">
        <v>5549</v>
      </c>
      <c r="O672" s="73"/>
      <c r="P672" s="7">
        <f t="shared" si="34"/>
        <v>0</v>
      </c>
      <c r="Q672" s="7">
        <f t="shared" si="33"/>
        <v>0</v>
      </c>
      <c r="R672">
        <f t="shared" si="32"/>
        <v>0</v>
      </c>
    </row>
    <row r="673" spans="1:18" x14ac:dyDescent="0.2">
      <c r="A673" t="s">
        <v>5550</v>
      </c>
      <c r="B673" s="4" t="s">
        <v>5551</v>
      </c>
      <c r="J673"/>
      <c r="K673">
        <v>1</v>
      </c>
      <c r="M673" s="9"/>
      <c r="N673" t="s">
        <v>5552</v>
      </c>
      <c r="O673" s="73"/>
      <c r="P673" s="7">
        <f t="shared" si="34"/>
        <v>0</v>
      </c>
      <c r="Q673" s="7">
        <f t="shared" si="33"/>
        <v>0</v>
      </c>
      <c r="R673">
        <f t="shared" si="32"/>
        <v>0</v>
      </c>
    </row>
    <row r="674" spans="1:18" x14ac:dyDescent="0.2">
      <c r="A674" t="s">
        <v>5553</v>
      </c>
      <c r="B674" s="4" t="s">
        <v>5554</v>
      </c>
      <c r="C674" t="s">
        <v>201</v>
      </c>
      <c r="J674"/>
      <c r="M674" s="9" t="s">
        <v>21</v>
      </c>
      <c r="N674" t="s">
        <v>5531</v>
      </c>
      <c r="O674" s="73">
        <v>1</v>
      </c>
      <c r="P674" s="7">
        <f t="shared" si="34"/>
        <v>0</v>
      </c>
      <c r="Q674" s="7">
        <f t="shared" si="33"/>
        <v>0.5</v>
      </c>
      <c r="R674">
        <f t="shared" si="32"/>
        <v>0</v>
      </c>
    </row>
    <row r="675" spans="1:18" x14ac:dyDescent="0.2">
      <c r="A675" t="s">
        <v>5555</v>
      </c>
      <c r="B675" s="4" t="s">
        <v>5556</v>
      </c>
      <c r="J675"/>
      <c r="K675">
        <v>1</v>
      </c>
      <c r="M675" s="9"/>
      <c r="N675" t="s">
        <v>5557</v>
      </c>
      <c r="O675" s="73"/>
      <c r="P675" s="7">
        <f t="shared" si="34"/>
        <v>0</v>
      </c>
      <c r="Q675" s="7">
        <f t="shared" si="33"/>
        <v>0</v>
      </c>
      <c r="R675">
        <f t="shared" si="32"/>
        <v>0</v>
      </c>
    </row>
    <row r="676" spans="1:18" x14ac:dyDescent="0.2">
      <c r="A676" t="s">
        <v>5558</v>
      </c>
      <c r="B676" s="4" t="s">
        <v>5559</v>
      </c>
      <c r="J676"/>
      <c r="K676">
        <v>1</v>
      </c>
      <c r="M676" s="9" t="s">
        <v>21</v>
      </c>
      <c r="N676" t="s">
        <v>5560</v>
      </c>
      <c r="O676" s="73"/>
      <c r="P676" s="7">
        <f t="shared" si="34"/>
        <v>0</v>
      </c>
      <c r="Q676" s="7">
        <f t="shared" si="33"/>
        <v>0</v>
      </c>
      <c r="R676">
        <f t="shared" si="32"/>
        <v>0</v>
      </c>
    </row>
    <row r="677" spans="1:18" x14ac:dyDescent="0.2">
      <c r="A677" t="s">
        <v>5561</v>
      </c>
      <c r="B677" s="4" t="s">
        <v>5562</v>
      </c>
      <c r="J677"/>
      <c r="K677">
        <v>1</v>
      </c>
      <c r="M677" s="9"/>
      <c r="N677" t="s">
        <v>5563</v>
      </c>
      <c r="O677" s="73"/>
      <c r="P677" s="7">
        <f t="shared" si="34"/>
        <v>0</v>
      </c>
      <c r="Q677" s="7">
        <f t="shared" si="33"/>
        <v>0</v>
      </c>
      <c r="R677">
        <f t="shared" si="32"/>
        <v>0</v>
      </c>
    </row>
    <row r="678" spans="1:18" x14ac:dyDescent="0.2">
      <c r="A678" t="s">
        <v>1749</v>
      </c>
      <c r="B678" s="4" t="s">
        <v>1750</v>
      </c>
      <c r="J678"/>
      <c r="M678" s="9"/>
      <c r="N678" t="s">
        <v>852</v>
      </c>
      <c r="O678" s="73"/>
      <c r="P678" s="7">
        <f t="shared" si="34"/>
        <v>0</v>
      </c>
      <c r="Q678" s="7">
        <f t="shared" si="33"/>
        <v>0</v>
      </c>
      <c r="R678">
        <f t="shared" si="32"/>
        <v>0</v>
      </c>
    </row>
    <row r="679" spans="1:18" x14ac:dyDescent="0.2">
      <c r="A679" t="s">
        <v>1661</v>
      </c>
      <c r="B679" s="4" t="s">
        <v>1662</v>
      </c>
      <c r="J679"/>
      <c r="M679" s="9" t="s">
        <v>21</v>
      </c>
      <c r="N679" t="s">
        <v>5564</v>
      </c>
      <c r="O679" s="73"/>
      <c r="P679" s="7">
        <f t="shared" si="34"/>
        <v>0</v>
      </c>
      <c r="Q679" s="7">
        <f t="shared" si="33"/>
        <v>0</v>
      </c>
      <c r="R679">
        <f t="shared" si="32"/>
        <v>0</v>
      </c>
    </row>
    <row r="680" spans="1:18" x14ac:dyDescent="0.2">
      <c r="A680" t="s">
        <v>5565</v>
      </c>
      <c r="B680" s="4" t="s">
        <v>5566</v>
      </c>
      <c r="J680"/>
      <c r="K680">
        <v>1</v>
      </c>
      <c r="M680" s="9"/>
      <c r="N680" t="s">
        <v>5567</v>
      </c>
      <c r="O680" s="73"/>
      <c r="P680" s="7">
        <f t="shared" si="34"/>
        <v>0</v>
      </c>
      <c r="Q680" s="7">
        <f t="shared" si="33"/>
        <v>0</v>
      </c>
      <c r="R680">
        <f t="shared" si="32"/>
        <v>0</v>
      </c>
    </row>
    <row r="681" spans="1:18" x14ac:dyDescent="0.2">
      <c r="A681" t="s">
        <v>5568</v>
      </c>
      <c r="B681" s="4" t="s">
        <v>1788</v>
      </c>
      <c r="J681"/>
      <c r="M681" s="9"/>
      <c r="N681" t="s">
        <v>236</v>
      </c>
      <c r="O681" s="73"/>
      <c r="P681" s="7">
        <f t="shared" si="34"/>
        <v>0</v>
      </c>
      <c r="Q681" s="7">
        <f t="shared" si="33"/>
        <v>0</v>
      </c>
      <c r="R681">
        <f t="shared" si="32"/>
        <v>0</v>
      </c>
    </row>
    <row r="682" spans="1:18" x14ac:dyDescent="0.2">
      <c r="A682" t="s">
        <v>1785</v>
      </c>
      <c r="B682" s="4" t="s">
        <v>1786</v>
      </c>
      <c r="J682"/>
      <c r="K682">
        <v>1</v>
      </c>
      <c r="M682" s="9"/>
      <c r="N682" t="s">
        <v>5569</v>
      </c>
      <c r="O682" s="73"/>
      <c r="P682" s="7">
        <f t="shared" si="34"/>
        <v>0</v>
      </c>
      <c r="Q682" s="7">
        <f t="shared" si="33"/>
        <v>0</v>
      </c>
      <c r="R682">
        <f t="shared" si="32"/>
        <v>0</v>
      </c>
    </row>
    <row r="683" spans="1:18" x14ac:dyDescent="0.2">
      <c r="A683" t="s">
        <v>5570</v>
      </c>
      <c r="B683" s="4" t="s">
        <v>5571</v>
      </c>
      <c r="J683"/>
      <c r="K683">
        <v>1</v>
      </c>
      <c r="M683" s="9"/>
      <c r="N683" t="s">
        <v>83</v>
      </c>
      <c r="O683" s="73"/>
      <c r="P683" s="7">
        <f t="shared" si="34"/>
        <v>0</v>
      </c>
      <c r="Q683" s="7">
        <f t="shared" si="33"/>
        <v>0</v>
      </c>
      <c r="R683">
        <f t="shared" si="32"/>
        <v>0</v>
      </c>
    </row>
    <row r="684" spans="1:18" x14ac:dyDescent="0.2">
      <c r="A684" t="s">
        <v>1445</v>
      </c>
      <c r="B684" s="4" t="s">
        <v>1446</v>
      </c>
      <c r="J684"/>
      <c r="M684" s="9"/>
      <c r="N684" t="s">
        <v>5572</v>
      </c>
      <c r="O684" s="73"/>
      <c r="P684" s="7">
        <f t="shared" si="34"/>
        <v>0</v>
      </c>
      <c r="Q684" s="7">
        <f t="shared" si="33"/>
        <v>0</v>
      </c>
      <c r="R684">
        <f t="shared" si="32"/>
        <v>0</v>
      </c>
    </row>
    <row r="685" spans="1:18" x14ac:dyDescent="0.2">
      <c r="A685" t="s">
        <v>1789</v>
      </c>
      <c r="B685" s="4" t="s">
        <v>1790</v>
      </c>
      <c r="J685"/>
      <c r="M685" s="9"/>
      <c r="N685" t="s">
        <v>83</v>
      </c>
      <c r="O685" s="73"/>
      <c r="P685" s="7">
        <f t="shared" si="34"/>
        <v>0</v>
      </c>
      <c r="Q685" s="7">
        <f t="shared" si="33"/>
        <v>0</v>
      </c>
      <c r="R685">
        <f t="shared" si="32"/>
        <v>0</v>
      </c>
    </row>
    <row r="686" spans="1:18" x14ac:dyDescent="0.2">
      <c r="A686" t="s">
        <v>5573</v>
      </c>
      <c r="B686" s="4" t="s">
        <v>5574</v>
      </c>
      <c r="C686" t="s">
        <v>201</v>
      </c>
      <c r="J686"/>
      <c r="M686" s="9" t="s">
        <v>21</v>
      </c>
      <c r="N686" t="s">
        <v>5575</v>
      </c>
      <c r="O686" s="73">
        <v>1</v>
      </c>
      <c r="P686" s="7">
        <f t="shared" si="34"/>
        <v>0</v>
      </c>
      <c r="Q686" s="7">
        <f t="shared" si="33"/>
        <v>0.5</v>
      </c>
      <c r="R686">
        <f t="shared" si="32"/>
        <v>0</v>
      </c>
    </row>
    <row r="687" spans="1:18" x14ac:dyDescent="0.2">
      <c r="A687" t="s">
        <v>5576</v>
      </c>
      <c r="B687" s="4" t="s">
        <v>5577</v>
      </c>
      <c r="J687"/>
      <c r="M687" s="9"/>
      <c r="N687" t="s">
        <v>83</v>
      </c>
      <c r="O687" s="73"/>
      <c r="P687" s="7">
        <f t="shared" si="34"/>
        <v>0</v>
      </c>
      <c r="Q687" s="7">
        <f t="shared" si="33"/>
        <v>0</v>
      </c>
      <c r="R687">
        <f t="shared" si="32"/>
        <v>0</v>
      </c>
    </row>
    <row r="688" spans="1:18" x14ac:dyDescent="0.2">
      <c r="A688" t="s">
        <v>5578</v>
      </c>
      <c r="B688" s="4" t="s">
        <v>5579</v>
      </c>
      <c r="J688"/>
      <c r="M688" s="9" t="s">
        <v>21</v>
      </c>
      <c r="N688" t="s">
        <v>5580</v>
      </c>
      <c r="O688" s="73"/>
      <c r="P688" s="7">
        <f t="shared" si="34"/>
        <v>0</v>
      </c>
      <c r="Q688" s="7">
        <f t="shared" si="33"/>
        <v>0</v>
      </c>
      <c r="R688">
        <f t="shared" si="32"/>
        <v>0</v>
      </c>
    </row>
    <row r="689" spans="1:18" x14ac:dyDescent="0.2">
      <c r="A689" t="s">
        <v>5581</v>
      </c>
      <c r="B689" s="4" t="s">
        <v>5582</v>
      </c>
      <c r="J689"/>
      <c r="M689" s="9"/>
      <c r="N689" t="s">
        <v>5583</v>
      </c>
      <c r="O689" s="73"/>
      <c r="P689" s="7">
        <f t="shared" si="34"/>
        <v>0</v>
      </c>
      <c r="Q689" s="7">
        <f t="shared" si="33"/>
        <v>0</v>
      </c>
      <c r="R689">
        <f t="shared" si="32"/>
        <v>0</v>
      </c>
    </row>
    <row r="690" spans="1:18" x14ac:dyDescent="0.2">
      <c r="A690" t="s">
        <v>5584</v>
      </c>
      <c r="B690" s="4" t="s">
        <v>5585</v>
      </c>
      <c r="J690"/>
      <c r="K690">
        <v>1</v>
      </c>
      <c r="M690" s="9"/>
      <c r="N690" t="s">
        <v>5586</v>
      </c>
      <c r="O690" s="73"/>
      <c r="P690" s="7">
        <f t="shared" si="34"/>
        <v>0</v>
      </c>
      <c r="Q690" s="7">
        <f t="shared" si="33"/>
        <v>0</v>
      </c>
      <c r="R690">
        <f t="shared" si="32"/>
        <v>0</v>
      </c>
    </row>
    <row r="691" spans="1:18" x14ac:dyDescent="0.2">
      <c r="A691" t="s">
        <v>5587</v>
      </c>
      <c r="B691" s="4" t="s">
        <v>5588</v>
      </c>
      <c r="J691"/>
      <c r="M691" s="9"/>
      <c r="N691" t="s">
        <v>5589</v>
      </c>
      <c r="O691" s="73"/>
      <c r="P691" s="7">
        <f t="shared" si="34"/>
        <v>0</v>
      </c>
      <c r="Q691" s="7">
        <f t="shared" si="33"/>
        <v>0</v>
      </c>
      <c r="R691">
        <f t="shared" si="32"/>
        <v>0</v>
      </c>
    </row>
    <row r="692" spans="1:18" x14ac:dyDescent="0.2">
      <c r="A692" t="s">
        <v>5590</v>
      </c>
      <c r="B692" s="4" t="s">
        <v>5591</v>
      </c>
      <c r="J692"/>
      <c r="K692">
        <v>1</v>
      </c>
      <c r="M692" s="9"/>
      <c r="N692" t="s">
        <v>5592</v>
      </c>
      <c r="O692" s="73"/>
      <c r="P692" s="7">
        <f t="shared" si="34"/>
        <v>0</v>
      </c>
      <c r="Q692" s="7">
        <f t="shared" si="33"/>
        <v>0</v>
      </c>
      <c r="R692">
        <f t="shared" si="32"/>
        <v>0</v>
      </c>
    </row>
    <row r="693" spans="1:18" x14ac:dyDescent="0.2">
      <c r="A693" t="s">
        <v>5593</v>
      </c>
      <c r="B693" s="4" t="s">
        <v>5594</v>
      </c>
      <c r="J693"/>
      <c r="M693" s="9"/>
      <c r="N693" t="s">
        <v>5595</v>
      </c>
      <c r="O693" s="73"/>
      <c r="P693" s="7">
        <f t="shared" si="34"/>
        <v>0</v>
      </c>
      <c r="Q693" s="7">
        <f t="shared" si="33"/>
        <v>0</v>
      </c>
      <c r="R693">
        <f t="shared" si="32"/>
        <v>0</v>
      </c>
    </row>
    <row r="694" spans="1:18" x14ac:dyDescent="0.2">
      <c r="A694" t="s">
        <v>1823</v>
      </c>
      <c r="B694" s="4" t="s">
        <v>1824</v>
      </c>
      <c r="J694"/>
      <c r="M694" s="9" t="s">
        <v>21</v>
      </c>
      <c r="N694" t="s">
        <v>5596</v>
      </c>
      <c r="O694" s="73"/>
      <c r="P694" s="7">
        <f t="shared" si="34"/>
        <v>0</v>
      </c>
      <c r="Q694" s="7">
        <f t="shared" si="33"/>
        <v>0</v>
      </c>
      <c r="R694">
        <f t="shared" si="32"/>
        <v>0</v>
      </c>
    </row>
    <row r="695" spans="1:18" x14ac:dyDescent="0.2">
      <c r="A695" t="s">
        <v>5597</v>
      </c>
      <c r="B695" s="4" t="s">
        <v>1618</v>
      </c>
      <c r="J695"/>
      <c r="K695">
        <v>1</v>
      </c>
      <c r="M695" s="9"/>
      <c r="N695" t="s">
        <v>5598</v>
      </c>
      <c r="O695" s="73"/>
      <c r="P695" s="7">
        <f t="shared" si="34"/>
        <v>0</v>
      </c>
      <c r="Q695" s="7">
        <f t="shared" si="33"/>
        <v>0</v>
      </c>
      <c r="R695">
        <f t="shared" si="32"/>
        <v>0</v>
      </c>
    </row>
    <row r="696" spans="1:18" x14ac:dyDescent="0.2">
      <c r="A696" t="s">
        <v>5599</v>
      </c>
      <c r="B696" s="4" t="s">
        <v>5600</v>
      </c>
      <c r="J696"/>
      <c r="K696">
        <v>1</v>
      </c>
      <c r="M696" s="9"/>
      <c r="N696" t="s">
        <v>5601</v>
      </c>
      <c r="O696" s="73"/>
      <c r="P696" s="7">
        <f t="shared" si="34"/>
        <v>0</v>
      </c>
      <c r="Q696" s="7">
        <f t="shared" si="33"/>
        <v>0</v>
      </c>
      <c r="R696">
        <f t="shared" si="32"/>
        <v>0</v>
      </c>
    </row>
    <row r="697" spans="1:18" x14ac:dyDescent="0.2">
      <c r="A697" t="s">
        <v>362</v>
      </c>
      <c r="B697" s="4" t="s">
        <v>363</v>
      </c>
      <c r="J697"/>
      <c r="M697" s="9"/>
      <c r="N697" t="s">
        <v>83</v>
      </c>
      <c r="O697" s="73"/>
      <c r="P697" s="7">
        <f t="shared" si="34"/>
        <v>0</v>
      </c>
      <c r="Q697" s="7">
        <f t="shared" si="33"/>
        <v>0</v>
      </c>
      <c r="R697">
        <f t="shared" si="32"/>
        <v>0</v>
      </c>
    </row>
    <row r="698" spans="1:18" x14ac:dyDescent="0.2">
      <c r="A698" t="s">
        <v>5602</v>
      </c>
      <c r="B698" s="4" t="s">
        <v>5603</v>
      </c>
      <c r="J698"/>
      <c r="K698">
        <v>1</v>
      </c>
      <c r="M698" s="9"/>
      <c r="N698" t="s">
        <v>5549</v>
      </c>
      <c r="O698" s="73"/>
      <c r="P698" s="7">
        <f t="shared" si="34"/>
        <v>0</v>
      </c>
      <c r="Q698" s="7">
        <f t="shared" si="33"/>
        <v>0</v>
      </c>
      <c r="R698">
        <f t="shared" si="32"/>
        <v>0</v>
      </c>
    </row>
    <row r="699" spans="1:18" ht="16" x14ac:dyDescent="0.2">
      <c r="A699" t="s">
        <v>5604</v>
      </c>
      <c r="B699" s="4" t="s">
        <v>5605</v>
      </c>
      <c r="J699"/>
      <c r="M699" s="9"/>
      <c r="N699" t="s">
        <v>5534</v>
      </c>
      <c r="O699" s="74">
        <v>0.5</v>
      </c>
      <c r="P699" s="7">
        <f t="shared" si="34"/>
        <v>0</v>
      </c>
      <c r="Q699" s="7">
        <f t="shared" si="33"/>
        <v>0.25</v>
      </c>
      <c r="R699">
        <f t="shared" si="32"/>
        <v>0</v>
      </c>
    </row>
    <row r="700" spans="1:18" x14ac:dyDescent="0.2">
      <c r="A700" t="s">
        <v>5606</v>
      </c>
      <c r="B700" s="4" t="s">
        <v>5607</v>
      </c>
      <c r="J700"/>
      <c r="M700" s="9"/>
      <c r="N700" t="s">
        <v>275</v>
      </c>
      <c r="O700" s="73">
        <v>1</v>
      </c>
      <c r="P700" s="7">
        <f t="shared" si="34"/>
        <v>0</v>
      </c>
      <c r="Q700" s="7">
        <f t="shared" si="33"/>
        <v>0.5</v>
      </c>
      <c r="R700">
        <f t="shared" si="32"/>
        <v>0</v>
      </c>
    </row>
    <row r="701" spans="1:18" x14ac:dyDescent="0.2">
      <c r="A701" t="s">
        <v>5608</v>
      </c>
      <c r="B701" s="4" t="s">
        <v>5609</v>
      </c>
      <c r="J701"/>
      <c r="K701">
        <v>1</v>
      </c>
      <c r="M701" s="9"/>
      <c r="N701" t="s">
        <v>5610</v>
      </c>
      <c r="O701" s="73"/>
      <c r="P701" s="7">
        <f t="shared" si="34"/>
        <v>0</v>
      </c>
      <c r="Q701" s="7">
        <f t="shared" si="33"/>
        <v>0</v>
      </c>
      <c r="R701">
        <f t="shared" si="32"/>
        <v>0</v>
      </c>
    </row>
    <row r="702" spans="1:18" ht="16" x14ac:dyDescent="0.2">
      <c r="A702" t="s">
        <v>5611</v>
      </c>
      <c r="B702" s="4" t="s">
        <v>5612</v>
      </c>
      <c r="J702"/>
      <c r="M702" s="9"/>
      <c r="N702" t="s">
        <v>5534</v>
      </c>
      <c r="O702" s="74">
        <v>0.5</v>
      </c>
      <c r="P702" s="7">
        <f t="shared" si="34"/>
        <v>0</v>
      </c>
      <c r="Q702" s="7">
        <f t="shared" si="33"/>
        <v>0.25</v>
      </c>
      <c r="R702">
        <f t="shared" si="32"/>
        <v>0</v>
      </c>
    </row>
    <row r="703" spans="1:18" x14ac:dyDescent="0.2">
      <c r="A703" t="s">
        <v>5613</v>
      </c>
      <c r="B703" s="4" t="s">
        <v>5614</v>
      </c>
      <c r="J703"/>
      <c r="M703" s="9"/>
      <c r="N703" t="s">
        <v>5615</v>
      </c>
      <c r="O703" s="73"/>
      <c r="P703" s="7">
        <f t="shared" si="34"/>
        <v>0</v>
      </c>
      <c r="Q703" s="7">
        <f t="shared" si="33"/>
        <v>0</v>
      </c>
      <c r="R703">
        <f t="shared" si="32"/>
        <v>0</v>
      </c>
    </row>
    <row r="704" spans="1:18" x14ac:dyDescent="0.2">
      <c r="A704" t="s">
        <v>1719</v>
      </c>
      <c r="B704" s="4" t="s">
        <v>1720</v>
      </c>
      <c r="J704"/>
      <c r="K704">
        <v>1</v>
      </c>
      <c r="M704" s="9" t="s">
        <v>21</v>
      </c>
      <c r="N704" t="s">
        <v>5616</v>
      </c>
      <c r="O704" s="73"/>
      <c r="P704" s="7">
        <f t="shared" si="34"/>
        <v>0</v>
      </c>
      <c r="Q704" s="7">
        <f t="shared" si="33"/>
        <v>0</v>
      </c>
      <c r="R704">
        <f t="shared" si="32"/>
        <v>0</v>
      </c>
    </row>
    <row r="705" spans="1:18" x14ac:dyDescent="0.2">
      <c r="A705" t="s">
        <v>5617</v>
      </c>
      <c r="B705" s="4" t="s">
        <v>5618</v>
      </c>
      <c r="J705"/>
      <c r="M705" s="9"/>
      <c r="N705" t="s">
        <v>83</v>
      </c>
      <c r="O705" s="73"/>
      <c r="P705" s="7">
        <f t="shared" si="34"/>
        <v>0</v>
      </c>
      <c r="Q705" s="7">
        <f t="shared" si="33"/>
        <v>0</v>
      </c>
      <c r="R705">
        <f t="shared" si="32"/>
        <v>0</v>
      </c>
    </row>
    <row r="706" spans="1:18" x14ac:dyDescent="0.2">
      <c r="A706" t="s">
        <v>1849</v>
      </c>
      <c r="B706" s="4" t="s">
        <v>1850</v>
      </c>
      <c r="J706"/>
      <c r="K706">
        <v>1</v>
      </c>
      <c r="M706" s="9"/>
      <c r="N706" t="s">
        <v>5619</v>
      </c>
      <c r="O706" s="73"/>
      <c r="P706" s="7">
        <f t="shared" si="34"/>
        <v>0</v>
      </c>
      <c r="Q706" s="7">
        <f t="shared" si="33"/>
        <v>0</v>
      </c>
      <c r="R706">
        <f t="shared" ref="R706:R769" si="35">IF(_xlfn.BITAND(P706&gt;0.4999, Q706&gt;0.4999)=1,1,0)</f>
        <v>0</v>
      </c>
    </row>
    <row r="707" spans="1:18" x14ac:dyDescent="0.2">
      <c r="A707" t="s">
        <v>1469</v>
      </c>
      <c r="B707" s="4" t="s">
        <v>1470</v>
      </c>
      <c r="C707" t="s">
        <v>20</v>
      </c>
      <c r="E707">
        <v>1</v>
      </c>
      <c r="J707"/>
      <c r="M707" s="9"/>
      <c r="N707" t="s">
        <v>1313</v>
      </c>
      <c r="O707" s="73"/>
      <c r="P707" s="7">
        <f t="shared" si="34"/>
        <v>0.14285714285714285</v>
      </c>
      <c r="Q707" s="7">
        <f t="shared" si="33"/>
        <v>7.1428571428571425E-2</v>
      </c>
      <c r="R707">
        <f t="shared" si="35"/>
        <v>0</v>
      </c>
    </row>
    <row r="708" spans="1:18" x14ac:dyDescent="0.2">
      <c r="A708" t="s">
        <v>1797</v>
      </c>
      <c r="B708" s="4" t="s">
        <v>1798</v>
      </c>
      <c r="J708"/>
      <c r="M708" s="9"/>
      <c r="N708" t="s">
        <v>5620</v>
      </c>
      <c r="O708" s="73"/>
      <c r="P708" s="7">
        <f t="shared" si="34"/>
        <v>0</v>
      </c>
      <c r="Q708" s="7">
        <f t="shared" si="33"/>
        <v>0</v>
      </c>
      <c r="R708">
        <f t="shared" si="35"/>
        <v>0</v>
      </c>
    </row>
    <row r="709" spans="1:18" x14ac:dyDescent="0.2">
      <c r="A709" t="s">
        <v>1891</v>
      </c>
      <c r="B709" s="4" t="s">
        <v>1892</v>
      </c>
      <c r="J709"/>
      <c r="K709">
        <v>1</v>
      </c>
      <c r="M709" s="9"/>
      <c r="N709" t="s">
        <v>5621</v>
      </c>
      <c r="O709" s="73"/>
      <c r="P709" s="7">
        <f t="shared" si="34"/>
        <v>0</v>
      </c>
      <c r="Q709" s="7">
        <f t="shared" si="33"/>
        <v>0</v>
      </c>
      <c r="R709">
        <f t="shared" si="35"/>
        <v>0</v>
      </c>
    </row>
    <row r="710" spans="1:18" x14ac:dyDescent="0.2">
      <c r="A710" t="s">
        <v>5622</v>
      </c>
      <c r="B710" s="4" t="s">
        <v>5623</v>
      </c>
      <c r="J710"/>
      <c r="K710">
        <v>1</v>
      </c>
      <c r="M710" s="9" t="s">
        <v>21</v>
      </c>
      <c r="N710" t="s">
        <v>5624</v>
      </c>
      <c r="O710" s="73"/>
      <c r="P710" s="7">
        <f t="shared" si="34"/>
        <v>0</v>
      </c>
      <c r="Q710" s="7">
        <f t="shared" si="33"/>
        <v>0</v>
      </c>
      <c r="R710">
        <f t="shared" si="35"/>
        <v>0</v>
      </c>
    </row>
    <row r="711" spans="1:18" x14ac:dyDescent="0.2">
      <c r="A711" t="s">
        <v>5625</v>
      </c>
      <c r="B711" s="4" t="s">
        <v>5626</v>
      </c>
      <c r="J711"/>
      <c r="K711">
        <v>1</v>
      </c>
      <c r="M711" s="9" t="s">
        <v>21</v>
      </c>
      <c r="N711" t="s">
        <v>5627</v>
      </c>
      <c r="O711" s="73"/>
      <c r="P711" s="7">
        <f t="shared" si="34"/>
        <v>0</v>
      </c>
      <c r="Q711" s="7">
        <f t="shared" si="33"/>
        <v>0</v>
      </c>
      <c r="R711">
        <f t="shared" si="35"/>
        <v>0</v>
      </c>
    </row>
    <row r="712" spans="1:18" x14ac:dyDescent="0.2">
      <c r="A712" t="s">
        <v>5628</v>
      </c>
      <c r="B712" s="4" t="s">
        <v>5629</v>
      </c>
      <c r="J712"/>
      <c r="K712">
        <v>1</v>
      </c>
      <c r="M712" s="9" t="s">
        <v>21</v>
      </c>
      <c r="N712" t="s">
        <v>5630</v>
      </c>
      <c r="O712" s="73"/>
      <c r="P712" s="7">
        <f t="shared" si="34"/>
        <v>0</v>
      </c>
      <c r="Q712" s="7">
        <f t="shared" si="33"/>
        <v>0</v>
      </c>
      <c r="R712">
        <f t="shared" si="35"/>
        <v>0</v>
      </c>
    </row>
    <row r="713" spans="1:18" x14ac:dyDescent="0.2">
      <c r="A713" t="s">
        <v>5631</v>
      </c>
      <c r="B713" s="4" t="s">
        <v>5632</v>
      </c>
      <c r="J713"/>
      <c r="M713" s="9"/>
      <c r="N713" t="s">
        <v>83</v>
      </c>
      <c r="O713" s="73"/>
      <c r="P713" s="7">
        <f t="shared" si="34"/>
        <v>0</v>
      </c>
      <c r="Q713" s="7">
        <f t="shared" si="33"/>
        <v>0</v>
      </c>
      <c r="R713">
        <f t="shared" si="35"/>
        <v>0</v>
      </c>
    </row>
    <row r="714" spans="1:18" x14ac:dyDescent="0.2">
      <c r="A714" t="s">
        <v>5633</v>
      </c>
      <c r="B714" s="4" t="s">
        <v>5634</v>
      </c>
      <c r="J714"/>
      <c r="K714">
        <v>1</v>
      </c>
      <c r="M714" s="9"/>
      <c r="N714" t="s">
        <v>5635</v>
      </c>
      <c r="O714" s="73"/>
      <c r="P714" s="7">
        <f t="shared" si="34"/>
        <v>0</v>
      </c>
      <c r="Q714" s="7">
        <f t="shared" si="33"/>
        <v>0</v>
      </c>
      <c r="R714">
        <f t="shared" si="35"/>
        <v>0</v>
      </c>
    </row>
    <row r="715" spans="1:18" x14ac:dyDescent="0.2">
      <c r="A715" t="s">
        <v>5636</v>
      </c>
      <c r="B715" s="4" t="s">
        <v>5637</v>
      </c>
      <c r="J715"/>
      <c r="K715">
        <v>1</v>
      </c>
      <c r="M715" s="9"/>
      <c r="N715" t="s">
        <v>5638</v>
      </c>
      <c r="O715" s="73"/>
      <c r="P715" s="7">
        <f t="shared" si="34"/>
        <v>0</v>
      </c>
      <c r="Q715" s="7">
        <f t="shared" si="33"/>
        <v>0</v>
      </c>
      <c r="R715">
        <f t="shared" si="35"/>
        <v>0</v>
      </c>
    </row>
    <row r="716" spans="1:18" x14ac:dyDescent="0.2">
      <c r="A716" t="s">
        <v>5639</v>
      </c>
      <c r="B716" s="4" t="s">
        <v>5640</v>
      </c>
      <c r="J716"/>
      <c r="M716" s="9"/>
      <c r="N716" t="s">
        <v>1323</v>
      </c>
      <c r="O716" s="73"/>
      <c r="P716" s="7">
        <f t="shared" si="34"/>
        <v>0</v>
      </c>
      <c r="Q716" s="7">
        <f t="shared" si="33"/>
        <v>0</v>
      </c>
      <c r="R716">
        <f t="shared" si="35"/>
        <v>0</v>
      </c>
    </row>
    <row r="717" spans="1:18" x14ac:dyDescent="0.2">
      <c r="A717" t="s">
        <v>1677</v>
      </c>
      <c r="B717" s="4" t="s">
        <v>1678</v>
      </c>
      <c r="J717"/>
      <c r="M717" s="9"/>
      <c r="N717" t="s">
        <v>5641</v>
      </c>
      <c r="O717" s="73"/>
      <c r="P717" s="7">
        <f t="shared" si="34"/>
        <v>0</v>
      </c>
      <c r="Q717" s="7">
        <f t="shared" ref="Q717:Q780" si="36">(O717+P717)/2</f>
        <v>0</v>
      </c>
      <c r="R717">
        <f t="shared" si="35"/>
        <v>0</v>
      </c>
    </row>
    <row r="718" spans="1:18" x14ac:dyDescent="0.2">
      <c r="A718" t="s">
        <v>1575</v>
      </c>
      <c r="B718" s="4" t="s">
        <v>1576</v>
      </c>
      <c r="J718"/>
      <c r="M718" s="9" t="s">
        <v>21</v>
      </c>
      <c r="N718" t="s">
        <v>5575</v>
      </c>
      <c r="O718" s="73">
        <v>1</v>
      </c>
      <c r="P718" s="7">
        <f t="shared" si="34"/>
        <v>0</v>
      </c>
      <c r="Q718" s="7">
        <f t="shared" si="36"/>
        <v>0.5</v>
      </c>
      <c r="R718">
        <f t="shared" si="35"/>
        <v>0</v>
      </c>
    </row>
    <row r="719" spans="1:18" x14ac:dyDescent="0.2">
      <c r="A719" t="s">
        <v>5642</v>
      </c>
      <c r="B719" s="4" t="s">
        <v>5643</v>
      </c>
      <c r="J719"/>
      <c r="K719">
        <v>1</v>
      </c>
      <c r="M719" s="9"/>
      <c r="N719" t="s">
        <v>5644</v>
      </c>
      <c r="O719" s="73"/>
      <c r="P719" s="7">
        <f t="shared" si="34"/>
        <v>0</v>
      </c>
      <c r="Q719" s="7">
        <f t="shared" si="36"/>
        <v>0</v>
      </c>
      <c r="R719">
        <f t="shared" si="35"/>
        <v>0</v>
      </c>
    </row>
    <row r="720" spans="1:18" x14ac:dyDescent="0.2">
      <c r="A720" t="s">
        <v>1853</v>
      </c>
      <c r="B720" s="4" t="s">
        <v>1854</v>
      </c>
      <c r="J720"/>
      <c r="K720">
        <v>1</v>
      </c>
      <c r="M720" s="9"/>
      <c r="N720" t="s">
        <v>83</v>
      </c>
      <c r="O720" s="73"/>
      <c r="P720" s="7">
        <f t="shared" si="34"/>
        <v>0</v>
      </c>
      <c r="Q720" s="7">
        <f t="shared" si="36"/>
        <v>0</v>
      </c>
      <c r="R720">
        <f t="shared" si="35"/>
        <v>0</v>
      </c>
    </row>
    <row r="721" spans="1:18" x14ac:dyDescent="0.2">
      <c r="A721" t="s">
        <v>5645</v>
      </c>
      <c r="B721" s="4" t="s">
        <v>5646</v>
      </c>
      <c r="J721"/>
      <c r="M721" s="9" t="s">
        <v>32</v>
      </c>
      <c r="N721" t="s">
        <v>5539</v>
      </c>
      <c r="O721" s="73"/>
      <c r="P721" s="7">
        <f t="shared" si="34"/>
        <v>0</v>
      </c>
      <c r="Q721" s="7">
        <f t="shared" si="36"/>
        <v>0</v>
      </c>
      <c r="R721">
        <f t="shared" si="35"/>
        <v>0</v>
      </c>
    </row>
    <row r="722" spans="1:18" x14ac:dyDescent="0.2">
      <c r="A722" t="s">
        <v>5647</v>
      </c>
      <c r="B722" s="4" t="s">
        <v>5648</v>
      </c>
      <c r="J722"/>
      <c r="M722" s="9" t="s">
        <v>32</v>
      </c>
      <c r="N722" t="s">
        <v>5539</v>
      </c>
      <c r="O722" s="73"/>
      <c r="P722" s="7">
        <f t="shared" si="34"/>
        <v>0</v>
      </c>
      <c r="Q722" s="7">
        <f t="shared" si="36"/>
        <v>0</v>
      </c>
      <c r="R722">
        <f t="shared" si="35"/>
        <v>0</v>
      </c>
    </row>
    <row r="723" spans="1:18" x14ac:dyDescent="0.2">
      <c r="A723" t="s">
        <v>5649</v>
      </c>
      <c r="B723" s="4" t="s">
        <v>5650</v>
      </c>
      <c r="J723"/>
      <c r="K723">
        <v>1</v>
      </c>
      <c r="M723" s="9"/>
      <c r="N723" t="s">
        <v>5651</v>
      </c>
      <c r="O723" s="73"/>
      <c r="P723" s="7">
        <f t="shared" si="34"/>
        <v>0</v>
      </c>
      <c r="Q723" s="7">
        <f t="shared" si="36"/>
        <v>0</v>
      </c>
      <c r="R723">
        <f t="shared" si="35"/>
        <v>0</v>
      </c>
    </row>
    <row r="724" spans="1:18" x14ac:dyDescent="0.2">
      <c r="A724" t="s">
        <v>1805</v>
      </c>
      <c r="B724" s="4" t="s">
        <v>1806</v>
      </c>
      <c r="J724"/>
      <c r="K724">
        <v>1</v>
      </c>
      <c r="M724" s="9" t="s">
        <v>21</v>
      </c>
      <c r="N724" t="s">
        <v>5652</v>
      </c>
      <c r="O724" s="73"/>
      <c r="P724" s="7">
        <f t="shared" si="34"/>
        <v>0</v>
      </c>
      <c r="Q724" s="7">
        <f t="shared" si="36"/>
        <v>0</v>
      </c>
      <c r="R724">
        <f t="shared" si="35"/>
        <v>0</v>
      </c>
    </row>
    <row r="725" spans="1:18" x14ac:dyDescent="0.2">
      <c r="A725" t="s">
        <v>5653</v>
      </c>
      <c r="B725" s="4" t="s">
        <v>1808</v>
      </c>
      <c r="J725"/>
      <c r="M725" s="9" t="s">
        <v>21</v>
      </c>
      <c r="N725" t="s">
        <v>5575</v>
      </c>
      <c r="O725" s="73">
        <v>1</v>
      </c>
      <c r="P725" s="7">
        <f t="shared" ref="P725:P788" si="37">(D725+E725+F725+G725+H725+I725+J725)/7</f>
        <v>0</v>
      </c>
      <c r="Q725" s="7">
        <f t="shared" si="36"/>
        <v>0.5</v>
      </c>
      <c r="R725">
        <f t="shared" si="35"/>
        <v>0</v>
      </c>
    </row>
    <row r="726" spans="1:18" x14ac:dyDescent="0.2">
      <c r="A726" t="s">
        <v>5654</v>
      </c>
      <c r="B726" s="4" t="s">
        <v>5655</v>
      </c>
      <c r="J726"/>
      <c r="M726" s="9" t="s">
        <v>32</v>
      </c>
      <c r="N726" t="s">
        <v>5539</v>
      </c>
      <c r="O726" s="73"/>
      <c r="P726" s="7">
        <f t="shared" si="37"/>
        <v>0</v>
      </c>
      <c r="Q726" s="7">
        <f t="shared" si="36"/>
        <v>0</v>
      </c>
      <c r="R726">
        <f t="shared" si="35"/>
        <v>0</v>
      </c>
    </row>
    <row r="727" spans="1:18" x14ac:dyDescent="0.2">
      <c r="A727" t="s">
        <v>1685</v>
      </c>
      <c r="B727" s="4" t="s">
        <v>1686</v>
      </c>
      <c r="J727"/>
      <c r="M727" s="9"/>
      <c r="N727" t="s">
        <v>83</v>
      </c>
      <c r="O727" s="73"/>
      <c r="P727" s="7">
        <f t="shared" si="37"/>
        <v>0</v>
      </c>
      <c r="Q727" s="7">
        <f t="shared" si="36"/>
        <v>0</v>
      </c>
      <c r="R727">
        <f t="shared" si="35"/>
        <v>0</v>
      </c>
    </row>
    <row r="728" spans="1:18" x14ac:dyDescent="0.2">
      <c r="A728" t="s">
        <v>5656</v>
      </c>
      <c r="B728" s="4" t="s">
        <v>5657</v>
      </c>
      <c r="J728"/>
      <c r="M728" s="9"/>
      <c r="N728" t="s">
        <v>5658</v>
      </c>
      <c r="O728" s="73"/>
      <c r="P728" s="7">
        <f t="shared" si="37"/>
        <v>0</v>
      </c>
      <c r="Q728" s="7">
        <f t="shared" si="36"/>
        <v>0</v>
      </c>
      <c r="R728">
        <f t="shared" si="35"/>
        <v>0</v>
      </c>
    </row>
    <row r="729" spans="1:18" x14ac:dyDescent="0.2">
      <c r="A729" t="s">
        <v>5659</v>
      </c>
      <c r="B729" s="4" t="s">
        <v>1864</v>
      </c>
      <c r="J729"/>
      <c r="M729" s="9"/>
      <c r="N729" t="s">
        <v>5660</v>
      </c>
      <c r="O729" s="73"/>
      <c r="P729" s="7">
        <f t="shared" si="37"/>
        <v>0</v>
      </c>
      <c r="Q729" s="7">
        <f t="shared" si="36"/>
        <v>0</v>
      </c>
      <c r="R729">
        <f t="shared" si="35"/>
        <v>0</v>
      </c>
    </row>
    <row r="730" spans="1:18" x14ac:dyDescent="0.2">
      <c r="A730" t="s">
        <v>5661</v>
      </c>
      <c r="B730" s="4" t="s">
        <v>5662</v>
      </c>
      <c r="J730"/>
      <c r="M730" s="9"/>
      <c r="N730" t="s">
        <v>5663</v>
      </c>
      <c r="O730" s="73"/>
      <c r="P730" s="7">
        <f t="shared" si="37"/>
        <v>0</v>
      </c>
      <c r="Q730" s="7">
        <f t="shared" si="36"/>
        <v>0</v>
      </c>
      <c r="R730">
        <f t="shared" si="35"/>
        <v>0</v>
      </c>
    </row>
    <row r="731" spans="1:18" x14ac:dyDescent="0.2">
      <c r="A731" t="s">
        <v>1867</v>
      </c>
      <c r="B731" s="4" t="s">
        <v>1868</v>
      </c>
      <c r="J731"/>
      <c r="M731" s="9" t="s">
        <v>21</v>
      </c>
      <c r="N731" t="s">
        <v>5575</v>
      </c>
      <c r="O731" s="73">
        <v>1</v>
      </c>
      <c r="P731" s="7">
        <f t="shared" si="37"/>
        <v>0</v>
      </c>
      <c r="Q731" s="7">
        <f t="shared" si="36"/>
        <v>0.5</v>
      </c>
      <c r="R731">
        <f t="shared" si="35"/>
        <v>0</v>
      </c>
    </row>
    <row r="732" spans="1:18" x14ac:dyDescent="0.2">
      <c r="A732" t="s">
        <v>5664</v>
      </c>
      <c r="B732" s="4" t="s">
        <v>5665</v>
      </c>
      <c r="J732"/>
      <c r="K732">
        <v>1</v>
      </c>
      <c r="M732" s="9" t="s">
        <v>21</v>
      </c>
      <c r="N732" t="s">
        <v>5666</v>
      </c>
      <c r="O732" s="73"/>
      <c r="P732" s="7">
        <f t="shared" si="37"/>
        <v>0</v>
      </c>
      <c r="Q732" s="7">
        <f t="shared" si="36"/>
        <v>0</v>
      </c>
      <c r="R732">
        <f t="shared" si="35"/>
        <v>0</v>
      </c>
    </row>
    <row r="733" spans="1:18" x14ac:dyDescent="0.2">
      <c r="A733" t="s">
        <v>5667</v>
      </c>
      <c r="B733" s="4" t="s">
        <v>5668</v>
      </c>
      <c r="C733" t="s">
        <v>201</v>
      </c>
      <c r="J733"/>
      <c r="K733">
        <v>1</v>
      </c>
      <c r="M733" s="9"/>
      <c r="N733" t="s">
        <v>83</v>
      </c>
      <c r="O733" s="73"/>
      <c r="P733" s="7">
        <f t="shared" si="37"/>
        <v>0</v>
      </c>
      <c r="Q733" s="7">
        <f t="shared" si="36"/>
        <v>0</v>
      </c>
      <c r="R733">
        <f t="shared" si="35"/>
        <v>0</v>
      </c>
    </row>
    <row r="734" spans="1:18" x14ac:dyDescent="0.2">
      <c r="A734" t="s">
        <v>5669</v>
      </c>
      <c r="B734" s="4" t="s">
        <v>5670</v>
      </c>
      <c r="J734"/>
      <c r="K734">
        <v>1</v>
      </c>
      <c r="M734" s="9"/>
      <c r="N734" t="s">
        <v>5537</v>
      </c>
      <c r="O734" s="73"/>
      <c r="P734" s="7">
        <f t="shared" si="37"/>
        <v>0</v>
      </c>
      <c r="Q734" s="7">
        <f t="shared" si="36"/>
        <v>0</v>
      </c>
      <c r="R734">
        <f t="shared" si="35"/>
        <v>0</v>
      </c>
    </row>
    <row r="735" spans="1:18" x14ac:dyDescent="0.2">
      <c r="A735" t="s">
        <v>5671</v>
      </c>
      <c r="B735" s="4" t="s">
        <v>5672</v>
      </c>
      <c r="J735"/>
      <c r="M735" s="9"/>
      <c r="N735" t="s">
        <v>5525</v>
      </c>
      <c r="O735" s="73"/>
      <c r="P735" s="7">
        <f t="shared" si="37"/>
        <v>0</v>
      </c>
      <c r="Q735" s="7">
        <f t="shared" si="36"/>
        <v>0</v>
      </c>
      <c r="R735">
        <f t="shared" si="35"/>
        <v>0</v>
      </c>
    </row>
    <row r="736" spans="1:18" x14ac:dyDescent="0.2">
      <c r="A736" t="s">
        <v>5673</v>
      </c>
      <c r="B736" s="4" t="s">
        <v>5674</v>
      </c>
      <c r="J736"/>
      <c r="K736">
        <v>1</v>
      </c>
      <c r="M736" s="9" t="s">
        <v>21</v>
      </c>
      <c r="N736" t="s">
        <v>5675</v>
      </c>
      <c r="O736" s="73"/>
      <c r="P736" s="7">
        <f t="shared" si="37"/>
        <v>0</v>
      </c>
      <c r="Q736" s="7">
        <f t="shared" si="36"/>
        <v>0</v>
      </c>
      <c r="R736">
        <f t="shared" si="35"/>
        <v>0</v>
      </c>
    </row>
    <row r="737" spans="1:18" x14ac:dyDescent="0.2">
      <c r="A737" t="s">
        <v>5676</v>
      </c>
      <c r="B737" s="4" t="s">
        <v>5677</v>
      </c>
      <c r="J737"/>
      <c r="M737" s="9"/>
      <c r="N737" t="s">
        <v>5641</v>
      </c>
      <c r="O737" s="73"/>
      <c r="P737" s="7">
        <f t="shared" si="37"/>
        <v>0</v>
      </c>
      <c r="Q737" s="7">
        <f t="shared" si="36"/>
        <v>0</v>
      </c>
      <c r="R737">
        <f t="shared" si="35"/>
        <v>0</v>
      </c>
    </row>
    <row r="738" spans="1:18" x14ac:dyDescent="0.2">
      <c r="A738" t="s">
        <v>5678</v>
      </c>
      <c r="B738" s="4" t="s">
        <v>5679</v>
      </c>
      <c r="J738"/>
      <c r="K738">
        <v>1</v>
      </c>
      <c r="M738" s="9" t="s">
        <v>32</v>
      </c>
      <c r="N738" t="s">
        <v>5539</v>
      </c>
      <c r="O738" s="73"/>
      <c r="P738" s="7">
        <f t="shared" si="37"/>
        <v>0</v>
      </c>
      <c r="Q738" s="7">
        <f t="shared" si="36"/>
        <v>0</v>
      </c>
      <c r="R738">
        <f t="shared" si="35"/>
        <v>0</v>
      </c>
    </row>
    <row r="739" spans="1:18" x14ac:dyDescent="0.2">
      <c r="A739" t="s">
        <v>5680</v>
      </c>
      <c r="B739" s="4" t="s">
        <v>5681</v>
      </c>
      <c r="J739"/>
      <c r="K739">
        <v>1</v>
      </c>
      <c r="M739" s="9"/>
      <c r="N739" t="s">
        <v>5682</v>
      </c>
      <c r="O739" s="73"/>
      <c r="P739" s="7">
        <f t="shared" si="37"/>
        <v>0</v>
      </c>
      <c r="Q739" s="7">
        <f t="shared" si="36"/>
        <v>0</v>
      </c>
      <c r="R739">
        <f t="shared" si="35"/>
        <v>0</v>
      </c>
    </row>
    <row r="740" spans="1:18" x14ac:dyDescent="0.2">
      <c r="A740" t="s">
        <v>5683</v>
      </c>
      <c r="B740" s="4" t="s">
        <v>5684</v>
      </c>
      <c r="J740"/>
      <c r="K740">
        <v>1</v>
      </c>
      <c r="M740" s="9"/>
      <c r="N740" t="s">
        <v>5685</v>
      </c>
      <c r="O740" s="73"/>
      <c r="P740" s="7">
        <f t="shared" si="37"/>
        <v>0</v>
      </c>
      <c r="Q740" s="7">
        <f t="shared" si="36"/>
        <v>0</v>
      </c>
      <c r="R740">
        <f t="shared" si="35"/>
        <v>0</v>
      </c>
    </row>
    <row r="741" spans="1:18" x14ac:dyDescent="0.2">
      <c r="A741" t="s">
        <v>5686</v>
      </c>
      <c r="B741" s="4" t="s">
        <v>5687</v>
      </c>
      <c r="J741"/>
      <c r="K741">
        <v>1</v>
      </c>
      <c r="M741" s="9"/>
      <c r="N741" t="s">
        <v>83</v>
      </c>
      <c r="O741" s="73"/>
      <c r="P741" s="7">
        <f t="shared" si="37"/>
        <v>0</v>
      </c>
      <c r="Q741" s="7">
        <f t="shared" si="36"/>
        <v>0</v>
      </c>
      <c r="R741">
        <f t="shared" si="35"/>
        <v>0</v>
      </c>
    </row>
    <row r="742" spans="1:18" x14ac:dyDescent="0.2">
      <c r="A742" t="s">
        <v>5688</v>
      </c>
      <c r="B742" s="4" t="s">
        <v>5689</v>
      </c>
      <c r="J742"/>
      <c r="K742">
        <v>1</v>
      </c>
      <c r="M742" s="9"/>
      <c r="N742" t="s">
        <v>2265</v>
      </c>
      <c r="O742" s="73"/>
      <c r="P742" s="7">
        <f t="shared" si="37"/>
        <v>0</v>
      </c>
      <c r="Q742" s="7">
        <f t="shared" si="36"/>
        <v>0</v>
      </c>
      <c r="R742">
        <f t="shared" si="35"/>
        <v>0</v>
      </c>
    </row>
    <row r="743" spans="1:18" x14ac:dyDescent="0.2">
      <c r="A743" t="s">
        <v>5690</v>
      </c>
      <c r="B743" s="4" t="s">
        <v>5691</v>
      </c>
      <c r="J743"/>
      <c r="K743">
        <v>1</v>
      </c>
      <c r="M743" s="9"/>
      <c r="N743" t="s">
        <v>5692</v>
      </c>
      <c r="O743" s="73"/>
      <c r="P743" s="7">
        <f t="shared" si="37"/>
        <v>0</v>
      </c>
      <c r="Q743" s="7">
        <f t="shared" si="36"/>
        <v>0</v>
      </c>
      <c r="R743">
        <f t="shared" si="35"/>
        <v>0</v>
      </c>
    </row>
    <row r="744" spans="1:18" x14ac:dyDescent="0.2">
      <c r="A744" t="s">
        <v>1835</v>
      </c>
      <c r="B744" s="4" t="s">
        <v>1836</v>
      </c>
      <c r="J744"/>
      <c r="K744">
        <v>1</v>
      </c>
      <c r="M744" s="9" t="s">
        <v>21</v>
      </c>
      <c r="N744" t="s">
        <v>5693</v>
      </c>
      <c r="O744" s="73"/>
      <c r="P744" s="7">
        <f t="shared" si="37"/>
        <v>0</v>
      </c>
      <c r="Q744" s="7">
        <f t="shared" si="36"/>
        <v>0</v>
      </c>
      <c r="R744">
        <f t="shared" si="35"/>
        <v>0</v>
      </c>
    </row>
    <row r="745" spans="1:18" x14ac:dyDescent="0.2">
      <c r="A745" t="s">
        <v>5694</v>
      </c>
      <c r="B745" s="4" t="s">
        <v>5695</v>
      </c>
      <c r="J745"/>
      <c r="K745">
        <v>1</v>
      </c>
      <c r="M745" s="9"/>
      <c r="N745" t="s">
        <v>5696</v>
      </c>
      <c r="O745" s="73"/>
      <c r="P745" s="7">
        <f t="shared" si="37"/>
        <v>0</v>
      </c>
      <c r="Q745" s="7">
        <f t="shared" si="36"/>
        <v>0</v>
      </c>
      <c r="R745">
        <f t="shared" si="35"/>
        <v>0</v>
      </c>
    </row>
    <row r="746" spans="1:18" x14ac:dyDescent="0.2">
      <c r="A746" t="s">
        <v>5697</v>
      </c>
      <c r="B746" s="4" t="s">
        <v>5698</v>
      </c>
      <c r="J746"/>
      <c r="K746">
        <v>1</v>
      </c>
      <c r="M746" s="9"/>
      <c r="N746" t="s">
        <v>5699</v>
      </c>
      <c r="O746" s="73"/>
      <c r="P746" s="7">
        <f t="shared" si="37"/>
        <v>0</v>
      </c>
      <c r="Q746" s="7">
        <f t="shared" si="36"/>
        <v>0</v>
      </c>
      <c r="R746">
        <f t="shared" si="35"/>
        <v>0</v>
      </c>
    </row>
    <row r="747" spans="1:18" x14ac:dyDescent="0.2">
      <c r="A747" t="s">
        <v>5700</v>
      </c>
      <c r="B747" s="4" t="s">
        <v>5701</v>
      </c>
      <c r="J747"/>
      <c r="K747">
        <v>1</v>
      </c>
      <c r="M747" s="9"/>
      <c r="N747" t="s">
        <v>45</v>
      </c>
      <c r="O747" s="73"/>
      <c r="P747" s="7">
        <f t="shared" si="37"/>
        <v>0</v>
      </c>
      <c r="Q747" s="7">
        <f t="shared" si="36"/>
        <v>0</v>
      </c>
      <c r="R747">
        <f t="shared" si="35"/>
        <v>0</v>
      </c>
    </row>
    <row r="748" spans="1:18" x14ac:dyDescent="0.2">
      <c r="A748" t="s">
        <v>5702</v>
      </c>
      <c r="B748" s="4" t="s">
        <v>5703</v>
      </c>
      <c r="J748"/>
      <c r="M748" s="9"/>
      <c r="N748" t="s">
        <v>1323</v>
      </c>
      <c r="O748" s="73"/>
      <c r="P748" s="7">
        <f t="shared" si="37"/>
        <v>0</v>
      </c>
      <c r="Q748" s="7">
        <f t="shared" si="36"/>
        <v>0</v>
      </c>
      <c r="R748">
        <f t="shared" si="35"/>
        <v>0</v>
      </c>
    </row>
    <row r="749" spans="1:18" x14ac:dyDescent="0.2">
      <c r="A749" t="s">
        <v>5704</v>
      </c>
      <c r="B749" s="4" t="s">
        <v>5705</v>
      </c>
      <c r="J749"/>
      <c r="M749" s="9" t="s">
        <v>21</v>
      </c>
      <c r="N749" t="s">
        <v>5706</v>
      </c>
      <c r="O749" s="73"/>
      <c r="P749" s="7">
        <f t="shared" si="37"/>
        <v>0</v>
      </c>
      <c r="Q749" s="7">
        <f t="shared" si="36"/>
        <v>0</v>
      </c>
      <c r="R749">
        <f t="shared" si="35"/>
        <v>0</v>
      </c>
    </row>
    <row r="750" spans="1:18" x14ac:dyDescent="0.2">
      <c r="A750" t="s">
        <v>5707</v>
      </c>
      <c r="B750" s="4" t="s">
        <v>5708</v>
      </c>
      <c r="J750"/>
      <c r="K750">
        <v>1</v>
      </c>
      <c r="M750" s="9"/>
      <c r="N750" t="s">
        <v>83</v>
      </c>
      <c r="O750" s="73"/>
      <c r="P750" s="7">
        <f t="shared" si="37"/>
        <v>0</v>
      </c>
      <c r="Q750" s="7">
        <f t="shared" si="36"/>
        <v>0</v>
      </c>
      <c r="R750">
        <f t="shared" si="35"/>
        <v>0</v>
      </c>
    </row>
    <row r="751" spans="1:18" x14ac:dyDescent="0.2">
      <c r="A751" t="s">
        <v>5709</v>
      </c>
      <c r="B751" s="4" t="s">
        <v>5710</v>
      </c>
      <c r="J751"/>
      <c r="M751" s="9"/>
      <c r="N751" t="s">
        <v>45</v>
      </c>
      <c r="O751" s="73"/>
      <c r="P751" s="7">
        <f t="shared" si="37"/>
        <v>0</v>
      </c>
      <c r="Q751" s="7">
        <f t="shared" si="36"/>
        <v>0</v>
      </c>
      <c r="R751">
        <f t="shared" si="35"/>
        <v>0</v>
      </c>
    </row>
    <row r="752" spans="1:18" x14ac:dyDescent="0.2">
      <c r="A752" t="s">
        <v>5711</v>
      </c>
      <c r="B752" s="4" t="s">
        <v>5712</v>
      </c>
      <c r="J752"/>
      <c r="M752" s="9"/>
      <c r="N752" t="s">
        <v>275</v>
      </c>
      <c r="O752" s="73">
        <v>1</v>
      </c>
      <c r="P752" s="7">
        <f t="shared" si="37"/>
        <v>0</v>
      </c>
      <c r="Q752" s="7">
        <f t="shared" si="36"/>
        <v>0.5</v>
      </c>
      <c r="R752">
        <f t="shared" si="35"/>
        <v>0</v>
      </c>
    </row>
    <row r="753" spans="1:18" x14ac:dyDescent="0.2">
      <c r="A753" t="s">
        <v>5713</v>
      </c>
      <c r="B753" s="4" t="s">
        <v>5714</v>
      </c>
      <c r="J753"/>
      <c r="K753">
        <v>1</v>
      </c>
      <c r="M753" s="9"/>
      <c r="N753" t="s">
        <v>5621</v>
      </c>
      <c r="O753" s="73"/>
      <c r="P753" s="7">
        <f t="shared" si="37"/>
        <v>0</v>
      </c>
      <c r="Q753" s="7">
        <f t="shared" si="36"/>
        <v>0</v>
      </c>
      <c r="R753">
        <f t="shared" si="35"/>
        <v>0</v>
      </c>
    </row>
    <row r="754" spans="1:18" x14ac:dyDescent="0.2">
      <c r="A754" t="s">
        <v>1369</v>
      </c>
      <c r="B754" s="4" t="s">
        <v>1370</v>
      </c>
      <c r="J754"/>
      <c r="M754" s="9"/>
      <c r="N754" t="s">
        <v>275</v>
      </c>
      <c r="O754" s="73">
        <v>1</v>
      </c>
      <c r="P754" s="7">
        <f t="shared" si="37"/>
        <v>0</v>
      </c>
      <c r="Q754" s="7">
        <f t="shared" si="36"/>
        <v>0.5</v>
      </c>
      <c r="R754">
        <f t="shared" si="35"/>
        <v>0</v>
      </c>
    </row>
    <row r="755" spans="1:18" x14ac:dyDescent="0.2">
      <c r="A755" t="s">
        <v>5715</v>
      </c>
      <c r="B755" s="4" t="s">
        <v>5716</v>
      </c>
      <c r="J755"/>
      <c r="M755" s="9"/>
      <c r="N755" t="s">
        <v>5641</v>
      </c>
      <c r="O755" s="73"/>
      <c r="P755" s="7">
        <f t="shared" si="37"/>
        <v>0</v>
      </c>
      <c r="Q755" s="7">
        <f t="shared" si="36"/>
        <v>0</v>
      </c>
      <c r="R755">
        <f t="shared" si="35"/>
        <v>0</v>
      </c>
    </row>
    <row r="756" spans="1:18" x14ac:dyDescent="0.2">
      <c r="A756" t="s">
        <v>5717</v>
      </c>
      <c r="B756" s="4" t="s">
        <v>5718</v>
      </c>
      <c r="J756"/>
      <c r="K756">
        <v>1</v>
      </c>
      <c r="M756" s="9"/>
      <c r="N756" t="s">
        <v>45</v>
      </c>
      <c r="O756" s="73"/>
      <c r="P756" s="7">
        <f t="shared" si="37"/>
        <v>0</v>
      </c>
      <c r="Q756" s="7">
        <f t="shared" si="36"/>
        <v>0</v>
      </c>
      <c r="R756">
        <f t="shared" si="35"/>
        <v>0</v>
      </c>
    </row>
    <row r="757" spans="1:18" x14ac:dyDescent="0.2">
      <c r="A757" t="s">
        <v>5719</v>
      </c>
      <c r="B757" s="4" t="s">
        <v>5720</v>
      </c>
      <c r="J757"/>
      <c r="M757" s="9"/>
      <c r="N757" t="s">
        <v>5721</v>
      </c>
      <c r="O757" s="73"/>
      <c r="P757" s="7">
        <f t="shared" si="37"/>
        <v>0</v>
      </c>
      <c r="Q757" s="7">
        <f t="shared" si="36"/>
        <v>0</v>
      </c>
      <c r="R757">
        <f t="shared" si="35"/>
        <v>0</v>
      </c>
    </row>
    <row r="758" spans="1:18" x14ac:dyDescent="0.2">
      <c r="A758" t="s">
        <v>5722</v>
      </c>
      <c r="B758" s="4" t="s">
        <v>5723</v>
      </c>
      <c r="J758"/>
      <c r="K758">
        <v>1</v>
      </c>
      <c r="M758" s="9"/>
      <c r="N758" t="s">
        <v>852</v>
      </c>
      <c r="O758" s="73"/>
      <c r="P758" s="7">
        <f t="shared" si="37"/>
        <v>0</v>
      </c>
      <c r="Q758" s="7">
        <f t="shared" si="36"/>
        <v>0</v>
      </c>
      <c r="R758">
        <f t="shared" si="35"/>
        <v>0</v>
      </c>
    </row>
    <row r="759" spans="1:18" x14ac:dyDescent="0.2">
      <c r="A759" t="s">
        <v>5724</v>
      </c>
      <c r="B759" s="4" t="s">
        <v>5725</v>
      </c>
      <c r="J759"/>
      <c r="M759" s="9" t="s">
        <v>21</v>
      </c>
      <c r="N759" t="s">
        <v>5616</v>
      </c>
      <c r="O759" s="73"/>
      <c r="P759" s="7">
        <f t="shared" si="37"/>
        <v>0</v>
      </c>
      <c r="Q759" s="7">
        <f t="shared" si="36"/>
        <v>0</v>
      </c>
      <c r="R759">
        <f t="shared" si="35"/>
        <v>0</v>
      </c>
    </row>
    <row r="760" spans="1:18" x14ac:dyDescent="0.2">
      <c r="A760" t="s">
        <v>5726</v>
      </c>
      <c r="B760" s="4" t="s">
        <v>5727</v>
      </c>
      <c r="J760"/>
      <c r="M760" s="9"/>
      <c r="N760" t="s">
        <v>45</v>
      </c>
      <c r="O760" s="73"/>
      <c r="P760" s="7">
        <f t="shared" si="37"/>
        <v>0</v>
      </c>
      <c r="Q760" s="7">
        <f t="shared" si="36"/>
        <v>0</v>
      </c>
      <c r="R760">
        <f t="shared" si="35"/>
        <v>0</v>
      </c>
    </row>
    <row r="761" spans="1:18" x14ac:dyDescent="0.2">
      <c r="A761" t="s">
        <v>5728</v>
      </c>
      <c r="B761" s="4" t="s">
        <v>5729</v>
      </c>
      <c r="J761"/>
      <c r="K761">
        <v>1</v>
      </c>
      <c r="M761" s="9"/>
      <c r="N761" t="s">
        <v>5730</v>
      </c>
      <c r="O761" s="73"/>
      <c r="P761" s="7">
        <f t="shared" si="37"/>
        <v>0</v>
      </c>
      <c r="Q761" s="7">
        <f t="shared" si="36"/>
        <v>0</v>
      </c>
      <c r="R761">
        <f t="shared" si="35"/>
        <v>0</v>
      </c>
    </row>
    <row r="762" spans="1:18" x14ac:dyDescent="0.2">
      <c r="A762" t="s">
        <v>5731</v>
      </c>
      <c r="B762" s="52" t="s">
        <v>5732</v>
      </c>
      <c r="C762" t="s">
        <v>201</v>
      </c>
      <c r="D762">
        <v>0</v>
      </c>
      <c r="E762">
        <v>0.6</v>
      </c>
      <c r="F762">
        <v>0.3</v>
      </c>
      <c r="G762">
        <v>0</v>
      </c>
      <c r="H762">
        <v>0</v>
      </c>
      <c r="I762">
        <v>0</v>
      </c>
      <c r="J762">
        <v>1</v>
      </c>
      <c r="M762" s="9" t="s">
        <v>21</v>
      </c>
      <c r="N762" t="s">
        <v>5575</v>
      </c>
      <c r="O762" s="73">
        <v>1</v>
      </c>
      <c r="P762" s="7">
        <f t="shared" si="37"/>
        <v>0.27142857142857141</v>
      </c>
      <c r="Q762" s="7">
        <f t="shared" si="36"/>
        <v>0.63571428571428568</v>
      </c>
      <c r="R762">
        <f t="shared" si="35"/>
        <v>0</v>
      </c>
    </row>
    <row r="763" spans="1:18" x14ac:dyDescent="0.2">
      <c r="A763" t="s">
        <v>5733</v>
      </c>
      <c r="B763" s="4" t="s">
        <v>5734</v>
      </c>
      <c r="J763"/>
      <c r="K763">
        <v>1</v>
      </c>
      <c r="M763" s="9"/>
      <c r="N763" t="s">
        <v>5735</v>
      </c>
      <c r="O763" s="73"/>
      <c r="P763" s="7">
        <f t="shared" si="37"/>
        <v>0</v>
      </c>
      <c r="Q763" s="7">
        <f t="shared" si="36"/>
        <v>0</v>
      </c>
      <c r="R763">
        <f t="shared" si="35"/>
        <v>0</v>
      </c>
    </row>
    <row r="764" spans="1:18" x14ac:dyDescent="0.2">
      <c r="A764" t="s">
        <v>5736</v>
      </c>
      <c r="B764" s="4" t="s">
        <v>5737</v>
      </c>
      <c r="J764"/>
      <c r="K764">
        <v>1</v>
      </c>
      <c r="M764" s="9"/>
      <c r="N764" t="s">
        <v>5738</v>
      </c>
      <c r="O764" s="73"/>
      <c r="P764" s="7">
        <f t="shared" si="37"/>
        <v>0</v>
      </c>
      <c r="Q764" s="7">
        <f t="shared" si="36"/>
        <v>0</v>
      </c>
      <c r="R764">
        <f t="shared" si="35"/>
        <v>0</v>
      </c>
    </row>
    <row r="765" spans="1:18" x14ac:dyDescent="0.2">
      <c r="A765" t="s">
        <v>5739</v>
      </c>
      <c r="B765" s="4" t="s">
        <v>5740</v>
      </c>
      <c r="J765"/>
      <c r="K765">
        <v>1</v>
      </c>
      <c r="M765" s="9"/>
      <c r="N765" t="s">
        <v>5741</v>
      </c>
      <c r="O765" s="73"/>
      <c r="P765" s="7">
        <f t="shared" si="37"/>
        <v>0</v>
      </c>
      <c r="Q765" s="7">
        <f t="shared" si="36"/>
        <v>0</v>
      </c>
      <c r="R765">
        <f t="shared" si="35"/>
        <v>0</v>
      </c>
    </row>
    <row r="766" spans="1:18" x14ac:dyDescent="0.2">
      <c r="A766" t="s">
        <v>1351</v>
      </c>
      <c r="B766" s="4" t="s">
        <v>1352</v>
      </c>
      <c r="J766"/>
      <c r="K766">
        <v>1</v>
      </c>
      <c r="M766" s="9"/>
      <c r="N766" t="s">
        <v>5522</v>
      </c>
      <c r="O766" s="73"/>
      <c r="P766" s="7">
        <f t="shared" si="37"/>
        <v>0</v>
      </c>
      <c r="Q766" s="7">
        <f t="shared" si="36"/>
        <v>0</v>
      </c>
      <c r="R766">
        <f t="shared" si="35"/>
        <v>0</v>
      </c>
    </row>
    <row r="767" spans="1:18" x14ac:dyDescent="0.2">
      <c r="A767" t="s">
        <v>5742</v>
      </c>
      <c r="B767" s="4" t="s">
        <v>5743</v>
      </c>
      <c r="J767"/>
      <c r="K767">
        <v>1</v>
      </c>
      <c r="M767" s="9"/>
      <c r="N767" t="s">
        <v>5549</v>
      </c>
      <c r="O767" s="73"/>
      <c r="P767" s="7">
        <f t="shared" si="37"/>
        <v>0</v>
      </c>
      <c r="Q767" s="7">
        <f t="shared" si="36"/>
        <v>0</v>
      </c>
      <c r="R767">
        <f t="shared" si="35"/>
        <v>0</v>
      </c>
    </row>
    <row r="768" spans="1:18" x14ac:dyDescent="0.2">
      <c r="A768" t="s">
        <v>5744</v>
      </c>
      <c r="B768" s="4" t="s">
        <v>5745</v>
      </c>
      <c r="J768"/>
      <c r="M768" s="9"/>
      <c r="N768" t="s">
        <v>275</v>
      </c>
      <c r="O768" s="73">
        <v>1</v>
      </c>
      <c r="P768" s="7">
        <f t="shared" si="37"/>
        <v>0</v>
      </c>
      <c r="Q768" s="7">
        <f t="shared" si="36"/>
        <v>0.5</v>
      </c>
      <c r="R768">
        <f t="shared" si="35"/>
        <v>0</v>
      </c>
    </row>
    <row r="769" spans="1:18" x14ac:dyDescent="0.2">
      <c r="A769" t="s">
        <v>5746</v>
      </c>
      <c r="B769" s="4" t="s">
        <v>5747</v>
      </c>
      <c r="J769"/>
      <c r="K769">
        <v>1</v>
      </c>
      <c r="M769" s="9"/>
      <c r="N769" t="s">
        <v>852</v>
      </c>
      <c r="O769" s="73"/>
      <c r="P769" s="7">
        <f t="shared" si="37"/>
        <v>0</v>
      </c>
      <c r="Q769" s="7">
        <f t="shared" si="36"/>
        <v>0</v>
      </c>
      <c r="R769">
        <f t="shared" si="35"/>
        <v>0</v>
      </c>
    </row>
    <row r="770" spans="1:18" x14ac:dyDescent="0.2">
      <c r="A770" t="s">
        <v>5748</v>
      </c>
      <c r="B770" s="4" t="s">
        <v>5749</v>
      </c>
      <c r="J770"/>
      <c r="K770">
        <v>1</v>
      </c>
      <c r="M770" s="9"/>
      <c r="N770" t="s">
        <v>5549</v>
      </c>
      <c r="O770" s="73"/>
      <c r="P770" s="7">
        <f t="shared" si="37"/>
        <v>0</v>
      </c>
      <c r="Q770" s="7">
        <f t="shared" si="36"/>
        <v>0</v>
      </c>
      <c r="R770">
        <f t="shared" ref="R770:R833" si="38">IF(_xlfn.BITAND(P770&gt;0.4999, Q770&gt;0.4999)=1,1,0)</f>
        <v>0</v>
      </c>
    </row>
    <row r="771" spans="1:18" x14ac:dyDescent="0.2">
      <c r="A771" t="s">
        <v>5750</v>
      </c>
      <c r="B771" s="4" t="s">
        <v>5751</v>
      </c>
      <c r="J771"/>
      <c r="M771" s="9"/>
      <c r="N771" t="s">
        <v>275</v>
      </c>
      <c r="O771" s="73">
        <v>1</v>
      </c>
      <c r="P771" s="7">
        <f t="shared" si="37"/>
        <v>0</v>
      </c>
      <c r="Q771" s="7">
        <f t="shared" si="36"/>
        <v>0.5</v>
      </c>
      <c r="R771">
        <f t="shared" si="38"/>
        <v>0</v>
      </c>
    </row>
    <row r="772" spans="1:18" x14ac:dyDescent="0.2">
      <c r="A772" t="s">
        <v>5752</v>
      </c>
      <c r="B772" s="4" t="s">
        <v>5753</v>
      </c>
      <c r="J772"/>
      <c r="M772" s="9"/>
      <c r="N772" t="s">
        <v>5641</v>
      </c>
      <c r="O772" s="73"/>
      <c r="P772" s="7">
        <f t="shared" si="37"/>
        <v>0</v>
      </c>
      <c r="Q772" s="7">
        <f t="shared" si="36"/>
        <v>0</v>
      </c>
      <c r="R772">
        <f t="shared" si="38"/>
        <v>0</v>
      </c>
    </row>
    <row r="773" spans="1:18" x14ac:dyDescent="0.2">
      <c r="A773" t="s">
        <v>5754</v>
      </c>
      <c r="B773" s="4" t="s">
        <v>5755</v>
      </c>
      <c r="J773"/>
      <c r="K773">
        <v>1</v>
      </c>
      <c r="M773" s="9"/>
      <c r="N773" t="s">
        <v>5756</v>
      </c>
      <c r="O773" s="73"/>
      <c r="P773" s="7">
        <f t="shared" si="37"/>
        <v>0</v>
      </c>
      <c r="Q773" s="7">
        <f t="shared" si="36"/>
        <v>0</v>
      </c>
      <c r="R773">
        <f t="shared" si="38"/>
        <v>0</v>
      </c>
    </row>
    <row r="774" spans="1:18" x14ac:dyDescent="0.2">
      <c r="A774" t="s">
        <v>5757</v>
      </c>
      <c r="B774" s="4" t="s">
        <v>5758</v>
      </c>
      <c r="J774"/>
      <c r="M774" s="9" t="s">
        <v>21</v>
      </c>
      <c r="N774" t="s">
        <v>5616</v>
      </c>
      <c r="O774" s="73"/>
      <c r="P774" s="7">
        <f t="shared" si="37"/>
        <v>0</v>
      </c>
      <c r="Q774" s="7">
        <f t="shared" si="36"/>
        <v>0</v>
      </c>
      <c r="R774">
        <f t="shared" si="38"/>
        <v>0</v>
      </c>
    </row>
    <row r="775" spans="1:18" x14ac:dyDescent="0.2">
      <c r="A775" t="s">
        <v>5759</v>
      </c>
      <c r="B775" s="4" t="s">
        <v>5760</v>
      </c>
      <c r="J775"/>
      <c r="M775" s="9"/>
      <c r="N775" t="s">
        <v>5761</v>
      </c>
      <c r="O775" s="73"/>
      <c r="P775" s="7">
        <f t="shared" si="37"/>
        <v>0</v>
      </c>
      <c r="Q775" s="7">
        <f t="shared" si="36"/>
        <v>0</v>
      </c>
      <c r="R775">
        <f t="shared" si="38"/>
        <v>0</v>
      </c>
    </row>
    <row r="776" spans="1:18" x14ac:dyDescent="0.2">
      <c r="A776" t="s">
        <v>5762</v>
      </c>
      <c r="B776" s="4" t="s">
        <v>5763</v>
      </c>
      <c r="J776"/>
      <c r="M776" s="9"/>
      <c r="N776" t="s">
        <v>5549</v>
      </c>
      <c r="O776" s="73"/>
      <c r="P776" s="7">
        <f t="shared" si="37"/>
        <v>0</v>
      </c>
      <c r="Q776" s="7">
        <f t="shared" si="36"/>
        <v>0</v>
      </c>
      <c r="R776">
        <f t="shared" si="38"/>
        <v>0</v>
      </c>
    </row>
    <row r="777" spans="1:18" x14ac:dyDescent="0.2">
      <c r="A777" t="s">
        <v>5764</v>
      </c>
      <c r="B777" s="4" t="s">
        <v>5765</v>
      </c>
      <c r="J777"/>
      <c r="M777" s="9"/>
      <c r="N777" t="s">
        <v>5766</v>
      </c>
      <c r="O777" s="73"/>
      <c r="P777" s="7">
        <f t="shared" si="37"/>
        <v>0</v>
      </c>
      <c r="Q777" s="7">
        <f t="shared" si="36"/>
        <v>0</v>
      </c>
      <c r="R777">
        <f t="shared" si="38"/>
        <v>0</v>
      </c>
    </row>
    <row r="778" spans="1:18" x14ac:dyDescent="0.2">
      <c r="A778" t="s">
        <v>5767</v>
      </c>
      <c r="B778" s="4" t="s">
        <v>5768</v>
      </c>
      <c r="J778"/>
      <c r="M778" s="9"/>
      <c r="N778" t="s">
        <v>852</v>
      </c>
      <c r="O778" s="73"/>
      <c r="P778" s="7">
        <f t="shared" si="37"/>
        <v>0</v>
      </c>
      <c r="Q778" s="7">
        <f t="shared" si="36"/>
        <v>0</v>
      </c>
      <c r="R778">
        <f t="shared" si="38"/>
        <v>0</v>
      </c>
    </row>
    <row r="779" spans="1:18" ht="16" x14ac:dyDescent="0.2">
      <c r="A779" t="s">
        <v>5769</v>
      </c>
      <c r="B779" s="4" t="s">
        <v>5770</v>
      </c>
      <c r="J779"/>
      <c r="K779">
        <v>1</v>
      </c>
      <c r="M779" s="9"/>
      <c r="N779" t="s">
        <v>5534</v>
      </c>
      <c r="O779" s="74">
        <v>0.5</v>
      </c>
      <c r="P779" s="7">
        <f t="shared" si="37"/>
        <v>0</v>
      </c>
      <c r="Q779" s="7">
        <f t="shared" si="36"/>
        <v>0.25</v>
      </c>
      <c r="R779">
        <f t="shared" si="38"/>
        <v>0</v>
      </c>
    </row>
    <row r="780" spans="1:18" x14ac:dyDescent="0.2">
      <c r="A780" t="s">
        <v>5771</v>
      </c>
      <c r="B780" s="4" t="s">
        <v>5772</v>
      </c>
      <c r="J780"/>
      <c r="K780">
        <v>1</v>
      </c>
      <c r="M780" s="9" t="s">
        <v>21</v>
      </c>
      <c r="N780" t="s">
        <v>86</v>
      </c>
      <c r="O780" s="73"/>
      <c r="P780" s="7">
        <f t="shared" si="37"/>
        <v>0</v>
      </c>
      <c r="Q780" s="7">
        <f t="shared" si="36"/>
        <v>0</v>
      </c>
      <c r="R780">
        <f t="shared" si="38"/>
        <v>0</v>
      </c>
    </row>
    <row r="781" spans="1:18" x14ac:dyDescent="0.2">
      <c r="A781" t="s">
        <v>5773</v>
      </c>
      <c r="B781" s="4" t="s">
        <v>5774</v>
      </c>
      <c r="J781"/>
      <c r="M781" s="9" t="s">
        <v>21</v>
      </c>
      <c r="N781" t="s">
        <v>5505</v>
      </c>
      <c r="O781" s="73"/>
      <c r="P781" s="7">
        <f t="shared" si="37"/>
        <v>0</v>
      </c>
      <c r="Q781" s="7">
        <f t="shared" ref="Q781:Q844" si="39">(O781+P781)/2</f>
        <v>0</v>
      </c>
      <c r="R781">
        <f t="shared" si="38"/>
        <v>0</v>
      </c>
    </row>
    <row r="782" spans="1:18" x14ac:dyDescent="0.2">
      <c r="A782" t="s">
        <v>1479</v>
      </c>
      <c r="B782" s="4" t="s">
        <v>1480</v>
      </c>
      <c r="J782"/>
      <c r="M782" s="9"/>
      <c r="N782" t="s">
        <v>275</v>
      </c>
      <c r="O782" s="73">
        <v>1</v>
      </c>
      <c r="P782" s="7">
        <f t="shared" si="37"/>
        <v>0</v>
      </c>
      <c r="Q782" s="7">
        <f t="shared" si="39"/>
        <v>0.5</v>
      </c>
      <c r="R782">
        <f t="shared" si="38"/>
        <v>0</v>
      </c>
    </row>
    <row r="783" spans="1:18" x14ac:dyDescent="0.2">
      <c r="A783" t="s">
        <v>5775</v>
      </c>
      <c r="B783" s="4" t="s">
        <v>5776</v>
      </c>
      <c r="J783"/>
      <c r="K783">
        <v>1</v>
      </c>
      <c r="M783" s="9"/>
      <c r="N783" t="s">
        <v>2265</v>
      </c>
      <c r="O783" s="73"/>
      <c r="P783" s="7">
        <f t="shared" si="37"/>
        <v>0</v>
      </c>
      <c r="Q783" s="7">
        <f t="shared" si="39"/>
        <v>0</v>
      </c>
      <c r="R783">
        <f t="shared" si="38"/>
        <v>0</v>
      </c>
    </row>
    <row r="784" spans="1:18" ht="16" x14ac:dyDescent="0.2">
      <c r="A784" t="s">
        <v>5777</v>
      </c>
      <c r="B784" s="4" t="s">
        <v>5778</v>
      </c>
      <c r="J784"/>
      <c r="K784">
        <v>1</v>
      </c>
      <c r="M784" s="9"/>
      <c r="N784" t="s">
        <v>5534</v>
      </c>
      <c r="O784" s="74">
        <v>0.5</v>
      </c>
      <c r="P784" s="7">
        <f t="shared" si="37"/>
        <v>0</v>
      </c>
      <c r="Q784" s="7">
        <f t="shared" si="39"/>
        <v>0.25</v>
      </c>
      <c r="R784">
        <f t="shared" si="38"/>
        <v>0</v>
      </c>
    </row>
    <row r="785" spans="1:18" x14ac:dyDescent="0.2">
      <c r="A785" t="s">
        <v>5779</v>
      </c>
      <c r="B785" s="4" t="s">
        <v>5780</v>
      </c>
      <c r="J785"/>
      <c r="M785" s="9"/>
      <c r="N785" t="s">
        <v>45</v>
      </c>
      <c r="O785" s="73"/>
      <c r="P785" s="7">
        <f t="shared" si="37"/>
        <v>0</v>
      </c>
      <c r="Q785" s="7">
        <f t="shared" si="39"/>
        <v>0</v>
      </c>
      <c r="R785">
        <f t="shared" si="38"/>
        <v>0</v>
      </c>
    </row>
    <row r="786" spans="1:18" x14ac:dyDescent="0.2">
      <c r="A786" t="s">
        <v>5781</v>
      </c>
      <c r="B786" s="4" t="s">
        <v>5782</v>
      </c>
      <c r="J786"/>
      <c r="K786">
        <v>1</v>
      </c>
      <c r="M786" s="9"/>
      <c r="N786" t="s">
        <v>5549</v>
      </c>
      <c r="O786" s="73"/>
      <c r="P786" s="7">
        <f t="shared" si="37"/>
        <v>0</v>
      </c>
      <c r="Q786" s="7">
        <f t="shared" si="39"/>
        <v>0</v>
      </c>
      <c r="R786">
        <f t="shared" si="38"/>
        <v>0</v>
      </c>
    </row>
    <row r="787" spans="1:18" x14ac:dyDescent="0.2">
      <c r="A787" t="s">
        <v>5783</v>
      </c>
      <c r="B787" s="4" t="s">
        <v>5784</v>
      </c>
      <c r="J787"/>
      <c r="M787" s="9" t="s">
        <v>21</v>
      </c>
      <c r="N787" t="s">
        <v>1330</v>
      </c>
      <c r="O787" s="73"/>
      <c r="P787" s="7">
        <f t="shared" si="37"/>
        <v>0</v>
      </c>
      <c r="Q787" s="7">
        <f t="shared" si="39"/>
        <v>0</v>
      </c>
      <c r="R787">
        <f t="shared" si="38"/>
        <v>0</v>
      </c>
    </row>
    <row r="788" spans="1:18" x14ac:dyDescent="0.2">
      <c r="A788" t="s">
        <v>5785</v>
      </c>
      <c r="B788" s="4" t="s">
        <v>5786</v>
      </c>
      <c r="J788"/>
      <c r="K788">
        <v>1</v>
      </c>
      <c r="M788" s="9"/>
      <c r="N788" t="s">
        <v>5787</v>
      </c>
      <c r="O788" s="73"/>
      <c r="P788" s="7">
        <f t="shared" si="37"/>
        <v>0</v>
      </c>
      <c r="Q788" s="7">
        <f t="shared" si="39"/>
        <v>0</v>
      </c>
      <c r="R788">
        <f t="shared" si="38"/>
        <v>0</v>
      </c>
    </row>
    <row r="789" spans="1:18" x14ac:dyDescent="0.2">
      <c r="A789" t="s">
        <v>1489</v>
      </c>
      <c r="B789" s="4" t="s">
        <v>1490</v>
      </c>
      <c r="J789"/>
      <c r="K789">
        <v>1</v>
      </c>
      <c r="M789" s="9"/>
      <c r="N789" t="s">
        <v>5787</v>
      </c>
      <c r="O789" s="73"/>
      <c r="P789" s="7">
        <f t="shared" ref="P789:P852" si="40">(D789+E789+F789+G789+H789+I789+J789)/7</f>
        <v>0</v>
      </c>
      <c r="Q789" s="7">
        <f t="shared" si="39"/>
        <v>0</v>
      </c>
      <c r="R789">
        <f t="shared" si="38"/>
        <v>0</v>
      </c>
    </row>
    <row r="790" spans="1:18" x14ac:dyDescent="0.2">
      <c r="A790" t="s">
        <v>5788</v>
      </c>
      <c r="B790" s="4" t="s">
        <v>5789</v>
      </c>
      <c r="J790"/>
      <c r="M790" s="9" t="s">
        <v>32</v>
      </c>
      <c r="N790" t="s">
        <v>5539</v>
      </c>
      <c r="O790" s="73"/>
      <c r="P790" s="7">
        <f t="shared" si="40"/>
        <v>0</v>
      </c>
      <c r="Q790" s="7">
        <f t="shared" si="39"/>
        <v>0</v>
      </c>
      <c r="R790">
        <f t="shared" si="38"/>
        <v>0</v>
      </c>
    </row>
    <row r="791" spans="1:18" x14ac:dyDescent="0.2">
      <c r="A791" t="s">
        <v>5790</v>
      </c>
      <c r="B791" s="4" t="s">
        <v>5791</v>
      </c>
      <c r="J791"/>
      <c r="M791" s="9" t="s">
        <v>21</v>
      </c>
      <c r="N791" t="s">
        <v>5531</v>
      </c>
      <c r="O791" s="73">
        <v>1</v>
      </c>
      <c r="P791" s="7">
        <f t="shared" si="40"/>
        <v>0</v>
      </c>
      <c r="Q791" s="7">
        <f t="shared" si="39"/>
        <v>0.5</v>
      </c>
      <c r="R791">
        <f t="shared" si="38"/>
        <v>0</v>
      </c>
    </row>
    <row r="792" spans="1:18" x14ac:dyDescent="0.2">
      <c r="A792" t="s">
        <v>5792</v>
      </c>
      <c r="B792" s="4" t="s">
        <v>5793</v>
      </c>
      <c r="J792"/>
      <c r="M792" s="9"/>
      <c r="N792" t="s">
        <v>275</v>
      </c>
      <c r="O792" s="73">
        <v>1</v>
      </c>
      <c r="P792" s="7">
        <f t="shared" si="40"/>
        <v>0</v>
      </c>
      <c r="Q792" s="7">
        <f t="shared" si="39"/>
        <v>0.5</v>
      </c>
      <c r="R792">
        <f t="shared" si="38"/>
        <v>0</v>
      </c>
    </row>
    <row r="793" spans="1:18" x14ac:dyDescent="0.2">
      <c r="A793" t="s">
        <v>1905</v>
      </c>
      <c r="B793" s="4" t="s">
        <v>1906</v>
      </c>
      <c r="J793"/>
      <c r="M793" s="9"/>
      <c r="N793" t="s">
        <v>1320</v>
      </c>
      <c r="O793" s="73"/>
      <c r="P793" s="7">
        <f t="shared" si="40"/>
        <v>0</v>
      </c>
      <c r="Q793" s="7">
        <f t="shared" si="39"/>
        <v>0</v>
      </c>
      <c r="R793">
        <f t="shared" si="38"/>
        <v>0</v>
      </c>
    </row>
    <row r="794" spans="1:18" x14ac:dyDescent="0.2">
      <c r="A794" t="s">
        <v>5794</v>
      </c>
      <c r="B794" s="4" t="s">
        <v>5795</v>
      </c>
      <c r="J794"/>
      <c r="M794" s="9"/>
      <c r="N794" t="s">
        <v>5549</v>
      </c>
      <c r="O794" s="73"/>
      <c r="P794" s="7">
        <f t="shared" si="40"/>
        <v>0</v>
      </c>
      <c r="Q794" s="7">
        <f t="shared" si="39"/>
        <v>0</v>
      </c>
      <c r="R794">
        <f t="shared" si="38"/>
        <v>0</v>
      </c>
    </row>
    <row r="795" spans="1:18" x14ac:dyDescent="0.2">
      <c r="A795" t="s">
        <v>81</v>
      </c>
      <c r="B795" s="4" t="s">
        <v>82</v>
      </c>
      <c r="J795"/>
      <c r="M795" s="9"/>
      <c r="N795" t="s">
        <v>83</v>
      </c>
      <c r="O795" s="73"/>
      <c r="P795" s="7">
        <f t="shared" si="40"/>
        <v>0</v>
      </c>
      <c r="Q795" s="7">
        <f t="shared" si="39"/>
        <v>0</v>
      </c>
      <c r="R795">
        <f t="shared" si="38"/>
        <v>0</v>
      </c>
    </row>
    <row r="796" spans="1:18" x14ac:dyDescent="0.2">
      <c r="A796" t="s">
        <v>5796</v>
      </c>
      <c r="B796" s="4" t="s">
        <v>5797</v>
      </c>
      <c r="J796"/>
      <c r="M796" s="9"/>
      <c r="N796" t="s">
        <v>83</v>
      </c>
      <c r="O796" s="73"/>
      <c r="P796" s="7">
        <f t="shared" si="40"/>
        <v>0</v>
      </c>
      <c r="Q796" s="7">
        <f t="shared" si="39"/>
        <v>0</v>
      </c>
      <c r="R796">
        <f t="shared" si="38"/>
        <v>0</v>
      </c>
    </row>
    <row r="797" spans="1:18" x14ac:dyDescent="0.2">
      <c r="A797" t="s">
        <v>5798</v>
      </c>
      <c r="B797" s="4" t="s">
        <v>5799</v>
      </c>
      <c r="J797"/>
      <c r="K797">
        <v>1</v>
      </c>
      <c r="M797" s="9"/>
      <c r="N797" t="s">
        <v>5800</v>
      </c>
      <c r="O797" s="73"/>
      <c r="P797" s="7">
        <f t="shared" si="40"/>
        <v>0</v>
      </c>
      <c r="Q797" s="7">
        <f t="shared" si="39"/>
        <v>0</v>
      </c>
      <c r="R797">
        <f t="shared" si="38"/>
        <v>0</v>
      </c>
    </row>
    <row r="798" spans="1:18" x14ac:dyDescent="0.2">
      <c r="A798" t="s">
        <v>5801</v>
      </c>
      <c r="B798" s="4" t="s">
        <v>5802</v>
      </c>
      <c r="J798"/>
      <c r="M798" s="9"/>
      <c r="N798" t="s">
        <v>5537</v>
      </c>
      <c r="O798" s="73"/>
      <c r="P798" s="7">
        <f t="shared" si="40"/>
        <v>0</v>
      </c>
      <c r="Q798" s="7">
        <f t="shared" si="39"/>
        <v>0</v>
      </c>
      <c r="R798">
        <f t="shared" si="38"/>
        <v>0</v>
      </c>
    </row>
    <row r="799" spans="1:18" x14ac:dyDescent="0.2">
      <c r="A799" t="s">
        <v>5803</v>
      </c>
      <c r="B799" s="4" t="s">
        <v>5804</v>
      </c>
      <c r="J799"/>
      <c r="M799" s="9"/>
      <c r="N799" t="s">
        <v>1323</v>
      </c>
      <c r="O799" s="73"/>
      <c r="P799" s="7">
        <f t="shared" si="40"/>
        <v>0</v>
      </c>
      <c r="Q799" s="7">
        <f t="shared" si="39"/>
        <v>0</v>
      </c>
      <c r="R799">
        <f t="shared" si="38"/>
        <v>0</v>
      </c>
    </row>
    <row r="800" spans="1:18" x14ac:dyDescent="0.2">
      <c r="A800" t="s">
        <v>5805</v>
      </c>
      <c r="B800" s="4" t="s">
        <v>5806</v>
      </c>
      <c r="J800"/>
      <c r="M800" s="9" t="s">
        <v>21</v>
      </c>
      <c r="N800" t="s">
        <v>5575</v>
      </c>
      <c r="O800" s="73">
        <v>1</v>
      </c>
      <c r="P800" s="7">
        <f t="shared" si="40"/>
        <v>0</v>
      </c>
      <c r="Q800" s="7">
        <f t="shared" si="39"/>
        <v>0.5</v>
      </c>
      <c r="R800">
        <f t="shared" si="38"/>
        <v>0</v>
      </c>
    </row>
    <row r="801" spans="1:18" x14ac:dyDescent="0.2">
      <c r="A801" t="s">
        <v>5807</v>
      </c>
      <c r="B801" s="4" t="s">
        <v>5808</v>
      </c>
      <c r="J801"/>
      <c r="K801">
        <v>1</v>
      </c>
      <c r="M801" s="9" t="s">
        <v>21</v>
      </c>
      <c r="N801" t="s">
        <v>5531</v>
      </c>
      <c r="O801" s="73">
        <v>1</v>
      </c>
      <c r="P801" s="7">
        <f t="shared" si="40"/>
        <v>0</v>
      </c>
      <c r="Q801" s="7">
        <f t="shared" si="39"/>
        <v>0.5</v>
      </c>
      <c r="R801">
        <f t="shared" si="38"/>
        <v>0</v>
      </c>
    </row>
    <row r="802" spans="1:18" x14ac:dyDescent="0.2">
      <c r="A802" t="s">
        <v>5809</v>
      </c>
      <c r="B802" s="4" t="s">
        <v>5810</v>
      </c>
      <c r="J802"/>
      <c r="M802" s="9"/>
      <c r="N802" t="s">
        <v>83</v>
      </c>
      <c r="O802" s="73"/>
      <c r="P802" s="7">
        <f t="shared" si="40"/>
        <v>0</v>
      </c>
      <c r="Q802" s="7">
        <f t="shared" si="39"/>
        <v>0</v>
      </c>
      <c r="R802">
        <f t="shared" si="38"/>
        <v>0</v>
      </c>
    </row>
    <row r="803" spans="1:18" x14ac:dyDescent="0.2">
      <c r="A803" t="s">
        <v>5811</v>
      </c>
      <c r="B803" s="4" t="s">
        <v>5812</v>
      </c>
      <c r="J803"/>
      <c r="M803" s="9"/>
      <c r="N803" t="s">
        <v>5549</v>
      </c>
      <c r="O803" s="73"/>
      <c r="P803" s="7">
        <f t="shared" si="40"/>
        <v>0</v>
      </c>
      <c r="Q803" s="7">
        <f t="shared" si="39"/>
        <v>0</v>
      </c>
      <c r="R803">
        <f t="shared" si="38"/>
        <v>0</v>
      </c>
    </row>
    <row r="804" spans="1:18" x14ac:dyDescent="0.2">
      <c r="A804" t="s">
        <v>5813</v>
      </c>
      <c r="B804" s="4" t="s">
        <v>5814</v>
      </c>
      <c r="J804"/>
      <c r="K804">
        <v>1</v>
      </c>
      <c r="M804" s="9" t="s">
        <v>21</v>
      </c>
      <c r="N804" t="s">
        <v>5575</v>
      </c>
      <c r="O804" s="73">
        <v>1</v>
      </c>
      <c r="P804" s="7">
        <f t="shared" si="40"/>
        <v>0</v>
      </c>
      <c r="Q804" s="7">
        <f t="shared" si="39"/>
        <v>0.5</v>
      </c>
      <c r="R804">
        <f t="shared" si="38"/>
        <v>0</v>
      </c>
    </row>
    <row r="805" spans="1:18" x14ac:dyDescent="0.2">
      <c r="A805" t="s">
        <v>1377</v>
      </c>
      <c r="B805" s="4" t="s">
        <v>1378</v>
      </c>
      <c r="J805"/>
      <c r="M805" s="9" t="s">
        <v>21</v>
      </c>
      <c r="N805" t="s">
        <v>5531</v>
      </c>
      <c r="O805" s="73">
        <v>1</v>
      </c>
      <c r="P805" s="7">
        <f t="shared" si="40"/>
        <v>0</v>
      </c>
      <c r="Q805" s="7">
        <f t="shared" si="39"/>
        <v>0.5</v>
      </c>
      <c r="R805">
        <f t="shared" si="38"/>
        <v>0</v>
      </c>
    </row>
    <row r="806" spans="1:18" x14ac:dyDescent="0.2">
      <c r="A806" t="s">
        <v>1379</v>
      </c>
      <c r="B806" s="4" t="s">
        <v>1380</v>
      </c>
      <c r="J806"/>
      <c r="M806" s="9"/>
      <c r="N806" t="s">
        <v>83</v>
      </c>
      <c r="O806" s="73"/>
      <c r="P806" s="7">
        <f t="shared" si="40"/>
        <v>0</v>
      </c>
      <c r="Q806" s="7">
        <f t="shared" si="39"/>
        <v>0</v>
      </c>
      <c r="R806">
        <f t="shared" si="38"/>
        <v>0</v>
      </c>
    </row>
    <row r="807" spans="1:18" x14ac:dyDescent="0.2">
      <c r="A807" t="s">
        <v>5815</v>
      </c>
      <c r="B807" s="4" t="s">
        <v>5816</v>
      </c>
      <c r="J807"/>
      <c r="M807" s="9"/>
      <c r="N807" t="s">
        <v>83</v>
      </c>
      <c r="O807" s="73"/>
      <c r="P807" s="7">
        <f t="shared" si="40"/>
        <v>0</v>
      </c>
      <c r="Q807" s="7">
        <f t="shared" si="39"/>
        <v>0</v>
      </c>
      <c r="R807">
        <f t="shared" si="38"/>
        <v>0</v>
      </c>
    </row>
    <row r="808" spans="1:18" x14ac:dyDescent="0.2">
      <c r="A808" t="s">
        <v>5817</v>
      </c>
      <c r="B808" s="4" t="s">
        <v>5818</v>
      </c>
      <c r="J808"/>
      <c r="M808" s="9"/>
      <c r="N808" t="s">
        <v>1323</v>
      </c>
      <c r="O808" s="73"/>
      <c r="P808" s="7">
        <f t="shared" si="40"/>
        <v>0</v>
      </c>
      <c r="Q808" s="7">
        <f t="shared" si="39"/>
        <v>0</v>
      </c>
      <c r="R808">
        <f t="shared" si="38"/>
        <v>0</v>
      </c>
    </row>
    <row r="809" spans="1:18" x14ac:dyDescent="0.2">
      <c r="A809" t="s">
        <v>5819</v>
      </c>
      <c r="B809" s="4" t="s">
        <v>5820</v>
      </c>
      <c r="J809"/>
      <c r="M809" s="9"/>
      <c r="N809" t="s">
        <v>852</v>
      </c>
      <c r="O809" s="73"/>
      <c r="P809" s="7">
        <f t="shared" si="40"/>
        <v>0</v>
      </c>
      <c r="Q809" s="7">
        <f t="shared" si="39"/>
        <v>0</v>
      </c>
      <c r="R809">
        <f t="shared" si="38"/>
        <v>0</v>
      </c>
    </row>
    <row r="810" spans="1:18" x14ac:dyDescent="0.2">
      <c r="A810" t="s">
        <v>5821</v>
      </c>
      <c r="B810" s="4" t="s">
        <v>1422</v>
      </c>
      <c r="J810"/>
      <c r="K810">
        <v>1</v>
      </c>
      <c r="M810" s="9"/>
      <c r="N810" t="s">
        <v>275</v>
      </c>
      <c r="O810" s="73">
        <v>1</v>
      </c>
      <c r="P810" s="7">
        <f t="shared" si="40"/>
        <v>0</v>
      </c>
      <c r="Q810" s="7">
        <f t="shared" si="39"/>
        <v>0.5</v>
      </c>
      <c r="R810">
        <f t="shared" si="38"/>
        <v>0</v>
      </c>
    </row>
    <row r="811" spans="1:18" x14ac:dyDescent="0.2">
      <c r="A811" t="s">
        <v>5822</v>
      </c>
      <c r="B811" s="4" t="s">
        <v>5823</v>
      </c>
      <c r="J811"/>
      <c r="M811" s="9"/>
      <c r="N811" t="s">
        <v>5824</v>
      </c>
      <c r="O811" s="73"/>
      <c r="P811" s="7">
        <f t="shared" si="40"/>
        <v>0</v>
      </c>
      <c r="Q811" s="7">
        <f t="shared" si="39"/>
        <v>0</v>
      </c>
      <c r="R811">
        <f t="shared" si="38"/>
        <v>0</v>
      </c>
    </row>
    <row r="812" spans="1:18" x14ac:dyDescent="0.2">
      <c r="A812" t="s">
        <v>5825</v>
      </c>
      <c r="B812" s="4" t="s">
        <v>5826</v>
      </c>
      <c r="J812"/>
      <c r="K812">
        <v>1</v>
      </c>
      <c r="M812" s="9" t="s">
        <v>21</v>
      </c>
      <c r="N812" t="s">
        <v>5827</v>
      </c>
      <c r="O812" s="73"/>
      <c r="P812" s="7">
        <f t="shared" si="40"/>
        <v>0</v>
      </c>
      <c r="Q812" s="7">
        <f t="shared" si="39"/>
        <v>0</v>
      </c>
      <c r="R812">
        <f t="shared" si="38"/>
        <v>0</v>
      </c>
    </row>
    <row r="813" spans="1:18" x14ac:dyDescent="0.2">
      <c r="A813" t="s">
        <v>5828</v>
      </c>
      <c r="B813" s="4" t="s">
        <v>5829</v>
      </c>
      <c r="J813"/>
      <c r="K813">
        <v>1</v>
      </c>
      <c r="M813" s="9" t="s">
        <v>21</v>
      </c>
      <c r="N813" t="s">
        <v>5827</v>
      </c>
      <c r="O813" s="73"/>
      <c r="P813" s="7">
        <f t="shared" si="40"/>
        <v>0</v>
      </c>
      <c r="Q813" s="7">
        <f t="shared" si="39"/>
        <v>0</v>
      </c>
      <c r="R813">
        <f t="shared" si="38"/>
        <v>0</v>
      </c>
    </row>
    <row r="814" spans="1:18" x14ac:dyDescent="0.2">
      <c r="A814" t="s">
        <v>5830</v>
      </c>
      <c r="B814" s="4" t="s">
        <v>5831</v>
      </c>
      <c r="J814"/>
      <c r="K814">
        <v>1</v>
      </c>
      <c r="M814" s="9"/>
      <c r="N814" t="s">
        <v>5832</v>
      </c>
      <c r="O814" s="73"/>
      <c r="P814" s="7">
        <f t="shared" si="40"/>
        <v>0</v>
      </c>
      <c r="Q814" s="7">
        <f t="shared" si="39"/>
        <v>0</v>
      </c>
      <c r="R814">
        <f t="shared" si="38"/>
        <v>0</v>
      </c>
    </row>
    <row r="815" spans="1:18" x14ac:dyDescent="0.2">
      <c r="A815" t="s">
        <v>5833</v>
      </c>
      <c r="B815" s="4" t="s">
        <v>5834</v>
      </c>
      <c r="J815"/>
      <c r="K815">
        <v>1</v>
      </c>
      <c r="M815" s="9"/>
      <c r="N815" t="s">
        <v>5835</v>
      </c>
      <c r="O815" s="73"/>
      <c r="P815" s="7">
        <f t="shared" si="40"/>
        <v>0</v>
      </c>
      <c r="Q815" s="7">
        <f t="shared" si="39"/>
        <v>0</v>
      </c>
      <c r="R815">
        <f t="shared" si="38"/>
        <v>0</v>
      </c>
    </row>
    <row r="816" spans="1:18" x14ac:dyDescent="0.2">
      <c r="A816" t="s">
        <v>1507</v>
      </c>
      <c r="B816" s="4" t="s">
        <v>1508</v>
      </c>
      <c r="J816"/>
      <c r="M816" s="9"/>
      <c r="N816" t="s">
        <v>852</v>
      </c>
      <c r="O816" s="73"/>
      <c r="P816" s="7">
        <f t="shared" si="40"/>
        <v>0</v>
      </c>
      <c r="Q816" s="7">
        <f t="shared" si="39"/>
        <v>0</v>
      </c>
      <c r="R816">
        <f t="shared" si="38"/>
        <v>0</v>
      </c>
    </row>
    <row r="817" spans="1:18" x14ac:dyDescent="0.2">
      <c r="A817" t="s">
        <v>1389</v>
      </c>
      <c r="B817" s="4" t="s">
        <v>1390</v>
      </c>
      <c r="J817"/>
      <c r="M817" s="9" t="s">
        <v>21</v>
      </c>
      <c r="N817" t="s">
        <v>5564</v>
      </c>
      <c r="O817" s="73"/>
      <c r="P817" s="7">
        <f t="shared" si="40"/>
        <v>0</v>
      </c>
      <c r="Q817" s="7">
        <f t="shared" si="39"/>
        <v>0</v>
      </c>
      <c r="R817">
        <f t="shared" si="38"/>
        <v>0</v>
      </c>
    </row>
    <row r="818" spans="1:18" x14ac:dyDescent="0.2">
      <c r="A818" t="s">
        <v>5836</v>
      </c>
      <c r="B818" s="4" t="s">
        <v>5837</v>
      </c>
      <c r="J818"/>
      <c r="M818" s="9"/>
      <c r="N818" t="s">
        <v>83</v>
      </c>
      <c r="O818" s="73"/>
      <c r="P818" s="7">
        <f t="shared" si="40"/>
        <v>0</v>
      </c>
      <c r="Q818" s="7">
        <f t="shared" si="39"/>
        <v>0</v>
      </c>
      <c r="R818">
        <f t="shared" si="38"/>
        <v>0</v>
      </c>
    </row>
    <row r="819" spans="1:18" x14ac:dyDescent="0.2">
      <c r="A819" t="s">
        <v>5838</v>
      </c>
      <c r="B819" s="4" t="s">
        <v>5839</v>
      </c>
      <c r="J819"/>
      <c r="M819" s="9"/>
      <c r="N819" t="s">
        <v>852</v>
      </c>
      <c r="O819" s="73"/>
      <c r="P819" s="7">
        <f t="shared" si="40"/>
        <v>0</v>
      </c>
      <c r="Q819" s="7">
        <f t="shared" si="39"/>
        <v>0</v>
      </c>
      <c r="R819">
        <f t="shared" si="38"/>
        <v>0</v>
      </c>
    </row>
    <row r="820" spans="1:18" x14ac:dyDescent="0.2">
      <c r="A820" t="s">
        <v>5840</v>
      </c>
      <c r="B820" s="4" t="s">
        <v>5841</v>
      </c>
      <c r="J820"/>
      <c r="M820" s="9"/>
      <c r="N820" t="s">
        <v>45</v>
      </c>
      <c r="O820" s="73"/>
      <c r="P820" s="7">
        <f t="shared" si="40"/>
        <v>0</v>
      </c>
      <c r="Q820" s="7">
        <f t="shared" si="39"/>
        <v>0</v>
      </c>
      <c r="R820">
        <f t="shared" si="38"/>
        <v>0</v>
      </c>
    </row>
    <row r="821" spans="1:18" x14ac:dyDescent="0.2">
      <c r="A821" t="s">
        <v>5842</v>
      </c>
      <c r="B821" s="4" t="s">
        <v>5843</v>
      </c>
      <c r="J821"/>
      <c r="M821" s="9"/>
      <c r="N821" t="s">
        <v>5844</v>
      </c>
      <c r="O821" s="73"/>
      <c r="P821" s="7">
        <f t="shared" si="40"/>
        <v>0</v>
      </c>
      <c r="Q821" s="7">
        <f t="shared" si="39"/>
        <v>0</v>
      </c>
      <c r="R821">
        <f t="shared" si="38"/>
        <v>0</v>
      </c>
    </row>
    <row r="822" spans="1:18" x14ac:dyDescent="0.2">
      <c r="A822" t="s">
        <v>5845</v>
      </c>
      <c r="B822" s="4" t="s">
        <v>5846</v>
      </c>
      <c r="J822"/>
      <c r="K822">
        <v>1</v>
      </c>
      <c r="M822" s="9"/>
      <c r="N822" t="s">
        <v>5832</v>
      </c>
      <c r="O822" s="73"/>
      <c r="P822" s="7">
        <f t="shared" si="40"/>
        <v>0</v>
      </c>
      <c r="Q822" s="7">
        <f t="shared" si="39"/>
        <v>0</v>
      </c>
      <c r="R822">
        <f t="shared" si="38"/>
        <v>0</v>
      </c>
    </row>
    <row r="823" spans="1:18" x14ac:dyDescent="0.2">
      <c r="A823" t="s">
        <v>1397</v>
      </c>
      <c r="B823" s="4" t="s">
        <v>1398</v>
      </c>
      <c r="J823"/>
      <c r="K823">
        <v>1</v>
      </c>
      <c r="M823" s="9"/>
      <c r="N823" t="s">
        <v>5847</v>
      </c>
      <c r="O823" s="73"/>
      <c r="P823" s="7">
        <f t="shared" si="40"/>
        <v>0</v>
      </c>
      <c r="Q823" s="7">
        <f t="shared" si="39"/>
        <v>0</v>
      </c>
      <c r="R823">
        <f t="shared" si="38"/>
        <v>0</v>
      </c>
    </row>
    <row r="824" spans="1:18" x14ac:dyDescent="0.2">
      <c r="A824" t="s">
        <v>5848</v>
      </c>
      <c r="B824" s="4" t="s">
        <v>5849</v>
      </c>
      <c r="J824"/>
      <c r="M824" s="9"/>
      <c r="N824" t="s">
        <v>1313</v>
      </c>
      <c r="O824" s="73"/>
      <c r="P824" s="7">
        <f t="shared" si="40"/>
        <v>0</v>
      </c>
      <c r="Q824" s="7">
        <f t="shared" si="39"/>
        <v>0</v>
      </c>
      <c r="R824">
        <f t="shared" si="38"/>
        <v>0</v>
      </c>
    </row>
    <row r="825" spans="1:18" x14ac:dyDescent="0.2">
      <c r="A825" t="s">
        <v>5850</v>
      </c>
      <c r="B825" s="4" t="s">
        <v>5851</v>
      </c>
      <c r="J825"/>
      <c r="M825" s="9" t="s">
        <v>21</v>
      </c>
      <c r="N825" t="s">
        <v>5560</v>
      </c>
      <c r="O825" s="73"/>
      <c r="P825" s="7">
        <f t="shared" si="40"/>
        <v>0</v>
      </c>
      <c r="Q825" s="7">
        <f t="shared" si="39"/>
        <v>0</v>
      </c>
      <c r="R825">
        <f t="shared" si="38"/>
        <v>0</v>
      </c>
    </row>
    <row r="826" spans="1:18" x14ac:dyDescent="0.2">
      <c r="A826" t="s">
        <v>5852</v>
      </c>
      <c r="B826" s="4" t="s">
        <v>5853</v>
      </c>
      <c r="J826"/>
      <c r="M826" s="9"/>
      <c r="N826" t="s">
        <v>5854</v>
      </c>
      <c r="O826" s="73"/>
      <c r="P826" s="7">
        <f t="shared" si="40"/>
        <v>0</v>
      </c>
      <c r="Q826" s="7">
        <f t="shared" si="39"/>
        <v>0</v>
      </c>
      <c r="R826">
        <f t="shared" si="38"/>
        <v>0</v>
      </c>
    </row>
    <row r="827" spans="1:18" x14ac:dyDescent="0.2">
      <c r="A827" t="s">
        <v>5855</v>
      </c>
      <c r="B827" s="4" t="s">
        <v>5856</v>
      </c>
      <c r="J827"/>
      <c r="M827" s="9" t="s">
        <v>21</v>
      </c>
      <c r="N827" t="s">
        <v>5575</v>
      </c>
      <c r="O827" s="73">
        <v>1</v>
      </c>
      <c r="P827" s="7">
        <f t="shared" si="40"/>
        <v>0</v>
      </c>
      <c r="Q827" s="7">
        <f t="shared" si="39"/>
        <v>0.5</v>
      </c>
      <c r="R827">
        <f t="shared" si="38"/>
        <v>0</v>
      </c>
    </row>
    <row r="828" spans="1:18" x14ac:dyDescent="0.2">
      <c r="A828" t="s">
        <v>5857</v>
      </c>
      <c r="B828" s="4" t="s">
        <v>5858</v>
      </c>
      <c r="J828"/>
      <c r="M828" s="9" t="s">
        <v>21</v>
      </c>
      <c r="N828" t="s">
        <v>5827</v>
      </c>
      <c r="O828" s="73"/>
      <c r="P828" s="7">
        <f t="shared" si="40"/>
        <v>0</v>
      </c>
      <c r="Q828" s="7">
        <f t="shared" si="39"/>
        <v>0</v>
      </c>
      <c r="R828">
        <f t="shared" si="38"/>
        <v>0</v>
      </c>
    </row>
    <row r="829" spans="1:18" x14ac:dyDescent="0.2">
      <c r="A829" t="s">
        <v>5859</v>
      </c>
      <c r="B829" s="4" t="s">
        <v>5860</v>
      </c>
      <c r="J829"/>
      <c r="K829">
        <v>1</v>
      </c>
      <c r="M829" s="9"/>
      <c r="N829" t="s">
        <v>852</v>
      </c>
      <c r="O829" s="73"/>
      <c r="P829" s="7">
        <f t="shared" si="40"/>
        <v>0</v>
      </c>
      <c r="Q829" s="7">
        <f t="shared" si="39"/>
        <v>0</v>
      </c>
      <c r="R829">
        <f t="shared" si="38"/>
        <v>0</v>
      </c>
    </row>
    <row r="830" spans="1:18" x14ac:dyDescent="0.2">
      <c r="A830" t="s">
        <v>5861</v>
      </c>
      <c r="B830" s="4" t="s">
        <v>5862</v>
      </c>
      <c r="J830"/>
      <c r="M830" s="9" t="s">
        <v>32</v>
      </c>
      <c r="N830" t="s">
        <v>5539</v>
      </c>
      <c r="O830" s="73"/>
      <c r="P830" s="7">
        <f t="shared" si="40"/>
        <v>0</v>
      </c>
      <c r="Q830" s="7">
        <f t="shared" si="39"/>
        <v>0</v>
      </c>
      <c r="R830">
        <f t="shared" si="38"/>
        <v>0</v>
      </c>
    </row>
    <row r="831" spans="1:18" x14ac:dyDescent="0.2">
      <c r="A831" t="s">
        <v>5863</v>
      </c>
      <c r="B831" s="4" t="s">
        <v>5864</v>
      </c>
      <c r="J831"/>
      <c r="K831">
        <v>1</v>
      </c>
      <c r="M831" s="9"/>
      <c r="N831" t="s">
        <v>5865</v>
      </c>
      <c r="O831" s="73"/>
      <c r="P831" s="7">
        <f t="shared" si="40"/>
        <v>0</v>
      </c>
      <c r="Q831" s="7">
        <f t="shared" si="39"/>
        <v>0</v>
      </c>
      <c r="R831">
        <f t="shared" si="38"/>
        <v>0</v>
      </c>
    </row>
    <row r="832" spans="1:18" x14ac:dyDescent="0.2">
      <c r="A832" t="s">
        <v>5866</v>
      </c>
      <c r="B832" s="4" t="s">
        <v>5867</v>
      </c>
      <c r="J832"/>
      <c r="K832">
        <v>1</v>
      </c>
      <c r="M832" s="9" t="s">
        <v>32</v>
      </c>
      <c r="N832" t="s">
        <v>5539</v>
      </c>
      <c r="O832" s="73"/>
      <c r="P832" s="7">
        <f t="shared" si="40"/>
        <v>0</v>
      </c>
      <c r="Q832" s="7">
        <f t="shared" si="39"/>
        <v>0</v>
      </c>
      <c r="R832">
        <f t="shared" si="38"/>
        <v>0</v>
      </c>
    </row>
    <row r="833" spans="1:18" x14ac:dyDescent="0.2">
      <c r="A833" t="s">
        <v>5868</v>
      </c>
      <c r="B833" s="4" t="s">
        <v>5869</v>
      </c>
      <c r="J833"/>
      <c r="M833" s="9" t="s">
        <v>21</v>
      </c>
      <c r="N833" t="s">
        <v>86</v>
      </c>
      <c r="O833" s="73"/>
      <c r="P833" s="7">
        <f t="shared" si="40"/>
        <v>0</v>
      </c>
      <c r="Q833" s="7">
        <f t="shared" si="39"/>
        <v>0</v>
      </c>
      <c r="R833">
        <f t="shared" si="38"/>
        <v>0</v>
      </c>
    </row>
    <row r="834" spans="1:18" x14ac:dyDescent="0.2">
      <c r="A834" t="s">
        <v>5870</v>
      </c>
      <c r="B834" s="4" t="s">
        <v>5871</v>
      </c>
      <c r="J834"/>
      <c r="K834">
        <v>1</v>
      </c>
      <c r="M834" s="9"/>
      <c r="N834" t="s">
        <v>5641</v>
      </c>
      <c r="O834" s="73"/>
      <c r="P834" s="7">
        <f t="shared" si="40"/>
        <v>0</v>
      </c>
      <c r="Q834" s="7">
        <f t="shared" si="39"/>
        <v>0</v>
      </c>
      <c r="R834">
        <f t="shared" ref="R834:R897" si="41">IF(_xlfn.BITAND(P834&gt;0.4999, Q834&gt;0.4999)=1,1,0)</f>
        <v>0</v>
      </c>
    </row>
    <row r="835" spans="1:18" x14ac:dyDescent="0.2">
      <c r="A835" t="s">
        <v>5872</v>
      </c>
      <c r="B835" s="4" t="s">
        <v>5873</v>
      </c>
      <c r="J835"/>
      <c r="M835" s="9"/>
      <c r="N835" t="s">
        <v>5874</v>
      </c>
      <c r="O835" s="73"/>
      <c r="P835" s="7">
        <f t="shared" si="40"/>
        <v>0</v>
      </c>
      <c r="Q835" s="7">
        <f t="shared" si="39"/>
        <v>0</v>
      </c>
      <c r="R835">
        <f t="shared" si="41"/>
        <v>0</v>
      </c>
    </row>
    <row r="836" spans="1:18" x14ac:dyDescent="0.2">
      <c r="A836" t="s">
        <v>1415</v>
      </c>
      <c r="B836" s="4" t="s">
        <v>1416</v>
      </c>
      <c r="J836"/>
      <c r="M836" s="9" t="s">
        <v>21</v>
      </c>
      <c r="N836" t="s">
        <v>1330</v>
      </c>
      <c r="O836" s="73"/>
      <c r="P836" s="7">
        <f t="shared" si="40"/>
        <v>0</v>
      </c>
      <c r="Q836" s="7">
        <f t="shared" si="39"/>
        <v>0</v>
      </c>
      <c r="R836">
        <f t="shared" si="41"/>
        <v>0</v>
      </c>
    </row>
    <row r="837" spans="1:18" x14ac:dyDescent="0.2">
      <c r="A837" t="s">
        <v>5875</v>
      </c>
      <c r="B837" s="4" t="s">
        <v>5876</v>
      </c>
      <c r="J837"/>
      <c r="M837" s="9" t="s">
        <v>21</v>
      </c>
      <c r="N837" t="s">
        <v>5505</v>
      </c>
      <c r="O837" s="73"/>
      <c r="P837" s="7">
        <f t="shared" si="40"/>
        <v>0</v>
      </c>
      <c r="Q837" s="7">
        <f t="shared" si="39"/>
        <v>0</v>
      </c>
      <c r="R837">
        <f t="shared" si="41"/>
        <v>0</v>
      </c>
    </row>
    <row r="838" spans="1:18" x14ac:dyDescent="0.2">
      <c r="A838" t="s">
        <v>5877</v>
      </c>
      <c r="B838" s="4" t="s">
        <v>5878</v>
      </c>
      <c r="J838"/>
      <c r="K838">
        <v>1</v>
      </c>
      <c r="M838" s="9"/>
      <c r="N838" t="s">
        <v>5635</v>
      </c>
      <c r="O838" s="73"/>
      <c r="P838" s="7">
        <f t="shared" si="40"/>
        <v>0</v>
      </c>
      <c r="Q838" s="7">
        <f t="shared" si="39"/>
        <v>0</v>
      </c>
      <c r="R838">
        <f t="shared" si="41"/>
        <v>0</v>
      </c>
    </row>
    <row r="839" spans="1:18" x14ac:dyDescent="0.2">
      <c r="A839" t="s">
        <v>5879</v>
      </c>
      <c r="B839" s="4" t="s">
        <v>5880</v>
      </c>
      <c r="J839"/>
      <c r="M839" s="9" t="s">
        <v>32</v>
      </c>
      <c r="N839" t="s">
        <v>5539</v>
      </c>
      <c r="O839" s="73"/>
      <c r="P839" s="7">
        <f t="shared" si="40"/>
        <v>0</v>
      </c>
      <c r="Q839" s="7">
        <f t="shared" si="39"/>
        <v>0</v>
      </c>
      <c r="R839">
        <f t="shared" si="41"/>
        <v>0</v>
      </c>
    </row>
    <row r="840" spans="1:18" x14ac:dyDescent="0.2">
      <c r="A840" t="s">
        <v>1361</v>
      </c>
      <c r="B840" s="4" t="s">
        <v>1362</v>
      </c>
      <c r="J840"/>
      <c r="K840">
        <v>1</v>
      </c>
      <c r="M840" s="9"/>
      <c r="N840" t="s">
        <v>1323</v>
      </c>
      <c r="O840" s="73"/>
      <c r="P840" s="7">
        <f t="shared" si="40"/>
        <v>0</v>
      </c>
      <c r="Q840" s="7">
        <f t="shared" si="39"/>
        <v>0</v>
      </c>
      <c r="R840">
        <f t="shared" si="41"/>
        <v>0</v>
      </c>
    </row>
    <row r="841" spans="1:18" x14ac:dyDescent="0.2">
      <c r="A841" t="s">
        <v>5881</v>
      </c>
      <c r="B841" s="4" t="s">
        <v>5882</v>
      </c>
      <c r="J841"/>
      <c r="M841" s="9" t="s">
        <v>21</v>
      </c>
      <c r="N841" t="s">
        <v>5564</v>
      </c>
      <c r="O841" s="73"/>
      <c r="P841" s="7">
        <f t="shared" si="40"/>
        <v>0</v>
      </c>
      <c r="Q841" s="7">
        <f t="shared" si="39"/>
        <v>0</v>
      </c>
      <c r="R841">
        <f t="shared" si="41"/>
        <v>0</v>
      </c>
    </row>
    <row r="842" spans="1:18" x14ac:dyDescent="0.2">
      <c r="A842" t="s">
        <v>5883</v>
      </c>
      <c r="B842" s="4" t="s">
        <v>5884</v>
      </c>
      <c r="J842"/>
      <c r="M842" s="9"/>
      <c r="N842" t="s">
        <v>5885</v>
      </c>
      <c r="O842" s="73"/>
      <c r="P842" s="7">
        <f t="shared" si="40"/>
        <v>0</v>
      </c>
      <c r="Q842" s="7">
        <f t="shared" si="39"/>
        <v>0</v>
      </c>
      <c r="R842">
        <f t="shared" si="41"/>
        <v>0</v>
      </c>
    </row>
    <row r="843" spans="1:18" x14ac:dyDescent="0.2">
      <c r="A843" t="s">
        <v>5886</v>
      </c>
      <c r="B843" s="4" t="s">
        <v>5887</v>
      </c>
      <c r="J843"/>
      <c r="M843" s="9" t="s">
        <v>21</v>
      </c>
      <c r="N843" t="s">
        <v>5888</v>
      </c>
      <c r="O843" s="73"/>
      <c r="P843" s="7">
        <f t="shared" si="40"/>
        <v>0</v>
      </c>
      <c r="Q843" s="7">
        <f t="shared" si="39"/>
        <v>0</v>
      </c>
      <c r="R843">
        <f t="shared" si="41"/>
        <v>0</v>
      </c>
    </row>
    <row r="844" spans="1:18" x14ac:dyDescent="0.2">
      <c r="A844" t="s">
        <v>5889</v>
      </c>
      <c r="B844" s="4" t="s">
        <v>5890</v>
      </c>
      <c r="J844"/>
      <c r="M844" s="9" t="s">
        <v>21</v>
      </c>
      <c r="N844" t="s">
        <v>51</v>
      </c>
      <c r="O844" s="73"/>
      <c r="P844" s="7">
        <f t="shared" si="40"/>
        <v>0</v>
      </c>
      <c r="Q844" s="7">
        <f t="shared" si="39"/>
        <v>0</v>
      </c>
      <c r="R844">
        <f t="shared" si="41"/>
        <v>0</v>
      </c>
    </row>
    <row r="845" spans="1:18" x14ac:dyDescent="0.2">
      <c r="A845" t="s">
        <v>5891</v>
      </c>
      <c r="B845" s="4" t="s">
        <v>5892</v>
      </c>
      <c r="J845"/>
      <c r="K845">
        <v>1</v>
      </c>
      <c r="M845" s="9"/>
      <c r="N845" t="s">
        <v>5635</v>
      </c>
      <c r="O845" s="73"/>
      <c r="P845" s="7">
        <f t="shared" si="40"/>
        <v>0</v>
      </c>
      <c r="Q845" s="7">
        <f t="shared" ref="Q845:Q908" si="42">(O845+P845)/2</f>
        <v>0</v>
      </c>
      <c r="R845">
        <f t="shared" si="41"/>
        <v>0</v>
      </c>
    </row>
    <row r="846" spans="1:18" x14ac:dyDescent="0.2">
      <c r="A846" t="s">
        <v>5893</v>
      </c>
      <c r="B846" s="4" t="s">
        <v>1438</v>
      </c>
      <c r="J846"/>
      <c r="M846" s="9"/>
      <c r="N846" t="s">
        <v>5660</v>
      </c>
      <c r="O846" s="73"/>
      <c r="P846" s="7">
        <f t="shared" si="40"/>
        <v>0</v>
      </c>
      <c r="Q846" s="7">
        <f t="shared" si="42"/>
        <v>0</v>
      </c>
      <c r="R846">
        <f t="shared" si="41"/>
        <v>0</v>
      </c>
    </row>
    <row r="847" spans="1:18" x14ac:dyDescent="0.2">
      <c r="A847" t="s">
        <v>1643</v>
      </c>
      <c r="B847" s="4" t="s">
        <v>1644</v>
      </c>
      <c r="J847"/>
      <c r="K847">
        <v>1</v>
      </c>
      <c r="M847" s="9" t="s">
        <v>32</v>
      </c>
      <c r="N847" t="s">
        <v>5539</v>
      </c>
      <c r="O847" s="73"/>
      <c r="P847" s="7">
        <f t="shared" si="40"/>
        <v>0</v>
      </c>
      <c r="Q847" s="7">
        <f t="shared" si="42"/>
        <v>0</v>
      </c>
      <c r="R847">
        <f t="shared" si="41"/>
        <v>0</v>
      </c>
    </row>
    <row r="848" spans="1:18" x14ac:dyDescent="0.2">
      <c r="A848" t="s">
        <v>5894</v>
      </c>
      <c r="B848" s="4" t="s">
        <v>5895</v>
      </c>
      <c r="J848"/>
      <c r="K848">
        <v>1</v>
      </c>
      <c r="M848" s="9"/>
      <c r="N848" t="s">
        <v>5896</v>
      </c>
      <c r="O848" s="73"/>
      <c r="P848" s="7">
        <f t="shared" si="40"/>
        <v>0</v>
      </c>
      <c r="Q848" s="7">
        <f t="shared" si="42"/>
        <v>0</v>
      </c>
      <c r="R848">
        <f t="shared" si="41"/>
        <v>0</v>
      </c>
    </row>
    <row r="849" spans="1:18" x14ac:dyDescent="0.2">
      <c r="A849" t="s">
        <v>5897</v>
      </c>
      <c r="B849" s="4" t="s">
        <v>5898</v>
      </c>
      <c r="J849"/>
      <c r="M849" s="9"/>
      <c r="N849" t="s">
        <v>83</v>
      </c>
      <c r="O849" s="73"/>
      <c r="P849" s="7">
        <f t="shared" si="40"/>
        <v>0</v>
      </c>
      <c r="Q849" s="7">
        <f t="shared" si="42"/>
        <v>0</v>
      </c>
      <c r="R849">
        <f t="shared" si="41"/>
        <v>0</v>
      </c>
    </row>
    <row r="850" spans="1:18" x14ac:dyDescent="0.2">
      <c r="A850" t="s">
        <v>5899</v>
      </c>
      <c r="B850" s="4" t="s">
        <v>5900</v>
      </c>
      <c r="J850"/>
      <c r="M850" s="9"/>
      <c r="N850" t="s">
        <v>1323</v>
      </c>
      <c r="O850" s="73"/>
      <c r="P850" s="7">
        <f t="shared" si="40"/>
        <v>0</v>
      </c>
      <c r="Q850" s="7">
        <f t="shared" si="42"/>
        <v>0</v>
      </c>
      <c r="R850">
        <f t="shared" si="41"/>
        <v>0</v>
      </c>
    </row>
    <row r="851" spans="1:18" x14ac:dyDescent="0.2">
      <c r="A851" t="s">
        <v>5901</v>
      </c>
      <c r="B851" s="4" t="s">
        <v>5902</v>
      </c>
      <c r="C851" t="s">
        <v>201</v>
      </c>
      <c r="J851"/>
      <c r="M851" s="9"/>
      <c r="N851" t="s">
        <v>852</v>
      </c>
      <c r="O851" s="73"/>
      <c r="P851" s="7">
        <f t="shared" si="40"/>
        <v>0</v>
      </c>
      <c r="Q851" s="7">
        <f t="shared" si="42"/>
        <v>0</v>
      </c>
      <c r="R851">
        <f t="shared" si="41"/>
        <v>0</v>
      </c>
    </row>
    <row r="852" spans="1:18" x14ac:dyDescent="0.2">
      <c r="A852" t="s">
        <v>5903</v>
      </c>
      <c r="B852" s="4" t="s">
        <v>5904</v>
      </c>
      <c r="J852"/>
      <c r="K852">
        <v>1</v>
      </c>
      <c r="M852" s="9"/>
      <c r="N852" t="s">
        <v>5844</v>
      </c>
      <c r="O852" s="73"/>
      <c r="P852" s="7">
        <f t="shared" si="40"/>
        <v>0</v>
      </c>
      <c r="Q852" s="7">
        <f t="shared" si="42"/>
        <v>0</v>
      </c>
      <c r="R852">
        <f t="shared" si="41"/>
        <v>0</v>
      </c>
    </row>
    <row r="853" spans="1:18" x14ac:dyDescent="0.2">
      <c r="A853" t="s">
        <v>5905</v>
      </c>
      <c r="B853" s="4" t="s">
        <v>5906</v>
      </c>
      <c r="J853"/>
      <c r="K853">
        <v>1</v>
      </c>
      <c r="M853" s="9"/>
      <c r="N853" t="s">
        <v>5907</v>
      </c>
      <c r="O853" s="73"/>
      <c r="P853" s="7">
        <f t="shared" ref="P853:P916" si="43">(D853+E853+F853+G853+H853+I853+J853)/7</f>
        <v>0</v>
      </c>
      <c r="Q853" s="7">
        <f t="shared" si="42"/>
        <v>0</v>
      </c>
      <c r="R853">
        <f t="shared" si="41"/>
        <v>0</v>
      </c>
    </row>
    <row r="854" spans="1:18" x14ac:dyDescent="0.2">
      <c r="A854" t="s">
        <v>5908</v>
      </c>
      <c r="B854" s="4" t="s">
        <v>5909</v>
      </c>
      <c r="J854"/>
      <c r="K854">
        <v>1</v>
      </c>
      <c r="M854" s="9" t="s">
        <v>21</v>
      </c>
      <c r="N854" t="s">
        <v>5505</v>
      </c>
      <c r="O854" s="73"/>
      <c r="P854" s="7">
        <f t="shared" si="43"/>
        <v>0</v>
      </c>
      <c r="Q854" s="7">
        <f t="shared" si="42"/>
        <v>0</v>
      </c>
      <c r="R854">
        <f t="shared" si="41"/>
        <v>0</v>
      </c>
    </row>
    <row r="855" spans="1:18" x14ac:dyDescent="0.2">
      <c r="A855" t="s">
        <v>5910</v>
      </c>
      <c r="B855" s="4" t="s">
        <v>5911</v>
      </c>
      <c r="J855"/>
      <c r="M855" s="9" t="s">
        <v>21</v>
      </c>
      <c r="N855" t="s">
        <v>5575</v>
      </c>
      <c r="O855" s="73">
        <v>1</v>
      </c>
      <c r="P855" s="7">
        <f t="shared" si="43"/>
        <v>0</v>
      </c>
      <c r="Q855" s="7">
        <f t="shared" si="42"/>
        <v>0.5</v>
      </c>
      <c r="R855">
        <f t="shared" si="41"/>
        <v>0</v>
      </c>
    </row>
    <row r="856" spans="1:18" ht="16" x14ac:dyDescent="0.2">
      <c r="A856" t="s">
        <v>5912</v>
      </c>
      <c r="B856" s="4" t="s">
        <v>5913</v>
      </c>
      <c r="J856"/>
      <c r="M856" s="9"/>
      <c r="N856" t="s">
        <v>5534</v>
      </c>
      <c r="O856" s="74">
        <v>0.5</v>
      </c>
      <c r="P856" s="7">
        <f t="shared" si="43"/>
        <v>0</v>
      </c>
      <c r="Q856" s="7">
        <f t="shared" si="42"/>
        <v>0.25</v>
      </c>
      <c r="R856">
        <f t="shared" si="41"/>
        <v>0</v>
      </c>
    </row>
    <row r="857" spans="1:18" x14ac:dyDescent="0.2">
      <c r="A857" t="s">
        <v>5914</v>
      </c>
      <c r="B857" s="4" t="s">
        <v>5915</v>
      </c>
      <c r="J857"/>
      <c r="K857">
        <v>1</v>
      </c>
      <c r="M857" s="9"/>
      <c r="N857" t="s">
        <v>5620</v>
      </c>
      <c r="O857" s="73"/>
      <c r="P857" s="7">
        <f t="shared" si="43"/>
        <v>0</v>
      </c>
      <c r="Q857" s="7">
        <f t="shared" si="42"/>
        <v>0</v>
      </c>
      <c r="R857">
        <f t="shared" si="41"/>
        <v>0</v>
      </c>
    </row>
    <row r="858" spans="1:18" x14ac:dyDescent="0.2">
      <c r="A858" t="s">
        <v>1443</v>
      </c>
      <c r="B858" s="4" t="s">
        <v>1444</v>
      </c>
      <c r="J858"/>
      <c r="K858">
        <v>1</v>
      </c>
      <c r="M858" s="9"/>
      <c r="N858" t="s">
        <v>5916</v>
      </c>
      <c r="O858" s="73"/>
      <c r="P858" s="7">
        <f t="shared" si="43"/>
        <v>0</v>
      </c>
      <c r="Q858" s="7">
        <f t="shared" si="42"/>
        <v>0</v>
      </c>
      <c r="R858">
        <f t="shared" si="41"/>
        <v>0</v>
      </c>
    </row>
    <row r="859" spans="1:18" x14ac:dyDescent="0.2">
      <c r="A859" t="s">
        <v>5917</v>
      </c>
      <c r="B859" s="4" t="s">
        <v>5918</v>
      </c>
      <c r="J859"/>
      <c r="M859" s="9" t="s">
        <v>21</v>
      </c>
      <c r="N859" t="s">
        <v>5575</v>
      </c>
      <c r="O859" s="73">
        <v>1</v>
      </c>
      <c r="P859" s="7">
        <f t="shared" si="43"/>
        <v>0</v>
      </c>
      <c r="Q859" s="7">
        <f t="shared" si="42"/>
        <v>0.5</v>
      </c>
      <c r="R859">
        <f t="shared" si="41"/>
        <v>0</v>
      </c>
    </row>
    <row r="860" spans="1:18" x14ac:dyDescent="0.2">
      <c r="A860" t="s">
        <v>5919</v>
      </c>
      <c r="B860" s="4" t="s">
        <v>5920</v>
      </c>
      <c r="J860"/>
      <c r="M860" s="9"/>
      <c r="N860" t="s">
        <v>5921</v>
      </c>
      <c r="O860" s="73"/>
      <c r="P860" s="7">
        <f t="shared" si="43"/>
        <v>0</v>
      </c>
      <c r="Q860" s="7">
        <f t="shared" si="42"/>
        <v>0</v>
      </c>
      <c r="R860">
        <f t="shared" si="41"/>
        <v>0</v>
      </c>
    </row>
    <row r="861" spans="1:18" x14ac:dyDescent="0.2">
      <c r="A861" t="s">
        <v>5922</v>
      </c>
      <c r="B861" s="4" t="s">
        <v>5923</v>
      </c>
      <c r="J861"/>
      <c r="M861" s="9" t="s">
        <v>32</v>
      </c>
      <c r="N861" t="s">
        <v>5539</v>
      </c>
      <c r="O861" s="73"/>
      <c r="P861" s="7">
        <f t="shared" si="43"/>
        <v>0</v>
      </c>
      <c r="Q861" s="7">
        <f t="shared" si="42"/>
        <v>0</v>
      </c>
      <c r="R861">
        <f t="shared" si="41"/>
        <v>0</v>
      </c>
    </row>
    <row r="862" spans="1:18" x14ac:dyDescent="0.2">
      <c r="A862" t="s">
        <v>5924</v>
      </c>
      <c r="B862" s="4" t="s">
        <v>5925</v>
      </c>
      <c r="J862"/>
      <c r="M862" s="9"/>
      <c r="N862" t="s">
        <v>275</v>
      </c>
      <c r="O862" s="73">
        <v>1</v>
      </c>
      <c r="P862" s="7">
        <f t="shared" si="43"/>
        <v>0</v>
      </c>
      <c r="Q862" s="7">
        <f t="shared" si="42"/>
        <v>0.5</v>
      </c>
      <c r="R862">
        <f t="shared" si="41"/>
        <v>0</v>
      </c>
    </row>
    <row r="863" spans="1:18" x14ac:dyDescent="0.2">
      <c r="A863" t="s">
        <v>5926</v>
      </c>
      <c r="B863" s="4" t="s">
        <v>5927</v>
      </c>
      <c r="J863"/>
      <c r="M863" s="9" t="s">
        <v>21</v>
      </c>
      <c r="N863" t="s">
        <v>5928</v>
      </c>
      <c r="O863" s="73"/>
      <c r="P863" s="7">
        <f t="shared" si="43"/>
        <v>0</v>
      </c>
      <c r="Q863" s="7">
        <f t="shared" si="42"/>
        <v>0</v>
      </c>
      <c r="R863">
        <f t="shared" si="41"/>
        <v>0</v>
      </c>
    </row>
    <row r="864" spans="1:18" x14ac:dyDescent="0.2">
      <c r="A864" t="s">
        <v>5929</v>
      </c>
      <c r="B864" s="4" t="s">
        <v>5930</v>
      </c>
      <c r="J864"/>
      <c r="M864" s="9" t="s">
        <v>32</v>
      </c>
      <c r="N864" t="s">
        <v>5539</v>
      </c>
      <c r="O864" s="73"/>
      <c r="P864" s="7">
        <f t="shared" si="43"/>
        <v>0</v>
      </c>
      <c r="Q864" s="7">
        <f t="shared" si="42"/>
        <v>0</v>
      </c>
      <c r="R864">
        <f t="shared" si="41"/>
        <v>0</v>
      </c>
    </row>
    <row r="865" spans="1:18" x14ac:dyDescent="0.2">
      <c r="A865" t="s">
        <v>5931</v>
      </c>
      <c r="B865" s="4" t="s">
        <v>5932</v>
      </c>
      <c r="J865"/>
      <c r="K865">
        <v>1</v>
      </c>
      <c r="M865" s="9" t="s">
        <v>21</v>
      </c>
      <c r="N865" t="s">
        <v>5933</v>
      </c>
      <c r="O865" s="73"/>
      <c r="P865" s="7">
        <f t="shared" si="43"/>
        <v>0</v>
      </c>
      <c r="Q865" s="7">
        <f t="shared" si="42"/>
        <v>0</v>
      </c>
      <c r="R865">
        <f t="shared" si="41"/>
        <v>0</v>
      </c>
    </row>
    <row r="866" spans="1:18" x14ac:dyDescent="0.2">
      <c r="A866" t="s">
        <v>5934</v>
      </c>
      <c r="B866" s="4" t="s">
        <v>5935</v>
      </c>
      <c r="J866"/>
      <c r="M866" s="9"/>
      <c r="N866" t="s">
        <v>852</v>
      </c>
      <c r="O866" s="73"/>
      <c r="P866" s="7">
        <f t="shared" si="43"/>
        <v>0</v>
      </c>
      <c r="Q866" s="7">
        <f t="shared" si="42"/>
        <v>0</v>
      </c>
      <c r="R866">
        <f t="shared" si="41"/>
        <v>0</v>
      </c>
    </row>
    <row r="867" spans="1:18" ht="16" x14ac:dyDescent="0.2">
      <c r="A867" t="s">
        <v>5936</v>
      </c>
      <c r="B867" s="4" t="s">
        <v>5937</v>
      </c>
      <c r="J867"/>
      <c r="M867" s="9"/>
      <c r="N867" t="s">
        <v>5534</v>
      </c>
      <c r="O867" s="74">
        <v>0.5</v>
      </c>
      <c r="P867" s="7">
        <f t="shared" si="43"/>
        <v>0</v>
      </c>
      <c r="Q867" s="7">
        <f t="shared" si="42"/>
        <v>0.25</v>
      </c>
      <c r="R867">
        <f t="shared" si="41"/>
        <v>0</v>
      </c>
    </row>
    <row r="868" spans="1:18" x14ac:dyDescent="0.2">
      <c r="A868" t="s">
        <v>5938</v>
      </c>
      <c r="B868" s="4" t="s">
        <v>5939</v>
      </c>
      <c r="J868"/>
      <c r="K868">
        <v>1</v>
      </c>
      <c r="M868" s="9"/>
      <c r="N868" t="s">
        <v>5787</v>
      </c>
      <c r="O868" s="73"/>
      <c r="P868" s="7">
        <f t="shared" si="43"/>
        <v>0</v>
      </c>
      <c r="Q868" s="7">
        <f t="shared" si="42"/>
        <v>0</v>
      </c>
      <c r="R868">
        <f t="shared" si="41"/>
        <v>0</v>
      </c>
    </row>
    <row r="869" spans="1:18" x14ac:dyDescent="0.2">
      <c r="A869" t="s">
        <v>1667</v>
      </c>
      <c r="B869" s="4" t="s">
        <v>1668</v>
      </c>
      <c r="J869"/>
      <c r="M869" s="9"/>
      <c r="N869" t="s">
        <v>5940</v>
      </c>
      <c r="O869" s="73"/>
      <c r="P869" s="7">
        <f t="shared" si="43"/>
        <v>0</v>
      </c>
      <c r="Q869" s="7">
        <f t="shared" si="42"/>
        <v>0</v>
      </c>
      <c r="R869">
        <f t="shared" si="41"/>
        <v>0</v>
      </c>
    </row>
    <row r="870" spans="1:18" x14ac:dyDescent="0.2">
      <c r="A870" t="s">
        <v>5941</v>
      </c>
      <c r="B870" s="4" t="s">
        <v>5942</v>
      </c>
      <c r="J870"/>
      <c r="K870">
        <v>1</v>
      </c>
      <c r="M870" s="9"/>
      <c r="N870" t="s">
        <v>5943</v>
      </c>
      <c r="O870" s="73"/>
      <c r="P870" s="7">
        <f t="shared" si="43"/>
        <v>0</v>
      </c>
      <c r="Q870" s="7">
        <f t="shared" si="42"/>
        <v>0</v>
      </c>
      <c r="R870">
        <f t="shared" si="41"/>
        <v>0</v>
      </c>
    </row>
    <row r="871" spans="1:18" x14ac:dyDescent="0.2">
      <c r="A871" t="s">
        <v>1463</v>
      </c>
      <c r="B871" s="4" t="s">
        <v>1464</v>
      </c>
      <c r="J871"/>
      <c r="M871" s="9"/>
      <c r="N871" t="s">
        <v>5595</v>
      </c>
      <c r="O871" s="73"/>
      <c r="P871" s="7">
        <f t="shared" si="43"/>
        <v>0</v>
      </c>
      <c r="Q871" s="7">
        <f t="shared" si="42"/>
        <v>0</v>
      </c>
      <c r="R871">
        <f t="shared" si="41"/>
        <v>0</v>
      </c>
    </row>
    <row r="872" spans="1:18" x14ac:dyDescent="0.2">
      <c r="A872" t="s">
        <v>5944</v>
      </c>
      <c r="B872" s="4" t="s">
        <v>5945</v>
      </c>
      <c r="J872"/>
      <c r="M872" s="9"/>
      <c r="N872" t="s">
        <v>83</v>
      </c>
      <c r="O872" s="73"/>
      <c r="P872" s="7">
        <f t="shared" si="43"/>
        <v>0</v>
      </c>
      <c r="Q872" s="7">
        <f t="shared" si="42"/>
        <v>0</v>
      </c>
      <c r="R872">
        <f t="shared" si="41"/>
        <v>0</v>
      </c>
    </row>
    <row r="873" spans="1:18" x14ac:dyDescent="0.2">
      <c r="A873" t="s">
        <v>5946</v>
      </c>
      <c r="B873" s="4" t="s">
        <v>5947</v>
      </c>
      <c r="J873"/>
      <c r="M873" s="9" t="s">
        <v>21</v>
      </c>
      <c r="N873" t="s">
        <v>5827</v>
      </c>
      <c r="O873" s="73"/>
      <c r="P873" s="7">
        <f t="shared" si="43"/>
        <v>0</v>
      </c>
      <c r="Q873" s="7">
        <f t="shared" si="42"/>
        <v>0</v>
      </c>
      <c r="R873">
        <f t="shared" si="41"/>
        <v>0</v>
      </c>
    </row>
    <row r="874" spans="1:18" x14ac:dyDescent="0.2">
      <c r="A874" t="s">
        <v>5948</v>
      </c>
      <c r="B874" s="4" t="s">
        <v>5949</v>
      </c>
      <c r="J874"/>
      <c r="M874" s="9"/>
      <c r="N874" t="s">
        <v>275</v>
      </c>
      <c r="O874" s="73">
        <v>1</v>
      </c>
      <c r="P874" s="7">
        <f t="shared" si="43"/>
        <v>0</v>
      </c>
      <c r="Q874" s="7">
        <f t="shared" si="42"/>
        <v>0.5</v>
      </c>
      <c r="R874">
        <f t="shared" si="41"/>
        <v>0</v>
      </c>
    </row>
    <row r="875" spans="1:18" x14ac:dyDescent="0.2">
      <c r="A875" t="s">
        <v>5950</v>
      </c>
      <c r="B875" s="4" t="s">
        <v>5951</v>
      </c>
      <c r="J875"/>
      <c r="M875" s="9"/>
      <c r="N875" t="s">
        <v>5952</v>
      </c>
      <c r="O875" s="73"/>
      <c r="P875" s="7">
        <f t="shared" si="43"/>
        <v>0</v>
      </c>
      <c r="Q875" s="7">
        <f t="shared" si="42"/>
        <v>0</v>
      </c>
      <c r="R875">
        <f t="shared" si="41"/>
        <v>0</v>
      </c>
    </row>
    <row r="876" spans="1:18" ht="16" x14ac:dyDescent="0.2">
      <c r="A876" t="s">
        <v>5953</v>
      </c>
      <c r="B876" s="4" t="s">
        <v>5954</v>
      </c>
      <c r="J876"/>
      <c r="M876" s="9"/>
      <c r="N876" t="s">
        <v>5534</v>
      </c>
      <c r="O876" s="74">
        <v>0.5</v>
      </c>
      <c r="P876" s="7">
        <f t="shared" si="43"/>
        <v>0</v>
      </c>
      <c r="Q876" s="7">
        <f t="shared" si="42"/>
        <v>0.25</v>
      </c>
      <c r="R876">
        <f t="shared" si="41"/>
        <v>0</v>
      </c>
    </row>
    <row r="877" spans="1:18" x14ac:dyDescent="0.2">
      <c r="A877" t="s">
        <v>5955</v>
      </c>
      <c r="B877" s="4" t="s">
        <v>5956</v>
      </c>
      <c r="J877"/>
      <c r="M877" s="9"/>
      <c r="N877" t="s">
        <v>5620</v>
      </c>
      <c r="O877" s="73"/>
      <c r="P877" s="7">
        <f t="shared" si="43"/>
        <v>0</v>
      </c>
      <c r="Q877" s="7">
        <f t="shared" si="42"/>
        <v>0</v>
      </c>
      <c r="R877">
        <f t="shared" si="41"/>
        <v>0</v>
      </c>
    </row>
    <row r="878" spans="1:18" x14ac:dyDescent="0.2">
      <c r="A878" t="s">
        <v>5957</v>
      </c>
      <c r="B878" s="4" t="s">
        <v>5958</v>
      </c>
      <c r="J878"/>
      <c r="K878">
        <v>1</v>
      </c>
      <c r="M878" s="9"/>
      <c r="N878" t="s">
        <v>5959</v>
      </c>
      <c r="O878" s="73"/>
      <c r="P878" s="7">
        <f t="shared" si="43"/>
        <v>0</v>
      </c>
      <c r="Q878" s="7">
        <f t="shared" si="42"/>
        <v>0</v>
      </c>
      <c r="R878">
        <f t="shared" si="41"/>
        <v>0</v>
      </c>
    </row>
    <row r="879" spans="1:18" x14ac:dyDescent="0.2">
      <c r="A879" t="s">
        <v>5960</v>
      </c>
      <c r="B879" s="4" t="s">
        <v>5961</v>
      </c>
      <c r="J879"/>
      <c r="K879">
        <v>1</v>
      </c>
      <c r="M879" s="9" t="s">
        <v>21</v>
      </c>
      <c r="N879" t="s">
        <v>5933</v>
      </c>
      <c r="O879" s="73"/>
      <c r="P879" s="7">
        <f t="shared" si="43"/>
        <v>0</v>
      </c>
      <c r="Q879" s="7">
        <f t="shared" si="42"/>
        <v>0</v>
      </c>
      <c r="R879">
        <f t="shared" si="41"/>
        <v>0</v>
      </c>
    </row>
    <row r="880" spans="1:18" x14ac:dyDescent="0.2">
      <c r="A880" t="s">
        <v>5962</v>
      </c>
      <c r="B880" s="4" t="s">
        <v>5963</v>
      </c>
      <c r="J880"/>
      <c r="M880" s="9"/>
      <c r="N880" t="s">
        <v>1323</v>
      </c>
      <c r="O880" s="73"/>
      <c r="P880" s="7">
        <f t="shared" si="43"/>
        <v>0</v>
      </c>
      <c r="Q880" s="7">
        <f t="shared" si="42"/>
        <v>0</v>
      </c>
      <c r="R880">
        <f t="shared" si="41"/>
        <v>0</v>
      </c>
    </row>
    <row r="881" spans="1:18" x14ac:dyDescent="0.2">
      <c r="A881" t="s">
        <v>5964</v>
      </c>
      <c r="B881" s="4" t="s">
        <v>5965</v>
      </c>
      <c r="J881"/>
      <c r="K881">
        <v>1</v>
      </c>
      <c r="M881" s="9"/>
      <c r="N881" t="s">
        <v>5586</v>
      </c>
      <c r="O881" s="73"/>
      <c r="P881" s="7">
        <f t="shared" si="43"/>
        <v>0</v>
      </c>
      <c r="Q881" s="7">
        <f t="shared" si="42"/>
        <v>0</v>
      </c>
      <c r="R881">
        <f t="shared" si="41"/>
        <v>0</v>
      </c>
    </row>
    <row r="882" spans="1:18" x14ac:dyDescent="0.2">
      <c r="A882" t="s">
        <v>5966</v>
      </c>
      <c r="B882" s="4" t="s">
        <v>5967</v>
      </c>
      <c r="J882"/>
      <c r="K882">
        <v>1</v>
      </c>
      <c r="M882" s="9"/>
      <c r="N882" t="s">
        <v>5968</v>
      </c>
      <c r="O882" s="73"/>
      <c r="P882" s="7">
        <f t="shared" si="43"/>
        <v>0</v>
      </c>
      <c r="Q882" s="7">
        <f t="shared" si="42"/>
        <v>0</v>
      </c>
      <c r="R882">
        <f t="shared" si="41"/>
        <v>0</v>
      </c>
    </row>
    <row r="883" spans="1:18" x14ac:dyDescent="0.2">
      <c r="A883" t="s">
        <v>5969</v>
      </c>
      <c r="B883" s="4" t="s">
        <v>5970</v>
      </c>
      <c r="J883"/>
      <c r="K883">
        <v>1</v>
      </c>
      <c r="M883" s="9"/>
      <c r="N883" t="s">
        <v>5567</v>
      </c>
      <c r="O883" s="73"/>
      <c r="P883" s="7">
        <f t="shared" si="43"/>
        <v>0</v>
      </c>
      <c r="Q883" s="7">
        <f t="shared" si="42"/>
        <v>0</v>
      </c>
      <c r="R883">
        <f t="shared" si="41"/>
        <v>0</v>
      </c>
    </row>
    <row r="884" spans="1:18" x14ac:dyDescent="0.2">
      <c r="A884" t="s">
        <v>5971</v>
      </c>
      <c r="B884" s="4" t="s">
        <v>5972</v>
      </c>
      <c r="J884"/>
      <c r="K884">
        <v>1</v>
      </c>
      <c r="M884" s="9"/>
      <c r="N884" t="s">
        <v>5621</v>
      </c>
      <c r="O884" s="73"/>
      <c r="P884" s="7">
        <f t="shared" si="43"/>
        <v>0</v>
      </c>
      <c r="Q884" s="7">
        <f t="shared" si="42"/>
        <v>0</v>
      </c>
      <c r="R884">
        <f t="shared" si="41"/>
        <v>0</v>
      </c>
    </row>
    <row r="885" spans="1:18" x14ac:dyDescent="0.2">
      <c r="A885" t="s">
        <v>5973</v>
      </c>
      <c r="B885" s="4" t="s">
        <v>5974</v>
      </c>
      <c r="J885"/>
      <c r="K885">
        <v>1</v>
      </c>
      <c r="M885" s="9" t="s">
        <v>21</v>
      </c>
      <c r="N885" t="s">
        <v>5975</v>
      </c>
      <c r="O885" s="73"/>
      <c r="P885" s="7">
        <f t="shared" si="43"/>
        <v>0</v>
      </c>
      <c r="Q885" s="7">
        <f t="shared" si="42"/>
        <v>0</v>
      </c>
      <c r="R885">
        <f t="shared" si="41"/>
        <v>0</v>
      </c>
    </row>
    <row r="886" spans="1:18" x14ac:dyDescent="0.2">
      <c r="A886" t="s">
        <v>1477</v>
      </c>
      <c r="B886" s="4" t="s">
        <v>1478</v>
      </c>
      <c r="J886"/>
      <c r="M886" s="9"/>
      <c r="N886" t="s">
        <v>1313</v>
      </c>
      <c r="O886" s="73"/>
      <c r="P886" s="7">
        <f t="shared" si="43"/>
        <v>0</v>
      </c>
      <c r="Q886" s="7">
        <f t="shared" si="42"/>
        <v>0</v>
      </c>
      <c r="R886">
        <f t="shared" si="41"/>
        <v>0</v>
      </c>
    </row>
    <row r="887" spans="1:18" x14ac:dyDescent="0.2">
      <c r="A887" t="s">
        <v>5976</v>
      </c>
      <c r="B887" s="4" t="s">
        <v>5977</v>
      </c>
      <c r="J887"/>
      <c r="M887" s="9"/>
      <c r="N887" t="s">
        <v>5658</v>
      </c>
      <c r="O887" s="73"/>
      <c r="P887" s="7">
        <f t="shared" si="43"/>
        <v>0</v>
      </c>
      <c r="Q887" s="7">
        <f t="shared" si="42"/>
        <v>0</v>
      </c>
      <c r="R887">
        <f t="shared" si="41"/>
        <v>0</v>
      </c>
    </row>
    <row r="888" spans="1:18" x14ac:dyDescent="0.2">
      <c r="A888" t="s">
        <v>5978</v>
      </c>
      <c r="B888" s="4" t="s">
        <v>5979</v>
      </c>
      <c r="J888"/>
      <c r="M888" s="9"/>
      <c r="N888" t="s">
        <v>5595</v>
      </c>
      <c r="O888" s="73"/>
      <c r="P888" s="7">
        <f t="shared" si="43"/>
        <v>0</v>
      </c>
      <c r="Q888" s="7">
        <f t="shared" si="42"/>
        <v>0</v>
      </c>
      <c r="R888">
        <f t="shared" si="41"/>
        <v>0</v>
      </c>
    </row>
    <row r="889" spans="1:18" x14ac:dyDescent="0.2">
      <c r="A889" t="s">
        <v>5980</v>
      </c>
      <c r="B889" s="4" t="s">
        <v>5981</v>
      </c>
      <c r="J889"/>
      <c r="M889" s="9" t="s">
        <v>21</v>
      </c>
      <c r="N889" t="s">
        <v>5827</v>
      </c>
      <c r="O889" s="73"/>
      <c r="P889" s="7">
        <f t="shared" si="43"/>
        <v>0</v>
      </c>
      <c r="Q889" s="7">
        <f t="shared" si="42"/>
        <v>0</v>
      </c>
      <c r="R889">
        <f t="shared" si="41"/>
        <v>0</v>
      </c>
    </row>
    <row r="890" spans="1:18" x14ac:dyDescent="0.2">
      <c r="A890" t="s">
        <v>5982</v>
      </c>
      <c r="B890" s="4" t="s">
        <v>5983</v>
      </c>
      <c r="J890"/>
      <c r="M890" s="9"/>
      <c r="N890" t="s">
        <v>5537</v>
      </c>
      <c r="O890" s="73"/>
      <c r="P890" s="7">
        <f t="shared" si="43"/>
        <v>0</v>
      </c>
      <c r="Q890" s="7">
        <f t="shared" si="42"/>
        <v>0</v>
      </c>
      <c r="R890">
        <f t="shared" si="41"/>
        <v>0</v>
      </c>
    </row>
    <row r="891" spans="1:18" x14ac:dyDescent="0.2">
      <c r="A891" t="s">
        <v>5984</v>
      </c>
      <c r="B891" s="4" t="s">
        <v>5985</v>
      </c>
      <c r="J891"/>
      <c r="M891" s="9"/>
      <c r="N891" t="s">
        <v>5986</v>
      </c>
      <c r="O891" s="73"/>
      <c r="P891" s="7">
        <f t="shared" si="43"/>
        <v>0</v>
      </c>
      <c r="Q891" s="7">
        <f t="shared" si="42"/>
        <v>0</v>
      </c>
      <c r="R891">
        <f t="shared" si="41"/>
        <v>0</v>
      </c>
    </row>
    <row r="892" spans="1:18" x14ac:dyDescent="0.2">
      <c r="A892" t="s">
        <v>5987</v>
      </c>
      <c r="B892" s="4" t="s">
        <v>5988</v>
      </c>
      <c r="J892"/>
      <c r="K892">
        <v>1</v>
      </c>
      <c r="M892" s="9"/>
      <c r="N892" t="s">
        <v>5989</v>
      </c>
      <c r="O892" s="73"/>
      <c r="P892" s="7">
        <f t="shared" si="43"/>
        <v>0</v>
      </c>
      <c r="Q892" s="7">
        <f t="shared" si="42"/>
        <v>0</v>
      </c>
      <c r="R892">
        <f t="shared" si="41"/>
        <v>0</v>
      </c>
    </row>
    <row r="893" spans="1:18" x14ac:dyDescent="0.2">
      <c r="A893" t="s">
        <v>5990</v>
      </c>
      <c r="B893" s="4" t="s">
        <v>5991</v>
      </c>
      <c r="J893"/>
      <c r="M893" s="9" t="s">
        <v>21</v>
      </c>
      <c r="N893" t="s">
        <v>5992</v>
      </c>
      <c r="O893" s="73"/>
      <c r="P893" s="7">
        <f t="shared" si="43"/>
        <v>0</v>
      </c>
      <c r="Q893" s="7">
        <f t="shared" si="42"/>
        <v>0</v>
      </c>
      <c r="R893">
        <f t="shared" si="41"/>
        <v>0</v>
      </c>
    </row>
    <row r="894" spans="1:18" x14ac:dyDescent="0.2">
      <c r="A894" t="s">
        <v>5993</v>
      </c>
      <c r="B894" s="4" t="s">
        <v>5994</v>
      </c>
      <c r="J894"/>
      <c r="K894">
        <v>1</v>
      </c>
      <c r="M894" s="9"/>
      <c r="N894" t="s">
        <v>5685</v>
      </c>
      <c r="O894" s="73"/>
      <c r="P894" s="7">
        <f t="shared" si="43"/>
        <v>0</v>
      </c>
      <c r="Q894" s="7">
        <f t="shared" si="42"/>
        <v>0</v>
      </c>
      <c r="R894">
        <f t="shared" si="41"/>
        <v>0</v>
      </c>
    </row>
    <row r="895" spans="1:18" x14ac:dyDescent="0.2">
      <c r="A895" t="s">
        <v>5995</v>
      </c>
      <c r="B895" s="4" t="s">
        <v>5996</v>
      </c>
      <c r="J895"/>
      <c r="M895" s="9"/>
      <c r="N895" t="s">
        <v>83</v>
      </c>
      <c r="O895" s="73"/>
      <c r="P895" s="7">
        <f t="shared" si="43"/>
        <v>0</v>
      </c>
      <c r="Q895" s="7">
        <f t="shared" si="42"/>
        <v>0</v>
      </c>
      <c r="R895">
        <f t="shared" si="41"/>
        <v>0</v>
      </c>
    </row>
    <row r="896" spans="1:18" x14ac:dyDescent="0.2">
      <c r="A896" t="s">
        <v>5997</v>
      </c>
      <c r="B896" s="4" t="s">
        <v>5998</v>
      </c>
      <c r="J896"/>
      <c r="K896">
        <v>1</v>
      </c>
      <c r="M896" s="9"/>
      <c r="N896" t="s">
        <v>5999</v>
      </c>
      <c r="O896" s="73"/>
      <c r="P896" s="7">
        <f t="shared" si="43"/>
        <v>0</v>
      </c>
      <c r="Q896" s="7">
        <f t="shared" si="42"/>
        <v>0</v>
      </c>
      <c r="R896">
        <f t="shared" si="41"/>
        <v>0</v>
      </c>
    </row>
    <row r="897" spans="1:18" x14ac:dyDescent="0.2">
      <c r="A897" t="s">
        <v>6000</v>
      </c>
      <c r="B897" s="4" t="s">
        <v>6001</v>
      </c>
      <c r="J897"/>
      <c r="M897" s="9" t="s">
        <v>21</v>
      </c>
      <c r="N897" t="s">
        <v>1330</v>
      </c>
      <c r="O897" s="73"/>
      <c r="P897" s="7">
        <f t="shared" si="43"/>
        <v>0</v>
      </c>
      <c r="Q897" s="7">
        <f t="shared" si="42"/>
        <v>0</v>
      </c>
      <c r="R897">
        <f t="shared" si="41"/>
        <v>0</v>
      </c>
    </row>
    <row r="898" spans="1:18" x14ac:dyDescent="0.2">
      <c r="A898" t="s">
        <v>1585</v>
      </c>
      <c r="B898" s="4" t="s">
        <v>1586</v>
      </c>
      <c r="J898"/>
      <c r="K898">
        <v>1</v>
      </c>
      <c r="M898" s="9"/>
      <c r="N898" t="s">
        <v>5549</v>
      </c>
      <c r="O898" s="73"/>
      <c r="P898" s="7">
        <f t="shared" si="43"/>
        <v>0</v>
      </c>
      <c r="Q898" s="7">
        <f t="shared" si="42"/>
        <v>0</v>
      </c>
      <c r="R898">
        <f t="shared" ref="R898:R961" si="44">IF(_xlfn.BITAND(P898&gt;0.4999, Q898&gt;0.4999)=1,1,0)</f>
        <v>0</v>
      </c>
    </row>
    <row r="899" spans="1:18" x14ac:dyDescent="0.2">
      <c r="A899" t="s">
        <v>6002</v>
      </c>
      <c r="B899" s="4" t="s">
        <v>6003</v>
      </c>
      <c r="J899"/>
      <c r="M899" s="9"/>
      <c r="N899" t="s">
        <v>6004</v>
      </c>
      <c r="O899" s="73"/>
      <c r="P899" s="7">
        <f t="shared" si="43"/>
        <v>0</v>
      </c>
      <c r="Q899" s="7">
        <f t="shared" si="42"/>
        <v>0</v>
      </c>
      <c r="R899">
        <f t="shared" si="44"/>
        <v>0</v>
      </c>
    </row>
    <row r="900" spans="1:18" x14ac:dyDescent="0.2">
      <c r="A900" t="s">
        <v>6005</v>
      </c>
      <c r="B900" s="4" t="s">
        <v>6006</v>
      </c>
      <c r="J900"/>
      <c r="M900" s="9" t="s">
        <v>21</v>
      </c>
      <c r="N900" t="s">
        <v>86</v>
      </c>
      <c r="O900" s="73"/>
      <c r="P900" s="7">
        <f t="shared" si="43"/>
        <v>0</v>
      </c>
      <c r="Q900" s="7">
        <f t="shared" si="42"/>
        <v>0</v>
      </c>
      <c r="R900">
        <f t="shared" si="44"/>
        <v>0</v>
      </c>
    </row>
    <row r="901" spans="1:18" x14ac:dyDescent="0.2">
      <c r="A901" t="s">
        <v>1589</v>
      </c>
      <c r="B901" s="4" t="s">
        <v>1590</v>
      </c>
      <c r="J901"/>
      <c r="K901">
        <v>1</v>
      </c>
      <c r="M901" s="9" t="s">
        <v>21</v>
      </c>
      <c r="N901" t="s">
        <v>6007</v>
      </c>
      <c r="O901" s="73"/>
      <c r="P901" s="7">
        <f t="shared" si="43"/>
        <v>0</v>
      </c>
      <c r="Q901" s="7">
        <f t="shared" si="42"/>
        <v>0</v>
      </c>
      <c r="R901">
        <f t="shared" si="44"/>
        <v>0</v>
      </c>
    </row>
    <row r="902" spans="1:18" x14ac:dyDescent="0.2">
      <c r="A902" t="s">
        <v>6008</v>
      </c>
      <c r="B902" s="4" t="s">
        <v>1698</v>
      </c>
      <c r="J902"/>
      <c r="K902">
        <v>1</v>
      </c>
      <c r="M902" s="9" t="s">
        <v>21</v>
      </c>
      <c r="N902" t="s">
        <v>5975</v>
      </c>
      <c r="O902" s="73"/>
      <c r="P902" s="7">
        <f t="shared" si="43"/>
        <v>0</v>
      </c>
      <c r="Q902" s="7">
        <f t="shared" si="42"/>
        <v>0</v>
      </c>
      <c r="R902">
        <f t="shared" si="44"/>
        <v>0</v>
      </c>
    </row>
    <row r="903" spans="1:18" x14ac:dyDescent="0.2">
      <c r="A903" t="s">
        <v>6009</v>
      </c>
      <c r="B903" s="4" t="s">
        <v>6010</v>
      </c>
      <c r="J903"/>
      <c r="K903">
        <v>1</v>
      </c>
      <c r="M903" s="9" t="s">
        <v>32</v>
      </c>
      <c r="N903" t="s">
        <v>5539</v>
      </c>
      <c r="O903" s="73"/>
      <c r="P903" s="7">
        <f t="shared" si="43"/>
        <v>0</v>
      </c>
      <c r="Q903" s="7">
        <f t="shared" si="42"/>
        <v>0</v>
      </c>
      <c r="R903">
        <f t="shared" si="44"/>
        <v>0</v>
      </c>
    </row>
    <row r="904" spans="1:18" x14ac:dyDescent="0.2">
      <c r="A904" t="s">
        <v>6011</v>
      </c>
      <c r="B904" s="4" t="s">
        <v>6012</v>
      </c>
      <c r="J904"/>
      <c r="M904" s="9"/>
      <c r="N904" t="s">
        <v>1323</v>
      </c>
      <c r="O904" s="73"/>
      <c r="P904" s="7">
        <f t="shared" si="43"/>
        <v>0</v>
      </c>
      <c r="Q904" s="7">
        <f t="shared" si="42"/>
        <v>0</v>
      </c>
      <c r="R904">
        <f t="shared" si="44"/>
        <v>0</v>
      </c>
    </row>
    <row r="905" spans="1:18" x14ac:dyDescent="0.2">
      <c r="A905" t="s">
        <v>6013</v>
      </c>
      <c r="B905" s="4" t="s">
        <v>6014</v>
      </c>
      <c r="J905"/>
      <c r="M905" s="9"/>
      <c r="N905" t="s">
        <v>6015</v>
      </c>
      <c r="O905" s="73"/>
      <c r="P905" s="7">
        <f t="shared" si="43"/>
        <v>0</v>
      </c>
      <c r="Q905" s="7">
        <f t="shared" si="42"/>
        <v>0</v>
      </c>
      <c r="R905">
        <f t="shared" si="44"/>
        <v>0</v>
      </c>
    </row>
    <row r="906" spans="1:18" x14ac:dyDescent="0.2">
      <c r="A906" t="s">
        <v>6016</v>
      </c>
      <c r="B906" s="4" t="s">
        <v>6017</v>
      </c>
      <c r="J906"/>
      <c r="K906">
        <v>1</v>
      </c>
      <c r="M906" s="9"/>
      <c r="N906" t="s">
        <v>83</v>
      </c>
      <c r="O906" s="73"/>
      <c r="P906" s="7">
        <f t="shared" si="43"/>
        <v>0</v>
      </c>
      <c r="Q906" s="7">
        <f t="shared" si="42"/>
        <v>0</v>
      </c>
      <c r="R906">
        <f t="shared" si="44"/>
        <v>0</v>
      </c>
    </row>
    <row r="907" spans="1:18" x14ac:dyDescent="0.2">
      <c r="A907" t="s">
        <v>6018</v>
      </c>
      <c r="B907" s="4" t="s">
        <v>6019</v>
      </c>
      <c r="J907"/>
      <c r="K907">
        <v>1</v>
      </c>
      <c r="M907" s="9"/>
      <c r="N907" t="s">
        <v>6020</v>
      </c>
      <c r="O907" s="73"/>
      <c r="P907" s="7">
        <f t="shared" si="43"/>
        <v>0</v>
      </c>
      <c r="Q907" s="7">
        <f t="shared" si="42"/>
        <v>0</v>
      </c>
      <c r="R907">
        <f t="shared" si="44"/>
        <v>0</v>
      </c>
    </row>
    <row r="908" spans="1:18" x14ac:dyDescent="0.2">
      <c r="A908" t="s">
        <v>6021</v>
      </c>
      <c r="B908" s="4" t="s">
        <v>6022</v>
      </c>
      <c r="J908"/>
      <c r="K908">
        <v>1</v>
      </c>
      <c r="M908" s="9" t="s">
        <v>21</v>
      </c>
      <c r="N908" t="s">
        <v>6023</v>
      </c>
      <c r="O908" s="73"/>
      <c r="P908" s="7">
        <f t="shared" si="43"/>
        <v>0</v>
      </c>
      <c r="Q908" s="7">
        <f t="shared" si="42"/>
        <v>0</v>
      </c>
      <c r="R908">
        <f t="shared" si="44"/>
        <v>0</v>
      </c>
    </row>
    <row r="909" spans="1:18" x14ac:dyDescent="0.2">
      <c r="A909" t="s">
        <v>6024</v>
      </c>
      <c r="B909" s="4" t="s">
        <v>6025</v>
      </c>
      <c r="J909"/>
      <c r="M909" s="9"/>
      <c r="N909" t="s">
        <v>6020</v>
      </c>
      <c r="O909" s="73"/>
      <c r="P909" s="7">
        <f t="shared" si="43"/>
        <v>0</v>
      </c>
      <c r="Q909" s="7">
        <f t="shared" ref="Q909:Q972" si="45">(O909+P909)/2</f>
        <v>0</v>
      </c>
      <c r="R909">
        <f t="shared" si="44"/>
        <v>0</v>
      </c>
    </row>
    <row r="910" spans="1:18" x14ac:dyDescent="0.2">
      <c r="A910" t="s">
        <v>6026</v>
      </c>
      <c r="B910" s="4" t="s">
        <v>6027</v>
      </c>
      <c r="J910"/>
      <c r="M910" s="9" t="s">
        <v>21</v>
      </c>
      <c r="N910" t="s">
        <v>5531</v>
      </c>
      <c r="O910" s="73">
        <v>1</v>
      </c>
      <c r="P910" s="7">
        <f t="shared" si="43"/>
        <v>0</v>
      </c>
      <c r="Q910" s="7">
        <f t="shared" si="45"/>
        <v>0.5</v>
      </c>
      <c r="R910">
        <f t="shared" si="44"/>
        <v>0</v>
      </c>
    </row>
    <row r="911" spans="1:18" x14ac:dyDescent="0.2">
      <c r="A911" t="s">
        <v>6028</v>
      </c>
      <c r="B911" s="4" t="s">
        <v>1594</v>
      </c>
      <c r="J911"/>
      <c r="K911">
        <v>1</v>
      </c>
      <c r="M911" s="9"/>
      <c r="N911" t="s">
        <v>1320</v>
      </c>
      <c r="O911" s="73"/>
      <c r="P911" s="7">
        <f t="shared" si="43"/>
        <v>0</v>
      </c>
      <c r="Q911" s="7">
        <f t="shared" si="45"/>
        <v>0</v>
      </c>
      <c r="R911">
        <f t="shared" si="44"/>
        <v>0</v>
      </c>
    </row>
    <row r="912" spans="1:18" x14ac:dyDescent="0.2">
      <c r="A912" t="s">
        <v>6029</v>
      </c>
      <c r="B912" s="4" t="s">
        <v>6030</v>
      </c>
      <c r="J912"/>
      <c r="K912">
        <v>1</v>
      </c>
      <c r="M912" s="9"/>
      <c r="N912" t="s">
        <v>852</v>
      </c>
      <c r="O912" s="73"/>
      <c r="P912" s="7">
        <f t="shared" si="43"/>
        <v>0</v>
      </c>
      <c r="Q912" s="7">
        <f t="shared" si="45"/>
        <v>0</v>
      </c>
      <c r="R912">
        <f t="shared" si="44"/>
        <v>0</v>
      </c>
    </row>
    <row r="913" spans="1:18" x14ac:dyDescent="0.2">
      <c r="A913" t="s">
        <v>6031</v>
      </c>
      <c r="B913" s="4" t="s">
        <v>6032</v>
      </c>
      <c r="J913"/>
      <c r="K913">
        <v>1</v>
      </c>
      <c r="M913" s="9" t="s">
        <v>21</v>
      </c>
      <c r="N913" t="s">
        <v>5505</v>
      </c>
      <c r="O913" s="73"/>
      <c r="P913" s="7">
        <f t="shared" si="43"/>
        <v>0</v>
      </c>
      <c r="Q913" s="7">
        <f t="shared" si="45"/>
        <v>0</v>
      </c>
      <c r="R913">
        <f t="shared" si="44"/>
        <v>0</v>
      </c>
    </row>
    <row r="914" spans="1:18" x14ac:dyDescent="0.2">
      <c r="A914" t="s">
        <v>6033</v>
      </c>
      <c r="B914" s="4" t="s">
        <v>6034</v>
      </c>
      <c r="J914"/>
      <c r="M914" s="9"/>
      <c r="N914" t="s">
        <v>5549</v>
      </c>
      <c r="O914" s="73"/>
      <c r="P914" s="7">
        <f t="shared" si="43"/>
        <v>0</v>
      </c>
      <c r="Q914" s="7">
        <f t="shared" si="45"/>
        <v>0</v>
      </c>
      <c r="R914">
        <f t="shared" si="44"/>
        <v>0</v>
      </c>
    </row>
    <row r="915" spans="1:18" x14ac:dyDescent="0.2">
      <c r="A915" t="s">
        <v>6035</v>
      </c>
      <c r="B915" s="4" t="s">
        <v>6036</v>
      </c>
      <c r="J915"/>
      <c r="K915">
        <v>1</v>
      </c>
      <c r="M915" s="9"/>
      <c r="N915" t="s">
        <v>4262</v>
      </c>
      <c r="O915" s="73"/>
      <c r="P915" s="7">
        <f t="shared" si="43"/>
        <v>0</v>
      </c>
      <c r="Q915" s="7">
        <f t="shared" si="45"/>
        <v>0</v>
      </c>
      <c r="R915">
        <f t="shared" si="44"/>
        <v>0</v>
      </c>
    </row>
    <row r="916" spans="1:18" x14ac:dyDescent="0.2">
      <c r="A916" t="s">
        <v>5822</v>
      </c>
      <c r="B916" s="4" t="s">
        <v>5823</v>
      </c>
      <c r="J916"/>
      <c r="M916" s="9"/>
      <c r="N916" t="s">
        <v>5824</v>
      </c>
      <c r="O916" s="73"/>
      <c r="P916" s="7">
        <f t="shared" si="43"/>
        <v>0</v>
      </c>
      <c r="Q916" s="7">
        <f t="shared" si="45"/>
        <v>0</v>
      </c>
      <c r="R916">
        <f t="shared" si="44"/>
        <v>0</v>
      </c>
    </row>
    <row r="917" spans="1:18" x14ac:dyDescent="0.2">
      <c r="A917" t="s">
        <v>1503</v>
      </c>
      <c r="B917" s="4" t="s">
        <v>1504</v>
      </c>
      <c r="J917"/>
      <c r="M917" s="9"/>
      <c r="N917" t="s">
        <v>83</v>
      </c>
      <c r="O917" s="73"/>
      <c r="P917" s="7">
        <f t="shared" ref="P917:P980" si="46">(D917+E917+F917+G917+H917+I917+J917)/7</f>
        <v>0</v>
      </c>
      <c r="Q917" s="7">
        <f t="shared" si="45"/>
        <v>0</v>
      </c>
      <c r="R917">
        <f t="shared" si="44"/>
        <v>0</v>
      </c>
    </row>
    <row r="918" spans="1:18" x14ac:dyDescent="0.2">
      <c r="A918" t="s">
        <v>6037</v>
      </c>
      <c r="B918" s="4" t="s">
        <v>6038</v>
      </c>
      <c r="J918"/>
      <c r="M918" s="9" t="s">
        <v>32</v>
      </c>
      <c r="N918" t="s">
        <v>5539</v>
      </c>
      <c r="O918" s="73"/>
      <c r="P918" s="7">
        <f t="shared" si="46"/>
        <v>0</v>
      </c>
      <c r="Q918" s="7">
        <f t="shared" si="45"/>
        <v>0</v>
      </c>
      <c r="R918">
        <f t="shared" si="44"/>
        <v>0</v>
      </c>
    </row>
    <row r="919" spans="1:18" x14ac:dyDescent="0.2">
      <c r="A919" t="s">
        <v>1613</v>
      </c>
      <c r="B919" s="4" t="s">
        <v>1614</v>
      </c>
      <c r="J919"/>
      <c r="M919" s="9"/>
      <c r="N919" t="s">
        <v>5844</v>
      </c>
      <c r="O919" s="73"/>
      <c r="P919" s="7">
        <f t="shared" si="46"/>
        <v>0</v>
      </c>
      <c r="Q919" s="7">
        <f t="shared" si="45"/>
        <v>0</v>
      </c>
      <c r="R919">
        <f t="shared" si="44"/>
        <v>0</v>
      </c>
    </row>
    <row r="920" spans="1:18" x14ac:dyDescent="0.2">
      <c r="A920" t="s">
        <v>6039</v>
      </c>
      <c r="B920" s="4" t="s">
        <v>6040</v>
      </c>
      <c r="J920"/>
      <c r="K920">
        <v>1</v>
      </c>
      <c r="M920" s="9" t="s">
        <v>21</v>
      </c>
      <c r="N920" t="s">
        <v>5675</v>
      </c>
      <c r="O920" s="73"/>
      <c r="P920" s="7">
        <f t="shared" si="46"/>
        <v>0</v>
      </c>
      <c r="Q920" s="7">
        <f t="shared" si="45"/>
        <v>0</v>
      </c>
      <c r="R920">
        <f t="shared" si="44"/>
        <v>0</v>
      </c>
    </row>
    <row r="921" spans="1:18" x14ac:dyDescent="0.2">
      <c r="A921" t="s">
        <v>6041</v>
      </c>
      <c r="B921" s="4" t="s">
        <v>6042</v>
      </c>
      <c r="J921"/>
      <c r="K921">
        <v>1</v>
      </c>
      <c r="M921" s="9"/>
      <c r="N921" t="s">
        <v>6043</v>
      </c>
      <c r="O921" s="73"/>
      <c r="P921" s="7">
        <f t="shared" si="46"/>
        <v>0</v>
      </c>
      <c r="Q921" s="7">
        <f t="shared" si="45"/>
        <v>0</v>
      </c>
      <c r="R921">
        <f t="shared" si="44"/>
        <v>0</v>
      </c>
    </row>
    <row r="922" spans="1:18" x14ac:dyDescent="0.2">
      <c r="A922" t="s">
        <v>6044</v>
      </c>
      <c r="B922" s="4" t="s">
        <v>6045</v>
      </c>
      <c r="J922"/>
      <c r="M922" s="9"/>
      <c r="N922" t="s">
        <v>5525</v>
      </c>
      <c r="O922" s="73"/>
      <c r="P922" s="7">
        <f t="shared" si="46"/>
        <v>0</v>
      </c>
      <c r="Q922" s="7">
        <f t="shared" si="45"/>
        <v>0</v>
      </c>
      <c r="R922">
        <f t="shared" si="44"/>
        <v>0</v>
      </c>
    </row>
    <row r="923" spans="1:18" x14ac:dyDescent="0.2">
      <c r="A923" t="s">
        <v>6046</v>
      </c>
      <c r="B923" s="4" t="s">
        <v>6047</v>
      </c>
      <c r="J923"/>
      <c r="M923" s="9" t="s">
        <v>21</v>
      </c>
      <c r="N923" t="s">
        <v>86</v>
      </c>
      <c r="O923" s="73"/>
      <c r="P923" s="7">
        <f t="shared" si="46"/>
        <v>0</v>
      </c>
      <c r="Q923" s="7">
        <f t="shared" si="45"/>
        <v>0</v>
      </c>
      <c r="R923">
        <f t="shared" si="44"/>
        <v>0</v>
      </c>
    </row>
    <row r="924" spans="1:18" x14ac:dyDescent="0.2">
      <c r="A924" t="s">
        <v>6048</v>
      </c>
      <c r="B924" s="4" t="s">
        <v>6049</v>
      </c>
      <c r="J924"/>
      <c r="M924" s="9"/>
      <c r="N924" t="s">
        <v>275</v>
      </c>
      <c r="O924" s="73">
        <v>1</v>
      </c>
      <c r="P924" s="7">
        <f t="shared" si="46"/>
        <v>0</v>
      </c>
      <c r="Q924" s="7">
        <f t="shared" si="45"/>
        <v>0.5</v>
      </c>
      <c r="R924">
        <f t="shared" si="44"/>
        <v>0</v>
      </c>
    </row>
    <row r="925" spans="1:18" x14ac:dyDescent="0.2">
      <c r="A925" t="s">
        <v>1513</v>
      </c>
      <c r="B925" s="4" t="s">
        <v>1514</v>
      </c>
      <c r="J925"/>
      <c r="M925" s="9"/>
      <c r="N925" t="s">
        <v>83</v>
      </c>
      <c r="O925" s="73"/>
      <c r="P925" s="7">
        <f t="shared" si="46"/>
        <v>0</v>
      </c>
      <c r="Q925" s="7">
        <f t="shared" si="45"/>
        <v>0</v>
      </c>
      <c r="R925">
        <f t="shared" si="44"/>
        <v>0</v>
      </c>
    </row>
    <row r="926" spans="1:18" x14ac:dyDescent="0.2">
      <c r="A926" t="s">
        <v>6050</v>
      </c>
      <c r="B926" s="4" t="s">
        <v>6051</v>
      </c>
      <c r="J926"/>
      <c r="K926">
        <v>1</v>
      </c>
      <c r="M926" s="9"/>
      <c r="N926" t="s">
        <v>83</v>
      </c>
      <c r="O926" s="73"/>
      <c r="P926" s="7">
        <f t="shared" si="46"/>
        <v>0</v>
      </c>
      <c r="Q926" s="7">
        <f t="shared" si="45"/>
        <v>0</v>
      </c>
      <c r="R926">
        <f t="shared" si="44"/>
        <v>0</v>
      </c>
    </row>
    <row r="927" spans="1:18" x14ac:dyDescent="0.2">
      <c r="A927" t="s">
        <v>1521</v>
      </c>
      <c r="B927" s="4" t="s">
        <v>1522</v>
      </c>
      <c r="J927"/>
      <c r="M927" s="9"/>
      <c r="N927" t="s">
        <v>5641</v>
      </c>
      <c r="O927" s="73"/>
      <c r="P927" s="7">
        <f t="shared" si="46"/>
        <v>0</v>
      </c>
      <c r="Q927" s="7">
        <f t="shared" si="45"/>
        <v>0</v>
      </c>
      <c r="R927">
        <f t="shared" si="44"/>
        <v>0</v>
      </c>
    </row>
    <row r="928" spans="1:18" x14ac:dyDescent="0.2">
      <c r="A928" t="s">
        <v>6052</v>
      </c>
      <c r="B928" s="4" t="s">
        <v>6053</v>
      </c>
      <c r="J928"/>
      <c r="M928" s="9"/>
      <c r="N928" t="s">
        <v>5685</v>
      </c>
      <c r="O928" s="73"/>
      <c r="P928" s="7">
        <f t="shared" si="46"/>
        <v>0</v>
      </c>
      <c r="Q928" s="7">
        <f t="shared" si="45"/>
        <v>0</v>
      </c>
      <c r="R928">
        <f t="shared" si="44"/>
        <v>0</v>
      </c>
    </row>
    <row r="929" spans="1:18" x14ac:dyDescent="0.2">
      <c r="A929" t="s">
        <v>6054</v>
      </c>
      <c r="B929" s="4" t="s">
        <v>6055</v>
      </c>
      <c r="J929"/>
      <c r="K929">
        <v>1</v>
      </c>
      <c r="M929" s="9"/>
      <c r="N929" t="s">
        <v>5549</v>
      </c>
      <c r="O929" s="73"/>
      <c r="P929" s="7">
        <f t="shared" si="46"/>
        <v>0</v>
      </c>
      <c r="Q929" s="7">
        <f t="shared" si="45"/>
        <v>0</v>
      </c>
      <c r="R929">
        <f t="shared" si="44"/>
        <v>0</v>
      </c>
    </row>
    <row r="930" spans="1:18" x14ac:dyDescent="0.2">
      <c r="A930" t="s">
        <v>6056</v>
      </c>
      <c r="B930" s="4" t="s">
        <v>6057</v>
      </c>
      <c r="J930"/>
      <c r="M930" s="9" t="s">
        <v>21</v>
      </c>
      <c r="N930" t="s">
        <v>5531</v>
      </c>
      <c r="O930" s="73">
        <v>1</v>
      </c>
      <c r="P930" s="7">
        <f t="shared" si="46"/>
        <v>0</v>
      </c>
      <c r="Q930" s="7">
        <f t="shared" si="45"/>
        <v>0.5</v>
      </c>
      <c r="R930">
        <f t="shared" si="44"/>
        <v>0</v>
      </c>
    </row>
    <row r="931" spans="1:18" x14ac:dyDescent="0.2">
      <c r="A931" t="s">
        <v>1523</v>
      </c>
      <c r="B931" s="4" t="s">
        <v>1524</v>
      </c>
      <c r="J931"/>
      <c r="M931" s="9"/>
      <c r="N931" t="s">
        <v>5641</v>
      </c>
      <c r="O931" s="73"/>
      <c r="P931" s="7">
        <f t="shared" si="46"/>
        <v>0</v>
      </c>
      <c r="Q931" s="7">
        <f t="shared" si="45"/>
        <v>0</v>
      </c>
      <c r="R931">
        <f t="shared" si="44"/>
        <v>0</v>
      </c>
    </row>
    <row r="932" spans="1:18" x14ac:dyDescent="0.2">
      <c r="A932" t="s">
        <v>1525</v>
      </c>
      <c r="B932" s="4" t="s">
        <v>1526</v>
      </c>
      <c r="J932"/>
      <c r="K932">
        <v>1</v>
      </c>
      <c r="M932" s="9"/>
      <c r="N932" t="s">
        <v>275</v>
      </c>
      <c r="O932" s="73">
        <v>1</v>
      </c>
      <c r="P932" s="7">
        <f t="shared" si="46"/>
        <v>0</v>
      </c>
      <c r="Q932" s="7">
        <f t="shared" si="45"/>
        <v>0.5</v>
      </c>
      <c r="R932">
        <f t="shared" si="44"/>
        <v>0</v>
      </c>
    </row>
    <row r="933" spans="1:18" x14ac:dyDescent="0.2">
      <c r="A933" t="s">
        <v>6058</v>
      </c>
      <c r="B933" s="4" t="s">
        <v>6059</v>
      </c>
      <c r="J933"/>
      <c r="K933">
        <v>1</v>
      </c>
      <c r="M933" s="9"/>
      <c r="N933" t="s">
        <v>5549</v>
      </c>
      <c r="O933" s="73"/>
      <c r="P933" s="7">
        <f t="shared" si="46"/>
        <v>0</v>
      </c>
      <c r="Q933" s="7">
        <f t="shared" si="45"/>
        <v>0</v>
      </c>
      <c r="R933">
        <f t="shared" si="44"/>
        <v>0</v>
      </c>
    </row>
    <row r="934" spans="1:18" x14ac:dyDescent="0.2">
      <c r="A934" t="s">
        <v>6060</v>
      </c>
      <c r="B934" s="4" t="s">
        <v>6061</v>
      </c>
      <c r="J934"/>
      <c r="M934" s="9"/>
      <c r="N934" t="s">
        <v>275</v>
      </c>
      <c r="O934" s="73">
        <v>1</v>
      </c>
      <c r="P934" s="7">
        <f t="shared" si="46"/>
        <v>0</v>
      </c>
      <c r="Q934" s="7">
        <f t="shared" si="45"/>
        <v>0.5</v>
      </c>
      <c r="R934">
        <f t="shared" si="44"/>
        <v>0</v>
      </c>
    </row>
    <row r="935" spans="1:18" x14ac:dyDescent="0.2">
      <c r="A935" t="s">
        <v>6062</v>
      </c>
      <c r="B935" s="4" t="s">
        <v>6063</v>
      </c>
      <c r="J935"/>
      <c r="M935" s="9"/>
      <c r="N935" t="s">
        <v>5537</v>
      </c>
      <c r="O935" s="73"/>
      <c r="P935" s="7">
        <f t="shared" si="46"/>
        <v>0</v>
      </c>
      <c r="Q935" s="7">
        <f t="shared" si="45"/>
        <v>0</v>
      </c>
      <c r="R935">
        <f t="shared" si="44"/>
        <v>0</v>
      </c>
    </row>
    <row r="936" spans="1:18" x14ac:dyDescent="0.2">
      <c r="A936" t="s">
        <v>6064</v>
      </c>
      <c r="B936" s="4" t="s">
        <v>6065</v>
      </c>
      <c r="J936"/>
      <c r="K936">
        <v>1</v>
      </c>
      <c r="M936" s="9" t="s">
        <v>21</v>
      </c>
      <c r="N936" t="s">
        <v>5531</v>
      </c>
      <c r="O936" s="73">
        <v>1</v>
      </c>
      <c r="P936" s="7">
        <f t="shared" si="46"/>
        <v>0</v>
      </c>
      <c r="Q936" s="7">
        <f t="shared" si="45"/>
        <v>0.5</v>
      </c>
      <c r="R936">
        <f t="shared" si="44"/>
        <v>0</v>
      </c>
    </row>
    <row r="937" spans="1:18" ht="16" x14ac:dyDescent="0.2">
      <c r="A937" t="s">
        <v>6066</v>
      </c>
      <c r="B937" s="4" t="s">
        <v>6067</v>
      </c>
      <c r="J937"/>
      <c r="K937">
        <v>1</v>
      </c>
      <c r="M937" s="9"/>
      <c r="N937" t="s">
        <v>5534</v>
      </c>
      <c r="O937" s="74">
        <v>0.5</v>
      </c>
      <c r="P937" s="7">
        <f t="shared" si="46"/>
        <v>0</v>
      </c>
      <c r="Q937" s="7">
        <f t="shared" si="45"/>
        <v>0.25</v>
      </c>
      <c r="R937">
        <f t="shared" si="44"/>
        <v>0</v>
      </c>
    </row>
    <row r="938" spans="1:18" x14ac:dyDescent="0.2">
      <c r="A938" t="s">
        <v>6068</v>
      </c>
      <c r="B938" s="4" t="s">
        <v>6069</v>
      </c>
      <c r="J938"/>
      <c r="M938" s="9" t="s">
        <v>21</v>
      </c>
      <c r="N938" t="s">
        <v>86</v>
      </c>
      <c r="O938" s="73"/>
      <c r="P938" s="7">
        <f t="shared" si="46"/>
        <v>0</v>
      </c>
      <c r="Q938" s="7">
        <f t="shared" si="45"/>
        <v>0</v>
      </c>
      <c r="R938">
        <f t="shared" si="44"/>
        <v>0</v>
      </c>
    </row>
    <row r="939" spans="1:18" x14ac:dyDescent="0.2">
      <c r="A939" t="s">
        <v>6070</v>
      </c>
      <c r="B939" s="4" t="s">
        <v>6071</v>
      </c>
      <c r="J939"/>
      <c r="K939">
        <v>1</v>
      </c>
      <c r="M939" s="9" t="s">
        <v>32</v>
      </c>
      <c r="N939" t="s">
        <v>5539</v>
      </c>
      <c r="O939" s="73"/>
      <c r="P939" s="7">
        <f t="shared" si="46"/>
        <v>0</v>
      </c>
      <c r="Q939" s="7">
        <f t="shared" si="45"/>
        <v>0</v>
      </c>
      <c r="R939">
        <f t="shared" si="44"/>
        <v>0</v>
      </c>
    </row>
    <row r="940" spans="1:18" x14ac:dyDescent="0.2">
      <c r="A940" t="s">
        <v>6072</v>
      </c>
      <c r="B940" s="4" t="s">
        <v>6073</v>
      </c>
      <c r="J940"/>
      <c r="M940" s="9"/>
      <c r="N940" t="s">
        <v>275</v>
      </c>
      <c r="O940" s="73">
        <v>1</v>
      </c>
      <c r="P940" s="7">
        <f t="shared" si="46"/>
        <v>0</v>
      </c>
      <c r="Q940" s="7">
        <f t="shared" si="45"/>
        <v>0.5</v>
      </c>
      <c r="R940">
        <f t="shared" si="44"/>
        <v>0</v>
      </c>
    </row>
    <row r="941" spans="1:18" x14ac:dyDescent="0.2">
      <c r="A941" t="s">
        <v>6074</v>
      </c>
      <c r="B941" s="4" t="s">
        <v>6075</v>
      </c>
      <c r="J941"/>
      <c r="K941">
        <v>1</v>
      </c>
      <c r="M941" s="9" t="s">
        <v>21</v>
      </c>
      <c r="N941" t="s">
        <v>5528</v>
      </c>
      <c r="O941" s="73"/>
      <c r="P941" s="7">
        <f t="shared" si="46"/>
        <v>0</v>
      </c>
      <c r="Q941" s="7">
        <f t="shared" si="45"/>
        <v>0</v>
      </c>
      <c r="R941">
        <f t="shared" si="44"/>
        <v>0</v>
      </c>
    </row>
    <row r="942" spans="1:18" x14ac:dyDescent="0.2">
      <c r="A942" t="s">
        <v>6076</v>
      </c>
      <c r="B942" s="4" t="s">
        <v>6077</v>
      </c>
      <c r="J942"/>
      <c r="M942" s="9"/>
      <c r="N942" t="s">
        <v>83</v>
      </c>
      <c r="O942" s="73"/>
      <c r="P942" s="7">
        <f t="shared" si="46"/>
        <v>0</v>
      </c>
      <c r="Q942" s="7">
        <f t="shared" si="45"/>
        <v>0</v>
      </c>
      <c r="R942">
        <f t="shared" si="44"/>
        <v>0</v>
      </c>
    </row>
    <row r="943" spans="1:18" x14ac:dyDescent="0.2">
      <c r="A943" t="s">
        <v>1543</v>
      </c>
      <c r="B943" s="4" t="s">
        <v>1544</v>
      </c>
      <c r="J943"/>
      <c r="M943" s="9"/>
      <c r="N943" t="s">
        <v>6078</v>
      </c>
      <c r="O943" s="73"/>
      <c r="P943" s="7">
        <f t="shared" si="46"/>
        <v>0</v>
      </c>
      <c r="Q943" s="7">
        <f t="shared" si="45"/>
        <v>0</v>
      </c>
      <c r="R943">
        <f t="shared" si="44"/>
        <v>0</v>
      </c>
    </row>
    <row r="944" spans="1:18" x14ac:dyDescent="0.2">
      <c r="A944" t="s">
        <v>6079</v>
      </c>
      <c r="B944" s="4" t="s">
        <v>6080</v>
      </c>
      <c r="J944"/>
      <c r="M944" s="9" t="s">
        <v>21</v>
      </c>
      <c r="N944" t="s">
        <v>1330</v>
      </c>
      <c r="O944" s="73"/>
      <c r="P944" s="7">
        <f t="shared" si="46"/>
        <v>0</v>
      </c>
      <c r="Q944" s="7">
        <f t="shared" si="45"/>
        <v>0</v>
      </c>
      <c r="R944">
        <f t="shared" si="44"/>
        <v>0</v>
      </c>
    </row>
    <row r="945" spans="1:18" x14ac:dyDescent="0.2">
      <c r="A945" t="s">
        <v>6081</v>
      </c>
      <c r="B945" s="4" t="s">
        <v>6082</v>
      </c>
      <c r="J945"/>
      <c r="K945">
        <v>1</v>
      </c>
      <c r="M945" s="9"/>
      <c r="N945" t="s">
        <v>5787</v>
      </c>
      <c r="O945" s="73"/>
      <c r="P945" s="7">
        <f t="shared" si="46"/>
        <v>0</v>
      </c>
      <c r="Q945" s="7">
        <f t="shared" si="45"/>
        <v>0</v>
      </c>
      <c r="R945">
        <f t="shared" si="44"/>
        <v>0</v>
      </c>
    </row>
    <row r="946" spans="1:18" x14ac:dyDescent="0.2">
      <c r="A946" t="s">
        <v>6083</v>
      </c>
      <c r="B946" s="4" t="s">
        <v>6084</v>
      </c>
      <c r="J946"/>
      <c r="K946">
        <v>1</v>
      </c>
      <c r="M946" s="9"/>
      <c r="N946" t="s">
        <v>5522</v>
      </c>
      <c r="O946" s="73"/>
      <c r="P946" s="7">
        <f t="shared" si="46"/>
        <v>0</v>
      </c>
      <c r="Q946" s="7">
        <f t="shared" si="45"/>
        <v>0</v>
      </c>
      <c r="R946">
        <f t="shared" si="44"/>
        <v>0</v>
      </c>
    </row>
    <row r="947" spans="1:18" x14ac:dyDescent="0.2">
      <c r="A947" t="s">
        <v>6085</v>
      </c>
      <c r="B947" s="4" t="s">
        <v>6086</v>
      </c>
      <c r="J947"/>
      <c r="M947" s="9"/>
      <c r="N947" t="s">
        <v>1320</v>
      </c>
      <c r="O947" s="73"/>
      <c r="P947" s="7">
        <f t="shared" si="46"/>
        <v>0</v>
      </c>
      <c r="Q947" s="7">
        <f t="shared" si="45"/>
        <v>0</v>
      </c>
      <c r="R947">
        <f t="shared" si="44"/>
        <v>0</v>
      </c>
    </row>
    <row r="948" spans="1:18" x14ac:dyDescent="0.2">
      <c r="A948" t="s">
        <v>6087</v>
      </c>
      <c r="B948" s="4" t="s">
        <v>6088</v>
      </c>
      <c r="C948" t="s">
        <v>201</v>
      </c>
      <c r="J948"/>
      <c r="M948" s="9"/>
      <c r="N948" t="s">
        <v>5658</v>
      </c>
      <c r="O948" s="73"/>
      <c r="P948" s="7">
        <f t="shared" si="46"/>
        <v>0</v>
      </c>
      <c r="Q948" s="7">
        <f t="shared" si="45"/>
        <v>0</v>
      </c>
      <c r="R948">
        <f t="shared" si="44"/>
        <v>0</v>
      </c>
    </row>
    <row r="949" spans="1:18" x14ac:dyDescent="0.2">
      <c r="A949" t="s">
        <v>6089</v>
      </c>
      <c r="B949" s="4" t="s">
        <v>6090</v>
      </c>
      <c r="C949" t="s">
        <v>20</v>
      </c>
      <c r="J949"/>
      <c r="M949" s="9" t="s">
        <v>21</v>
      </c>
      <c r="N949" t="s">
        <v>5575</v>
      </c>
      <c r="O949" s="73">
        <v>1</v>
      </c>
      <c r="P949" s="7">
        <f t="shared" si="46"/>
        <v>0</v>
      </c>
      <c r="Q949" s="7">
        <f t="shared" si="45"/>
        <v>0.5</v>
      </c>
      <c r="R949">
        <f t="shared" si="44"/>
        <v>0</v>
      </c>
    </row>
    <row r="950" spans="1:18" x14ac:dyDescent="0.2">
      <c r="A950" t="s">
        <v>6091</v>
      </c>
      <c r="B950" s="4" t="s">
        <v>6092</v>
      </c>
      <c r="J950"/>
      <c r="K950">
        <v>1</v>
      </c>
      <c r="M950" s="9"/>
      <c r="N950" t="s">
        <v>5522</v>
      </c>
      <c r="O950" s="73"/>
      <c r="P950" s="7">
        <f t="shared" si="46"/>
        <v>0</v>
      </c>
      <c r="Q950" s="7">
        <f t="shared" si="45"/>
        <v>0</v>
      </c>
      <c r="R950">
        <f t="shared" si="44"/>
        <v>0</v>
      </c>
    </row>
    <row r="951" spans="1:18" x14ac:dyDescent="0.2">
      <c r="A951" t="s">
        <v>6093</v>
      </c>
      <c r="B951" s="4" t="s">
        <v>6094</v>
      </c>
      <c r="J951"/>
      <c r="M951" s="9"/>
      <c r="N951" t="s">
        <v>2615</v>
      </c>
      <c r="O951" s="73"/>
      <c r="P951" s="7">
        <f t="shared" si="46"/>
        <v>0</v>
      </c>
      <c r="Q951" s="7">
        <f t="shared" si="45"/>
        <v>0</v>
      </c>
      <c r="R951">
        <f t="shared" si="44"/>
        <v>0</v>
      </c>
    </row>
    <row r="952" spans="1:18" x14ac:dyDescent="0.2">
      <c r="A952" t="s">
        <v>6095</v>
      </c>
      <c r="B952" s="4" t="s">
        <v>6096</v>
      </c>
      <c r="J952"/>
      <c r="M952" s="9"/>
      <c r="N952" t="s">
        <v>275</v>
      </c>
      <c r="O952" s="73">
        <v>1</v>
      </c>
      <c r="P952" s="7">
        <f t="shared" si="46"/>
        <v>0</v>
      </c>
      <c r="Q952" s="7">
        <f t="shared" si="45"/>
        <v>0.5</v>
      </c>
      <c r="R952">
        <f t="shared" si="44"/>
        <v>0</v>
      </c>
    </row>
    <row r="953" spans="1:18" x14ac:dyDescent="0.2">
      <c r="A953" t="s">
        <v>1353</v>
      </c>
      <c r="B953" s="4" t="s">
        <v>1354</v>
      </c>
      <c r="J953"/>
      <c r="K953">
        <v>1</v>
      </c>
      <c r="M953" s="9"/>
      <c r="N953" t="s">
        <v>5651</v>
      </c>
      <c r="O953" s="73"/>
      <c r="P953" s="7">
        <f t="shared" si="46"/>
        <v>0</v>
      </c>
      <c r="Q953" s="7">
        <f t="shared" si="45"/>
        <v>0</v>
      </c>
      <c r="R953">
        <f t="shared" si="44"/>
        <v>0</v>
      </c>
    </row>
    <row r="954" spans="1:18" x14ac:dyDescent="0.2">
      <c r="A954" t="s">
        <v>6097</v>
      </c>
      <c r="B954" s="4" t="s">
        <v>6098</v>
      </c>
      <c r="J954"/>
      <c r="M954" s="9"/>
      <c r="N954" t="s">
        <v>236</v>
      </c>
      <c r="O954" s="73"/>
      <c r="P954" s="7">
        <f t="shared" si="46"/>
        <v>0</v>
      </c>
      <c r="Q954" s="7">
        <f t="shared" si="45"/>
        <v>0</v>
      </c>
      <c r="R954">
        <f t="shared" si="44"/>
        <v>0</v>
      </c>
    </row>
    <row r="955" spans="1:18" x14ac:dyDescent="0.2">
      <c r="A955" t="s">
        <v>6099</v>
      </c>
      <c r="B955" s="4" t="s">
        <v>6100</v>
      </c>
      <c r="J955"/>
      <c r="M955" s="9" t="s">
        <v>32</v>
      </c>
      <c r="N955" t="s">
        <v>5539</v>
      </c>
      <c r="O955" s="73"/>
      <c r="P955" s="7">
        <f t="shared" si="46"/>
        <v>0</v>
      </c>
      <c r="Q955" s="7">
        <f t="shared" si="45"/>
        <v>0</v>
      </c>
      <c r="R955">
        <f t="shared" si="44"/>
        <v>0</v>
      </c>
    </row>
    <row r="956" spans="1:18" x14ac:dyDescent="0.2">
      <c r="A956" t="s">
        <v>6101</v>
      </c>
      <c r="B956" s="4" t="s">
        <v>6102</v>
      </c>
      <c r="J956"/>
      <c r="K956">
        <v>1</v>
      </c>
      <c r="M956" s="9"/>
      <c r="N956" t="s">
        <v>83</v>
      </c>
      <c r="O956" s="73"/>
      <c r="P956" s="7">
        <f t="shared" si="46"/>
        <v>0</v>
      </c>
      <c r="Q956" s="7">
        <f t="shared" si="45"/>
        <v>0</v>
      </c>
      <c r="R956">
        <f t="shared" si="44"/>
        <v>0</v>
      </c>
    </row>
    <row r="957" spans="1:18" x14ac:dyDescent="0.2">
      <c r="A957" t="s">
        <v>6103</v>
      </c>
      <c r="B957" s="52" t="s">
        <v>1336</v>
      </c>
      <c r="J957"/>
      <c r="M957" s="9"/>
      <c r="N957" t="s">
        <v>275</v>
      </c>
      <c r="O957" s="73">
        <v>1</v>
      </c>
      <c r="P957" s="7">
        <f t="shared" si="46"/>
        <v>0</v>
      </c>
      <c r="Q957" s="7">
        <f t="shared" si="45"/>
        <v>0.5</v>
      </c>
      <c r="R957">
        <f t="shared" si="44"/>
        <v>0</v>
      </c>
    </row>
    <row r="958" spans="1:18" x14ac:dyDescent="0.2">
      <c r="A958" t="s">
        <v>6104</v>
      </c>
      <c r="B958" s="4" t="s">
        <v>6105</v>
      </c>
      <c r="J958"/>
      <c r="M958" s="9" t="s">
        <v>21</v>
      </c>
      <c r="N958" t="s">
        <v>86</v>
      </c>
      <c r="O958" s="73"/>
      <c r="P958" s="7">
        <f t="shared" si="46"/>
        <v>0</v>
      </c>
      <c r="Q958" s="7">
        <f t="shared" si="45"/>
        <v>0</v>
      </c>
      <c r="R958">
        <f t="shared" si="44"/>
        <v>0</v>
      </c>
    </row>
    <row r="959" spans="1:18" x14ac:dyDescent="0.2">
      <c r="A959" t="s">
        <v>6106</v>
      </c>
      <c r="B959" s="4" t="s">
        <v>6107</v>
      </c>
      <c r="J959"/>
      <c r="M959" s="9"/>
      <c r="N959" t="s">
        <v>83</v>
      </c>
      <c r="O959" s="73"/>
      <c r="P959" s="7">
        <f t="shared" si="46"/>
        <v>0</v>
      </c>
      <c r="Q959" s="7">
        <f t="shared" si="45"/>
        <v>0</v>
      </c>
      <c r="R959">
        <f t="shared" si="44"/>
        <v>0</v>
      </c>
    </row>
    <row r="960" spans="1:18" x14ac:dyDescent="0.2">
      <c r="A960" t="s">
        <v>6108</v>
      </c>
      <c r="B960" s="4" t="s">
        <v>6109</v>
      </c>
      <c r="J960"/>
      <c r="M960" s="9"/>
      <c r="N960" t="s">
        <v>1313</v>
      </c>
      <c r="O960" s="73"/>
      <c r="P960" s="7">
        <f t="shared" si="46"/>
        <v>0</v>
      </c>
      <c r="Q960" s="7">
        <f t="shared" si="45"/>
        <v>0</v>
      </c>
      <c r="R960">
        <f t="shared" si="44"/>
        <v>0</v>
      </c>
    </row>
    <row r="961" spans="1:18" x14ac:dyDescent="0.2">
      <c r="A961" t="s">
        <v>1347</v>
      </c>
      <c r="B961" s="4" t="s">
        <v>1348</v>
      </c>
      <c r="J961"/>
      <c r="K961">
        <v>1</v>
      </c>
      <c r="M961" s="9"/>
      <c r="N961" t="s">
        <v>5525</v>
      </c>
      <c r="O961" s="73"/>
      <c r="P961" s="7">
        <f t="shared" si="46"/>
        <v>0</v>
      </c>
      <c r="Q961" s="7">
        <f t="shared" si="45"/>
        <v>0</v>
      </c>
      <c r="R961">
        <f t="shared" si="44"/>
        <v>0</v>
      </c>
    </row>
    <row r="962" spans="1:18" x14ac:dyDescent="0.2">
      <c r="A962" t="s">
        <v>6112</v>
      </c>
      <c r="B962" s="4" t="s">
        <v>6113</v>
      </c>
      <c r="J962"/>
      <c r="K962">
        <v>1</v>
      </c>
      <c r="M962" s="9"/>
      <c r="N962" t="s">
        <v>5549</v>
      </c>
      <c r="O962" s="73"/>
      <c r="P962" s="7">
        <f t="shared" si="46"/>
        <v>0</v>
      </c>
      <c r="Q962" s="7">
        <f t="shared" si="45"/>
        <v>0</v>
      </c>
      <c r="R962">
        <f t="shared" ref="R962:R1025" si="47">IF(_xlfn.BITAND(P962&gt;0.4999, Q962&gt;0.4999)=1,1,0)</f>
        <v>0</v>
      </c>
    </row>
    <row r="963" spans="1:18" x14ac:dyDescent="0.2">
      <c r="A963" t="s">
        <v>6114</v>
      </c>
      <c r="B963" s="4" t="s">
        <v>6115</v>
      </c>
      <c r="J963"/>
      <c r="M963" s="9" t="s">
        <v>21</v>
      </c>
      <c r="N963" t="s">
        <v>51</v>
      </c>
      <c r="O963" s="73"/>
      <c r="P963" s="7">
        <f t="shared" si="46"/>
        <v>0</v>
      </c>
      <c r="Q963" s="7">
        <f t="shared" si="45"/>
        <v>0</v>
      </c>
      <c r="R963">
        <f t="shared" si="47"/>
        <v>0</v>
      </c>
    </row>
    <row r="964" spans="1:18" x14ac:dyDescent="0.2">
      <c r="A964" t="s">
        <v>58</v>
      </c>
      <c r="B964" s="4" t="s">
        <v>6116</v>
      </c>
      <c r="J964"/>
      <c r="M964" s="9" t="s">
        <v>21</v>
      </c>
      <c r="N964" t="s">
        <v>51</v>
      </c>
      <c r="O964" s="73"/>
      <c r="P964" s="7">
        <f t="shared" si="46"/>
        <v>0</v>
      </c>
      <c r="Q964" s="7">
        <f t="shared" si="45"/>
        <v>0</v>
      </c>
      <c r="R964">
        <f t="shared" si="47"/>
        <v>0</v>
      </c>
    </row>
    <row r="965" spans="1:18" x14ac:dyDescent="0.2">
      <c r="A965" t="s">
        <v>6117</v>
      </c>
      <c r="B965" s="4" t="s">
        <v>6118</v>
      </c>
      <c r="C965" t="s">
        <v>201</v>
      </c>
      <c r="J965"/>
      <c r="M965" s="9" t="s">
        <v>21</v>
      </c>
      <c r="N965" t="s">
        <v>5575</v>
      </c>
      <c r="O965" s="73">
        <v>1</v>
      </c>
      <c r="P965" s="7">
        <f t="shared" si="46"/>
        <v>0</v>
      </c>
      <c r="Q965" s="7">
        <f t="shared" si="45"/>
        <v>0.5</v>
      </c>
      <c r="R965">
        <f t="shared" si="47"/>
        <v>0</v>
      </c>
    </row>
    <row r="966" spans="1:18" x14ac:dyDescent="0.2">
      <c r="A966" t="s">
        <v>6119</v>
      </c>
      <c r="B966" s="4" t="s">
        <v>6120</v>
      </c>
      <c r="C966" t="s">
        <v>20</v>
      </c>
      <c r="E966">
        <v>1</v>
      </c>
      <c r="J966"/>
      <c r="M966" s="9" t="s">
        <v>21</v>
      </c>
      <c r="N966" t="s">
        <v>51</v>
      </c>
      <c r="O966" s="73"/>
      <c r="P966" s="7">
        <f t="shared" si="46"/>
        <v>0.14285714285714285</v>
      </c>
      <c r="Q966" s="7">
        <f t="shared" si="45"/>
        <v>7.1428571428571425E-2</v>
      </c>
      <c r="R966">
        <f t="shared" si="47"/>
        <v>0</v>
      </c>
    </row>
    <row r="967" spans="1:18" x14ac:dyDescent="0.2">
      <c r="A967" t="s">
        <v>6121</v>
      </c>
      <c r="B967" s="4" t="s">
        <v>6122</v>
      </c>
      <c r="J967"/>
      <c r="M967" s="9"/>
      <c r="N967" t="s">
        <v>5641</v>
      </c>
      <c r="O967" s="73"/>
      <c r="P967" s="7">
        <f t="shared" si="46"/>
        <v>0</v>
      </c>
      <c r="Q967" s="7">
        <f t="shared" si="45"/>
        <v>0</v>
      </c>
      <c r="R967">
        <f t="shared" si="47"/>
        <v>0</v>
      </c>
    </row>
    <row r="968" spans="1:18" x14ac:dyDescent="0.2">
      <c r="A968" t="s">
        <v>6123</v>
      </c>
      <c r="B968" s="4" t="s">
        <v>6124</v>
      </c>
      <c r="J968"/>
      <c r="K968">
        <v>1</v>
      </c>
      <c r="M968" s="9"/>
      <c r="N968" t="s">
        <v>5907</v>
      </c>
      <c r="O968" s="73"/>
      <c r="P968" s="7">
        <f t="shared" si="46"/>
        <v>0</v>
      </c>
      <c r="Q968" s="7">
        <f t="shared" si="45"/>
        <v>0</v>
      </c>
      <c r="R968">
        <f t="shared" si="47"/>
        <v>0</v>
      </c>
    </row>
    <row r="969" spans="1:18" x14ac:dyDescent="0.2">
      <c r="A969" t="s">
        <v>6125</v>
      </c>
      <c r="B969" s="4" t="s">
        <v>6126</v>
      </c>
      <c r="J969"/>
      <c r="K969">
        <v>1</v>
      </c>
      <c r="M969" s="9"/>
      <c r="N969" t="s">
        <v>5865</v>
      </c>
      <c r="O969" s="73"/>
      <c r="P969" s="7">
        <f t="shared" si="46"/>
        <v>0</v>
      </c>
      <c r="Q969" s="7">
        <f t="shared" si="45"/>
        <v>0</v>
      </c>
      <c r="R969">
        <f t="shared" si="47"/>
        <v>0</v>
      </c>
    </row>
    <row r="970" spans="1:18" x14ac:dyDescent="0.2">
      <c r="A970" t="s">
        <v>6127</v>
      </c>
      <c r="B970" s="4" t="s">
        <v>6128</v>
      </c>
      <c r="J970"/>
      <c r="K970">
        <v>1</v>
      </c>
      <c r="M970" s="9"/>
      <c r="N970" t="s">
        <v>5583</v>
      </c>
      <c r="O970" s="73"/>
      <c r="P970" s="7">
        <f t="shared" si="46"/>
        <v>0</v>
      </c>
      <c r="Q970" s="7">
        <f t="shared" si="45"/>
        <v>0</v>
      </c>
      <c r="R970">
        <f t="shared" si="47"/>
        <v>0</v>
      </c>
    </row>
    <row r="971" spans="1:18" x14ac:dyDescent="0.2">
      <c r="A971" t="s">
        <v>6129</v>
      </c>
      <c r="B971" s="4" t="s">
        <v>6130</v>
      </c>
      <c r="J971"/>
      <c r="M971" s="9" t="s">
        <v>21</v>
      </c>
      <c r="N971" t="s">
        <v>5505</v>
      </c>
      <c r="O971" s="73"/>
      <c r="P971" s="7">
        <f t="shared" si="46"/>
        <v>0</v>
      </c>
      <c r="Q971" s="7">
        <f t="shared" si="45"/>
        <v>0</v>
      </c>
      <c r="R971">
        <f t="shared" si="47"/>
        <v>0</v>
      </c>
    </row>
    <row r="972" spans="1:18" x14ac:dyDescent="0.2">
      <c r="A972" t="s">
        <v>6131</v>
      </c>
      <c r="B972" s="4" t="s">
        <v>6132</v>
      </c>
      <c r="J972"/>
      <c r="M972" s="9"/>
      <c r="N972" t="s">
        <v>45</v>
      </c>
      <c r="O972" s="73"/>
      <c r="P972" s="7">
        <f t="shared" si="46"/>
        <v>0</v>
      </c>
      <c r="Q972" s="7">
        <f t="shared" si="45"/>
        <v>0</v>
      </c>
      <c r="R972">
        <f t="shared" si="47"/>
        <v>0</v>
      </c>
    </row>
    <row r="973" spans="1:18" x14ac:dyDescent="0.2">
      <c r="A973" t="s">
        <v>1311</v>
      </c>
      <c r="B973" s="4" t="s">
        <v>1312</v>
      </c>
      <c r="J973"/>
      <c r="M973" s="9"/>
      <c r="N973" t="s">
        <v>1313</v>
      </c>
      <c r="O973" s="73"/>
      <c r="P973" s="7">
        <f t="shared" si="46"/>
        <v>0</v>
      </c>
      <c r="Q973" s="7">
        <f t="shared" ref="Q973:Q1036" si="48">(O973+P973)/2</f>
        <v>0</v>
      </c>
      <c r="R973">
        <f t="shared" si="47"/>
        <v>0</v>
      </c>
    </row>
    <row r="974" spans="1:18" x14ac:dyDescent="0.2">
      <c r="A974" t="s">
        <v>6133</v>
      </c>
      <c r="B974" s="4" t="s">
        <v>6134</v>
      </c>
      <c r="J974"/>
      <c r="M974" s="9"/>
      <c r="N974" t="s">
        <v>83</v>
      </c>
      <c r="O974" s="73"/>
      <c r="P974" s="7">
        <f t="shared" si="46"/>
        <v>0</v>
      </c>
      <c r="Q974" s="7">
        <f t="shared" si="48"/>
        <v>0</v>
      </c>
      <c r="R974">
        <f t="shared" si="47"/>
        <v>0</v>
      </c>
    </row>
    <row r="975" spans="1:18" x14ac:dyDescent="0.2">
      <c r="A975" t="s">
        <v>6135</v>
      </c>
      <c r="B975" s="4" t="s">
        <v>6136</v>
      </c>
      <c r="J975"/>
      <c r="K975">
        <v>1</v>
      </c>
      <c r="M975" s="9"/>
      <c r="N975" t="s">
        <v>45</v>
      </c>
      <c r="O975" s="73"/>
      <c r="P975" s="7">
        <f t="shared" si="46"/>
        <v>0</v>
      </c>
      <c r="Q975" s="7">
        <f t="shared" si="48"/>
        <v>0</v>
      </c>
      <c r="R975">
        <f t="shared" si="47"/>
        <v>0</v>
      </c>
    </row>
    <row r="976" spans="1:18" x14ac:dyDescent="0.2">
      <c r="A976" t="s">
        <v>6137</v>
      </c>
      <c r="B976" s="4" t="s">
        <v>6138</v>
      </c>
      <c r="J976"/>
      <c r="M976" s="9"/>
      <c r="N976" t="s">
        <v>1320</v>
      </c>
      <c r="O976" s="73"/>
      <c r="P976" s="7">
        <f t="shared" si="46"/>
        <v>0</v>
      </c>
      <c r="Q976" s="7">
        <f t="shared" si="48"/>
        <v>0</v>
      </c>
      <c r="R976">
        <f t="shared" si="47"/>
        <v>0</v>
      </c>
    </row>
    <row r="977" spans="1:18" ht="16" x14ac:dyDescent="0.2">
      <c r="A977" t="s">
        <v>6139</v>
      </c>
      <c r="C977" t="s">
        <v>184</v>
      </c>
      <c r="J977"/>
      <c r="M977" s="9"/>
      <c r="N977" t="s">
        <v>5534</v>
      </c>
      <c r="O977" s="74">
        <v>0.5</v>
      </c>
      <c r="P977" s="7">
        <f t="shared" si="46"/>
        <v>0</v>
      </c>
      <c r="Q977" s="7">
        <f t="shared" si="48"/>
        <v>0.25</v>
      </c>
      <c r="R977">
        <f t="shared" si="47"/>
        <v>0</v>
      </c>
    </row>
    <row r="978" spans="1:18" x14ac:dyDescent="0.2">
      <c r="A978" t="s">
        <v>6140</v>
      </c>
      <c r="B978" s="4" t="s">
        <v>6141</v>
      </c>
      <c r="J978"/>
      <c r="M978" s="9" t="s">
        <v>21</v>
      </c>
      <c r="N978" t="s">
        <v>86</v>
      </c>
      <c r="O978" s="73"/>
      <c r="P978" s="7">
        <f t="shared" si="46"/>
        <v>0</v>
      </c>
      <c r="Q978" s="7">
        <f t="shared" si="48"/>
        <v>0</v>
      </c>
      <c r="R978">
        <f t="shared" si="47"/>
        <v>0</v>
      </c>
    </row>
    <row r="979" spans="1:18" x14ac:dyDescent="0.2">
      <c r="A979" t="s">
        <v>6142</v>
      </c>
      <c r="B979" s="4" t="s">
        <v>6143</v>
      </c>
      <c r="J979"/>
      <c r="M979" s="9"/>
      <c r="N979" t="s">
        <v>1323</v>
      </c>
      <c r="O979" s="73"/>
      <c r="P979" s="7">
        <f t="shared" si="46"/>
        <v>0</v>
      </c>
      <c r="Q979" s="7">
        <f t="shared" si="48"/>
        <v>0</v>
      </c>
      <c r="R979">
        <f t="shared" si="47"/>
        <v>0</v>
      </c>
    </row>
    <row r="980" spans="1:18" x14ac:dyDescent="0.2">
      <c r="A980" t="s">
        <v>6144</v>
      </c>
      <c r="B980" s="4" t="s">
        <v>6145</v>
      </c>
      <c r="J980"/>
      <c r="K980">
        <v>1</v>
      </c>
      <c r="M980" s="9"/>
      <c r="N980" t="s">
        <v>5907</v>
      </c>
      <c r="O980" s="73"/>
      <c r="P980" s="7">
        <f t="shared" si="46"/>
        <v>0</v>
      </c>
      <c r="Q980" s="7">
        <f t="shared" si="48"/>
        <v>0</v>
      </c>
      <c r="R980">
        <f t="shared" si="47"/>
        <v>0</v>
      </c>
    </row>
    <row r="981" spans="1:18" x14ac:dyDescent="0.2">
      <c r="A981" t="s">
        <v>6146</v>
      </c>
      <c r="B981" s="4" t="s">
        <v>6147</v>
      </c>
      <c r="J981"/>
      <c r="M981" s="9" t="s">
        <v>21</v>
      </c>
      <c r="N981" t="s">
        <v>5531</v>
      </c>
      <c r="O981" s="73">
        <v>1</v>
      </c>
      <c r="P981" s="7">
        <f t="shared" ref="P981:P1043" si="49">(D981+E981+F981+G981+H981+I981+J981)/7</f>
        <v>0</v>
      </c>
      <c r="Q981" s="7">
        <f t="shared" si="48"/>
        <v>0.5</v>
      </c>
      <c r="R981">
        <f t="shared" si="47"/>
        <v>0</v>
      </c>
    </row>
    <row r="982" spans="1:18" x14ac:dyDescent="0.2">
      <c r="A982" t="s">
        <v>6150</v>
      </c>
      <c r="B982" s="4" t="s">
        <v>6151</v>
      </c>
      <c r="J982"/>
      <c r="K982">
        <v>1</v>
      </c>
      <c r="M982" s="9"/>
      <c r="N982" t="s">
        <v>5658</v>
      </c>
      <c r="O982" s="73"/>
      <c r="P982" s="7">
        <f t="shared" si="49"/>
        <v>0</v>
      </c>
      <c r="Q982" s="7">
        <f t="shared" si="48"/>
        <v>0</v>
      </c>
      <c r="R982">
        <f t="shared" si="47"/>
        <v>0</v>
      </c>
    </row>
    <row r="983" spans="1:18" x14ac:dyDescent="0.2">
      <c r="A983" t="s">
        <v>6152</v>
      </c>
      <c r="B983" s="4" t="s">
        <v>6153</v>
      </c>
      <c r="J983"/>
      <c r="K983">
        <v>1</v>
      </c>
      <c r="M983" s="9"/>
      <c r="N983" t="s">
        <v>5549</v>
      </c>
      <c r="O983" s="73"/>
      <c r="P983" s="7">
        <f t="shared" si="49"/>
        <v>0</v>
      </c>
      <c r="Q983" s="7">
        <f t="shared" si="48"/>
        <v>0</v>
      </c>
      <c r="R983">
        <f t="shared" si="47"/>
        <v>0</v>
      </c>
    </row>
    <row r="984" spans="1:18" x14ac:dyDescent="0.2">
      <c r="A984" t="s">
        <v>6154</v>
      </c>
      <c r="B984" s="4" t="s">
        <v>6155</v>
      </c>
      <c r="J984"/>
      <c r="M984" s="9"/>
      <c r="N984" t="s">
        <v>5658</v>
      </c>
      <c r="O984" s="73"/>
      <c r="P984" s="7">
        <f t="shared" si="49"/>
        <v>0</v>
      </c>
      <c r="Q984" s="7">
        <f t="shared" si="48"/>
        <v>0</v>
      </c>
      <c r="R984">
        <f t="shared" si="47"/>
        <v>0</v>
      </c>
    </row>
    <row r="985" spans="1:18" x14ac:dyDescent="0.2">
      <c r="A985" t="s">
        <v>6156</v>
      </c>
      <c r="B985" s="4" t="s">
        <v>6157</v>
      </c>
      <c r="J985"/>
      <c r="M985" s="9"/>
      <c r="N985" t="s">
        <v>6158</v>
      </c>
      <c r="O985" s="73"/>
      <c r="P985" s="7">
        <f t="shared" si="49"/>
        <v>0</v>
      </c>
      <c r="Q985" s="7">
        <f t="shared" si="48"/>
        <v>0</v>
      </c>
      <c r="R985">
        <f t="shared" si="47"/>
        <v>0</v>
      </c>
    </row>
    <row r="986" spans="1:18" x14ac:dyDescent="0.2">
      <c r="A986" t="s">
        <v>6159</v>
      </c>
      <c r="B986" s="4" t="s">
        <v>6160</v>
      </c>
      <c r="J986"/>
      <c r="M986" s="9"/>
      <c r="N986" t="s">
        <v>45</v>
      </c>
      <c r="O986" s="73"/>
      <c r="P986" s="7">
        <f t="shared" si="49"/>
        <v>0</v>
      </c>
      <c r="Q986" s="7">
        <f t="shared" si="48"/>
        <v>0</v>
      </c>
      <c r="R986">
        <f t="shared" si="47"/>
        <v>0</v>
      </c>
    </row>
    <row r="987" spans="1:18" x14ac:dyDescent="0.2">
      <c r="A987" t="s">
        <v>6161</v>
      </c>
      <c r="B987" s="4" t="s">
        <v>6162</v>
      </c>
      <c r="J987"/>
      <c r="M987" s="9" t="s">
        <v>32</v>
      </c>
      <c r="N987" t="s">
        <v>5539</v>
      </c>
      <c r="O987" s="73"/>
      <c r="P987" s="7">
        <f t="shared" si="49"/>
        <v>0</v>
      </c>
      <c r="Q987" s="7">
        <f t="shared" si="48"/>
        <v>0</v>
      </c>
      <c r="R987">
        <f t="shared" si="47"/>
        <v>0</v>
      </c>
    </row>
    <row r="988" spans="1:18" x14ac:dyDescent="0.2">
      <c r="A988" t="s">
        <v>6163</v>
      </c>
      <c r="B988" s="4" t="s">
        <v>6164</v>
      </c>
      <c r="J988"/>
      <c r="K988">
        <v>1</v>
      </c>
      <c r="M988" s="9" t="s">
        <v>21</v>
      </c>
      <c r="N988" t="s">
        <v>5575</v>
      </c>
      <c r="O988" s="73">
        <v>1</v>
      </c>
      <c r="P988" s="7">
        <f t="shared" si="49"/>
        <v>0</v>
      </c>
      <c r="Q988" s="7">
        <f t="shared" si="48"/>
        <v>0.5</v>
      </c>
      <c r="R988">
        <f t="shared" si="47"/>
        <v>0</v>
      </c>
    </row>
    <row r="989" spans="1:18" ht="16" x14ac:dyDescent="0.2">
      <c r="A989" t="s">
        <v>6165</v>
      </c>
      <c r="B989" s="4" t="s">
        <v>6166</v>
      </c>
      <c r="J989"/>
      <c r="M989" s="9"/>
      <c r="N989" t="s">
        <v>5534</v>
      </c>
      <c r="O989" s="74">
        <v>0.5</v>
      </c>
      <c r="P989" s="7">
        <f t="shared" si="49"/>
        <v>0</v>
      </c>
      <c r="Q989" s="7">
        <f t="shared" si="48"/>
        <v>0.25</v>
      </c>
      <c r="R989">
        <f t="shared" si="47"/>
        <v>0</v>
      </c>
    </row>
    <row r="990" spans="1:18" x14ac:dyDescent="0.2">
      <c r="A990" t="s">
        <v>6167</v>
      </c>
      <c r="B990" s="4" t="s">
        <v>6168</v>
      </c>
      <c r="J990"/>
      <c r="M990" s="9"/>
      <c r="N990" t="s">
        <v>45</v>
      </c>
      <c r="O990" s="73"/>
      <c r="P990" s="7">
        <f t="shared" si="49"/>
        <v>0</v>
      </c>
      <c r="Q990" s="7">
        <f t="shared" si="48"/>
        <v>0</v>
      </c>
      <c r="R990">
        <f t="shared" si="47"/>
        <v>0</v>
      </c>
    </row>
    <row r="991" spans="1:18" x14ac:dyDescent="0.2">
      <c r="A991" t="s">
        <v>6169</v>
      </c>
      <c r="B991" s="4" t="s">
        <v>6170</v>
      </c>
      <c r="J991"/>
      <c r="K991">
        <v>1</v>
      </c>
      <c r="M991" s="9"/>
      <c r="N991" t="s">
        <v>5610</v>
      </c>
      <c r="O991" s="73"/>
      <c r="P991" s="7">
        <f t="shared" si="49"/>
        <v>0</v>
      </c>
      <c r="Q991" s="7">
        <f t="shared" si="48"/>
        <v>0</v>
      </c>
      <c r="R991">
        <f t="shared" si="47"/>
        <v>0</v>
      </c>
    </row>
    <row r="992" spans="1:18" x14ac:dyDescent="0.2">
      <c r="A992" t="s">
        <v>6171</v>
      </c>
      <c r="B992" s="4" t="s">
        <v>6172</v>
      </c>
      <c r="J992"/>
      <c r="M992" s="9"/>
      <c r="N992" t="s">
        <v>45</v>
      </c>
      <c r="O992" s="73"/>
      <c r="P992" s="7">
        <f t="shared" si="49"/>
        <v>0</v>
      </c>
      <c r="Q992" s="7">
        <f t="shared" si="48"/>
        <v>0</v>
      </c>
      <c r="R992">
        <f t="shared" si="47"/>
        <v>0</v>
      </c>
    </row>
    <row r="993" spans="1:18" x14ac:dyDescent="0.2">
      <c r="A993" t="s">
        <v>6173</v>
      </c>
      <c r="B993" s="4" t="s">
        <v>6174</v>
      </c>
      <c r="J993"/>
      <c r="K993">
        <v>1</v>
      </c>
      <c r="M993" s="9"/>
      <c r="N993" t="s">
        <v>6175</v>
      </c>
      <c r="O993" s="73"/>
      <c r="P993" s="7">
        <f t="shared" si="49"/>
        <v>0</v>
      </c>
      <c r="Q993" s="7">
        <f t="shared" si="48"/>
        <v>0</v>
      </c>
      <c r="R993">
        <f t="shared" si="47"/>
        <v>0</v>
      </c>
    </row>
    <row r="994" spans="1:18" x14ac:dyDescent="0.2">
      <c r="A994" t="s">
        <v>6176</v>
      </c>
      <c r="B994" s="4" t="s">
        <v>6177</v>
      </c>
      <c r="J994"/>
      <c r="M994" s="9"/>
      <c r="N994" t="s">
        <v>1323</v>
      </c>
      <c r="O994" s="73"/>
      <c r="P994" s="7">
        <f t="shared" si="49"/>
        <v>0</v>
      </c>
      <c r="Q994" s="7">
        <f t="shared" si="48"/>
        <v>0</v>
      </c>
      <c r="R994">
        <f t="shared" si="47"/>
        <v>0</v>
      </c>
    </row>
    <row r="995" spans="1:18" x14ac:dyDescent="0.2">
      <c r="A995" t="s">
        <v>6178</v>
      </c>
      <c r="B995" s="4" t="s">
        <v>6179</v>
      </c>
      <c r="J995"/>
      <c r="M995" s="9"/>
      <c r="N995" t="s">
        <v>1313</v>
      </c>
      <c r="O995" s="73"/>
      <c r="P995" s="7">
        <f t="shared" si="49"/>
        <v>0</v>
      </c>
      <c r="Q995" s="7">
        <f t="shared" si="48"/>
        <v>0</v>
      </c>
      <c r="R995">
        <f t="shared" si="47"/>
        <v>0</v>
      </c>
    </row>
    <row r="996" spans="1:18" x14ac:dyDescent="0.2">
      <c r="A996" t="s">
        <v>6180</v>
      </c>
      <c r="C996" t="s">
        <v>184</v>
      </c>
      <c r="J996"/>
      <c r="M996" s="9"/>
      <c r="N996" t="s">
        <v>1313</v>
      </c>
      <c r="O996" s="73"/>
      <c r="P996" s="7">
        <f t="shared" si="49"/>
        <v>0</v>
      </c>
      <c r="Q996" s="7">
        <f t="shared" si="48"/>
        <v>0</v>
      </c>
      <c r="R996">
        <f t="shared" si="47"/>
        <v>0</v>
      </c>
    </row>
    <row r="997" spans="1:18" x14ac:dyDescent="0.2">
      <c r="A997" t="s">
        <v>6181</v>
      </c>
      <c r="B997" s="4" t="s">
        <v>6182</v>
      </c>
      <c r="J997"/>
      <c r="M997" s="9"/>
      <c r="N997" t="s">
        <v>1323</v>
      </c>
      <c r="O997" s="73"/>
      <c r="P997" s="7">
        <f t="shared" si="49"/>
        <v>0</v>
      </c>
      <c r="Q997" s="7">
        <f t="shared" si="48"/>
        <v>0</v>
      </c>
      <c r="R997">
        <f t="shared" si="47"/>
        <v>0</v>
      </c>
    </row>
    <row r="998" spans="1:18" x14ac:dyDescent="0.2">
      <c r="A998" t="s">
        <v>6183</v>
      </c>
      <c r="B998" s="4" t="s">
        <v>6184</v>
      </c>
      <c r="J998"/>
      <c r="M998" s="9"/>
      <c r="N998" t="s">
        <v>5721</v>
      </c>
      <c r="O998" s="73"/>
      <c r="P998" s="7">
        <f t="shared" si="49"/>
        <v>0</v>
      </c>
      <c r="Q998" s="7">
        <f t="shared" si="48"/>
        <v>0</v>
      </c>
      <c r="R998">
        <f t="shared" si="47"/>
        <v>0</v>
      </c>
    </row>
    <row r="999" spans="1:18" x14ac:dyDescent="0.2">
      <c r="A999" t="s">
        <v>6185</v>
      </c>
      <c r="B999" s="4" t="s">
        <v>6186</v>
      </c>
      <c r="J999"/>
      <c r="M999" s="9"/>
      <c r="N999" t="s">
        <v>852</v>
      </c>
      <c r="O999" s="73"/>
      <c r="P999" s="7">
        <f t="shared" si="49"/>
        <v>0</v>
      </c>
      <c r="Q999" s="7">
        <f t="shared" si="48"/>
        <v>0</v>
      </c>
      <c r="R999">
        <f t="shared" si="47"/>
        <v>0</v>
      </c>
    </row>
    <row r="1000" spans="1:18" x14ac:dyDescent="0.2">
      <c r="A1000" t="s">
        <v>6187</v>
      </c>
      <c r="B1000" s="4" t="s">
        <v>6188</v>
      </c>
      <c r="J1000"/>
      <c r="M1000" s="9"/>
      <c r="N1000" t="s">
        <v>1323</v>
      </c>
      <c r="O1000" s="73"/>
      <c r="P1000" s="7">
        <f t="shared" si="49"/>
        <v>0</v>
      </c>
      <c r="Q1000" s="7">
        <f t="shared" si="48"/>
        <v>0</v>
      </c>
      <c r="R1000">
        <f t="shared" si="47"/>
        <v>0</v>
      </c>
    </row>
    <row r="1001" spans="1:18" x14ac:dyDescent="0.2">
      <c r="A1001" t="s">
        <v>6189</v>
      </c>
      <c r="B1001" s="4" t="s">
        <v>6190</v>
      </c>
      <c r="J1001"/>
      <c r="M1001" s="9"/>
      <c r="N1001" t="s">
        <v>275</v>
      </c>
      <c r="O1001" s="73">
        <v>1</v>
      </c>
      <c r="P1001" s="7">
        <f t="shared" si="49"/>
        <v>0</v>
      </c>
      <c r="Q1001" s="7">
        <f t="shared" si="48"/>
        <v>0.5</v>
      </c>
      <c r="R1001">
        <f t="shared" si="47"/>
        <v>0</v>
      </c>
    </row>
    <row r="1002" spans="1:18" x14ac:dyDescent="0.2">
      <c r="A1002" t="s">
        <v>6191</v>
      </c>
      <c r="B1002" s="4" t="s">
        <v>6192</v>
      </c>
      <c r="J1002"/>
      <c r="M1002" s="9" t="s">
        <v>21</v>
      </c>
      <c r="N1002" t="s">
        <v>5564</v>
      </c>
      <c r="O1002" s="73"/>
      <c r="P1002" s="7">
        <f t="shared" si="49"/>
        <v>0</v>
      </c>
      <c r="Q1002" s="7">
        <f t="shared" si="48"/>
        <v>0</v>
      </c>
      <c r="R1002">
        <f t="shared" si="47"/>
        <v>0</v>
      </c>
    </row>
    <row r="1003" spans="1:18" x14ac:dyDescent="0.2">
      <c r="A1003" t="s">
        <v>6193</v>
      </c>
      <c r="B1003" s="4" t="s">
        <v>6194</v>
      </c>
      <c r="J1003"/>
      <c r="M1003" s="9"/>
      <c r="N1003" t="s">
        <v>275</v>
      </c>
      <c r="O1003" s="73">
        <v>1</v>
      </c>
      <c r="P1003" s="7">
        <f t="shared" si="49"/>
        <v>0</v>
      </c>
      <c r="Q1003" s="7">
        <f t="shared" si="48"/>
        <v>0.5</v>
      </c>
      <c r="R1003">
        <f t="shared" si="47"/>
        <v>0</v>
      </c>
    </row>
    <row r="1004" spans="1:18" x14ac:dyDescent="0.2">
      <c r="A1004" t="s">
        <v>6195</v>
      </c>
      <c r="B1004" s="4" t="s">
        <v>6196</v>
      </c>
      <c r="J1004"/>
      <c r="M1004" s="9"/>
      <c r="N1004" t="s">
        <v>6197</v>
      </c>
      <c r="O1004" s="73"/>
      <c r="P1004" s="7">
        <f t="shared" si="49"/>
        <v>0</v>
      </c>
      <c r="Q1004" s="7">
        <f t="shared" si="48"/>
        <v>0</v>
      </c>
      <c r="R1004">
        <f t="shared" si="47"/>
        <v>0</v>
      </c>
    </row>
    <row r="1005" spans="1:18" x14ac:dyDescent="0.2">
      <c r="A1005" t="s">
        <v>6198</v>
      </c>
      <c r="B1005" s="4" t="s">
        <v>6199</v>
      </c>
      <c r="J1005"/>
      <c r="M1005" s="9"/>
      <c r="N1005" t="s">
        <v>275</v>
      </c>
      <c r="O1005" s="73">
        <v>1</v>
      </c>
      <c r="P1005" s="7">
        <f t="shared" si="49"/>
        <v>0</v>
      </c>
      <c r="Q1005" s="7">
        <f t="shared" si="48"/>
        <v>0.5</v>
      </c>
      <c r="R1005">
        <f t="shared" si="47"/>
        <v>0</v>
      </c>
    </row>
    <row r="1006" spans="1:18" x14ac:dyDescent="0.2">
      <c r="A1006" t="s">
        <v>6200</v>
      </c>
      <c r="C1006" t="s">
        <v>184</v>
      </c>
      <c r="J1006"/>
      <c r="M1006" s="9"/>
      <c r="N1006" t="s">
        <v>5525</v>
      </c>
      <c r="O1006" s="73"/>
      <c r="P1006" s="7">
        <f t="shared" si="49"/>
        <v>0</v>
      </c>
      <c r="Q1006" s="7">
        <f t="shared" si="48"/>
        <v>0</v>
      </c>
      <c r="R1006">
        <f t="shared" si="47"/>
        <v>0</v>
      </c>
    </row>
    <row r="1007" spans="1:18" x14ac:dyDescent="0.2">
      <c r="A1007" t="s">
        <v>1385</v>
      </c>
      <c r="B1007" s="4" t="s">
        <v>1386</v>
      </c>
      <c r="J1007"/>
      <c r="M1007" s="9"/>
      <c r="N1007" t="s">
        <v>236</v>
      </c>
      <c r="O1007" s="73"/>
      <c r="P1007" s="7">
        <f t="shared" si="49"/>
        <v>0</v>
      </c>
      <c r="Q1007" s="7">
        <f t="shared" si="48"/>
        <v>0</v>
      </c>
      <c r="R1007">
        <f t="shared" si="47"/>
        <v>0</v>
      </c>
    </row>
    <row r="1008" spans="1:18" x14ac:dyDescent="0.2">
      <c r="A1008" t="s">
        <v>6201</v>
      </c>
      <c r="B1008" s="4" t="s">
        <v>6202</v>
      </c>
      <c r="J1008"/>
      <c r="K1008">
        <v>1</v>
      </c>
      <c r="M1008" s="9"/>
      <c r="N1008" t="s">
        <v>6203</v>
      </c>
      <c r="O1008" s="73"/>
      <c r="P1008" s="7">
        <f t="shared" si="49"/>
        <v>0</v>
      </c>
      <c r="Q1008" s="7">
        <f t="shared" si="48"/>
        <v>0</v>
      </c>
      <c r="R1008">
        <f t="shared" si="47"/>
        <v>0</v>
      </c>
    </row>
    <row r="1009" spans="1:18" x14ac:dyDescent="0.2">
      <c r="A1009" t="s">
        <v>6204</v>
      </c>
      <c r="B1009" s="4" t="s">
        <v>6205</v>
      </c>
      <c r="J1009"/>
      <c r="K1009">
        <v>1</v>
      </c>
      <c r="M1009" s="9" t="s">
        <v>21</v>
      </c>
      <c r="N1009" t="s">
        <v>5531</v>
      </c>
      <c r="O1009" s="73">
        <v>1</v>
      </c>
      <c r="P1009" s="7">
        <f t="shared" si="49"/>
        <v>0</v>
      </c>
      <c r="Q1009" s="7">
        <f t="shared" si="48"/>
        <v>0.5</v>
      </c>
      <c r="R1009">
        <f t="shared" si="47"/>
        <v>0</v>
      </c>
    </row>
    <row r="1010" spans="1:18" x14ac:dyDescent="0.2">
      <c r="A1010" t="s">
        <v>6206</v>
      </c>
      <c r="B1010" s="4" t="s">
        <v>6207</v>
      </c>
      <c r="J1010"/>
      <c r="K1010">
        <v>1</v>
      </c>
      <c r="M1010" s="9"/>
      <c r="N1010" t="s">
        <v>5641</v>
      </c>
      <c r="O1010" s="73"/>
      <c r="P1010" s="7">
        <f t="shared" si="49"/>
        <v>0</v>
      </c>
      <c r="Q1010" s="7">
        <f t="shared" si="48"/>
        <v>0</v>
      </c>
      <c r="R1010">
        <f t="shared" si="47"/>
        <v>0</v>
      </c>
    </row>
    <row r="1011" spans="1:18" x14ac:dyDescent="0.2">
      <c r="A1011" t="s">
        <v>6208</v>
      </c>
      <c r="B1011" s="4" t="s">
        <v>6209</v>
      </c>
      <c r="J1011"/>
      <c r="M1011" s="9"/>
      <c r="N1011" t="s">
        <v>5874</v>
      </c>
      <c r="O1011" s="73"/>
      <c r="P1011" s="7">
        <f t="shared" si="49"/>
        <v>0</v>
      </c>
      <c r="Q1011" s="7">
        <f t="shared" si="48"/>
        <v>0</v>
      </c>
      <c r="R1011">
        <f t="shared" si="47"/>
        <v>0</v>
      </c>
    </row>
    <row r="1012" spans="1:18" x14ac:dyDescent="0.2">
      <c r="A1012" t="s">
        <v>6210</v>
      </c>
      <c r="B1012" s="4" t="s">
        <v>6211</v>
      </c>
      <c r="J1012"/>
      <c r="M1012" s="9"/>
      <c r="N1012" t="s">
        <v>45</v>
      </c>
      <c r="O1012" s="73"/>
      <c r="P1012" s="7">
        <f t="shared" si="49"/>
        <v>0</v>
      </c>
      <c r="Q1012" s="7">
        <f t="shared" si="48"/>
        <v>0</v>
      </c>
      <c r="R1012">
        <f t="shared" si="47"/>
        <v>0</v>
      </c>
    </row>
    <row r="1013" spans="1:18" ht="16" x14ac:dyDescent="0.2">
      <c r="A1013" t="s">
        <v>6212</v>
      </c>
      <c r="B1013" s="4" t="s">
        <v>6213</v>
      </c>
      <c r="C1013" t="s">
        <v>20</v>
      </c>
      <c r="J1013"/>
      <c r="M1013" s="9"/>
      <c r="N1013" t="s">
        <v>5534</v>
      </c>
      <c r="O1013" s="74">
        <v>0.5</v>
      </c>
      <c r="P1013" s="7">
        <f t="shared" si="49"/>
        <v>0</v>
      </c>
      <c r="Q1013" s="7">
        <f t="shared" si="48"/>
        <v>0.25</v>
      </c>
      <c r="R1013">
        <f t="shared" si="47"/>
        <v>0</v>
      </c>
    </row>
    <row r="1014" spans="1:18" x14ac:dyDescent="0.2">
      <c r="A1014" t="s">
        <v>1341</v>
      </c>
      <c r="B1014" s="4" t="s">
        <v>1342</v>
      </c>
      <c r="C1014" t="s">
        <v>20</v>
      </c>
      <c r="E1014">
        <v>1</v>
      </c>
      <c r="J1014"/>
      <c r="M1014" s="9" t="s">
        <v>32</v>
      </c>
      <c r="N1014" t="s">
        <v>5539</v>
      </c>
      <c r="O1014" s="73"/>
      <c r="P1014" s="7">
        <f t="shared" si="49"/>
        <v>0.14285714285714285</v>
      </c>
      <c r="Q1014" s="7">
        <f t="shared" si="48"/>
        <v>7.1428571428571425E-2</v>
      </c>
      <c r="R1014">
        <f t="shared" si="47"/>
        <v>0</v>
      </c>
    </row>
    <row r="1015" spans="1:18" ht="16" x14ac:dyDescent="0.2">
      <c r="A1015" t="s">
        <v>6214</v>
      </c>
      <c r="B1015" s="4" t="s">
        <v>6215</v>
      </c>
      <c r="J1015"/>
      <c r="M1015" s="9"/>
      <c r="N1015" t="s">
        <v>5534</v>
      </c>
      <c r="O1015" s="74">
        <v>0.5</v>
      </c>
      <c r="P1015" s="7">
        <f t="shared" si="49"/>
        <v>0</v>
      </c>
      <c r="Q1015" s="7">
        <f t="shared" si="48"/>
        <v>0.25</v>
      </c>
      <c r="R1015">
        <f t="shared" si="47"/>
        <v>0</v>
      </c>
    </row>
    <row r="1016" spans="1:18" x14ac:dyDescent="0.2">
      <c r="A1016" t="s">
        <v>6216</v>
      </c>
      <c r="B1016" s="4" t="s">
        <v>6217</v>
      </c>
      <c r="J1016"/>
      <c r="M1016" s="9"/>
      <c r="N1016" t="s">
        <v>5525</v>
      </c>
      <c r="O1016" s="73"/>
      <c r="P1016" s="7">
        <f t="shared" si="49"/>
        <v>0</v>
      </c>
      <c r="Q1016" s="7">
        <f t="shared" si="48"/>
        <v>0</v>
      </c>
      <c r="R1016">
        <f t="shared" si="47"/>
        <v>0</v>
      </c>
    </row>
    <row r="1017" spans="1:18" x14ac:dyDescent="0.2">
      <c r="A1017" t="s">
        <v>6218</v>
      </c>
      <c r="B1017" s="4" t="s">
        <v>6219</v>
      </c>
      <c r="J1017"/>
      <c r="M1017" s="9"/>
      <c r="N1017" t="s">
        <v>45</v>
      </c>
      <c r="O1017" s="73"/>
      <c r="P1017" s="7">
        <f t="shared" si="49"/>
        <v>0</v>
      </c>
      <c r="Q1017" s="7">
        <f t="shared" si="48"/>
        <v>0</v>
      </c>
      <c r="R1017">
        <f t="shared" si="47"/>
        <v>0</v>
      </c>
    </row>
    <row r="1018" spans="1:18" x14ac:dyDescent="0.2">
      <c r="A1018" t="s">
        <v>6220</v>
      </c>
      <c r="B1018" s="4" t="s">
        <v>6221</v>
      </c>
      <c r="J1018"/>
      <c r="K1018">
        <v>1</v>
      </c>
      <c r="M1018" s="9"/>
      <c r="N1018" t="s">
        <v>5907</v>
      </c>
      <c r="O1018" s="73"/>
      <c r="P1018" s="7">
        <f t="shared" si="49"/>
        <v>0</v>
      </c>
      <c r="Q1018" s="7">
        <f t="shared" si="48"/>
        <v>0</v>
      </c>
      <c r="R1018">
        <f t="shared" si="47"/>
        <v>0</v>
      </c>
    </row>
    <row r="1019" spans="1:18" x14ac:dyDescent="0.2">
      <c r="A1019" t="s">
        <v>6222</v>
      </c>
      <c r="B1019" s="4" t="s">
        <v>6223</v>
      </c>
      <c r="J1019"/>
      <c r="M1019" s="9"/>
      <c r="N1019" t="s">
        <v>5907</v>
      </c>
      <c r="O1019" s="73"/>
      <c r="P1019" s="7">
        <f t="shared" si="49"/>
        <v>0</v>
      </c>
      <c r="Q1019" s="7">
        <f t="shared" si="48"/>
        <v>0</v>
      </c>
      <c r="R1019">
        <f t="shared" si="47"/>
        <v>0</v>
      </c>
    </row>
    <row r="1020" spans="1:18" x14ac:dyDescent="0.2">
      <c r="A1020" t="s">
        <v>6224</v>
      </c>
      <c r="B1020" s="4" t="s">
        <v>6225</v>
      </c>
      <c r="J1020"/>
      <c r="M1020" s="9"/>
      <c r="N1020" t="s">
        <v>852</v>
      </c>
      <c r="O1020" s="73"/>
      <c r="P1020" s="7">
        <f t="shared" si="49"/>
        <v>0</v>
      </c>
      <c r="Q1020" s="7">
        <f t="shared" si="48"/>
        <v>0</v>
      </c>
      <c r="R1020">
        <f t="shared" si="47"/>
        <v>0</v>
      </c>
    </row>
    <row r="1021" spans="1:18" x14ac:dyDescent="0.2">
      <c r="A1021" t="s">
        <v>6226</v>
      </c>
      <c r="B1021" s="4" t="s">
        <v>6227</v>
      </c>
      <c r="J1021"/>
      <c r="M1021" s="9"/>
      <c r="N1021" t="s">
        <v>2265</v>
      </c>
      <c r="O1021" s="73"/>
      <c r="P1021" s="7">
        <f t="shared" si="49"/>
        <v>0</v>
      </c>
      <c r="Q1021" s="7">
        <f t="shared" si="48"/>
        <v>0</v>
      </c>
      <c r="R1021">
        <f t="shared" si="47"/>
        <v>0</v>
      </c>
    </row>
    <row r="1022" spans="1:18" x14ac:dyDescent="0.2">
      <c r="A1022" t="s">
        <v>6228</v>
      </c>
      <c r="B1022" s="4" t="s">
        <v>6229</v>
      </c>
      <c r="J1022"/>
      <c r="M1022" s="9" t="s">
        <v>21</v>
      </c>
      <c r="N1022" t="s">
        <v>5531</v>
      </c>
      <c r="O1022" s="73">
        <v>1</v>
      </c>
      <c r="P1022" s="7">
        <f t="shared" si="49"/>
        <v>0</v>
      </c>
      <c r="Q1022" s="7">
        <f t="shared" si="48"/>
        <v>0.5</v>
      </c>
      <c r="R1022">
        <f t="shared" si="47"/>
        <v>0</v>
      </c>
    </row>
    <row r="1023" spans="1:18" x14ac:dyDescent="0.2">
      <c r="A1023" t="s">
        <v>6230</v>
      </c>
      <c r="B1023" s="4" t="s">
        <v>6231</v>
      </c>
      <c r="J1023"/>
      <c r="M1023" s="9" t="s">
        <v>21</v>
      </c>
      <c r="N1023" t="s">
        <v>51</v>
      </c>
      <c r="O1023" s="73"/>
      <c r="P1023" s="7">
        <f t="shared" si="49"/>
        <v>0</v>
      </c>
      <c r="Q1023" s="7">
        <f t="shared" si="48"/>
        <v>0</v>
      </c>
      <c r="R1023">
        <f t="shared" si="47"/>
        <v>0</v>
      </c>
    </row>
    <row r="1024" spans="1:18" x14ac:dyDescent="0.2">
      <c r="A1024" t="s">
        <v>6232</v>
      </c>
      <c r="B1024" s="4" t="s">
        <v>6233</v>
      </c>
      <c r="J1024"/>
      <c r="K1024">
        <v>1</v>
      </c>
      <c r="M1024" s="9"/>
      <c r="N1024" t="s">
        <v>6234</v>
      </c>
      <c r="O1024" s="73"/>
      <c r="P1024" s="7">
        <f t="shared" si="49"/>
        <v>0</v>
      </c>
      <c r="Q1024" s="7">
        <f t="shared" si="48"/>
        <v>0</v>
      </c>
      <c r="R1024">
        <f t="shared" si="47"/>
        <v>0</v>
      </c>
    </row>
    <row r="1025" spans="1:18" x14ac:dyDescent="0.2">
      <c r="A1025" t="s">
        <v>6235</v>
      </c>
      <c r="B1025" s="4" t="s">
        <v>6236</v>
      </c>
      <c r="J1025"/>
      <c r="M1025" s="9"/>
      <c r="N1025" t="s">
        <v>275</v>
      </c>
      <c r="O1025" s="73">
        <v>1</v>
      </c>
      <c r="P1025" s="7">
        <f t="shared" si="49"/>
        <v>0</v>
      </c>
      <c r="Q1025" s="7">
        <f t="shared" si="48"/>
        <v>0.5</v>
      </c>
      <c r="R1025">
        <f t="shared" si="47"/>
        <v>0</v>
      </c>
    </row>
    <row r="1026" spans="1:18" x14ac:dyDescent="0.2">
      <c r="A1026" t="s">
        <v>6237</v>
      </c>
      <c r="B1026" s="4" t="s">
        <v>6238</v>
      </c>
      <c r="J1026"/>
      <c r="M1026" s="9" t="s">
        <v>21</v>
      </c>
      <c r="N1026" t="s">
        <v>1330</v>
      </c>
      <c r="O1026" s="73"/>
      <c r="P1026" s="7">
        <f t="shared" si="49"/>
        <v>0</v>
      </c>
      <c r="Q1026" s="7">
        <f t="shared" si="48"/>
        <v>0</v>
      </c>
      <c r="R1026">
        <f t="shared" ref="R1026:R1043" si="50">IF(_xlfn.BITAND(P1026&gt;0.4999, Q1026&gt;0.4999)=1,1,0)</f>
        <v>0</v>
      </c>
    </row>
    <row r="1027" spans="1:18" x14ac:dyDescent="0.2">
      <c r="A1027" t="s">
        <v>6239</v>
      </c>
      <c r="B1027" s="4" t="s">
        <v>6240</v>
      </c>
      <c r="J1027"/>
      <c r="K1027">
        <v>1</v>
      </c>
      <c r="M1027" s="9"/>
      <c r="N1027" t="s">
        <v>6241</v>
      </c>
      <c r="O1027" s="73"/>
      <c r="P1027" s="7">
        <f t="shared" si="49"/>
        <v>0</v>
      </c>
      <c r="Q1027" s="7">
        <f t="shared" si="48"/>
        <v>0</v>
      </c>
      <c r="R1027">
        <f t="shared" si="50"/>
        <v>0</v>
      </c>
    </row>
    <row r="1028" spans="1:18" x14ac:dyDescent="0.2">
      <c r="A1028" t="s">
        <v>6242</v>
      </c>
      <c r="B1028" s="4" t="s">
        <v>6243</v>
      </c>
      <c r="J1028"/>
      <c r="M1028" s="9"/>
      <c r="N1028" t="s">
        <v>1323</v>
      </c>
      <c r="O1028" s="73"/>
      <c r="P1028" s="7">
        <f t="shared" si="49"/>
        <v>0</v>
      </c>
      <c r="Q1028" s="7">
        <f t="shared" si="48"/>
        <v>0</v>
      </c>
      <c r="R1028">
        <f t="shared" si="50"/>
        <v>0</v>
      </c>
    </row>
    <row r="1029" spans="1:18" x14ac:dyDescent="0.2">
      <c r="A1029" t="s">
        <v>6244</v>
      </c>
      <c r="C1029" t="s">
        <v>184</v>
      </c>
      <c r="J1029"/>
      <c r="M1029" s="9" t="s">
        <v>21</v>
      </c>
      <c r="N1029" t="s">
        <v>51</v>
      </c>
      <c r="O1029" s="73"/>
      <c r="P1029" s="7">
        <f t="shared" si="49"/>
        <v>0</v>
      </c>
      <c r="Q1029" s="7">
        <f t="shared" si="48"/>
        <v>0</v>
      </c>
      <c r="R1029">
        <f t="shared" si="50"/>
        <v>0</v>
      </c>
    </row>
    <row r="1030" spans="1:18" x14ac:dyDescent="0.2">
      <c r="A1030" t="s">
        <v>6245</v>
      </c>
      <c r="B1030" s="4" t="s">
        <v>6246</v>
      </c>
      <c r="J1030"/>
      <c r="M1030" s="9" t="s">
        <v>32</v>
      </c>
      <c r="N1030" t="s">
        <v>5539</v>
      </c>
      <c r="O1030" s="73"/>
      <c r="P1030" s="7">
        <f t="shared" si="49"/>
        <v>0</v>
      </c>
      <c r="Q1030" s="7">
        <f t="shared" si="48"/>
        <v>0</v>
      </c>
      <c r="R1030">
        <f t="shared" si="50"/>
        <v>0</v>
      </c>
    </row>
    <row r="1031" spans="1:18" x14ac:dyDescent="0.2">
      <c r="A1031" t="s">
        <v>6247</v>
      </c>
      <c r="B1031" s="4" t="s">
        <v>6248</v>
      </c>
      <c r="J1031"/>
      <c r="M1031" s="9" t="s">
        <v>21</v>
      </c>
      <c r="N1031" t="s">
        <v>1330</v>
      </c>
      <c r="O1031" s="73"/>
      <c r="P1031" s="7">
        <f t="shared" si="49"/>
        <v>0</v>
      </c>
      <c r="Q1031" s="7">
        <f t="shared" si="48"/>
        <v>0</v>
      </c>
      <c r="R1031">
        <f t="shared" si="50"/>
        <v>0</v>
      </c>
    </row>
    <row r="1032" spans="1:18" x14ac:dyDescent="0.2">
      <c r="A1032" t="s">
        <v>6249</v>
      </c>
      <c r="B1032" s="4" t="s">
        <v>6250</v>
      </c>
      <c r="J1032"/>
      <c r="M1032" s="9"/>
      <c r="N1032" t="s">
        <v>1323</v>
      </c>
      <c r="O1032" s="73"/>
      <c r="P1032" s="7">
        <f t="shared" si="49"/>
        <v>0</v>
      </c>
      <c r="Q1032" s="7">
        <f t="shared" si="48"/>
        <v>0</v>
      </c>
      <c r="R1032">
        <f t="shared" si="50"/>
        <v>0</v>
      </c>
    </row>
    <row r="1033" spans="1:18" x14ac:dyDescent="0.2">
      <c r="A1033" t="s">
        <v>6251</v>
      </c>
      <c r="B1033" s="4" t="s">
        <v>6252</v>
      </c>
      <c r="J1033"/>
      <c r="M1033" s="9"/>
      <c r="N1033" t="s">
        <v>852</v>
      </c>
      <c r="O1033" s="73"/>
      <c r="P1033" s="7">
        <f t="shared" si="49"/>
        <v>0</v>
      </c>
      <c r="Q1033" s="7">
        <f t="shared" si="48"/>
        <v>0</v>
      </c>
      <c r="R1033">
        <f t="shared" si="50"/>
        <v>0</v>
      </c>
    </row>
    <row r="1034" spans="1:18" x14ac:dyDescent="0.2">
      <c r="A1034" t="s">
        <v>6253</v>
      </c>
      <c r="B1034" s="4" t="s">
        <v>6254</v>
      </c>
      <c r="J1034"/>
      <c r="M1034" s="9"/>
      <c r="N1034" t="s">
        <v>6255</v>
      </c>
      <c r="O1034" s="73"/>
      <c r="P1034" s="7">
        <f t="shared" si="49"/>
        <v>0</v>
      </c>
      <c r="Q1034" s="7">
        <f t="shared" si="48"/>
        <v>0</v>
      </c>
      <c r="R1034">
        <f t="shared" si="50"/>
        <v>0</v>
      </c>
    </row>
    <row r="1035" spans="1:18" x14ac:dyDescent="0.2">
      <c r="A1035" t="s">
        <v>6256</v>
      </c>
      <c r="B1035" s="4" t="s">
        <v>6257</v>
      </c>
      <c r="J1035"/>
      <c r="M1035" s="9"/>
      <c r="N1035" t="s">
        <v>275</v>
      </c>
      <c r="O1035" s="73">
        <v>1</v>
      </c>
      <c r="P1035" s="7">
        <f t="shared" si="49"/>
        <v>0</v>
      </c>
      <c r="Q1035" s="7">
        <f t="shared" si="48"/>
        <v>0.5</v>
      </c>
      <c r="R1035">
        <f t="shared" si="50"/>
        <v>0</v>
      </c>
    </row>
    <row r="1036" spans="1:18" x14ac:dyDescent="0.2">
      <c r="A1036" t="s">
        <v>6258</v>
      </c>
      <c r="C1036" t="s">
        <v>184</v>
      </c>
      <c r="J1036"/>
      <c r="M1036" s="9"/>
      <c r="N1036" t="s">
        <v>2615</v>
      </c>
      <c r="O1036" s="73"/>
      <c r="P1036" s="7">
        <f t="shared" si="49"/>
        <v>0</v>
      </c>
      <c r="Q1036" s="7">
        <f t="shared" si="48"/>
        <v>0</v>
      </c>
      <c r="R1036">
        <f t="shared" si="50"/>
        <v>0</v>
      </c>
    </row>
    <row r="1037" spans="1:18" x14ac:dyDescent="0.2">
      <c r="A1037" t="s">
        <v>6259</v>
      </c>
      <c r="B1037" s="4" t="s">
        <v>6260</v>
      </c>
      <c r="C1037" t="s">
        <v>20</v>
      </c>
      <c r="E1037">
        <v>1</v>
      </c>
      <c r="J1037"/>
      <c r="M1037" s="9"/>
      <c r="N1037" t="s">
        <v>5525</v>
      </c>
      <c r="O1037" s="73"/>
      <c r="P1037" s="7">
        <f t="shared" si="49"/>
        <v>0.14285714285714285</v>
      </c>
      <c r="Q1037" s="7">
        <f t="shared" ref="Q1037:Q1043" si="51">(O1037+P1037)/2</f>
        <v>7.1428571428571425E-2</v>
      </c>
      <c r="R1037">
        <f t="shared" si="50"/>
        <v>0</v>
      </c>
    </row>
    <row r="1038" spans="1:18" x14ac:dyDescent="0.2">
      <c r="A1038" t="s">
        <v>6261</v>
      </c>
      <c r="C1038" t="s">
        <v>184</v>
      </c>
      <c r="J1038"/>
      <c r="M1038" s="9" t="s">
        <v>21</v>
      </c>
      <c r="N1038" t="s">
        <v>5827</v>
      </c>
      <c r="O1038" s="73"/>
      <c r="P1038" s="7">
        <f t="shared" si="49"/>
        <v>0</v>
      </c>
      <c r="Q1038" s="7">
        <f t="shared" si="51"/>
        <v>0</v>
      </c>
      <c r="R1038">
        <f t="shared" si="50"/>
        <v>0</v>
      </c>
    </row>
    <row r="1039" spans="1:18" x14ac:dyDescent="0.2">
      <c r="A1039" t="s">
        <v>6262</v>
      </c>
      <c r="B1039" s="4" t="s">
        <v>6263</v>
      </c>
      <c r="J1039"/>
      <c r="M1039" s="9"/>
      <c r="N1039" t="s">
        <v>5537</v>
      </c>
      <c r="O1039" s="73"/>
      <c r="P1039" s="7">
        <f t="shared" si="49"/>
        <v>0</v>
      </c>
      <c r="Q1039" s="7">
        <f t="shared" si="51"/>
        <v>0</v>
      </c>
      <c r="R1039">
        <f t="shared" si="50"/>
        <v>0</v>
      </c>
    </row>
    <row r="1040" spans="1:18" x14ac:dyDescent="0.2">
      <c r="A1040" t="s">
        <v>6264</v>
      </c>
      <c r="B1040" s="4" t="s">
        <v>6265</v>
      </c>
      <c r="J1040"/>
      <c r="K1040">
        <v>1</v>
      </c>
      <c r="M1040" s="9"/>
      <c r="N1040" t="s">
        <v>5641</v>
      </c>
      <c r="O1040" s="73"/>
      <c r="P1040" s="7">
        <f t="shared" si="49"/>
        <v>0</v>
      </c>
      <c r="Q1040" s="7">
        <f t="shared" si="51"/>
        <v>0</v>
      </c>
      <c r="R1040">
        <f t="shared" si="50"/>
        <v>0</v>
      </c>
    </row>
    <row r="1041" spans="1:18" x14ac:dyDescent="0.2">
      <c r="A1041" t="s">
        <v>6266</v>
      </c>
      <c r="B1041" s="4" t="s">
        <v>6267</v>
      </c>
      <c r="J1041"/>
      <c r="K1041">
        <v>1</v>
      </c>
      <c r="M1041" s="9" t="s">
        <v>21</v>
      </c>
      <c r="N1041" t="s">
        <v>6268</v>
      </c>
      <c r="O1041" s="73"/>
      <c r="P1041" s="7">
        <f t="shared" si="49"/>
        <v>0</v>
      </c>
      <c r="Q1041" s="7">
        <f t="shared" si="51"/>
        <v>0</v>
      </c>
      <c r="R1041">
        <f t="shared" si="50"/>
        <v>0</v>
      </c>
    </row>
    <row r="1042" spans="1:18" x14ac:dyDescent="0.2">
      <c r="A1042" t="s">
        <v>6269</v>
      </c>
      <c r="B1042" s="4" t="s">
        <v>6270</v>
      </c>
      <c r="D1042">
        <v>0</v>
      </c>
      <c r="J1042"/>
      <c r="M1042" s="9" t="s">
        <v>21</v>
      </c>
      <c r="N1042" t="s">
        <v>6271</v>
      </c>
      <c r="O1042" s="73"/>
      <c r="P1042" s="7">
        <f t="shared" si="49"/>
        <v>0</v>
      </c>
      <c r="Q1042" s="7">
        <f t="shared" si="51"/>
        <v>0</v>
      </c>
      <c r="R1042">
        <f t="shared" si="50"/>
        <v>0</v>
      </c>
    </row>
    <row r="1043" spans="1:18" x14ac:dyDescent="0.2">
      <c r="A1043" t="s">
        <v>6272</v>
      </c>
      <c r="B1043" s="4" t="s">
        <v>6273</v>
      </c>
      <c r="J1043"/>
      <c r="K1043">
        <v>1</v>
      </c>
      <c r="M1043" s="9" t="s">
        <v>21</v>
      </c>
      <c r="N1043" t="s">
        <v>5992</v>
      </c>
      <c r="O1043" s="73"/>
      <c r="P1043" s="7">
        <f t="shared" si="49"/>
        <v>0</v>
      </c>
      <c r="Q1043" s="7">
        <f t="shared" si="51"/>
        <v>0</v>
      </c>
      <c r="R1043">
        <f t="shared" si="50"/>
        <v>0</v>
      </c>
    </row>
    <row r="1044" spans="1:18" x14ac:dyDescent="0.2">
      <c r="A1044" s="67"/>
    </row>
    <row r="1045" spans="1:18" x14ac:dyDescent="0.2">
      <c r="A1045" s="67"/>
    </row>
    <row r="1046" spans="1:18" x14ac:dyDescent="0.2">
      <c r="A1046" s="67"/>
    </row>
    <row r="1047" spans="1:18" x14ac:dyDescent="0.2">
      <c r="A1047" s="67"/>
    </row>
    <row r="1048" spans="1:18" x14ac:dyDescent="0.2">
      <c r="A1048" s="67"/>
    </row>
    <row r="1049" spans="1:18" x14ac:dyDescent="0.2">
      <c r="A1049" s="67"/>
    </row>
    <row r="1050" spans="1:18" x14ac:dyDescent="0.2">
      <c r="A1050" s="67"/>
    </row>
    <row r="1051" spans="1:18" x14ac:dyDescent="0.2">
      <c r="A1051" s="67"/>
    </row>
    <row r="1052" spans="1:18" x14ac:dyDescent="0.2">
      <c r="A1052" s="67"/>
    </row>
    <row r="1053" spans="1:18" x14ac:dyDescent="0.2">
      <c r="A1053" s="67"/>
    </row>
    <row r="1054" spans="1:18" x14ac:dyDescent="0.2">
      <c r="A1054" s="67"/>
    </row>
    <row r="1055" spans="1:18" x14ac:dyDescent="0.2">
      <c r="A1055" s="67"/>
    </row>
    <row r="1056" spans="1:18" x14ac:dyDescent="0.2">
      <c r="A1056" s="67"/>
    </row>
    <row r="1057" spans="1:1" x14ac:dyDescent="0.2">
      <c r="A1057" s="67"/>
    </row>
    <row r="1058" spans="1:1" x14ac:dyDescent="0.2">
      <c r="A1058" s="67"/>
    </row>
    <row r="1059" spans="1:1" x14ac:dyDescent="0.2">
      <c r="A1059" s="67"/>
    </row>
    <row r="1060" spans="1:1" x14ac:dyDescent="0.2">
      <c r="A1060" s="67"/>
    </row>
    <row r="1061" spans="1:1" x14ac:dyDescent="0.2">
      <c r="A1061" s="67"/>
    </row>
    <row r="1062" spans="1:1" x14ac:dyDescent="0.2">
      <c r="A1062" s="67"/>
    </row>
    <row r="1063" spans="1:1" x14ac:dyDescent="0.2">
      <c r="A1063" s="67"/>
    </row>
    <row r="1064" spans="1:1" x14ac:dyDescent="0.2">
      <c r="A1064" s="67"/>
    </row>
    <row r="1065" spans="1:1" x14ac:dyDescent="0.2">
      <c r="A1065" s="67"/>
    </row>
    <row r="1066" spans="1:1" x14ac:dyDescent="0.2">
      <c r="A1066" s="67"/>
    </row>
    <row r="1067" spans="1:1" x14ac:dyDescent="0.2">
      <c r="A1067" s="67"/>
    </row>
    <row r="1068" spans="1:1" x14ac:dyDescent="0.2">
      <c r="A1068" s="67"/>
    </row>
    <row r="1069" spans="1:1" x14ac:dyDescent="0.2">
      <c r="A1069" s="67"/>
    </row>
    <row r="1070" spans="1:1" x14ac:dyDescent="0.2">
      <c r="A1070" s="67"/>
    </row>
    <row r="1071" spans="1:1" x14ac:dyDescent="0.2">
      <c r="A1071" s="67"/>
    </row>
    <row r="1072" spans="1:1" x14ac:dyDescent="0.2">
      <c r="A1072" s="67"/>
    </row>
    <row r="1073" spans="1:1" x14ac:dyDescent="0.2">
      <c r="A1073" s="67"/>
    </row>
    <row r="1074" spans="1:1" x14ac:dyDescent="0.2">
      <c r="A1074" s="67"/>
    </row>
    <row r="1075" spans="1:1" x14ac:dyDescent="0.2">
      <c r="A1075" s="67"/>
    </row>
    <row r="1076" spans="1:1" x14ac:dyDescent="0.2">
      <c r="A1076" s="67"/>
    </row>
    <row r="1077" spans="1:1" x14ac:dyDescent="0.2">
      <c r="A1077" s="67"/>
    </row>
    <row r="1078" spans="1:1" x14ac:dyDescent="0.2">
      <c r="A1078" s="67"/>
    </row>
    <row r="1079" spans="1:1" x14ac:dyDescent="0.2">
      <c r="A1079" s="67"/>
    </row>
    <row r="1080" spans="1:1" x14ac:dyDescent="0.2">
      <c r="A1080" s="67"/>
    </row>
    <row r="1081" spans="1:1" x14ac:dyDescent="0.2">
      <c r="A1081" s="67"/>
    </row>
    <row r="1082" spans="1:1" x14ac:dyDescent="0.2">
      <c r="A1082" s="67"/>
    </row>
    <row r="1083" spans="1:1" x14ac:dyDescent="0.2">
      <c r="A1083" s="67"/>
    </row>
    <row r="1084" spans="1:1" x14ac:dyDescent="0.2">
      <c r="A1084" s="67"/>
    </row>
    <row r="1085" spans="1:1" x14ac:dyDescent="0.2">
      <c r="A1085" s="67"/>
    </row>
    <row r="1086" spans="1:1" x14ac:dyDescent="0.2">
      <c r="A1086" s="67"/>
    </row>
    <row r="1087" spans="1:1" x14ac:dyDescent="0.2">
      <c r="A1087" s="67"/>
    </row>
    <row r="1088" spans="1:1" x14ac:dyDescent="0.2">
      <c r="A1088" s="67"/>
    </row>
    <row r="1089" spans="1:1" x14ac:dyDescent="0.2">
      <c r="A1089" s="67"/>
    </row>
    <row r="1090" spans="1:1" x14ac:dyDescent="0.2">
      <c r="A1090" s="67"/>
    </row>
    <row r="1091" spans="1:1" x14ac:dyDescent="0.2">
      <c r="A1091" s="67"/>
    </row>
    <row r="1092" spans="1:1" x14ac:dyDescent="0.2">
      <c r="A1092" s="67"/>
    </row>
    <row r="1093" spans="1:1" x14ac:dyDescent="0.2">
      <c r="A1093" s="67"/>
    </row>
    <row r="1094" spans="1:1" x14ac:dyDescent="0.2">
      <c r="A1094" s="67"/>
    </row>
    <row r="1095" spans="1:1" x14ac:dyDescent="0.2">
      <c r="A1095" s="67"/>
    </row>
    <row r="1096" spans="1:1" x14ac:dyDescent="0.2">
      <c r="A1096" s="67"/>
    </row>
    <row r="1097" spans="1:1" x14ac:dyDescent="0.2">
      <c r="A1097" s="67"/>
    </row>
    <row r="1098" spans="1:1" x14ac:dyDescent="0.2">
      <c r="A1098" s="67"/>
    </row>
    <row r="1099" spans="1:1" x14ac:dyDescent="0.2">
      <c r="A1099" s="67"/>
    </row>
    <row r="1100" spans="1:1" x14ac:dyDescent="0.2">
      <c r="A1100" s="67"/>
    </row>
    <row r="1101" spans="1:1" x14ac:dyDescent="0.2">
      <c r="A1101" s="67"/>
    </row>
    <row r="1102" spans="1:1" x14ac:dyDescent="0.2">
      <c r="A1102" s="67"/>
    </row>
    <row r="1103" spans="1:1" x14ac:dyDescent="0.2">
      <c r="A1103" s="67"/>
    </row>
    <row r="1104" spans="1:1" x14ac:dyDescent="0.2">
      <c r="A1104" s="67"/>
    </row>
    <row r="1105" spans="1:1" x14ac:dyDescent="0.2">
      <c r="A1105" s="67"/>
    </row>
    <row r="1106" spans="1:1" x14ac:dyDescent="0.2">
      <c r="A1106" s="67"/>
    </row>
    <row r="1107" spans="1:1" x14ac:dyDescent="0.2">
      <c r="A1107" s="67"/>
    </row>
    <row r="1108" spans="1:1" x14ac:dyDescent="0.2">
      <c r="A1108" s="67"/>
    </row>
    <row r="1109" spans="1:1" x14ac:dyDescent="0.2">
      <c r="A1109" s="67"/>
    </row>
    <row r="1110" spans="1:1" x14ac:dyDescent="0.2">
      <c r="A1110" s="67"/>
    </row>
    <row r="1111" spans="1:1" x14ac:dyDescent="0.2">
      <c r="A1111" s="67"/>
    </row>
    <row r="1112" spans="1:1" x14ac:dyDescent="0.2">
      <c r="A1112" s="67"/>
    </row>
    <row r="1113" spans="1:1" x14ac:dyDescent="0.2">
      <c r="A1113" s="67"/>
    </row>
    <row r="1380" spans="2:9" x14ac:dyDescent="0.2">
      <c r="B1380" s="57"/>
      <c r="D1380" s="5"/>
      <c r="E1380" s="5"/>
      <c r="F1380" s="5"/>
      <c r="G1380" s="5"/>
      <c r="H1380" s="5"/>
      <c r="I1380" s="5"/>
    </row>
    <row r="1381" spans="2:9" x14ac:dyDescent="0.2">
      <c r="B1381" s="57"/>
      <c r="D1381" s="5"/>
      <c r="E1381" s="5"/>
      <c r="F1381" s="5"/>
      <c r="G1381" s="5"/>
      <c r="H1381" s="5"/>
      <c r="I1381" s="5"/>
    </row>
    <row r="1383" spans="2:9" x14ac:dyDescent="0.2">
      <c r="B1383" s="57"/>
    </row>
    <row r="1385" spans="2:9" x14ac:dyDescent="0.2">
      <c r="B1385" s="57"/>
      <c r="D1385" s="5"/>
      <c r="E1385" s="5"/>
      <c r="F1385" s="5"/>
      <c r="G1385" s="5"/>
      <c r="H1385" s="5"/>
      <c r="I1385" s="5"/>
    </row>
    <row r="1386" spans="2:9" x14ac:dyDescent="0.2">
      <c r="B1386" s="57"/>
      <c r="D1386" s="5"/>
      <c r="E1386" s="5"/>
      <c r="F1386" s="5"/>
      <c r="G1386" s="5"/>
      <c r="H1386" s="5"/>
      <c r="I1386" s="5"/>
    </row>
    <row r="1387" spans="2:9" x14ac:dyDescent="0.2">
      <c r="B1387" s="57"/>
    </row>
    <row r="1388" spans="2:9" x14ac:dyDescent="0.2">
      <c r="B1388" s="57"/>
    </row>
    <row r="1389" spans="2:9" x14ac:dyDescent="0.2">
      <c r="B1389" s="57"/>
      <c r="D1389" s="5"/>
      <c r="E1389" s="5"/>
      <c r="F1389" s="5"/>
      <c r="G1389" s="5"/>
      <c r="H1389" s="5"/>
      <c r="I1389" s="5"/>
    </row>
    <row r="1390" spans="2:9" x14ac:dyDescent="0.2">
      <c r="B1390" s="57"/>
    </row>
    <row r="1391" spans="2:9" x14ac:dyDescent="0.2">
      <c r="B1391" s="57"/>
    </row>
    <row r="1392" spans="2:9" x14ac:dyDescent="0.2">
      <c r="B1392" s="57"/>
      <c r="D1392" s="5"/>
      <c r="E1392" s="5"/>
      <c r="F1392" s="5"/>
      <c r="G1392" s="5"/>
      <c r="H1392" s="5"/>
      <c r="I1392" s="5"/>
    </row>
    <row r="1393" spans="2:9" x14ac:dyDescent="0.2">
      <c r="B1393" s="57"/>
      <c r="D1393" s="5"/>
      <c r="E1393" s="5"/>
      <c r="F1393" s="5"/>
      <c r="G1393" s="5"/>
      <c r="H1393" s="5"/>
      <c r="I1393" s="5"/>
    </row>
    <row r="1394" spans="2:9" x14ac:dyDescent="0.2">
      <c r="B1394" s="57"/>
    </row>
    <row r="1395" spans="2:9" x14ac:dyDescent="0.2">
      <c r="B1395" s="57"/>
      <c r="D1395" s="5"/>
      <c r="E1395" s="5"/>
      <c r="F1395" s="5"/>
      <c r="G1395" s="5"/>
      <c r="H1395" s="5"/>
      <c r="I1395" s="5"/>
    </row>
    <row r="1396" spans="2:9" x14ac:dyDescent="0.2">
      <c r="B1396" s="57"/>
      <c r="D1396" s="5"/>
      <c r="E1396" s="5"/>
      <c r="F1396" s="5"/>
      <c r="G1396" s="5"/>
      <c r="H1396" s="5"/>
      <c r="I1396" s="5"/>
    </row>
    <row r="1397" spans="2:9" x14ac:dyDescent="0.2">
      <c r="B1397" s="57"/>
      <c r="D1397" s="5"/>
      <c r="E1397" s="5"/>
      <c r="F1397" s="5"/>
      <c r="G1397" s="5"/>
      <c r="H1397" s="5"/>
      <c r="I1397" s="5"/>
    </row>
    <row r="1398" spans="2:9" x14ac:dyDescent="0.2">
      <c r="B1398" s="57"/>
      <c r="D1398" s="5"/>
      <c r="E1398" s="5"/>
      <c r="F1398" s="5"/>
      <c r="G1398" s="5"/>
      <c r="H1398" s="5"/>
      <c r="I1398" s="5"/>
    </row>
    <row r="1399" spans="2:9" x14ac:dyDescent="0.2">
      <c r="B1399" s="57"/>
      <c r="D1399" s="5"/>
      <c r="E1399" s="5"/>
      <c r="F1399" s="5"/>
      <c r="G1399" s="5"/>
      <c r="H1399" s="5"/>
      <c r="I1399" s="5"/>
    </row>
    <row r="1400" spans="2:9" x14ac:dyDescent="0.2">
      <c r="B1400" s="57"/>
      <c r="D1400" s="5"/>
      <c r="E1400" s="5"/>
      <c r="F1400" s="5"/>
      <c r="G1400" s="5"/>
      <c r="H1400" s="5"/>
      <c r="I1400" s="5"/>
    </row>
    <row r="1401" spans="2:9" x14ac:dyDescent="0.2">
      <c r="B1401" s="57"/>
      <c r="D1401" s="5"/>
      <c r="E1401" s="5"/>
      <c r="F1401" s="5"/>
      <c r="G1401" s="5"/>
      <c r="H1401" s="5"/>
      <c r="I1401" s="5"/>
    </row>
    <row r="1402" spans="2:9" x14ac:dyDescent="0.2">
      <c r="B1402" s="57"/>
      <c r="D1402" s="5"/>
      <c r="E1402" s="5"/>
      <c r="F1402" s="5"/>
      <c r="G1402" s="5"/>
      <c r="H1402" s="5"/>
      <c r="I1402" s="5"/>
    </row>
    <row r="1403" spans="2:9" x14ac:dyDescent="0.2">
      <c r="B1403" s="57"/>
      <c r="D1403" s="5"/>
      <c r="E1403" s="5"/>
      <c r="F1403" s="5"/>
      <c r="G1403" s="5"/>
      <c r="H1403" s="5"/>
      <c r="I1403" s="5"/>
    </row>
    <row r="1404" spans="2:9" x14ac:dyDescent="0.2">
      <c r="B1404" s="57"/>
      <c r="D1404" s="5"/>
      <c r="E1404" s="5"/>
      <c r="F1404" s="5"/>
      <c r="G1404" s="5"/>
      <c r="H1404" s="5"/>
      <c r="I1404" s="5"/>
    </row>
    <row r="1405" spans="2:9" x14ac:dyDescent="0.2">
      <c r="B1405" s="57"/>
      <c r="D1405" s="5"/>
      <c r="E1405" s="5"/>
      <c r="F1405" s="5"/>
      <c r="G1405" s="5"/>
      <c r="H1405" s="5"/>
      <c r="I1405" s="5"/>
    </row>
    <row r="1406" spans="2:9" x14ac:dyDescent="0.2">
      <c r="B1406" s="57"/>
      <c r="D1406" s="5"/>
      <c r="E1406" s="5"/>
      <c r="F1406" s="5"/>
      <c r="G1406" s="5"/>
      <c r="H1406" s="5"/>
      <c r="I1406" s="5"/>
    </row>
    <row r="1407" spans="2:9" x14ac:dyDescent="0.2">
      <c r="B1407" s="57"/>
      <c r="D1407" s="5"/>
      <c r="E1407" s="5"/>
      <c r="F1407" s="5"/>
      <c r="G1407" s="5"/>
      <c r="H1407" s="5"/>
      <c r="I1407" s="5"/>
    </row>
    <row r="1408" spans="2:9" x14ac:dyDescent="0.2">
      <c r="B1408" s="57"/>
      <c r="D1408" s="5"/>
      <c r="E1408" s="5"/>
      <c r="F1408" s="5"/>
      <c r="G1408" s="5"/>
      <c r="H1408" s="5"/>
      <c r="I1408" s="5"/>
    </row>
    <row r="1409" spans="2:9" x14ac:dyDescent="0.2">
      <c r="B1409" s="57"/>
      <c r="D1409" s="5"/>
      <c r="E1409" s="5"/>
      <c r="F1409" s="5"/>
      <c r="G1409" s="5"/>
      <c r="H1409" s="5"/>
      <c r="I1409" s="5"/>
    </row>
    <row r="1410" spans="2:9" x14ac:dyDescent="0.2">
      <c r="B1410" s="57"/>
      <c r="D1410" s="5"/>
      <c r="E1410" s="5"/>
      <c r="F1410" s="5"/>
      <c r="G1410" s="5"/>
      <c r="H1410" s="5"/>
      <c r="I1410" s="5"/>
    </row>
    <row r="1411" spans="2:9" x14ac:dyDescent="0.2">
      <c r="B1411" s="57"/>
      <c r="D1411" s="5"/>
      <c r="E1411" s="5"/>
      <c r="F1411" s="5"/>
      <c r="G1411" s="5"/>
      <c r="H1411" s="5"/>
      <c r="I1411" s="5"/>
    </row>
    <row r="1412" spans="2:9" x14ac:dyDescent="0.2">
      <c r="B1412" s="57"/>
      <c r="D1412" s="5"/>
      <c r="E1412" s="5"/>
      <c r="F1412" s="5"/>
      <c r="G1412" s="5"/>
      <c r="H1412" s="5"/>
      <c r="I1412" s="5"/>
    </row>
    <row r="1413" spans="2:9" x14ac:dyDescent="0.2">
      <c r="B1413" s="57"/>
      <c r="D1413" s="5"/>
      <c r="E1413" s="5"/>
      <c r="F1413" s="5"/>
      <c r="G1413" s="5"/>
      <c r="H1413" s="5"/>
      <c r="I1413" s="5"/>
    </row>
    <row r="1414" spans="2:9" x14ac:dyDescent="0.2">
      <c r="B1414" s="57"/>
      <c r="D1414" s="5"/>
      <c r="E1414" s="5"/>
      <c r="F1414" s="5"/>
      <c r="G1414" s="5"/>
      <c r="H1414" s="5"/>
      <c r="I1414" s="5"/>
    </row>
    <row r="1415" spans="2:9" x14ac:dyDescent="0.2">
      <c r="B1415" s="57"/>
      <c r="D1415" s="5"/>
      <c r="E1415" s="5"/>
      <c r="F1415" s="5"/>
      <c r="G1415" s="5"/>
      <c r="H1415" s="5"/>
      <c r="I1415" s="5"/>
    </row>
    <row r="1416" spans="2:9" x14ac:dyDescent="0.2">
      <c r="B1416" s="57"/>
      <c r="D1416" s="5"/>
      <c r="E1416" s="5"/>
      <c r="F1416" s="5"/>
      <c r="G1416" s="5"/>
      <c r="H1416" s="5"/>
      <c r="I1416" s="5"/>
    </row>
    <row r="1417" spans="2:9" x14ac:dyDescent="0.2">
      <c r="B1417" s="57"/>
      <c r="D1417" s="5"/>
      <c r="E1417" s="5"/>
      <c r="F1417" s="5"/>
      <c r="G1417" s="5"/>
      <c r="H1417" s="5"/>
      <c r="I1417" s="5"/>
    </row>
    <row r="1418" spans="2:9" x14ac:dyDescent="0.2">
      <c r="B1418" s="57"/>
      <c r="D1418" s="5"/>
      <c r="E1418" s="5"/>
      <c r="F1418" s="5"/>
      <c r="G1418" s="5"/>
      <c r="H1418" s="5"/>
      <c r="I1418" s="5"/>
    </row>
    <row r="1419" spans="2:9" x14ac:dyDescent="0.2">
      <c r="B1419" s="57"/>
      <c r="D1419" s="5"/>
      <c r="E1419" s="5"/>
      <c r="F1419" s="5"/>
      <c r="G1419" s="5"/>
      <c r="H1419" s="5"/>
      <c r="I1419" s="5"/>
    </row>
    <row r="1420" spans="2:9" x14ac:dyDescent="0.2">
      <c r="B1420" s="57"/>
      <c r="D1420" s="5"/>
      <c r="E1420" s="5"/>
      <c r="F1420" s="5"/>
      <c r="G1420" s="5"/>
      <c r="H1420" s="5"/>
      <c r="I1420" s="5"/>
    </row>
    <row r="1421" spans="2:9" x14ac:dyDescent="0.2">
      <c r="B1421" s="57"/>
      <c r="D1421" s="5"/>
      <c r="E1421" s="5"/>
      <c r="F1421" s="5"/>
      <c r="G1421" s="5"/>
      <c r="H1421" s="5"/>
      <c r="I1421" s="5"/>
    </row>
    <row r="1422" spans="2:9" x14ac:dyDescent="0.2">
      <c r="B1422" s="57"/>
      <c r="D1422" s="5"/>
      <c r="E1422" s="5"/>
      <c r="F1422" s="5"/>
      <c r="G1422" s="5"/>
      <c r="H1422" s="5"/>
      <c r="I1422" s="5"/>
    </row>
    <row r="1423" spans="2:9" x14ac:dyDescent="0.2">
      <c r="B1423" s="57"/>
      <c r="D1423" s="5"/>
      <c r="E1423" s="5"/>
      <c r="F1423" s="5"/>
      <c r="G1423" s="5"/>
      <c r="H1423" s="5"/>
      <c r="I1423" s="5"/>
    </row>
    <row r="1424" spans="2:9" x14ac:dyDescent="0.2">
      <c r="B1424" s="57"/>
      <c r="D1424" s="5"/>
      <c r="E1424" s="5"/>
      <c r="F1424" s="5"/>
      <c r="G1424" s="5"/>
      <c r="H1424" s="5"/>
      <c r="I1424" s="5"/>
    </row>
    <row r="1425" spans="2:9" x14ac:dyDescent="0.2">
      <c r="B1425" s="57"/>
      <c r="D1425" s="5"/>
      <c r="E1425" s="5"/>
      <c r="F1425" s="5"/>
      <c r="G1425" s="5"/>
      <c r="H1425" s="5"/>
      <c r="I1425" s="5"/>
    </row>
    <row r="1426" spans="2:9" x14ac:dyDescent="0.2">
      <c r="B1426" s="57"/>
      <c r="D1426" s="5"/>
      <c r="E1426" s="5"/>
      <c r="F1426" s="5"/>
      <c r="G1426" s="5"/>
      <c r="H1426" s="5"/>
      <c r="I1426" s="5"/>
    </row>
    <row r="1427" spans="2:9" x14ac:dyDescent="0.2">
      <c r="B1427" s="57"/>
      <c r="D1427" s="5"/>
      <c r="E1427" s="5"/>
      <c r="F1427" s="5"/>
      <c r="G1427" s="5"/>
      <c r="H1427" s="5"/>
      <c r="I1427" s="5"/>
    </row>
    <row r="1428" spans="2:9" x14ac:dyDescent="0.2">
      <c r="B1428" s="57"/>
      <c r="D1428" s="5"/>
      <c r="E1428" s="5"/>
      <c r="F1428" s="5"/>
      <c r="G1428" s="5"/>
      <c r="H1428" s="5"/>
      <c r="I1428" s="5"/>
    </row>
    <row r="1429" spans="2:9" x14ac:dyDescent="0.2">
      <c r="B1429" s="57"/>
    </row>
    <row r="1430" spans="2:9" x14ac:dyDescent="0.2">
      <c r="B1430" s="57"/>
    </row>
    <row r="1431" spans="2:9" x14ac:dyDescent="0.2">
      <c r="B1431" s="57"/>
    </row>
    <row r="1432" spans="2:9" x14ac:dyDescent="0.2">
      <c r="B1432" s="57"/>
    </row>
    <row r="1433" spans="2:9" x14ac:dyDescent="0.2">
      <c r="B1433" s="57"/>
    </row>
    <row r="1434" spans="2:9" x14ac:dyDescent="0.2">
      <c r="B1434" s="57"/>
    </row>
    <row r="1435" spans="2:9" x14ac:dyDescent="0.2">
      <c r="B1435" s="57"/>
    </row>
    <row r="1436" spans="2:9" x14ac:dyDescent="0.2">
      <c r="B1436" s="57"/>
    </row>
    <row r="1437" spans="2:9" x14ac:dyDescent="0.2">
      <c r="B1437" s="57"/>
    </row>
    <row r="1438" spans="2:9" x14ac:dyDescent="0.2">
      <c r="B1438" s="57"/>
    </row>
    <row r="1439" spans="2:9" x14ac:dyDescent="0.2">
      <c r="B1439" s="57"/>
    </row>
    <row r="1440" spans="2:9" x14ac:dyDescent="0.2">
      <c r="B1440" s="57"/>
    </row>
    <row r="1441" spans="2:2" x14ac:dyDescent="0.2">
      <c r="B1441" s="57"/>
    </row>
    <row r="1442" spans="2:2" x14ac:dyDescent="0.2">
      <c r="B1442" s="57"/>
    </row>
    <row r="1443" spans="2:2" x14ac:dyDescent="0.2">
      <c r="B1443" s="57"/>
    </row>
    <row r="1444" spans="2:2" x14ac:dyDescent="0.2">
      <c r="B1444" s="57"/>
    </row>
    <row r="1445" spans="2:2" x14ac:dyDescent="0.2">
      <c r="B1445" s="57"/>
    </row>
    <row r="1446" spans="2:2" x14ac:dyDescent="0.2">
      <c r="B1446" s="57"/>
    </row>
    <row r="1447" spans="2:2" x14ac:dyDescent="0.2">
      <c r="B1447" s="57"/>
    </row>
    <row r="1448" spans="2:2" x14ac:dyDescent="0.2">
      <c r="B1448" s="57"/>
    </row>
    <row r="1449" spans="2:2" x14ac:dyDescent="0.2">
      <c r="B1449" s="57"/>
    </row>
    <row r="1450" spans="2:2" x14ac:dyDescent="0.2">
      <c r="B1450" s="57"/>
    </row>
    <row r="1451" spans="2:2" x14ac:dyDescent="0.2">
      <c r="B1451" s="57"/>
    </row>
    <row r="1452" spans="2:2" x14ac:dyDescent="0.2">
      <c r="B1452" s="57"/>
    </row>
    <row r="1453" spans="2:2" x14ac:dyDescent="0.2">
      <c r="B1453" s="57"/>
    </row>
    <row r="1454" spans="2:2" x14ac:dyDescent="0.2">
      <c r="B1454" s="57"/>
    </row>
    <row r="1455" spans="2:2" x14ac:dyDescent="0.2">
      <c r="B1455" s="57"/>
    </row>
    <row r="1456" spans="2:2" x14ac:dyDescent="0.2">
      <c r="B1456" s="57"/>
    </row>
    <row r="1457" spans="2:2" x14ac:dyDescent="0.2">
      <c r="B1457" s="57"/>
    </row>
    <row r="1458" spans="2:2" x14ac:dyDescent="0.2">
      <c r="B1458" s="57"/>
    </row>
    <row r="1459" spans="2:2" x14ac:dyDescent="0.2">
      <c r="B1459" s="57"/>
    </row>
    <row r="1460" spans="2:2" x14ac:dyDescent="0.2">
      <c r="B1460" s="57"/>
    </row>
    <row r="1461" spans="2:2" x14ac:dyDescent="0.2">
      <c r="B1461" s="57"/>
    </row>
    <row r="1462" spans="2:2" x14ac:dyDescent="0.2">
      <c r="B1462" s="57"/>
    </row>
    <row r="1463" spans="2:2" x14ac:dyDescent="0.2">
      <c r="B1463" s="57"/>
    </row>
    <row r="1464" spans="2:2" x14ac:dyDescent="0.2">
      <c r="B1464" s="57"/>
    </row>
    <row r="1465" spans="2:2" x14ac:dyDescent="0.2">
      <c r="B1465" s="57"/>
    </row>
    <row r="1466" spans="2:2" x14ac:dyDescent="0.2">
      <c r="B1466" s="57"/>
    </row>
    <row r="1467" spans="2:2" x14ac:dyDescent="0.2">
      <c r="B1467" s="57"/>
    </row>
    <row r="1468" spans="2:2" x14ac:dyDescent="0.2">
      <c r="B1468" s="57"/>
    </row>
    <row r="1469" spans="2:2" x14ac:dyDescent="0.2">
      <c r="B1469" s="57"/>
    </row>
    <row r="1470" spans="2:2" x14ac:dyDescent="0.2">
      <c r="B1470" s="57"/>
    </row>
    <row r="1471" spans="2:2" x14ac:dyDescent="0.2">
      <c r="B1471" s="57"/>
    </row>
    <row r="1472" spans="2:2" x14ac:dyDescent="0.2">
      <c r="B1472" s="57"/>
    </row>
    <row r="1473" spans="2:2" x14ac:dyDescent="0.2">
      <c r="B1473" s="57"/>
    </row>
    <row r="1474" spans="2:2" x14ac:dyDescent="0.2">
      <c r="B1474" s="57"/>
    </row>
    <row r="1475" spans="2:2" x14ac:dyDescent="0.2">
      <c r="B1475" s="57"/>
    </row>
    <row r="1476" spans="2:2" x14ac:dyDescent="0.2">
      <c r="B1476" s="57"/>
    </row>
    <row r="1477" spans="2:2" x14ac:dyDescent="0.2">
      <c r="B1477" s="57"/>
    </row>
    <row r="1478" spans="2:2" x14ac:dyDescent="0.2">
      <c r="B1478" s="57"/>
    </row>
    <row r="1479" spans="2:2" x14ac:dyDescent="0.2">
      <c r="B1479" s="57"/>
    </row>
  </sheetData>
  <autoFilter ref="A1:R1043" xr:uid="{4F02ACB0-A763-43EE-94FF-23BC920A409B}">
    <sortState xmlns:xlrd2="http://schemas.microsoft.com/office/spreadsheetml/2017/richdata2" ref="A2:R1043">
      <sortCondition descending="1" ref="R1:R1043"/>
    </sortState>
  </autoFilter>
  <sortState xmlns:xlrd2="http://schemas.microsoft.com/office/spreadsheetml/2017/richdata2" ref="A2:R14">
    <sortCondition ref="C2:C651"/>
  </sortState>
  <hyperlinks>
    <hyperlink ref="B501" r:id="rId1" xr:uid="{00E96B08-10E9-476C-ADB2-6DE80CD8CE03}"/>
    <hyperlink ref="B8" r:id="rId2" xr:uid="{FB5DEC4A-CCEC-4D30-B4DA-D06F1DEAC42A}"/>
    <hyperlink ref="B17" r:id="rId3" xr:uid="{B8FEC359-5A72-4AEE-B1F6-42A8BAC94357}"/>
    <hyperlink ref="B9" r:id="rId4" xr:uid="{08BC0796-CA64-4412-90F6-AC4156075199}"/>
    <hyperlink ref="B12" r:id="rId5" xr:uid="{C032677A-621E-47DB-8998-1E751B82F2BF}"/>
    <hyperlink ref="B23" r:id="rId6" xr:uid="{CD5133CA-0566-4AF3-A3F8-771BC035DE18}"/>
    <hyperlink ref="B11" r:id="rId7" xr:uid="{A0D71DB4-2100-4B37-AED7-4FABBDD7B478}"/>
    <hyperlink ref="B506" r:id="rId8" display="https://www.sciencedirect.com/science/article/pii/S240589632202403X" xr:uid="{0E286F9D-D660-4716-8BF7-8DF08FE83BFB}"/>
    <hyperlink ref="B6" r:id="rId9" xr:uid="{331D8572-6A4E-4D37-9180-EFC3304E9911}"/>
    <hyperlink ref="B16" r:id="rId10" xr:uid="{7ECE2641-95E7-48C8-B716-E0C51F6B8D34}"/>
    <hyperlink ref="B21" r:id="rId11" xr:uid="{515D86B9-0557-481F-9167-DD23EB777FE7}"/>
    <hyperlink ref="B4" r:id="rId12" xr:uid="{A9E736B8-AE6E-4F95-BDF6-AE2FEDBFB8DA}"/>
    <hyperlink ref="B65" r:id="rId13" xr:uid="{C47056DB-89E4-46FA-A1F6-3025CBA0461D}"/>
    <hyperlink ref="B507" r:id="rId14" xr:uid="{DD965319-B2FD-459A-A8A6-54B6B5CAFDBF}"/>
    <hyperlink ref="B26" r:id="rId15" xr:uid="{A152565E-838D-4742-8C4C-BB3F6E459FB9}"/>
    <hyperlink ref="B7" r:id="rId16" xr:uid="{346A8524-99B6-43E9-8BE5-EC6ED25BAD88}"/>
    <hyperlink ref="B24" r:id="rId17" xr:uid="{EEA62027-4F90-49E2-8139-680C0DA8E4E4}"/>
    <hyperlink ref="B66" r:id="rId18" xr:uid="{09BA8E9B-231C-4B21-BAD3-9059553D5DB6}"/>
    <hyperlink ref="B18" r:id="rId19" xr:uid="{54E5CD3E-BCD1-402D-8A3F-026B9FBE4933}"/>
    <hyperlink ref="B27" r:id="rId20" xr:uid="{22A4C7A6-5FAF-40BC-91B1-116A5E63692F}"/>
    <hyperlink ref="B119" r:id="rId21" xr:uid="{59F8B4BE-880D-466B-BB5F-085B49D55BBD}"/>
    <hyperlink ref="B120" r:id="rId22" xr:uid="{48634D56-C6E0-466D-A46E-2667F00E45EC}"/>
    <hyperlink ref="B121" r:id="rId23" xr:uid="{4B0563C2-959E-4AB3-9F7C-93B6AB77370F}"/>
    <hyperlink ref="B124" r:id="rId24" xr:uid="{BF4842D2-C77A-4E3B-98BD-69EAB86DA966}"/>
    <hyperlink ref="B125" r:id="rId25" xr:uid="{FA68742C-8BCC-40D8-BAB4-2D6298CC2433}"/>
    <hyperlink ref="B61" r:id="rId26" xr:uid="{E98BC0BF-F46A-4099-BD49-CC4908049E70}"/>
    <hyperlink ref="B346" r:id="rId27" xr:uid="{E48C9AD7-6F3F-4FB3-B88F-B689CD8DCADD}"/>
    <hyperlink ref="B347" r:id="rId28" xr:uid="{DA0628B5-30F5-440A-86B8-3A8FCDD90D28}"/>
    <hyperlink ref="B348" r:id="rId29" xr:uid="{D28FCA42-BE7E-471E-9D87-77C5385300FF}"/>
    <hyperlink ref="B126" r:id="rId30" xr:uid="{E7244CE5-F22A-4043-8CAC-CBF3E93EF7A0}"/>
    <hyperlink ref="B127" r:id="rId31" xr:uid="{F9377DB6-0F09-4E7A-8101-B301042A47D6}"/>
    <hyperlink ref="B128" r:id="rId32" xr:uid="{D16554B3-2CAE-49A9-9B31-911123DD6BBB}"/>
    <hyperlink ref="B129" r:id="rId33" xr:uid="{85485C76-797F-4937-98C0-E1E732224E96}"/>
    <hyperlink ref="B349" r:id="rId34" xr:uid="{831BE831-54F5-4BD5-81CC-3AC18FEEED69}"/>
    <hyperlink ref="B130" r:id="rId35" xr:uid="{3489FCE4-12F3-4BB7-B693-F4445CA1C413}"/>
    <hyperlink ref="B131" r:id="rId36" xr:uid="{2C221F34-1D1A-4831-9C63-8BB661B0981E}"/>
    <hyperlink ref="B350" r:id="rId37" xr:uid="{CE5887FC-6C1A-4578-B0F3-B4D6B08CBB12}"/>
    <hyperlink ref="B132" r:id="rId38" xr:uid="{FBA4E69D-298D-4361-9A67-618357B2BBCE}"/>
    <hyperlink ref="B351" r:id="rId39" xr:uid="{0EA93E59-63A5-4E5C-B2CE-790F3EC901DC}"/>
    <hyperlink ref="B133" r:id="rId40" xr:uid="{0EB9F80B-DB7E-4A0B-BA0F-0B2B12910441}"/>
    <hyperlink ref="B352" r:id="rId41" xr:uid="{E8CA4E91-12DF-4017-8809-FEB156BAD65F}"/>
    <hyperlink ref="B531" r:id="rId42" xr:uid="{EE65299A-6E15-490A-8830-2E4253520EAF}"/>
    <hyperlink ref="B353" r:id="rId43" xr:uid="{FEDE28B5-BBED-46EC-ACB5-6286FFAEA49E}"/>
    <hyperlink ref="B532" r:id="rId44" xr:uid="{5587A387-EBFB-4B9B-BA87-3230363FC4DB}"/>
    <hyperlink ref="B354" r:id="rId45" xr:uid="{54A8AD75-1374-4E1D-A833-2BF3B4AC7198}"/>
    <hyperlink ref="B134" r:id="rId46" xr:uid="{99D62237-3259-49A0-AB62-4CA80BB0D88E}"/>
    <hyperlink ref="B135" r:id="rId47" xr:uid="{B998A388-B5AB-41FD-BA65-68B78F895A56}"/>
    <hyperlink ref="B533" r:id="rId48" xr:uid="{51C7569D-3A31-4AE6-BC84-8770D2A15A3A}"/>
    <hyperlink ref="B136" r:id="rId49" xr:uid="{45C73380-9396-4987-9E73-E85FC7B98BB3}"/>
    <hyperlink ref="B534" r:id="rId50" xr:uid="{BD3AF2EA-CD36-47BF-A699-7BC30618BC38}"/>
    <hyperlink ref="B355" r:id="rId51" xr:uid="{373E75DC-F254-4CAC-A62A-851941756E67}"/>
    <hyperlink ref="B137" r:id="rId52" xr:uid="{043AD547-6886-46CB-832F-F56E6893E7C4}"/>
    <hyperlink ref="B138" r:id="rId53" xr:uid="{8D229E90-C62F-4792-BBB3-0E0CE2F50798}"/>
    <hyperlink ref="B139" r:id="rId54" xr:uid="{0467AEE4-7D7E-452B-90BD-27CDE64592A9}"/>
    <hyperlink ref="B356" r:id="rId55" xr:uid="{7F806529-9C9B-48C7-B9A9-FFF6A46C79A3}"/>
    <hyperlink ref="B357" r:id="rId56" xr:uid="{6230769C-CD99-41CD-9289-01BBB77B4600}"/>
    <hyperlink ref="B140" r:id="rId57" xr:uid="{43CAC1B4-8294-4CEF-B24C-EBFB02CD8A03}"/>
    <hyperlink ref="B535" r:id="rId58" xr:uid="{BCC13F43-6290-4FBD-A410-D13868B86626}"/>
    <hyperlink ref="B536" r:id="rId59" xr:uid="{654E1F67-86F7-47DD-8F80-AA160519F7E1}"/>
    <hyperlink ref="B141" r:id="rId60" xr:uid="{45FD27C2-AF73-4AB4-A549-74A5A52641F3}"/>
    <hyperlink ref="B142" r:id="rId61" xr:uid="{BB1AF0CB-E625-43EB-9087-B6C626312925}"/>
    <hyperlink ref="B143" r:id="rId62" xr:uid="{D23B5F74-660F-4242-9511-533B4440AA4D}"/>
    <hyperlink ref="B537" r:id="rId63" xr:uid="{DF647648-FBB1-49DE-A75B-162C8B74B308}"/>
    <hyperlink ref="B359" r:id="rId64" xr:uid="{FB472C88-0F98-4EF8-8315-D76E70B21975}"/>
    <hyperlink ref="B538" r:id="rId65" xr:uid="{885542E1-AA74-44D8-8384-61AEBE970021}"/>
    <hyperlink ref="B144" r:id="rId66" xr:uid="{32304A03-ADC8-4657-8B0A-056463FAF49B}"/>
    <hyperlink ref="B360" r:id="rId67" xr:uid="{63E0F5FF-7C38-453A-9BE8-2FF514B515EF}"/>
    <hyperlink ref="B145" r:id="rId68" xr:uid="{6A6BC322-6F63-459F-AEEE-0CC4C8CFA1B6}"/>
    <hyperlink ref="B147" r:id="rId69" xr:uid="{B07E4EA9-E535-4DB6-AA35-4F5F3B90A732}"/>
    <hyperlink ref="B148" r:id="rId70" xr:uid="{0ABAD219-073D-41E4-8607-0FDD249285F4}"/>
    <hyperlink ref="B361" r:id="rId71" xr:uid="{F4BCF0C0-E251-404F-B01A-29C9AB43950B}"/>
    <hyperlink ref="B362" r:id="rId72" xr:uid="{72B8BC06-6687-4D27-B984-C88EF4C0DD47}"/>
    <hyperlink ref="B363" r:id="rId73" xr:uid="{04F2030C-39A6-45EA-BC61-C9A8AFE176AA}"/>
    <hyperlink ref="B149" r:id="rId74" xr:uid="{2B81B1FB-6E6F-4E71-9A39-80322131973D}"/>
    <hyperlink ref="B150" r:id="rId75" xr:uid="{7392F19B-33C8-4413-B484-D9301D2DC8FA}"/>
    <hyperlink ref="B364" r:id="rId76" xr:uid="{AD85038D-4124-4C55-AF49-A93155776357}"/>
    <hyperlink ref="B365" r:id="rId77" xr:uid="{F00E6F78-6146-48B3-93A4-BF5821FEF74B}"/>
    <hyperlink ref="B366" r:id="rId78" xr:uid="{D9C8C583-F472-4FDE-976E-A0CF95B821C7}"/>
    <hyperlink ref="B151" r:id="rId79" xr:uid="{3008E4CF-C57B-4655-8E7F-F4506D93ED81}"/>
    <hyperlink ref="B152" r:id="rId80" xr:uid="{F9DBB430-3626-4338-8DE9-77D0A3206251}"/>
    <hyperlink ref="B367" r:id="rId81" xr:uid="{352F7B5C-60DE-4712-BBC4-BE044C22C66B}"/>
    <hyperlink ref="B321" r:id="rId82" xr:uid="{78796541-11D6-4162-B92B-39583CE76315}"/>
    <hyperlink ref="B368" r:id="rId83" xr:uid="{DC4DD5B1-722F-4C62-84BB-ACDDECA4F8B7}"/>
    <hyperlink ref="B153" r:id="rId84" xr:uid="{7E280F49-91E0-4662-B9A3-41ADBFD92585}"/>
    <hyperlink ref="B369" r:id="rId85" xr:uid="{007B70EC-231C-489C-B289-FAA400CEE40E}"/>
    <hyperlink ref="B154" r:id="rId86" xr:uid="{189C3C92-4533-4129-9BE8-79A818ADC805}"/>
    <hyperlink ref="B155" r:id="rId87" xr:uid="{964AD418-BF71-4755-8C4B-7795097A6DC4}"/>
    <hyperlink ref="B156" r:id="rId88" xr:uid="{37569A16-FBFA-459D-A44E-44B051D3AE44}"/>
    <hyperlink ref="B370" r:id="rId89" xr:uid="{0FE7CD70-88F4-4EB7-98B8-E9514FC0895D}"/>
    <hyperlink ref="B157" r:id="rId90" xr:uid="{1CCA572A-001C-4B7D-8F1E-680FE0316855}"/>
    <hyperlink ref="B158" r:id="rId91" xr:uid="{6AC353A6-DA5A-4B1E-BC67-C481E04CC14F}"/>
    <hyperlink ref="B371" r:id="rId92" xr:uid="{8C6B844B-79D9-4102-8521-7D5845EC65FD}"/>
    <hyperlink ref="B500" r:id="rId93" xr:uid="{A04A3714-A5EE-4543-AB4E-A4D60DEB4B85}"/>
    <hyperlink ref="B159" r:id="rId94" xr:uid="{64302A3F-C5CD-4634-A50E-43B0B37727C5}"/>
    <hyperlink ref="B160" r:id="rId95" xr:uid="{005E71FD-6577-4548-AEDE-86AB5C8A47F6}"/>
    <hyperlink ref="B161" r:id="rId96" xr:uid="{E29F2D95-7514-48E8-88B4-2A5EDF3D6AB2}"/>
    <hyperlink ref="B162" r:id="rId97" xr:uid="{04019C0E-E8F6-4E22-AB96-DABDC52ADD2F}"/>
    <hyperlink ref="B372" r:id="rId98" xr:uid="{4509918F-C5AB-4602-AB25-AC8CBBEA09D9}"/>
    <hyperlink ref="B163" r:id="rId99" xr:uid="{82F83225-B792-4762-B772-7E8B12251312}"/>
    <hyperlink ref="B164" r:id="rId100" xr:uid="{30E335FD-3E54-466B-BE4D-C6FF45649FDF}"/>
    <hyperlink ref="B165" r:id="rId101" xr:uid="{C5D32A94-7B8F-48EE-B006-3954E94F514C}"/>
    <hyperlink ref="B373" r:id="rId102" xr:uid="{D2B10B2C-BEA9-4B83-BA32-06246BDC303D}"/>
    <hyperlink ref="B166" r:id="rId103" xr:uid="{1072DF4E-C0FA-4763-A6AC-44FFB3184274}"/>
    <hyperlink ref="B167" r:id="rId104" xr:uid="{B1172332-EC0D-4B85-97EC-C5E1EBCBB252}"/>
    <hyperlink ref="B168" r:id="rId105" xr:uid="{61B541F9-054C-4F11-B43E-AB1F9C74E461}"/>
    <hyperlink ref="B169" r:id="rId106" xr:uid="{6C2B4E9E-A5BC-49FE-A47A-C2E646A52F8B}"/>
    <hyperlink ref="B170" r:id="rId107" xr:uid="{CA654AAB-3773-4F0C-B582-E9C53E9D13ED}"/>
    <hyperlink ref="B541" r:id="rId108" xr:uid="{61411EAE-30BF-46BC-AAA5-127D8F833329}"/>
    <hyperlink ref="B171" r:id="rId109" xr:uid="{CBB1ED88-26B6-4CC6-958D-04ABF39959F8}"/>
    <hyperlink ref="B172" r:id="rId110" xr:uid="{F20251B2-0DE3-4D31-86F7-5EF4A5B48316}"/>
    <hyperlink ref="B173" r:id="rId111" xr:uid="{404886A8-5FD7-431E-8007-F7063BFF7389}"/>
    <hyperlink ref="B374" r:id="rId112" xr:uid="{AB877240-DA1B-4834-A26E-1BABF84A4A51}"/>
    <hyperlink ref="B542" r:id="rId113" xr:uid="{2C670AFE-01E5-4E88-8600-B7F1B7C132C2}"/>
    <hyperlink ref="B174" r:id="rId114" xr:uid="{8A0BA847-422F-4247-AE07-49187792CC93}"/>
    <hyperlink ref="B375" r:id="rId115" xr:uid="{D39F2220-8BEB-4FDB-8C4F-A1A27BA364BE}"/>
    <hyperlink ref="B543" r:id="rId116" xr:uid="{48E6F542-1C9E-41E9-B33C-C73747491B47}"/>
    <hyperlink ref="B544" r:id="rId117" xr:uid="{52588A5E-140F-4F41-8BD8-0516C4545353}"/>
    <hyperlink ref="B175" r:id="rId118" xr:uid="{76B3523F-3861-4E3E-AE95-11C80F5E24C6}"/>
    <hyperlink ref="B376" r:id="rId119" xr:uid="{890C199A-AE3A-408F-9063-3A0FA79C0A2F}"/>
    <hyperlink ref="B28" r:id="rId120" xr:uid="{F80867CE-5612-4125-A940-20832DCB5780}"/>
    <hyperlink ref="B67" r:id="rId121" xr:uid="{83F94EFD-0BE6-4531-A5B2-A058FA88C9D5}"/>
    <hyperlink ref="B20" r:id="rId122" xr:uid="{94056E61-062D-463B-BA26-B8ED09B65B61}"/>
    <hyperlink ref="B3" r:id="rId123" xr:uid="{47CACB8F-CD49-4424-AAB9-83FE962834C2}"/>
    <hyperlink ref="B10" r:id="rId124" xr:uid="{60977979-DA27-4044-B82C-5F3A489A8358}"/>
    <hyperlink ref="B29" r:id="rId125" xr:uid="{817E04C3-4611-47CB-B352-58ACBA422BBA}"/>
    <hyperlink ref="B508" r:id="rId126" xr:uid="{F1E7ABAB-9BB5-4CF3-968B-684E1BBCDB72}"/>
    <hyperlink ref="B30" r:id="rId127" xr:uid="{FB9D0BB9-8904-4DD6-9F4E-6F78C62146B9}"/>
    <hyperlink ref="B22" r:id="rId128" xr:uid="{1A9CBFF1-DEAF-4CCA-912D-F9C3138C9B60}"/>
    <hyperlink ref="B492" r:id="rId129" xr:uid="{38F78441-EF92-4806-BC0E-F60C19864910}"/>
    <hyperlink ref="B68" r:id="rId130" xr:uid="{75BACDE6-CD53-4938-B756-330F9DD44C8B}"/>
    <hyperlink ref="B19" r:id="rId131" xr:uid="{4054B7D5-2585-4FA6-BA03-500404A0E176}"/>
    <hyperlink ref="B31" r:id="rId132" xr:uid="{F8A2EA38-AF2A-4255-8DD7-212F11E8A25A}"/>
    <hyperlink ref="B509" r:id="rId133" xr:uid="{0058E24D-FCD4-405B-8813-F9E86A500C4E}"/>
    <hyperlink ref="B32" r:id="rId134" xr:uid="{3D9C6915-02F3-4CE0-9146-378CC898CAC7}"/>
    <hyperlink ref="B310" r:id="rId135" xr:uid="{7F4C4D00-01C3-4E44-8F92-F3FD2F791C01}"/>
    <hyperlink ref="B510" r:id="rId136" xr:uid="{BD04DAD7-5C36-4E6F-AD21-F181684648BD}"/>
    <hyperlink ref="B493" r:id="rId137" xr:uid="{C1200486-E3D1-45FC-BE5A-68A39088B34E}"/>
    <hyperlink ref="B33" r:id="rId138" xr:uid="{F6F0FC86-3595-484F-AF39-DF8B0CBF8CD0}"/>
    <hyperlink ref="B25" r:id="rId139" xr:uid="{A0F0B90F-7873-48C9-905A-E553D97D1DBD}"/>
    <hyperlink ref="B511" r:id="rId140" xr:uid="{4B9D08AD-9DFC-4851-92F5-15CB0DB9B6F5}"/>
    <hyperlink ref="B512" r:id="rId141" xr:uid="{3EA5FA01-7381-4AA6-8C51-5FD29FF3A080}"/>
    <hyperlink ref="B311" r:id="rId142" xr:uid="{AF68AAFF-DD48-4817-888B-AD3A13800B89}"/>
    <hyperlink ref="B34" r:id="rId143" xr:uid="{16D1071B-4834-4600-A13C-62AF16AE2919}"/>
    <hyperlink ref="B69" r:id="rId144" xr:uid="{D993D6A0-3E32-4E1D-9D0F-047888E74EA7}"/>
    <hyperlink ref="B35" r:id="rId145" xr:uid="{DB1DD221-96DE-4483-80C9-FB8F24E15C87}"/>
    <hyperlink ref="B70" r:id="rId146" xr:uid="{BB2BDA48-724C-4712-92CC-D4E3FB22E45C}"/>
    <hyperlink ref="B36" r:id="rId147" xr:uid="{1324A5FC-E649-4E73-A747-5D1E6BD2882A}"/>
    <hyperlink ref="B37" r:id="rId148" xr:uid="{6F569346-5C48-49D0-AA5F-6F7E311C3CB1}"/>
    <hyperlink ref="B38" r:id="rId149" xr:uid="{CE11E7E2-9364-4D0A-9286-4F2F06B3D43B}"/>
    <hyperlink ref="B39" r:id="rId150" xr:uid="{0EE7F948-146A-46CE-81D8-A6C2F636D6B2}"/>
    <hyperlink ref="B312" r:id="rId151" xr:uid="{67B55E3A-1A69-47F6-9D26-74A30D2DED24}"/>
    <hyperlink ref="B313" r:id="rId152" xr:uid="{6D58D9B6-A388-4EBF-96CE-4DD2CD9E42E8}"/>
    <hyperlink ref="B71" r:id="rId153" xr:uid="{81C80617-A419-4128-948F-825EE07F26FB}"/>
    <hyperlink ref="B40" r:id="rId154" xr:uid="{AD8C3C36-1C42-4A28-8606-4C47F605AD96}"/>
    <hyperlink ref="B41" r:id="rId155" xr:uid="{1B9A62FA-6558-47FC-B79F-6FE5055B10FC}"/>
    <hyperlink ref="B42" r:id="rId156" xr:uid="{13D82B81-F857-4EE7-9877-2E4704B2217A}"/>
    <hyperlink ref="B43" r:id="rId157" xr:uid="{7EB47717-947D-48F4-ADA2-4135227B306E}"/>
    <hyperlink ref="B44" r:id="rId158" xr:uid="{198F906C-BAE6-4235-B52D-A983C4DB6180}"/>
    <hyperlink ref="B314" r:id="rId159" xr:uid="{BF98DF07-FA86-4976-9A2B-3BBD95EF2550}"/>
    <hyperlink ref="B494" r:id="rId160" xr:uid="{56CF219A-DB6E-4DCF-AF18-74EAD4A9C81C}"/>
    <hyperlink ref="B45" r:id="rId161" xr:uid="{D0857B27-C593-4989-8CCD-F0FAFC3A38BB}"/>
    <hyperlink ref="B315" r:id="rId162" xr:uid="{E44BBBCC-90D8-4619-A4D0-DA9C9C83EEC5}"/>
    <hyperlink ref="B495" r:id="rId163" xr:uid="{9D2E8447-F44C-4462-8288-61B5484D2A09}"/>
    <hyperlink ref="B46" r:id="rId164" xr:uid="{ECEB0D69-764D-4482-B772-C11AA2BF6591}"/>
    <hyperlink ref="B47" r:id="rId165" xr:uid="{BC73B92C-FB24-4DA8-BDDE-3611EDA847DF}"/>
    <hyperlink ref="B48" r:id="rId166" xr:uid="{0B0ADF94-9A7B-4252-9ECF-C6F763D8BAC5}"/>
    <hyperlink ref="B49" r:id="rId167" xr:uid="{261E68FB-DBD9-4CCA-A007-2F70D2301103}"/>
    <hyperlink ref="B50" r:id="rId168" xr:uid="{0851BD97-5C66-4110-A4FB-722C06E6FA4F}"/>
    <hyperlink ref="B316" r:id="rId169" xr:uid="{57224E8C-C3FC-4857-88CA-6C3CD515516A}"/>
    <hyperlink ref="B513" r:id="rId170" xr:uid="{BC331591-03EC-421E-8D75-EE4A1B7CE929}"/>
    <hyperlink ref="B51" r:id="rId171" xr:uid="{EB4AEAE9-A873-46DB-A76F-31260F749A48}"/>
    <hyperlink ref="B52" r:id="rId172" xr:uid="{095C0838-E666-426E-9CCE-E7FED288F938}"/>
    <hyperlink ref="B317" r:id="rId173" xr:uid="{B0E2744E-C796-45D2-ACEA-0D3AE17F0827}"/>
    <hyperlink ref="B53" r:id="rId174" xr:uid="{B6D9513C-36F1-4792-8855-DE3A14AFC6CF}"/>
    <hyperlink ref="B496" r:id="rId175" xr:uid="{5B0D50F3-1A23-4EAD-9B4B-260F31CAAB2E}"/>
    <hyperlink ref="B54" r:id="rId176" xr:uid="{01E78D3F-1FB8-45D5-9BF3-00F92477D931}"/>
    <hyperlink ref="B497" r:id="rId177" xr:uid="{71FD17F3-BB65-4F61-9CAE-97B140380268}"/>
    <hyperlink ref="B318" r:id="rId178" xr:uid="{8842E3CC-3F30-49F8-B6B6-18E667125D7F}"/>
    <hyperlink ref="B55" r:id="rId179" xr:uid="{3DE02E3A-1D63-4048-AB50-665241979840}"/>
    <hyperlink ref="B56" r:id="rId180" xr:uid="{B59844C5-7876-4A46-AA76-5309A057D934}"/>
    <hyperlink ref="B498" r:id="rId181" xr:uid="{FB286F33-336D-49BE-8642-206F35564789}"/>
    <hyperlink ref="B57" r:id="rId182" xr:uid="{BC59E84D-E8A4-4EC8-8503-73BCAAAD361F}"/>
    <hyperlink ref="B322" r:id="rId183" xr:uid="{FF3AABE6-E49C-4DF7-9D91-2504310C3C75}"/>
    <hyperlink ref="B58" r:id="rId184" xr:uid="{9FEDAEC2-583E-4B0B-A264-2CED1E09F669}"/>
    <hyperlink ref="B319" r:id="rId185" xr:uid="{A4B528FC-304D-4DD3-996C-94BA7CEE751C}"/>
    <hyperlink ref="B499" r:id="rId186" xr:uid="{9C40A1D9-8DDC-40D6-9AC4-B2975B4E2F27}"/>
    <hyperlink ref="B59" r:id="rId187" xr:uid="{A764A5DA-22B7-4065-BBD6-F9443249AA29}"/>
    <hyperlink ref="B72" r:id="rId188" xr:uid="{966B83F6-C21C-4536-BA1C-173BFEB45055}"/>
    <hyperlink ref="B60" r:id="rId189" xr:uid="{027727D8-6F40-4E33-BC53-355F45933D92}"/>
    <hyperlink ref="B323" r:id="rId190" xr:uid="{4552BDAB-113D-4971-9FC2-7C0FEBA0B9F8}"/>
    <hyperlink ref="B73" r:id="rId191" xr:uid="{EF95AA97-9619-42E7-A0CF-241EFD6A46EB}"/>
    <hyperlink ref="B324" r:id="rId192" xr:uid="{7BC54CF5-83BC-42FD-B0D0-E21E662EB8AE}"/>
    <hyperlink ref="B74" r:id="rId193" xr:uid="{5C325DBA-CC1A-49D0-99ED-7F75B241D901}"/>
    <hyperlink ref="B75" r:id="rId194" xr:uid="{E33FB730-4505-4712-BCEF-19A6C16B8F6F}"/>
    <hyperlink ref="B514" r:id="rId195" xr:uid="{33C7FDAE-BB64-4888-AD05-6C9AD801E775}"/>
    <hyperlink ref="B76" r:id="rId196" xr:uid="{A2892355-498C-4217-A5DF-FD23150EC945}"/>
    <hyperlink ref="B77" r:id="rId197" xr:uid="{C367B4C6-7839-4A47-9474-E7C11462109A}"/>
    <hyperlink ref="B325" r:id="rId198" xr:uid="{015C687A-4740-4A5C-A3D5-4F4AB2ABA8F0}"/>
    <hyperlink ref="B326" r:id="rId199" xr:uid="{DB074A73-E252-46A5-93E5-010177447C2C}"/>
    <hyperlink ref="B327" r:id="rId200" xr:uid="{C686D222-BACB-42D1-94F2-B3E3C81F8600}"/>
    <hyperlink ref="B328" r:id="rId201" xr:uid="{527D5400-2BC8-41E3-8B72-288E1E81204D}"/>
    <hyperlink ref="B78" r:id="rId202" xr:uid="{1645CDDE-6714-443C-B898-EDEEE69BFCED}"/>
    <hyperlink ref="B515" r:id="rId203" xr:uid="{5E2D0649-A640-4CE4-B462-417C48470B1E}"/>
    <hyperlink ref="B329" r:id="rId204" xr:uid="{573391FD-6C86-4F1C-BA65-22E90E3BC418}"/>
    <hyperlink ref="B330" r:id="rId205" xr:uid="{3206EFB3-31A8-4E6B-ABDF-0AC41181356E}"/>
    <hyperlink ref="B79" r:id="rId206" xr:uid="{C2338D97-F53F-4124-89AA-61D0EE9B0BE3}"/>
    <hyperlink ref="B80" r:id="rId207" xr:uid="{444EEB0B-FCB8-451B-89E6-8F593811C30C}"/>
    <hyperlink ref="B81" r:id="rId208" xr:uid="{94CE4513-1C79-4AF2-B3CB-FDE0E604FCBE}"/>
    <hyperlink ref="B331" r:id="rId209" xr:uid="{8543446C-3F10-4B40-A8D2-0E64BC01EE93}"/>
    <hyperlink ref="B82" r:id="rId210" xr:uid="{81ED4898-1BC8-490C-A2AA-72E1620E6162}"/>
    <hyperlink ref="B83" r:id="rId211" xr:uid="{006664E8-72F4-4FDB-BCAD-506BDD17B369}"/>
    <hyperlink ref="B332" r:id="rId212" xr:uid="{E7779133-6197-494B-B1D7-82DFA5C7014C}"/>
    <hyperlink ref="B84" r:id="rId213" xr:uid="{A3F7CA87-182D-40AE-9A55-F25D5F25B1AF}"/>
    <hyperlink ref="B333" r:id="rId214" xr:uid="{4CB89945-A047-4C1F-9139-125941B86A6E}"/>
    <hyperlink ref="B85" r:id="rId215" xr:uid="{F6E49AF4-B752-457B-A08A-362004B0A94B}"/>
    <hyperlink ref="B86" r:id="rId216" xr:uid="{E029C584-6AA2-4E52-9EC7-24F7F7CB4EA9}"/>
    <hyperlink ref="B87" r:id="rId217" xr:uid="{81E84C17-3E38-455B-8DFC-A3C0C37D1A0A}"/>
    <hyperlink ref="B88" r:id="rId218" xr:uid="{C11C9F89-38A8-4380-86EE-7D3CF788C858}"/>
    <hyperlink ref="B89" r:id="rId219" xr:uid="{A700C42D-68AB-4A87-A468-796EB9C8C26E}"/>
    <hyperlink ref="B334" r:id="rId220" xr:uid="{A81661ED-1188-4FD9-84E5-06F7CE95676E}"/>
    <hyperlink ref="B335" r:id="rId221" xr:uid="{6516250E-57E9-4D1B-9889-3D8E6D802CF3}"/>
    <hyperlink ref="B90" r:id="rId222" xr:uid="{15FBC427-9D17-45A1-AC48-BB112BA1867C}"/>
    <hyperlink ref="B516" r:id="rId223" xr:uid="{7967D5BA-FB32-4CD8-B890-A843652748E0}"/>
    <hyperlink ref="B517" r:id="rId224" xr:uid="{7C8C0964-1DCB-4D44-B91B-A6BF43686E16}"/>
    <hyperlink ref="B518" r:id="rId225" xr:uid="{71D37165-0F4C-4A6D-93B7-3C50C2233BD0}"/>
    <hyperlink ref="B91" r:id="rId226" xr:uid="{F1ADF470-0583-4FB5-9999-B3A18CDE23C9}"/>
    <hyperlink ref="B320" r:id="rId227" xr:uid="{9793349A-7A29-45B8-89CB-2BEA2F3B0645}"/>
    <hyperlink ref="B519" r:id="rId228" xr:uid="{3E01A8EE-0F64-4AAD-B7B6-A1DA39491AB3}"/>
    <hyperlink ref="B520" r:id="rId229" xr:uid="{4C9B9BB6-076B-4053-ABD6-08E35E25836D}"/>
    <hyperlink ref="B92" r:id="rId230" xr:uid="{99FA23B6-D373-49E1-BC8C-8F63210D088F}"/>
    <hyperlink ref="B93" r:id="rId231" xr:uid="{95DF2C78-CF38-490E-8AB1-135930576F37}"/>
    <hyperlink ref="B521" r:id="rId232" xr:uid="{A1F5E03E-3BE2-48B0-B323-105E4F8CC0DB}"/>
    <hyperlink ref="B94" r:id="rId233" xr:uid="{ECAA8AB5-2BA1-435B-BB16-FDB0F2BDBC48}"/>
    <hyperlink ref="B95" r:id="rId234" xr:uid="{3B3F9700-7ED9-42EE-BCCD-E5C4DD73BB32}"/>
    <hyperlink ref="B15" r:id="rId235" xr:uid="{FACCE34B-AA31-7A44-9E00-DB74196E7CC3}"/>
    <hyperlink ref="B14" r:id="rId236" xr:uid="{9ED12502-C3A9-A046-8FCE-A586CB8B7314}"/>
    <hyperlink ref="B957" r:id="rId237" xr:uid="{213F48B1-AF3A-1548-8059-54BF748ADA82}"/>
    <hyperlink ref="B762" r:id="rId238" xr:uid="{404BE514-5B9A-6C43-9620-16BF930E97E7}"/>
  </hyperlinks>
  <pageMargins left="0.7" right="0.7" top="0.75" bottom="0.75" header="0.3" footer="0.3"/>
  <pageSetup paperSize="9" orientation="portrait" r:id="rId23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9C8B0-BD01-485F-B361-28B100DA7997}">
  <dimension ref="A1:S1849"/>
  <sheetViews>
    <sheetView zoomScaleNormal="70" workbookViewId="0">
      <selection activeCell="X16" sqref="X16"/>
    </sheetView>
  </sheetViews>
  <sheetFormatPr baseColWidth="10" defaultColWidth="8.83203125" defaultRowHeight="15" x14ac:dyDescent="0.2"/>
  <cols>
    <col min="1" max="1" width="88.6640625" style="4" customWidth="1"/>
    <col min="2" max="2" width="18.83203125" style="4" customWidth="1"/>
    <col min="3" max="3" width="12.6640625" customWidth="1"/>
    <col min="4" max="4" width="3.6640625" bestFit="1" customWidth="1"/>
    <col min="5" max="5" width="4.6640625" bestFit="1" customWidth="1"/>
    <col min="6" max="9" width="3.6640625" bestFit="1" customWidth="1"/>
    <col min="10" max="10" width="3.6640625" style="5" bestFit="1" customWidth="1"/>
    <col min="15" max="15" width="4.6640625" style="11" bestFit="1" customWidth="1"/>
    <col min="16" max="17" width="6.6640625" bestFit="1" customWidth="1"/>
  </cols>
  <sheetData>
    <row r="1" spans="1:18" x14ac:dyDescent="0.2">
      <c r="A1" s="96" t="s">
        <v>0</v>
      </c>
      <c r="B1" s="96" t="s">
        <v>1</v>
      </c>
      <c r="C1" s="96" t="s">
        <v>2</v>
      </c>
      <c r="D1" s="66" t="s">
        <v>3</v>
      </c>
      <c r="E1" s="66" t="s">
        <v>4</v>
      </c>
      <c r="F1" s="66" t="s">
        <v>5</v>
      </c>
      <c r="G1" s="66" t="s">
        <v>6</v>
      </c>
      <c r="H1" s="66" t="s">
        <v>7</v>
      </c>
      <c r="I1" s="66" t="s">
        <v>8</v>
      </c>
      <c r="J1" s="64" t="s">
        <v>9</v>
      </c>
      <c r="K1" s="66" t="s">
        <v>10</v>
      </c>
      <c r="L1" s="66" t="s">
        <v>11</v>
      </c>
      <c r="M1" s="66" t="s">
        <v>12</v>
      </c>
      <c r="N1" s="66" t="s">
        <v>13</v>
      </c>
      <c r="O1" s="64" t="s">
        <v>14</v>
      </c>
      <c r="P1" s="66" t="s">
        <v>15</v>
      </c>
      <c r="Q1" s="66" t="s">
        <v>16</v>
      </c>
      <c r="R1" s="66" t="s">
        <v>17</v>
      </c>
    </row>
    <row r="2" spans="1:18" x14ac:dyDescent="0.2">
      <c r="A2" s="67" t="s">
        <v>880</v>
      </c>
      <c r="B2" s="87" t="s">
        <v>3144</v>
      </c>
      <c r="C2" t="s">
        <v>20</v>
      </c>
      <c r="D2" s="5">
        <f>Info!$B$48</f>
        <v>1</v>
      </c>
      <c r="E2" s="5">
        <f>Info!$B$53</f>
        <v>1</v>
      </c>
      <c r="F2" s="5"/>
      <c r="G2" s="5"/>
      <c r="H2" s="5"/>
      <c r="I2" s="5"/>
      <c r="L2">
        <v>1</v>
      </c>
      <c r="M2" t="s">
        <v>21</v>
      </c>
      <c r="N2" t="s">
        <v>882</v>
      </c>
      <c r="O2" s="11">
        <v>0.8</v>
      </c>
      <c r="P2">
        <f t="shared" ref="P2:P8" si="0">(D2+E2)/2</f>
        <v>1</v>
      </c>
      <c r="Q2" s="7">
        <f t="shared" ref="Q2:Q39" si="1">(O2+P2)/2</f>
        <v>0.9</v>
      </c>
      <c r="R2" s="67">
        <f t="shared" ref="R2:R65" si="2">IF(_xlfn.BITAND(P2&gt;0.4999, Q2&gt;0.4999)=1,1,0)</f>
        <v>1</v>
      </c>
    </row>
    <row r="3" spans="1:18" x14ac:dyDescent="0.2">
      <c r="A3" s="88" t="s">
        <v>808</v>
      </c>
      <c r="B3" s="89" t="s">
        <v>2763</v>
      </c>
      <c r="C3" t="s">
        <v>20</v>
      </c>
      <c r="D3" s="5">
        <f>Info!$B$49</f>
        <v>0.6</v>
      </c>
      <c r="E3" s="5">
        <f>Info!$B$53</f>
        <v>1</v>
      </c>
      <c r="F3" s="5"/>
      <c r="G3" s="5"/>
      <c r="H3" s="5"/>
      <c r="I3" s="5"/>
      <c r="L3" s="2" t="s">
        <v>25</v>
      </c>
      <c r="M3" t="s">
        <v>21</v>
      </c>
      <c r="N3" t="s">
        <v>146</v>
      </c>
      <c r="O3" s="11">
        <v>1</v>
      </c>
      <c r="P3">
        <f t="shared" si="0"/>
        <v>0.8</v>
      </c>
      <c r="Q3" s="7">
        <f t="shared" si="1"/>
        <v>0.9</v>
      </c>
      <c r="R3" s="67">
        <f t="shared" si="2"/>
        <v>1</v>
      </c>
    </row>
    <row r="4" spans="1:18" x14ac:dyDescent="0.2">
      <c r="A4" s="67" t="s">
        <v>2661</v>
      </c>
      <c r="B4" s="90" t="s">
        <v>2662</v>
      </c>
      <c r="C4" s="67" t="s">
        <v>20</v>
      </c>
      <c r="D4" s="11">
        <f>Info!$B$48</f>
        <v>1</v>
      </c>
      <c r="E4" s="11">
        <f>Info!$B$54</f>
        <v>0</v>
      </c>
      <c r="F4" s="11"/>
      <c r="G4" s="11"/>
      <c r="H4" s="11"/>
      <c r="I4" s="11"/>
      <c r="J4" s="11"/>
      <c r="K4" s="67"/>
      <c r="L4" s="67">
        <v>2</v>
      </c>
      <c r="M4" s="67" t="s">
        <v>21</v>
      </c>
      <c r="N4" s="67" t="s">
        <v>74</v>
      </c>
      <c r="O4" s="11">
        <v>0.8</v>
      </c>
      <c r="P4" s="72">
        <f t="shared" si="0"/>
        <v>0.5</v>
      </c>
      <c r="Q4" s="72">
        <f t="shared" si="1"/>
        <v>0.65</v>
      </c>
      <c r="R4" s="67">
        <f t="shared" si="2"/>
        <v>1</v>
      </c>
    </row>
    <row r="5" spans="1:18" x14ac:dyDescent="0.2">
      <c r="A5" s="67" t="s">
        <v>816</v>
      </c>
      <c r="B5" s="87" t="s">
        <v>2963</v>
      </c>
      <c r="C5" t="s">
        <v>20</v>
      </c>
      <c r="D5" s="5">
        <f>Info!$B$48</f>
        <v>1</v>
      </c>
      <c r="E5" s="5">
        <f>Info!$B$52</f>
        <v>0</v>
      </c>
      <c r="F5" s="5"/>
      <c r="G5" s="5"/>
      <c r="H5" s="5"/>
      <c r="I5" s="5"/>
      <c r="L5" s="2" t="s">
        <v>25</v>
      </c>
      <c r="M5" t="s">
        <v>21</v>
      </c>
      <c r="N5" t="s">
        <v>211</v>
      </c>
      <c r="O5" s="11">
        <v>1</v>
      </c>
      <c r="P5">
        <f t="shared" si="0"/>
        <v>0.5</v>
      </c>
      <c r="Q5" s="7">
        <f t="shared" si="1"/>
        <v>0.75</v>
      </c>
      <c r="R5" s="67">
        <f t="shared" si="2"/>
        <v>1</v>
      </c>
    </row>
    <row r="6" spans="1:18" x14ac:dyDescent="0.2">
      <c r="A6" s="88" t="s">
        <v>835</v>
      </c>
      <c r="B6" s="89" t="s">
        <v>2759</v>
      </c>
      <c r="C6" t="s">
        <v>20</v>
      </c>
      <c r="D6" s="5">
        <f>Info!$B$48</f>
        <v>1</v>
      </c>
      <c r="E6" s="5">
        <f>Info!$B$52</f>
        <v>0</v>
      </c>
      <c r="F6" s="5"/>
      <c r="G6" s="5"/>
      <c r="H6" s="5"/>
      <c r="I6" s="5"/>
      <c r="L6">
        <v>2</v>
      </c>
      <c r="M6" t="s">
        <v>21</v>
      </c>
      <c r="N6" t="s">
        <v>91</v>
      </c>
      <c r="O6" s="11">
        <v>1</v>
      </c>
      <c r="P6">
        <f t="shared" si="0"/>
        <v>0.5</v>
      </c>
      <c r="Q6" s="7">
        <f t="shared" si="1"/>
        <v>0.75</v>
      </c>
      <c r="R6" s="67">
        <f t="shared" si="2"/>
        <v>1</v>
      </c>
    </row>
    <row r="7" spans="1:18" x14ac:dyDescent="0.2">
      <c r="A7" s="67" t="s">
        <v>841</v>
      </c>
      <c r="B7" s="87" t="s">
        <v>3345</v>
      </c>
      <c r="C7" t="s">
        <v>20</v>
      </c>
      <c r="D7" s="5">
        <f>Info!$B$48</f>
        <v>1</v>
      </c>
      <c r="E7" s="5">
        <f>Info!$B$53</f>
        <v>1</v>
      </c>
      <c r="F7" s="5"/>
      <c r="G7" s="5"/>
      <c r="H7" s="5"/>
      <c r="I7" s="5"/>
      <c r="L7">
        <v>2</v>
      </c>
      <c r="M7" t="s">
        <v>32</v>
      </c>
      <c r="N7" t="s">
        <v>843</v>
      </c>
      <c r="O7" s="11">
        <v>1</v>
      </c>
      <c r="P7">
        <f t="shared" si="0"/>
        <v>1</v>
      </c>
      <c r="Q7" s="7">
        <f t="shared" si="1"/>
        <v>1</v>
      </c>
      <c r="R7" s="67">
        <f t="shared" si="2"/>
        <v>1</v>
      </c>
    </row>
    <row r="8" spans="1:18" x14ac:dyDescent="0.2">
      <c r="A8" s="88" t="s">
        <v>830</v>
      </c>
      <c r="B8" s="89" t="s">
        <v>2756</v>
      </c>
      <c r="C8" t="s">
        <v>20</v>
      </c>
      <c r="D8" s="5">
        <f>Info!$B$48</f>
        <v>1</v>
      </c>
      <c r="E8" s="5">
        <f>Info!$B$53</f>
        <v>1</v>
      </c>
      <c r="F8" s="5"/>
      <c r="G8" s="5"/>
      <c r="H8" s="5"/>
      <c r="I8" s="5"/>
      <c r="L8" s="2" t="s">
        <v>25</v>
      </c>
      <c r="M8" t="s">
        <v>21</v>
      </c>
      <c r="N8" t="s">
        <v>146</v>
      </c>
      <c r="O8" s="11">
        <v>1</v>
      </c>
      <c r="P8">
        <f t="shared" si="0"/>
        <v>1</v>
      </c>
      <c r="Q8" s="7">
        <f t="shared" si="1"/>
        <v>1</v>
      </c>
      <c r="R8" s="67">
        <f t="shared" si="2"/>
        <v>1</v>
      </c>
    </row>
    <row r="9" spans="1:18" x14ac:dyDescent="0.2">
      <c r="A9" s="88" t="s">
        <v>2725</v>
      </c>
      <c r="B9" s="89" t="s">
        <v>2726</v>
      </c>
      <c r="C9" s="67" t="s">
        <v>201</v>
      </c>
      <c r="D9" s="11">
        <f>Info!$B$16</f>
        <v>1</v>
      </c>
      <c r="E9" s="11">
        <f>Info!$B$19</f>
        <v>1</v>
      </c>
      <c r="F9" s="11">
        <f>Info!$B$24</f>
        <v>1</v>
      </c>
      <c r="G9" s="11">
        <f>Info!$B$31</f>
        <v>0.3</v>
      </c>
      <c r="H9" s="11">
        <f>Info!$B$37</f>
        <v>0</v>
      </c>
      <c r="I9" s="11">
        <f>Info!$B$40</f>
        <v>0</v>
      </c>
      <c r="J9" s="11">
        <f>Info!$B$43</f>
        <v>0.5</v>
      </c>
      <c r="K9" s="67"/>
      <c r="L9" s="67">
        <v>1</v>
      </c>
      <c r="M9" s="67" t="s">
        <v>21</v>
      </c>
      <c r="N9" s="67" t="s">
        <v>2727</v>
      </c>
      <c r="O9" s="11">
        <v>1</v>
      </c>
      <c r="P9" s="72">
        <f>(D9+E9+F9+G9+H9+I9+J9)/6</f>
        <v>0.6333333333333333</v>
      </c>
      <c r="Q9" s="72">
        <f t="shared" si="1"/>
        <v>0.81666666666666665</v>
      </c>
      <c r="R9" s="67">
        <f t="shared" si="2"/>
        <v>1</v>
      </c>
    </row>
    <row r="10" spans="1:18" x14ac:dyDescent="0.2">
      <c r="A10" s="67" t="s">
        <v>2685</v>
      </c>
      <c r="B10" s="90" t="s">
        <v>2686</v>
      </c>
      <c r="C10" s="67" t="s">
        <v>20</v>
      </c>
      <c r="D10" s="11">
        <f>Info!$B$51</f>
        <v>0</v>
      </c>
      <c r="E10" s="11">
        <f>Info!$B$53</f>
        <v>1</v>
      </c>
      <c r="F10" s="11"/>
      <c r="G10" s="11"/>
      <c r="H10" s="11"/>
      <c r="I10" s="11"/>
      <c r="J10" s="11"/>
      <c r="K10" s="67"/>
      <c r="L10" s="75" t="s">
        <v>25</v>
      </c>
      <c r="M10" s="67" t="s">
        <v>21</v>
      </c>
      <c r="N10" s="67" t="s">
        <v>2687</v>
      </c>
      <c r="O10" s="11">
        <v>1</v>
      </c>
      <c r="P10" s="72">
        <f>(D10+E10)/2</f>
        <v>0.5</v>
      </c>
      <c r="Q10" s="72">
        <f t="shared" si="1"/>
        <v>0.75</v>
      </c>
      <c r="R10" s="67">
        <f t="shared" si="2"/>
        <v>1</v>
      </c>
    </row>
    <row r="11" spans="1:18" x14ac:dyDescent="0.2">
      <c r="A11" s="88" t="s">
        <v>2715</v>
      </c>
      <c r="B11" s="89" t="s">
        <v>2716</v>
      </c>
      <c r="C11" s="67" t="s">
        <v>201</v>
      </c>
      <c r="D11" s="11">
        <f>Info!$B$17</f>
        <v>0</v>
      </c>
      <c r="E11" s="11">
        <f>Info!$B$20</f>
        <v>0.6</v>
      </c>
      <c r="F11" s="11">
        <f>Info!$B$25</f>
        <v>0.6</v>
      </c>
      <c r="G11" s="11">
        <f>Info!$B$29</f>
        <v>1</v>
      </c>
      <c r="H11" s="11">
        <f>Info!$B$36</f>
        <v>0.3</v>
      </c>
      <c r="I11" s="11">
        <f>Info!$B$40</f>
        <v>0</v>
      </c>
      <c r="J11" s="11">
        <f>Info!$B$42</f>
        <v>1</v>
      </c>
      <c r="K11" s="67"/>
      <c r="L11" s="67">
        <v>2</v>
      </c>
      <c r="M11" s="67" t="s">
        <v>21</v>
      </c>
      <c r="N11" s="67" t="s">
        <v>2606</v>
      </c>
      <c r="O11" s="11">
        <v>1</v>
      </c>
      <c r="P11" s="72">
        <f>(D11+E11+F11+G11+H11+I11+J11)/6</f>
        <v>0.58333333333333337</v>
      </c>
      <c r="Q11" s="72">
        <f t="shared" si="1"/>
        <v>0.79166666666666674</v>
      </c>
      <c r="R11" s="67">
        <f t="shared" si="2"/>
        <v>1</v>
      </c>
    </row>
    <row r="12" spans="1:18" x14ac:dyDescent="0.2">
      <c r="A12" s="88" t="s">
        <v>799</v>
      </c>
      <c r="B12" s="89" t="s">
        <v>2788</v>
      </c>
      <c r="C12" t="s">
        <v>184</v>
      </c>
      <c r="D12" s="5">
        <f>Info!$B$16</f>
        <v>1</v>
      </c>
      <c r="E12" s="5">
        <f>Info!$B$19</f>
        <v>1</v>
      </c>
      <c r="F12" s="5">
        <f>Info!$B$25</f>
        <v>0.6</v>
      </c>
      <c r="G12" s="5">
        <f>Info!$B$31</f>
        <v>0.3</v>
      </c>
      <c r="H12" s="5">
        <f>Info!$B$37</f>
        <v>0</v>
      </c>
      <c r="I12" s="5">
        <f>Info!$B$40</f>
        <v>0</v>
      </c>
      <c r="J12" s="5">
        <f>Info!$B$43</f>
        <v>0.5</v>
      </c>
      <c r="L12">
        <v>2</v>
      </c>
      <c r="M12" t="s">
        <v>21</v>
      </c>
      <c r="N12" t="s">
        <v>211</v>
      </c>
      <c r="O12" s="11">
        <v>1</v>
      </c>
      <c r="P12" s="72">
        <f>(D12+E12+F12+G12+H12+I12+J12)/6</f>
        <v>0.56666666666666665</v>
      </c>
      <c r="Q12" s="72">
        <f t="shared" si="1"/>
        <v>0.78333333333333333</v>
      </c>
      <c r="R12" s="67">
        <f t="shared" si="2"/>
        <v>1</v>
      </c>
    </row>
    <row r="13" spans="1:18" x14ac:dyDescent="0.2">
      <c r="A13" s="67" t="s">
        <v>2592</v>
      </c>
      <c r="B13" s="90" t="s">
        <v>2593</v>
      </c>
      <c r="C13" s="67" t="s">
        <v>20</v>
      </c>
      <c r="D13" s="11">
        <f>Info!$B$50</f>
        <v>0.3</v>
      </c>
      <c r="E13" s="11">
        <f>Info!$B$53</f>
        <v>1</v>
      </c>
      <c r="F13" s="11"/>
      <c r="G13" s="11"/>
      <c r="H13" s="11"/>
      <c r="I13" s="11"/>
      <c r="J13" s="11"/>
      <c r="K13" s="67"/>
      <c r="L13" s="75" t="s">
        <v>25</v>
      </c>
      <c r="M13" s="67" t="s">
        <v>21</v>
      </c>
      <c r="N13" s="67" t="s">
        <v>2594</v>
      </c>
      <c r="O13" s="11">
        <v>0.5</v>
      </c>
      <c r="P13" s="72">
        <f t="shared" ref="P13:P32" si="3">(D13+E13)/2</f>
        <v>0.65</v>
      </c>
      <c r="Q13" s="72">
        <f t="shared" si="1"/>
        <v>0.57499999999999996</v>
      </c>
      <c r="R13" s="67">
        <f t="shared" si="2"/>
        <v>1</v>
      </c>
    </row>
    <row r="14" spans="1:18" x14ac:dyDescent="0.2">
      <c r="A14" s="67" t="s">
        <v>3262</v>
      </c>
      <c r="B14" s="87" t="s">
        <v>3263</v>
      </c>
      <c r="C14" s="67" t="s">
        <v>20</v>
      </c>
      <c r="D14" s="11">
        <f>Info!$B$51</f>
        <v>0</v>
      </c>
      <c r="E14" s="11">
        <f>Info!$B$53</f>
        <v>1</v>
      </c>
      <c r="F14" s="67"/>
      <c r="G14" s="67"/>
      <c r="H14" s="67"/>
      <c r="I14" s="67"/>
      <c r="J14" s="11">
        <f>Info!$B$44</f>
        <v>0</v>
      </c>
      <c r="K14" s="67"/>
      <c r="L14" s="67">
        <v>2</v>
      </c>
      <c r="M14" s="67" t="s">
        <v>32</v>
      </c>
      <c r="N14" s="67" t="s">
        <v>3264</v>
      </c>
      <c r="O14" s="11">
        <v>1</v>
      </c>
      <c r="P14" s="72">
        <f t="shared" si="3"/>
        <v>0.5</v>
      </c>
      <c r="Q14" s="72">
        <f t="shared" si="1"/>
        <v>0.75</v>
      </c>
      <c r="R14" s="67">
        <f t="shared" si="2"/>
        <v>1</v>
      </c>
    </row>
    <row r="15" spans="1:18" x14ac:dyDescent="0.2">
      <c r="A15" s="67" t="s">
        <v>2624</v>
      </c>
      <c r="B15" s="90" t="s">
        <v>2625</v>
      </c>
      <c r="C15" s="67" t="s">
        <v>20</v>
      </c>
      <c r="D15" s="11">
        <f>Info!$B$51</f>
        <v>0</v>
      </c>
      <c r="E15" s="11">
        <f>Info!$B$53</f>
        <v>1</v>
      </c>
      <c r="F15" s="11"/>
      <c r="G15" s="11"/>
      <c r="H15" s="11"/>
      <c r="I15" s="11"/>
      <c r="J15" s="11"/>
      <c r="K15" s="67"/>
      <c r="L15" s="75" t="s">
        <v>25</v>
      </c>
      <c r="M15" s="67" t="s">
        <v>32</v>
      </c>
      <c r="N15" s="67" t="s">
        <v>2623</v>
      </c>
      <c r="O15" s="11">
        <v>1</v>
      </c>
      <c r="P15" s="72">
        <f t="shared" si="3"/>
        <v>0.5</v>
      </c>
      <c r="Q15" s="72">
        <f t="shared" si="1"/>
        <v>0.75</v>
      </c>
      <c r="R15" s="67">
        <f t="shared" si="2"/>
        <v>1</v>
      </c>
    </row>
    <row r="16" spans="1:18" x14ac:dyDescent="0.2">
      <c r="A16" s="67" t="s">
        <v>2607</v>
      </c>
      <c r="B16" s="90" t="s">
        <v>2608</v>
      </c>
      <c r="C16" s="67" t="s">
        <v>20</v>
      </c>
      <c r="D16" s="11">
        <f>Info!$B$51</f>
        <v>0</v>
      </c>
      <c r="E16" s="11">
        <f>Info!$B$53</f>
        <v>1</v>
      </c>
      <c r="F16" s="11"/>
      <c r="G16" s="11"/>
      <c r="H16" s="11"/>
      <c r="I16" s="11"/>
      <c r="J16" s="11"/>
      <c r="K16" s="67"/>
      <c r="L16" s="75" t="s">
        <v>25</v>
      </c>
      <c r="M16" s="67" t="s">
        <v>21</v>
      </c>
      <c r="N16" s="67" t="s">
        <v>2609</v>
      </c>
      <c r="O16" s="11">
        <v>0.8</v>
      </c>
      <c r="P16" s="72">
        <f t="shared" si="3"/>
        <v>0.5</v>
      </c>
      <c r="Q16" s="72">
        <f t="shared" si="1"/>
        <v>0.65</v>
      </c>
      <c r="R16" s="67">
        <f t="shared" si="2"/>
        <v>1</v>
      </c>
    </row>
    <row r="17" spans="1:18" x14ac:dyDescent="0.2">
      <c r="A17" s="88" t="s">
        <v>2581</v>
      </c>
      <c r="B17" s="89" t="s">
        <v>2582</v>
      </c>
      <c r="C17" s="67" t="s">
        <v>20</v>
      </c>
      <c r="D17" s="11">
        <f>Info!$B$48</f>
        <v>1</v>
      </c>
      <c r="E17" s="11">
        <f>Info!$B$54</f>
        <v>0</v>
      </c>
      <c r="F17" s="11"/>
      <c r="G17" s="11"/>
      <c r="H17" s="11"/>
      <c r="I17" s="11"/>
      <c r="J17" s="11"/>
      <c r="K17" s="67"/>
      <c r="L17" s="67">
        <v>2</v>
      </c>
      <c r="M17" s="67" t="s">
        <v>21</v>
      </c>
      <c r="N17" s="67" t="s">
        <v>2583</v>
      </c>
      <c r="O17" s="11">
        <v>1</v>
      </c>
      <c r="P17" s="72">
        <f t="shared" si="3"/>
        <v>0.5</v>
      </c>
      <c r="Q17" s="72">
        <f t="shared" si="1"/>
        <v>0.75</v>
      </c>
      <c r="R17" s="67">
        <f t="shared" si="2"/>
        <v>1</v>
      </c>
    </row>
    <row r="18" spans="1:18" x14ac:dyDescent="0.2">
      <c r="A18" s="67" t="s">
        <v>2679</v>
      </c>
      <c r="B18" s="90" t="s">
        <v>2680</v>
      </c>
      <c r="C18" s="67" t="s">
        <v>20</v>
      </c>
      <c r="D18" s="11">
        <f>Info!$B$51</f>
        <v>0</v>
      </c>
      <c r="E18" s="11">
        <f>Info!$B$53</f>
        <v>1</v>
      </c>
      <c r="F18" s="11"/>
      <c r="G18" s="11"/>
      <c r="H18" s="11"/>
      <c r="I18" s="11"/>
      <c r="J18" s="11"/>
      <c r="K18" s="67"/>
      <c r="L18" s="75" t="s">
        <v>25</v>
      </c>
      <c r="M18" s="67" t="s">
        <v>32</v>
      </c>
      <c r="N18" s="67" t="s">
        <v>2681</v>
      </c>
      <c r="O18" s="11">
        <v>1</v>
      </c>
      <c r="P18" s="72">
        <f t="shared" si="3"/>
        <v>0.5</v>
      </c>
      <c r="Q18" s="72">
        <f t="shared" si="1"/>
        <v>0.75</v>
      </c>
      <c r="R18" s="67">
        <f t="shared" si="2"/>
        <v>1</v>
      </c>
    </row>
    <row r="19" spans="1:18" x14ac:dyDescent="0.2">
      <c r="A19" s="67" t="s">
        <v>2663</v>
      </c>
      <c r="B19" s="90" t="s">
        <v>2664</v>
      </c>
      <c r="C19" s="67" t="s">
        <v>20</v>
      </c>
      <c r="D19" s="11">
        <f>Info!$B$51</f>
        <v>0</v>
      </c>
      <c r="E19" s="11">
        <f>Info!$B$53</f>
        <v>1</v>
      </c>
      <c r="F19" s="11"/>
      <c r="G19" s="11"/>
      <c r="H19" s="11"/>
      <c r="I19" s="11"/>
      <c r="J19" s="11"/>
      <c r="K19" s="67"/>
      <c r="L19" s="75" t="s">
        <v>25</v>
      </c>
      <c r="M19" s="67" t="s">
        <v>21</v>
      </c>
      <c r="N19" s="67" t="s">
        <v>2665</v>
      </c>
      <c r="O19" s="11">
        <v>0.5</v>
      </c>
      <c r="P19" s="72">
        <f t="shared" si="3"/>
        <v>0.5</v>
      </c>
      <c r="Q19" s="72">
        <f t="shared" si="1"/>
        <v>0.5</v>
      </c>
      <c r="R19" s="67">
        <f t="shared" si="2"/>
        <v>1</v>
      </c>
    </row>
    <row r="20" spans="1:18" x14ac:dyDescent="0.2">
      <c r="A20" s="67" t="s">
        <v>2708</v>
      </c>
      <c r="B20" s="90" t="s">
        <v>2709</v>
      </c>
      <c r="C20" s="67" t="s">
        <v>20</v>
      </c>
      <c r="D20" s="11">
        <f>Info!$B$48</f>
        <v>1</v>
      </c>
      <c r="E20" s="11">
        <f>Info!$B$54</f>
        <v>0</v>
      </c>
      <c r="F20" s="11"/>
      <c r="G20" s="11"/>
      <c r="H20" s="11"/>
      <c r="I20" s="11"/>
      <c r="J20" s="11"/>
      <c r="K20" s="67"/>
      <c r="L20" s="67">
        <v>1</v>
      </c>
      <c r="M20" s="67" t="s">
        <v>21</v>
      </c>
      <c r="N20" s="67" t="s">
        <v>2710</v>
      </c>
      <c r="O20" s="11">
        <v>1</v>
      </c>
      <c r="P20" s="72">
        <f t="shared" si="3"/>
        <v>0.5</v>
      </c>
      <c r="Q20" s="72">
        <f t="shared" si="1"/>
        <v>0.75</v>
      </c>
      <c r="R20" s="67">
        <f t="shared" si="2"/>
        <v>1</v>
      </c>
    </row>
    <row r="21" spans="1:18" x14ac:dyDescent="0.2">
      <c r="A21" s="67" t="s">
        <v>2621</v>
      </c>
      <c r="B21" s="90" t="s">
        <v>2622</v>
      </c>
      <c r="C21" s="67" t="s">
        <v>20</v>
      </c>
      <c r="D21" s="11">
        <f>Info!$B$51</f>
        <v>0</v>
      </c>
      <c r="E21" s="11">
        <f>Info!$B$53</f>
        <v>1</v>
      </c>
      <c r="F21" s="11"/>
      <c r="G21" s="11"/>
      <c r="H21" s="11"/>
      <c r="I21" s="11"/>
      <c r="J21" s="11"/>
      <c r="K21" s="67"/>
      <c r="L21" s="75" t="s">
        <v>25</v>
      </c>
      <c r="M21" s="67" t="s">
        <v>32</v>
      </c>
      <c r="N21" s="67" t="s">
        <v>2623</v>
      </c>
      <c r="O21" s="11">
        <v>1</v>
      </c>
      <c r="P21" s="72">
        <f t="shared" si="3"/>
        <v>0.5</v>
      </c>
      <c r="Q21" s="72">
        <f t="shared" si="1"/>
        <v>0.75</v>
      </c>
      <c r="R21" s="67">
        <f t="shared" si="2"/>
        <v>1</v>
      </c>
    </row>
    <row r="22" spans="1:18" x14ac:dyDescent="0.2">
      <c r="A22" s="88" t="s">
        <v>2701</v>
      </c>
      <c r="B22" s="89" t="s">
        <v>2702</v>
      </c>
      <c r="C22" s="67" t="s">
        <v>20</v>
      </c>
      <c r="D22" s="11">
        <f>Info!$B$48</f>
        <v>1</v>
      </c>
      <c r="E22" s="11">
        <f>Info!$B$53</f>
        <v>1</v>
      </c>
      <c r="F22" s="11"/>
      <c r="G22" s="11"/>
      <c r="H22" s="11"/>
      <c r="I22" s="11"/>
      <c r="J22" s="11"/>
      <c r="K22" s="67"/>
      <c r="L22" s="67">
        <v>1</v>
      </c>
      <c r="M22" s="67" t="s">
        <v>21</v>
      </c>
      <c r="N22" s="67" t="s">
        <v>2583</v>
      </c>
      <c r="O22" s="11">
        <v>1</v>
      </c>
      <c r="P22" s="72">
        <f t="shared" si="3"/>
        <v>1</v>
      </c>
      <c r="Q22" s="72">
        <f t="shared" si="1"/>
        <v>1</v>
      </c>
      <c r="R22" s="67">
        <f t="shared" si="2"/>
        <v>1</v>
      </c>
    </row>
    <row r="23" spans="1:18" x14ac:dyDescent="0.2">
      <c r="A23" s="67" t="s">
        <v>2703</v>
      </c>
      <c r="B23" s="90" t="s">
        <v>2704</v>
      </c>
      <c r="C23" s="67" t="s">
        <v>20</v>
      </c>
      <c r="D23" s="11">
        <f>Info!$B$48</f>
        <v>1</v>
      </c>
      <c r="E23" s="11">
        <f>Info!$B$53</f>
        <v>1</v>
      </c>
      <c r="F23" s="11"/>
      <c r="G23" s="11"/>
      <c r="H23" s="11"/>
      <c r="I23" s="11"/>
      <c r="J23" s="11"/>
      <c r="K23" s="67"/>
      <c r="L23" s="67">
        <v>1</v>
      </c>
      <c r="M23" s="67" t="s">
        <v>32</v>
      </c>
      <c r="N23" s="67" t="s">
        <v>807</v>
      </c>
      <c r="O23" s="11">
        <v>1</v>
      </c>
      <c r="P23" s="72">
        <f t="shared" si="3"/>
        <v>1</v>
      </c>
      <c r="Q23" s="72">
        <f t="shared" si="1"/>
        <v>1</v>
      </c>
      <c r="R23" s="67">
        <f t="shared" si="2"/>
        <v>1</v>
      </c>
    </row>
    <row r="24" spans="1:18" x14ac:dyDescent="0.2">
      <c r="A24" s="67" t="s">
        <v>2688</v>
      </c>
      <c r="B24" s="90" t="s">
        <v>2689</v>
      </c>
      <c r="C24" s="67" t="s">
        <v>20</v>
      </c>
      <c r="D24" s="11">
        <f>Info!$B$51</f>
        <v>0</v>
      </c>
      <c r="E24" s="11">
        <f>Info!$B$53</f>
        <v>1</v>
      </c>
      <c r="F24" s="11"/>
      <c r="G24" s="11"/>
      <c r="H24" s="11"/>
      <c r="I24" s="11"/>
      <c r="J24" s="11"/>
      <c r="K24" s="67"/>
      <c r="L24" s="75" t="s">
        <v>25</v>
      </c>
      <c r="M24" s="67" t="s">
        <v>21</v>
      </c>
      <c r="N24" s="67" t="s">
        <v>2577</v>
      </c>
      <c r="O24" s="11">
        <v>1</v>
      </c>
      <c r="P24" s="72">
        <f t="shared" si="3"/>
        <v>0.5</v>
      </c>
      <c r="Q24" s="72">
        <f t="shared" si="1"/>
        <v>0.75</v>
      </c>
      <c r="R24" s="67">
        <f t="shared" si="2"/>
        <v>1</v>
      </c>
    </row>
    <row r="25" spans="1:18" x14ac:dyDescent="0.2">
      <c r="A25" s="67" t="s">
        <v>2696</v>
      </c>
      <c r="B25" s="90" t="s">
        <v>2697</v>
      </c>
      <c r="C25" s="67" t="s">
        <v>20</v>
      </c>
      <c r="D25" s="11">
        <f>Info!$B$51</f>
        <v>0</v>
      </c>
      <c r="E25" s="11">
        <f>Info!$B$53</f>
        <v>1</v>
      </c>
      <c r="F25" s="11"/>
      <c r="G25" s="11"/>
      <c r="H25" s="11"/>
      <c r="I25" s="11"/>
      <c r="J25" s="11"/>
      <c r="K25" s="67"/>
      <c r="L25" s="67" t="s">
        <v>185</v>
      </c>
      <c r="M25" s="67" t="s">
        <v>21</v>
      </c>
      <c r="N25" s="67" t="s">
        <v>2698</v>
      </c>
      <c r="O25" s="11">
        <v>0.8</v>
      </c>
      <c r="P25" s="72">
        <f t="shared" si="3"/>
        <v>0.5</v>
      </c>
      <c r="Q25" s="72">
        <f t="shared" si="1"/>
        <v>0.65</v>
      </c>
      <c r="R25" s="67">
        <f t="shared" si="2"/>
        <v>1</v>
      </c>
    </row>
    <row r="26" spans="1:18" x14ac:dyDescent="0.2">
      <c r="A26" s="67" t="s">
        <v>2587</v>
      </c>
      <c r="B26" s="90" t="s">
        <v>2588</v>
      </c>
      <c r="C26" s="67" t="s">
        <v>20</v>
      </c>
      <c r="D26" s="11">
        <f>Info!$B$51</f>
        <v>0</v>
      </c>
      <c r="E26" s="11">
        <f>Info!$B$53</f>
        <v>1</v>
      </c>
      <c r="F26" s="11"/>
      <c r="G26" s="11"/>
      <c r="H26" s="11"/>
      <c r="I26" s="11"/>
      <c r="J26" s="11"/>
      <c r="K26" s="67"/>
      <c r="L26" s="75" t="s">
        <v>25</v>
      </c>
      <c r="M26" s="67" t="s">
        <v>21</v>
      </c>
      <c r="N26" s="67" t="s">
        <v>2589</v>
      </c>
      <c r="O26" s="11">
        <v>0.8</v>
      </c>
      <c r="P26" s="72">
        <f t="shared" si="3"/>
        <v>0.5</v>
      </c>
      <c r="Q26" s="72">
        <f t="shared" si="1"/>
        <v>0.65</v>
      </c>
      <c r="R26" s="67">
        <f t="shared" si="2"/>
        <v>1</v>
      </c>
    </row>
    <row r="27" spans="1:18" x14ac:dyDescent="0.2">
      <c r="A27" s="67" t="s">
        <v>805</v>
      </c>
      <c r="B27" s="87" t="s">
        <v>2820</v>
      </c>
      <c r="C27" t="s">
        <v>20</v>
      </c>
      <c r="D27" s="5">
        <f>Info!$B$48</f>
        <v>1</v>
      </c>
      <c r="E27" s="5">
        <f>Info!$B$53</f>
        <v>1</v>
      </c>
      <c r="F27" s="5"/>
      <c r="G27" s="5"/>
      <c r="H27" s="5"/>
      <c r="I27" s="5"/>
      <c r="L27" s="2" t="s">
        <v>25</v>
      </c>
      <c r="M27" t="s">
        <v>32</v>
      </c>
      <c r="N27" t="s">
        <v>807</v>
      </c>
      <c r="O27" s="11">
        <v>1</v>
      </c>
      <c r="P27">
        <f t="shared" si="3"/>
        <v>1</v>
      </c>
      <c r="Q27" s="7">
        <f t="shared" si="1"/>
        <v>1</v>
      </c>
      <c r="R27" s="67">
        <f t="shared" si="2"/>
        <v>1</v>
      </c>
    </row>
    <row r="28" spans="1:18" x14ac:dyDescent="0.2">
      <c r="A28" s="67" t="s">
        <v>820</v>
      </c>
      <c r="B28" s="87" t="s">
        <v>3184</v>
      </c>
      <c r="C28" t="s">
        <v>20</v>
      </c>
      <c r="D28" s="5">
        <f>Info!$B$48</f>
        <v>1</v>
      </c>
      <c r="E28" s="5">
        <f>Info!$B$52</f>
        <v>0</v>
      </c>
      <c r="F28" s="5"/>
      <c r="G28" s="5"/>
      <c r="H28" s="5"/>
      <c r="I28" s="5"/>
      <c r="L28">
        <v>2</v>
      </c>
      <c r="M28" t="s">
        <v>21</v>
      </c>
      <c r="N28" t="s">
        <v>74</v>
      </c>
      <c r="O28" s="11">
        <v>0.8</v>
      </c>
      <c r="P28">
        <f t="shared" si="3"/>
        <v>0.5</v>
      </c>
      <c r="Q28" s="7">
        <f t="shared" si="1"/>
        <v>0.65</v>
      </c>
      <c r="R28" s="67">
        <f t="shared" si="2"/>
        <v>1</v>
      </c>
    </row>
    <row r="29" spans="1:18" x14ac:dyDescent="0.2">
      <c r="A29" s="67" t="s">
        <v>2626</v>
      </c>
      <c r="B29" s="90" t="s">
        <v>2627</v>
      </c>
      <c r="C29" s="67" t="s">
        <v>20</v>
      </c>
      <c r="D29" s="11">
        <f>Info!$B$51</f>
        <v>0</v>
      </c>
      <c r="E29" s="11">
        <f>Info!$B$53</f>
        <v>1</v>
      </c>
      <c r="F29" s="11"/>
      <c r="G29" s="11"/>
      <c r="H29" s="11"/>
      <c r="I29" s="11"/>
      <c r="J29" s="11"/>
      <c r="K29" s="67"/>
      <c r="L29" s="75" t="s">
        <v>25</v>
      </c>
      <c r="M29" s="67" t="s">
        <v>32</v>
      </c>
      <c r="N29" s="67" t="s">
        <v>2628</v>
      </c>
      <c r="O29" s="11">
        <v>1</v>
      </c>
      <c r="P29" s="72">
        <f t="shared" si="3"/>
        <v>0.5</v>
      </c>
      <c r="Q29" s="72">
        <f t="shared" si="1"/>
        <v>0.75</v>
      </c>
      <c r="R29" s="67">
        <f t="shared" si="2"/>
        <v>1</v>
      </c>
    </row>
    <row r="30" spans="1:18" x14ac:dyDescent="0.2">
      <c r="A30" s="67" t="s">
        <v>2590</v>
      </c>
      <c r="B30" s="90" t="s">
        <v>2591</v>
      </c>
      <c r="C30" s="67" t="s">
        <v>20</v>
      </c>
      <c r="D30" s="11">
        <f>Info!$B$51</f>
        <v>0</v>
      </c>
      <c r="E30" s="11">
        <f>Info!$B$53</f>
        <v>1</v>
      </c>
      <c r="F30" s="11"/>
      <c r="G30" s="11"/>
      <c r="H30" s="11"/>
      <c r="I30" s="11"/>
      <c r="J30" s="11"/>
      <c r="K30" s="67"/>
      <c r="L30" s="75" t="s">
        <v>25</v>
      </c>
      <c r="M30" s="67" t="s">
        <v>21</v>
      </c>
      <c r="N30" s="67" t="s">
        <v>2589</v>
      </c>
      <c r="O30" s="11">
        <v>0.8</v>
      </c>
      <c r="P30" s="72">
        <f t="shared" si="3"/>
        <v>0.5</v>
      </c>
      <c r="Q30" s="72">
        <f t="shared" si="1"/>
        <v>0.65</v>
      </c>
      <c r="R30" s="67">
        <f t="shared" si="2"/>
        <v>1</v>
      </c>
    </row>
    <row r="31" spans="1:18" x14ac:dyDescent="0.2">
      <c r="A31" s="67" t="s">
        <v>2666</v>
      </c>
      <c r="B31" s="90" t="s">
        <v>2667</v>
      </c>
      <c r="C31" s="67" t="s">
        <v>20</v>
      </c>
      <c r="D31" s="11">
        <f>Info!$B$48</f>
        <v>1</v>
      </c>
      <c r="E31" s="11">
        <f>Info!$B$54</f>
        <v>0</v>
      </c>
      <c r="F31" s="11"/>
      <c r="G31" s="11"/>
      <c r="H31" s="11"/>
      <c r="I31" s="11"/>
      <c r="J31" s="11"/>
      <c r="K31" s="67"/>
      <c r="L31" s="67">
        <v>2</v>
      </c>
      <c r="M31" s="67" t="s">
        <v>21</v>
      </c>
      <c r="N31" s="67" t="s">
        <v>74</v>
      </c>
      <c r="O31" s="11">
        <v>0.8</v>
      </c>
      <c r="P31" s="72">
        <f t="shared" si="3"/>
        <v>0.5</v>
      </c>
      <c r="Q31" s="72">
        <f t="shared" si="1"/>
        <v>0.65</v>
      </c>
      <c r="R31" s="67">
        <f t="shared" si="2"/>
        <v>1</v>
      </c>
    </row>
    <row r="32" spans="1:18" x14ac:dyDescent="0.2">
      <c r="A32" s="67" t="s">
        <v>2682</v>
      </c>
      <c r="B32" s="90" t="s">
        <v>2683</v>
      </c>
      <c r="C32" s="67" t="s">
        <v>20</v>
      </c>
      <c r="D32" s="11">
        <f>Info!$B$51</f>
        <v>0</v>
      </c>
      <c r="E32" s="11">
        <f>Info!$B$53</f>
        <v>1</v>
      </c>
      <c r="F32" s="11"/>
      <c r="G32" s="11"/>
      <c r="H32" s="11"/>
      <c r="I32" s="11"/>
      <c r="J32" s="11"/>
      <c r="K32" s="67"/>
      <c r="L32" s="75" t="s">
        <v>25</v>
      </c>
      <c r="M32" s="67" t="s">
        <v>32</v>
      </c>
      <c r="N32" s="67" t="s">
        <v>2684</v>
      </c>
      <c r="O32" s="11">
        <v>0.5</v>
      </c>
      <c r="P32" s="72">
        <f t="shared" si="3"/>
        <v>0.5</v>
      </c>
      <c r="Q32" s="72">
        <f t="shared" si="1"/>
        <v>0.5</v>
      </c>
      <c r="R32" s="67">
        <f t="shared" si="2"/>
        <v>1</v>
      </c>
    </row>
    <row r="33" spans="1:18" x14ac:dyDescent="0.2">
      <c r="A33" s="88" t="s">
        <v>803</v>
      </c>
      <c r="B33" s="89" t="s">
        <v>2758</v>
      </c>
      <c r="C33" t="s">
        <v>184</v>
      </c>
      <c r="D33" s="5">
        <f>Info!$B$16</f>
        <v>1</v>
      </c>
      <c r="E33" s="5">
        <f>Info!$B$20</f>
        <v>0.6</v>
      </c>
      <c r="F33" s="5">
        <f>Info!$B$25</f>
        <v>0.6</v>
      </c>
      <c r="G33" s="5">
        <f>Info!$B$29</f>
        <v>1</v>
      </c>
      <c r="H33" s="5">
        <f>Info!$B$36</f>
        <v>0.3</v>
      </c>
      <c r="I33" s="5">
        <f>Info!$B$40</f>
        <v>0</v>
      </c>
      <c r="J33" s="5">
        <f>Info!$B$44</f>
        <v>0</v>
      </c>
      <c r="L33">
        <v>1</v>
      </c>
      <c r="M33" t="s">
        <v>21</v>
      </c>
      <c r="N33" t="s">
        <v>211</v>
      </c>
      <c r="O33" s="11">
        <v>1</v>
      </c>
      <c r="P33" s="72">
        <f>(D33+E33+F33+G33+H33+I33+J33)/6</f>
        <v>0.58333333333333337</v>
      </c>
      <c r="Q33" s="72">
        <f t="shared" si="1"/>
        <v>0.79166666666666674</v>
      </c>
      <c r="R33" s="67">
        <f t="shared" si="2"/>
        <v>1</v>
      </c>
    </row>
    <row r="34" spans="1:18" x14ac:dyDescent="0.2">
      <c r="A34" s="67" t="s">
        <v>2572</v>
      </c>
      <c r="B34" s="90" t="s">
        <v>2573</v>
      </c>
      <c r="C34" s="67" t="s">
        <v>20</v>
      </c>
      <c r="D34" s="11">
        <f>Info!$B$51</f>
        <v>0</v>
      </c>
      <c r="E34" s="11">
        <f>Info!$B$53</f>
        <v>1</v>
      </c>
      <c r="F34" s="11"/>
      <c r="G34" s="11"/>
      <c r="H34" s="11"/>
      <c r="I34" s="11"/>
      <c r="J34" s="11"/>
      <c r="K34" s="67"/>
      <c r="L34" s="67">
        <v>3</v>
      </c>
      <c r="M34" s="67" t="s">
        <v>21</v>
      </c>
      <c r="N34" s="67" t="s">
        <v>2574</v>
      </c>
      <c r="O34" s="11">
        <v>0.8</v>
      </c>
      <c r="P34" s="72">
        <f>(D34+E34)/2</f>
        <v>0.5</v>
      </c>
      <c r="Q34" s="72">
        <f t="shared" si="1"/>
        <v>0.65</v>
      </c>
      <c r="R34" s="67">
        <f t="shared" si="2"/>
        <v>1</v>
      </c>
    </row>
    <row r="35" spans="1:18" x14ac:dyDescent="0.2">
      <c r="A35" s="67" t="s">
        <v>877</v>
      </c>
      <c r="B35" s="87" t="s">
        <v>3071</v>
      </c>
      <c r="C35" t="s">
        <v>20</v>
      </c>
      <c r="D35" s="5">
        <f>Info!$B$50</f>
        <v>0.3</v>
      </c>
      <c r="E35" s="5">
        <f>Info!$B$53</f>
        <v>1</v>
      </c>
      <c r="F35" s="5"/>
      <c r="G35" s="5"/>
      <c r="H35" s="5"/>
      <c r="I35" s="5"/>
      <c r="L35">
        <v>1</v>
      </c>
      <c r="M35" t="s">
        <v>21</v>
      </c>
      <c r="N35" t="s">
        <v>879</v>
      </c>
      <c r="O35" s="11">
        <v>0.8</v>
      </c>
      <c r="P35">
        <f>(D35+E35)/2</f>
        <v>0.65</v>
      </c>
      <c r="Q35" s="7">
        <f t="shared" si="1"/>
        <v>0.72500000000000009</v>
      </c>
      <c r="R35" s="67">
        <f t="shared" si="2"/>
        <v>1</v>
      </c>
    </row>
    <row r="36" spans="1:18" x14ac:dyDescent="0.2">
      <c r="A36" s="67" t="s">
        <v>2668</v>
      </c>
      <c r="B36" s="90" t="s">
        <v>2669</v>
      </c>
      <c r="C36" s="67" t="s">
        <v>20</v>
      </c>
      <c r="D36" s="11">
        <f>Info!$B$51</f>
        <v>0</v>
      </c>
      <c r="E36" s="11">
        <f>Info!$B$53</f>
        <v>1</v>
      </c>
      <c r="F36" s="11"/>
      <c r="G36" s="11"/>
      <c r="H36" s="11"/>
      <c r="I36" s="11"/>
      <c r="J36" s="11"/>
      <c r="K36" s="67"/>
      <c r="L36" s="67">
        <v>2</v>
      </c>
      <c r="M36" s="67" t="s">
        <v>21</v>
      </c>
      <c r="N36" s="67" t="s">
        <v>2670</v>
      </c>
      <c r="O36" s="11">
        <v>0.8</v>
      </c>
      <c r="P36" s="72">
        <f>(D36+E36)/2</f>
        <v>0.5</v>
      </c>
      <c r="Q36" s="72">
        <f t="shared" si="1"/>
        <v>0.65</v>
      </c>
      <c r="R36" s="67">
        <f t="shared" si="2"/>
        <v>1</v>
      </c>
    </row>
    <row r="37" spans="1:18" x14ac:dyDescent="0.2">
      <c r="A37" s="88" t="s">
        <v>2722</v>
      </c>
      <c r="B37" s="89" t="s">
        <v>2723</v>
      </c>
      <c r="C37" s="67" t="s">
        <v>20</v>
      </c>
      <c r="D37" s="11">
        <f>Info!$B$16</f>
        <v>1</v>
      </c>
      <c r="E37" s="11">
        <f>Info!$B$20</f>
        <v>0.6</v>
      </c>
      <c r="F37" s="11">
        <f>Info!$B$24</f>
        <v>1</v>
      </c>
      <c r="G37" s="11">
        <f>Info!$B$31</f>
        <v>0.3</v>
      </c>
      <c r="H37" s="11">
        <f>Info!$B$37</f>
        <v>0</v>
      </c>
      <c r="I37" s="11">
        <f>Info!$B$40</f>
        <v>0</v>
      </c>
      <c r="J37" s="11">
        <f>Info!$B$42</f>
        <v>1</v>
      </c>
      <c r="K37" s="67"/>
      <c r="L37" s="67">
        <v>1.2</v>
      </c>
      <c r="M37" s="67" t="s">
        <v>21</v>
      </c>
      <c r="N37" s="67" t="s">
        <v>2724</v>
      </c>
      <c r="O37" s="11">
        <v>1</v>
      </c>
      <c r="P37" s="72">
        <f>(D37+E37+F37+G37+H37+I37+J37)/6</f>
        <v>0.65</v>
      </c>
      <c r="Q37" s="72">
        <f t="shared" si="1"/>
        <v>0.82499999999999996</v>
      </c>
      <c r="R37" s="67">
        <f t="shared" si="2"/>
        <v>1</v>
      </c>
    </row>
    <row r="38" spans="1:18" x14ac:dyDescent="0.2">
      <c r="A38" s="67" t="s">
        <v>869</v>
      </c>
      <c r="B38" s="87" t="s">
        <v>2881</v>
      </c>
      <c r="C38" t="s">
        <v>20</v>
      </c>
      <c r="D38" s="5">
        <f>Info!$B$51</f>
        <v>0</v>
      </c>
      <c r="E38" s="5">
        <f>Info!$B$53</f>
        <v>1</v>
      </c>
      <c r="F38" s="5"/>
      <c r="G38" s="5"/>
      <c r="H38" s="5"/>
      <c r="I38" s="5"/>
      <c r="L38">
        <v>1.2</v>
      </c>
      <c r="M38" t="s">
        <v>21</v>
      </c>
      <c r="N38" t="s">
        <v>146</v>
      </c>
      <c r="O38" s="11">
        <v>1</v>
      </c>
      <c r="P38">
        <f>(D38+E38)/2</f>
        <v>0.5</v>
      </c>
      <c r="Q38" s="7">
        <f t="shared" si="1"/>
        <v>0.75</v>
      </c>
      <c r="R38" s="67">
        <f t="shared" si="2"/>
        <v>1</v>
      </c>
    </row>
    <row r="39" spans="1:18" ht="16" x14ac:dyDescent="0.2">
      <c r="A39" s="76" t="s">
        <v>3795</v>
      </c>
      <c r="B39" s="69" t="s">
        <v>6348</v>
      </c>
      <c r="C39" t="s">
        <v>201</v>
      </c>
      <c r="D39">
        <v>0</v>
      </c>
      <c r="E39">
        <v>1</v>
      </c>
      <c r="F39">
        <v>1</v>
      </c>
      <c r="G39">
        <v>1</v>
      </c>
      <c r="H39">
        <v>0</v>
      </c>
      <c r="I39">
        <v>0</v>
      </c>
      <c r="J39">
        <v>1</v>
      </c>
      <c r="L39">
        <v>3</v>
      </c>
      <c r="M39" t="s">
        <v>21</v>
      </c>
      <c r="N39" t="s">
        <v>3839</v>
      </c>
      <c r="O39" s="5">
        <v>1</v>
      </c>
      <c r="P39">
        <f>(D39+E39)/2</f>
        <v>0.5</v>
      </c>
      <c r="Q39" s="7">
        <f t="shared" si="1"/>
        <v>0.75</v>
      </c>
      <c r="R39" s="67">
        <f t="shared" si="2"/>
        <v>1</v>
      </c>
    </row>
    <row r="40" spans="1:18" ht="16" x14ac:dyDescent="0.2">
      <c r="A40" s="76" t="s">
        <v>1341</v>
      </c>
      <c r="B40" s="69" t="s">
        <v>6367</v>
      </c>
      <c r="C40" s="76" t="s">
        <v>20</v>
      </c>
      <c r="D40" s="76">
        <v>0.3</v>
      </c>
      <c r="E40" s="76">
        <v>1</v>
      </c>
      <c r="F40" s="76"/>
      <c r="G40" s="76"/>
      <c r="H40" s="76"/>
      <c r="I40" s="76"/>
      <c r="J40" s="76"/>
      <c r="K40" s="76"/>
      <c r="M40" s="77" t="s">
        <v>4079</v>
      </c>
      <c r="N40" s="76" t="s">
        <v>6368</v>
      </c>
      <c r="O40" s="78">
        <v>0.8</v>
      </c>
      <c r="P40" s="76">
        <v>0.5</v>
      </c>
      <c r="Q40" s="76">
        <v>0.72499999999999998</v>
      </c>
      <c r="R40" s="67">
        <f t="shared" si="2"/>
        <v>1</v>
      </c>
    </row>
    <row r="41" spans="1:18" ht="16" x14ac:dyDescent="0.2">
      <c r="A41" s="76" t="s">
        <v>6380</v>
      </c>
      <c r="B41" s="69" t="s">
        <v>6381</v>
      </c>
      <c r="C41" s="76" t="s">
        <v>20</v>
      </c>
      <c r="D41" s="76">
        <v>0</v>
      </c>
      <c r="E41" s="76">
        <v>1</v>
      </c>
      <c r="F41" s="76"/>
      <c r="G41" s="76"/>
      <c r="H41" s="76"/>
      <c r="I41" s="76"/>
      <c r="J41" s="76"/>
      <c r="K41" s="76"/>
      <c r="M41" s="77"/>
      <c r="N41" s="76" t="s">
        <v>6382</v>
      </c>
      <c r="O41" s="78">
        <v>1</v>
      </c>
      <c r="P41" s="76">
        <v>0.5</v>
      </c>
      <c r="Q41" s="76">
        <v>0.75</v>
      </c>
      <c r="R41" s="67">
        <f t="shared" si="2"/>
        <v>1</v>
      </c>
    </row>
    <row r="42" spans="1:18" ht="16" x14ac:dyDescent="0.2">
      <c r="A42" s="76" t="s">
        <v>6385</v>
      </c>
      <c r="B42" s="69" t="s">
        <v>6386</v>
      </c>
      <c r="C42" s="76" t="s">
        <v>20</v>
      </c>
      <c r="D42" s="76">
        <v>0</v>
      </c>
      <c r="E42" s="76">
        <v>1</v>
      </c>
      <c r="F42" s="76"/>
      <c r="G42" s="76"/>
      <c r="H42" s="76"/>
      <c r="I42" s="76"/>
      <c r="J42" s="76"/>
      <c r="K42" s="76"/>
      <c r="M42" s="77"/>
      <c r="N42" s="76" t="s">
        <v>6387</v>
      </c>
      <c r="O42" s="78">
        <v>1</v>
      </c>
      <c r="P42" s="76">
        <v>0.5</v>
      </c>
      <c r="Q42" s="76">
        <v>0.75</v>
      </c>
      <c r="R42" s="67">
        <f t="shared" si="2"/>
        <v>1</v>
      </c>
    </row>
    <row r="43" spans="1:18" ht="16" x14ac:dyDescent="0.2">
      <c r="A43" s="76" t="s">
        <v>6117</v>
      </c>
      <c r="B43" s="69" t="s">
        <v>6396</v>
      </c>
      <c r="C43" s="76" t="s">
        <v>201</v>
      </c>
      <c r="D43" s="76">
        <v>0</v>
      </c>
      <c r="E43" s="76">
        <v>0.6</v>
      </c>
      <c r="F43" s="76">
        <v>0.6</v>
      </c>
      <c r="G43" s="76">
        <v>1</v>
      </c>
      <c r="H43" s="76">
        <v>1</v>
      </c>
      <c r="I43" s="76">
        <v>0</v>
      </c>
      <c r="J43" s="76">
        <v>1</v>
      </c>
      <c r="K43" s="76"/>
      <c r="M43" s="77" t="s">
        <v>21</v>
      </c>
      <c r="N43" s="76" t="s">
        <v>6397</v>
      </c>
      <c r="O43" s="78">
        <v>1</v>
      </c>
      <c r="P43" s="79">
        <v>0.6</v>
      </c>
      <c r="Q43" s="79">
        <v>0.8</v>
      </c>
      <c r="R43" s="67">
        <f t="shared" si="2"/>
        <v>1</v>
      </c>
    </row>
    <row r="44" spans="1:18" ht="16" x14ac:dyDescent="0.2">
      <c r="A44" s="76" t="s">
        <v>2598</v>
      </c>
      <c r="B44" s="69" t="s">
        <v>2599</v>
      </c>
      <c r="C44" s="76" t="s">
        <v>20</v>
      </c>
      <c r="D44" s="76">
        <v>1</v>
      </c>
      <c r="E44" s="76">
        <v>0</v>
      </c>
      <c r="F44" s="76"/>
      <c r="G44" s="76"/>
      <c r="H44" s="76"/>
      <c r="I44" s="76"/>
      <c r="J44" s="76"/>
      <c r="K44" s="76"/>
      <c r="M44" s="77" t="s">
        <v>21</v>
      </c>
      <c r="N44" s="76" t="s">
        <v>6466</v>
      </c>
      <c r="O44" s="78">
        <v>0.8</v>
      </c>
      <c r="P44" s="76">
        <v>0.5</v>
      </c>
      <c r="Q44" s="76">
        <v>0.65</v>
      </c>
      <c r="R44" s="67">
        <f t="shared" si="2"/>
        <v>1</v>
      </c>
    </row>
    <row r="45" spans="1:18" ht="16" x14ac:dyDescent="0.2">
      <c r="A45" s="76" t="s">
        <v>6498</v>
      </c>
      <c r="B45" s="69" t="s">
        <v>6499</v>
      </c>
      <c r="C45" s="76" t="s">
        <v>184</v>
      </c>
      <c r="D45" s="76">
        <v>1</v>
      </c>
      <c r="E45" s="80">
        <v>1</v>
      </c>
      <c r="F45" s="80">
        <v>0.6</v>
      </c>
      <c r="G45" s="80">
        <v>0.6</v>
      </c>
      <c r="H45" s="80">
        <v>0.6</v>
      </c>
      <c r="I45" s="76">
        <v>0</v>
      </c>
      <c r="J45" s="76">
        <v>1</v>
      </c>
      <c r="K45" s="76"/>
      <c r="M45" s="77" t="s">
        <v>21</v>
      </c>
      <c r="N45" s="76" t="s">
        <v>6500</v>
      </c>
      <c r="O45" s="77">
        <v>0.8</v>
      </c>
      <c r="P45" s="79">
        <f>SUM(D45:J45)/7</f>
        <v>0.68571428571428583</v>
      </c>
      <c r="Q45" s="79">
        <f>SUM(O45:P45)/2</f>
        <v>0.74285714285714288</v>
      </c>
      <c r="R45" s="67">
        <f t="shared" si="2"/>
        <v>1</v>
      </c>
    </row>
    <row r="46" spans="1:18" ht="16" x14ac:dyDescent="0.2">
      <c r="A46" s="76" t="s">
        <v>6571</v>
      </c>
      <c r="B46" s="69" t="s">
        <v>6572</v>
      </c>
      <c r="C46" s="76" t="s">
        <v>20</v>
      </c>
      <c r="D46" s="76">
        <v>0</v>
      </c>
      <c r="E46" s="76">
        <v>1</v>
      </c>
      <c r="F46" s="76"/>
      <c r="G46" s="76"/>
      <c r="H46" s="76"/>
      <c r="I46" s="76"/>
      <c r="J46" s="76"/>
      <c r="K46" s="76"/>
      <c r="M46" s="77" t="s">
        <v>21</v>
      </c>
      <c r="N46" s="76" t="s">
        <v>6573</v>
      </c>
      <c r="O46" s="78">
        <v>0.8</v>
      </c>
      <c r="P46" s="76">
        <v>0.5</v>
      </c>
      <c r="Q46" s="76">
        <v>0.65</v>
      </c>
      <c r="R46" s="67">
        <f t="shared" si="2"/>
        <v>1</v>
      </c>
    </row>
    <row r="47" spans="1:18" ht="16" x14ac:dyDescent="0.2">
      <c r="A47" s="76" t="s">
        <v>6681</v>
      </c>
      <c r="B47" s="69" t="s">
        <v>6682</v>
      </c>
      <c r="C47" s="76" t="s">
        <v>20</v>
      </c>
      <c r="D47" s="76">
        <v>0.3</v>
      </c>
      <c r="E47" s="76">
        <v>1</v>
      </c>
      <c r="F47" s="76"/>
      <c r="G47" s="76"/>
      <c r="H47" s="76"/>
      <c r="I47" s="76"/>
      <c r="J47" s="76"/>
      <c r="K47" s="76"/>
      <c r="M47" s="77"/>
      <c r="N47" s="76" t="s">
        <v>6683</v>
      </c>
      <c r="O47" s="78">
        <v>0.8</v>
      </c>
      <c r="P47" s="76">
        <v>0.65</v>
      </c>
      <c r="Q47" s="76">
        <v>0.72499999999999998</v>
      </c>
      <c r="R47" s="67">
        <f t="shared" si="2"/>
        <v>1</v>
      </c>
    </row>
    <row r="48" spans="1:18" ht="16" x14ac:dyDescent="0.2">
      <c r="A48" s="76" t="s">
        <v>4107</v>
      </c>
      <c r="B48" s="69" t="s">
        <v>6879</v>
      </c>
      <c r="C48" s="76" t="s">
        <v>20</v>
      </c>
      <c r="D48" s="76">
        <v>0</v>
      </c>
      <c r="E48" s="76">
        <v>1</v>
      </c>
      <c r="F48" s="76"/>
      <c r="G48" s="76"/>
      <c r="H48" s="76"/>
      <c r="I48" s="76"/>
      <c r="J48" s="76"/>
      <c r="K48" s="76"/>
      <c r="M48" s="77"/>
      <c r="N48" s="76" t="s">
        <v>6880</v>
      </c>
      <c r="O48" s="78">
        <v>1</v>
      </c>
      <c r="P48" s="76">
        <v>0.5</v>
      </c>
      <c r="Q48" s="76">
        <v>0.75</v>
      </c>
      <c r="R48" s="67">
        <f t="shared" si="2"/>
        <v>1</v>
      </c>
    </row>
    <row r="49" spans="1:18" ht="16" x14ac:dyDescent="0.2">
      <c r="A49" s="76" t="s">
        <v>4121</v>
      </c>
      <c r="B49" s="69" t="s">
        <v>6913</v>
      </c>
      <c r="C49" s="76" t="s">
        <v>20</v>
      </c>
      <c r="D49" s="76">
        <v>0.6</v>
      </c>
      <c r="E49" s="76">
        <v>1</v>
      </c>
      <c r="F49" s="76"/>
      <c r="G49" s="76"/>
      <c r="H49" s="76"/>
      <c r="I49" s="76"/>
      <c r="J49" s="76"/>
      <c r="K49" s="76"/>
      <c r="M49" s="77"/>
      <c r="N49" s="76" t="s">
        <v>6914</v>
      </c>
      <c r="O49" s="78">
        <v>1</v>
      </c>
      <c r="P49" s="76">
        <v>0.8</v>
      </c>
      <c r="Q49" s="76">
        <v>0.9</v>
      </c>
      <c r="R49" s="67">
        <f t="shared" si="2"/>
        <v>1</v>
      </c>
    </row>
    <row r="50" spans="1:18" ht="16" x14ac:dyDescent="0.2">
      <c r="A50" s="76" t="s">
        <v>3920</v>
      </c>
      <c r="B50" s="69" t="s">
        <v>7104</v>
      </c>
      <c r="C50" s="76" t="s">
        <v>20</v>
      </c>
      <c r="D50" s="76">
        <v>0</v>
      </c>
      <c r="E50" s="76">
        <v>1</v>
      </c>
      <c r="F50" s="76"/>
      <c r="G50" s="76"/>
      <c r="H50" s="76"/>
      <c r="I50" s="76"/>
      <c r="J50" s="76"/>
      <c r="K50" s="76"/>
      <c r="M50" s="77" t="s">
        <v>4079</v>
      </c>
      <c r="N50" s="76" t="s">
        <v>7105</v>
      </c>
      <c r="O50" s="78">
        <v>0.5</v>
      </c>
      <c r="P50" s="76">
        <v>0.5</v>
      </c>
      <c r="Q50" s="76">
        <v>0.5</v>
      </c>
      <c r="R50" s="67">
        <f t="shared" si="2"/>
        <v>1</v>
      </c>
    </row>
    <row r="51" spans="1:18" x14ac:dyDescent="0.2">
      <c r="A51" s="88" t="s">
        <v>2575</v>
      </c>
      <c r="B51" s="89" t="s">
        <v>2576</v>
      </c>
      <c r="C51" s="67" t="s">
        <v>20</v>
      </c>
      <c r="D51" s="11"/>
      <c r="E51" s="11"/>
      <c r="F51" s="11"/>
      <c r="G51" s="11"/>
      <c r="H51" s="11"/>
      <c r="I51" s="11"/>
      <c r="J51" s="11"/>
      <c r="K51" s="67">
        <v>5</v>
      </c>
      <c r="L51" s="67">
        <v>2</v>
      </c>
      <c r="M51" s="67" t="s">
        <v>21</v>
      </c>
      <c r="N51" s="67" t="s">
        <v>2577</v>
      </c>
      <c r="O51" s="11">
        <v>1</v>
      </c>
      <c r="P51" s="72">
        <f t="shared" ref="P51:P82" si="4">(D51+E51)/2</f>
        <v>0</v>
      </c>
      <c r="Q51" s="72">
        <f t="shared" ref="Q51:Q114" si="5">(O51+P51)/2</f>
        <v>0.5</v>
      </c>
      <c r="R51" s="67">
        <f t="shared" si="2"/>
        <v>0</v>
      </c>
    </row>
    <row r="52" spans="1:18" x14ac:dyDescent="0.2">
      <c r="A52" s="88" t="s">
        <v>2578</v>
      </c>
      <c r="B52" s="89" t="s">
        <v>2579</v>
      </c>
      <c r="C52" s="67" t="s">
        <v>20</v>
      </c>
      <c r="D52" s="11"/>
      <c r="E52" s="11"/>
      <c r="F52" s="11"/>
      <c r="G52" s="11"/>
      <c r="H52" s="11"/>
      <c r="I52" s="11"/>
      <c r="J52" s="11"/>
      <c r="K52" s="67">
        <v>5</v>
      </c>
      <c r="L52" s="67">
        <v>2</v>
      </c>
      <c r="M52" s="67" t="s">
        <v>21</v>
      </c>
      <c r="N52" s="67" t="s">
        <v>2580</v>
      </c>
      <c r="O52" s="11">
        <v>0.8</v>
      </c>
      <c r="P52" s="72">
        <f t="shared" si="4"/>
        <v>0</v>
      </c>
      <c r="Q52" s="72">
        <f t="shared" si="5"/>
        <v>0.4</v>
      </c>
      <c r="R52" s="67">
        <f t="shared" si="2"/>
        <v>0</v>
      </c>
    </row>
    <row r="53" spans="1:18" x14ac:dyDescent="0.2">
      <c r="A53" s="67" t="s">
        <v>2584</v>
      </c>
      <c r="B53" s="90" t="s">
        <v>2585</v>
      </c>
      <c r="C53" s="67" t="s">
        <v>20</v>
      </c>
      <c r="D53" s="11"/>
      <c r="E53" s="11"/>
      <c r="F53" s="11"/>
      <c r="G53" s="11"/>
      <c r="H53" s="11"/>
      <c r="I53" s="11"/>
      <c r="J53" s="11"/>
      <c r="K53" s="67">
        <v>5</v>
      </c>
      <c r="L53" s="67"/>
      <c r="M53" s="67" t="s">
        <v>21</v>
      </c>
      <c r="N53" s="67" t="s">
        <v>2586</v>
      </c>
      <c r="O53" s="11">
        <v>0.8</v>
      </c>
      <c r="P53" s="72">
        <f t="shared" si="4"/>
        <v>0</v>
      </c>
      <c r="Q53" s="72">
        <f t="shared" si="5"/>
        <v>0.4</v>
      </c>
      <c r="R53" s="67">
        <f t="shared" si="2"/>
        <v>0</v>
      </c>
    </row>
    <row r="54" spans="1:18" x14ac:dyDescent="0.2">
      <c r="A54" s="67" t="s">
        <v>2595</v>
      </c>
      <c r="B54" s="90" t="s">
        <v>2596</v>
      </c>
      <c r="C54" s="67" t="s">
        <v>20</v>
      </c>
      <c r="D54" s="11">
        <f>Info!$B$51</f>
        <v>0</v>
      </c>
      <c r="E54" s="11">
        <f>Info!$B$54</f>
        <v>0</v>
      </c>
      <c r="F54" s="11"/>
      <c r="G54" s="11"/>
      <c r="H54" s="11"/>
      <c r="I54" s="11"/>
      <c r="J54" s="11"/>
      <c r="K54" s="67"/>
      <c r="L54" s="67">
        <v>2</v>
      </c>
      <c r="M54" s="67" t="s">
        <v>21</v>
      </c>
      <c r="N54" s="67" t="s">
        <v>2597</v>
      </c>
      <c r="O54" s="11">
        <v>0.8</v>
      </c>
      <c r="P54" s="72">
        <f t="shared" si="4"/>
        <v>0</v>
      </c>
      <c r="Q54" s="72">
        <f t="shared" si="5"/>
        <v>0.4</v>
      </c>
      <c r="R54" s="67">
        <f t="shared" si="2"/>
        <v>0</v>
      </c>
    </row>
    <row r="55" spans="1:18" x14ac:dyDescent="0.2">
      <c r="A55" s="67" t="s">
        <v>2598</v>
      </c>
      <c r="B55" s="90" t="s">
        <v>2599</v>
      </c>
      <c r="C55" s="67" t="s">
        <v>20</v>
      </c>
      <c r="D55" s="11">
        <f>Info!$B$51</f>
        <v>0</v>
      </c>
      <c r="E55" s="11">
        <f>Info!$B$54</f>
        <v>0</v>
      </c>
      <c r="F55" s="11"/>
      <c r="G55" s="11"/>
      <c r="H55" s="11"/>
      <c r="I55" s="11"/>
      <c r="J55" s="11"/>
      <c r="K55" s="67"/>
      <c r="L55" s="67">
        <v>2</v>
      </c>
      <c r="M55" s="67" t="s">
        <v>21</v>
      </c>
      <c r="N55" s="67" t="s">
        <v>2600</v>
      </c>
      <c r="O55" s="11">
        <v>0.8</v>
      </c>
      <c r="P55" s="72">
        <f t="shared" si="4"/>
        <v>0</v>
      </c>
      <c r="Q55" s="72">
        <f t="shared" si="5"/>
        <v>0.4</v>
      </c>
      <c r="R55" s="67">
        <f t="shared" si="2"/>
        <v>0</v>
      </c>
    </row>
    <row r="56" spans="1:18" x14ac:dyDescent="0.2">
      <c r="A56" s="67" t="s">
        <v>2601</v>
      </c>
      <c r="B56" s="90" t="s">
        <v>2602</v>
      </c>
      <c r="C56" s="67" t="s">
        <v>20</v>
      </c>
      <c r="D56" s="11">
        <f>Info!$B$51</f>
        <v>0</v>
      </c>
      <c r="E56" s="11">
        <f>Info!$B$54</f>
        <v>0</v>
      </c>
      <c r="F56" s="11"/>
      <c r="G56" s="11"/>
      <c r="H56" s="11"/>
      <c r="I56" s="11"/>
      <c r="J56" s="11"/>
      <c r="K56" s="67"/>
      <c r="L56" s="67">
        <v>2</v>
      </c>
      <c r="M56" s="67" t="s">
        <v>21</v>
      </c>
      <c r="N56" s="67" t="s">
        <v>2603</v>
      </c>
      <c r="O56" s="11">
        <v>0.5</v>
      </c>
      <c r="P56" s="72">
        <f t="shared" si="4"/>
        <v>0</v>
      </c>
      <c r="Q56" s="72">
        <f t="shared" si="5"/>
        <v>0.25</v>
      </c>
      <c r="R56" s="67">
        <f t="shared" si="2"/>
        <v>0</v>
      </c>
    </row>
    <row r="57" spans="1:18" x14ac:dyDescent="0.2">
      <c r="A57" s="67" t="s">
        <v>2604</v>
      </c>
      <c r="B57" s="90" t="s">
        <v>2605</v>
      </c>
      <c r="C57" s="67" t="s">
        <v>20</v>
      </c>
      <c r="D57" s="11">
        <f>Info!$B$51</f>
        <v>0</v>
      </c>
      <c r="E57" s="11">
        <f>Info!$B$54</f>
        <v>0</v>
      </c>
      <c r="F57" s="11"/>
      <c r="G57" s="11"/>
      <c r="H57" s="11"/>
      <c r="I57" s="11"/>
      <c r="J57" s="11"/>
      <c r="K57" s="67"/>
      <c r="L57" s="67">
        <v>2</v>
      </c>
      <c r="M57" s="67" t="s">
        <v>21</v>
      </c>
      <c r="N57" s="67" t="s">
        <v>2606</v>
      </c>
      <c r="O57" s="11">
        <v>1</v>
      </c>
      <c r="P57" s="72">
        <f t="shared" si="4"/>
        <v>0</v>
      </c>
      <c r="Q57" s="72">
        <f t="shared" si="5"/>
        <v>0.5</v>
      </c>
      <c r="R57" s="67">
        <f t="shared" si="2"/>
        <v>0</v>
      </c>
    </row>
    <row r="58" spans="1:18" x14ac:dyDescent="0.2">
      <c r="A58" s="67" t="s">
        <v>2610</v>
      </c>
      <c r="B58" s="90" t="s">
        <v>2611</v>
      </c>
      <c r="C58" s="67" t="s">
        <v>20</v>
      </c>
      <c r="D58" s="11">
        <f>Info!$B$51</f>
        <v>0</v>
      </c>
      <c r="E58" s="11">
        <f>Info!$B$54</f>
        <v>0</v>
      </c>
      <c r="F58" s="11"/>
      <c r="G58" s="11"/>
      <c r="H58" s="11"/>
      <c r="I58" s="11"/>
      <c r="J58" s="11"/>
      <c r="K58" s="67"/>
      <c r="L58" s="67">
        <v>2</v>
      </c>
      <c r="M58" s="67" t="s">
        <v>21</v>
      </c>
      <c r="N58" s="67" t="s">
        <v>2612</v>
      </c>
      <c r="O58" s="11">
        <v>1</v>
      </c>
      <c r="P58" s="72">
        <f t="shared" si="4"/>
        <v>0</v>
      </c>
      <c r="Q58" s="72">
        <f t="shared" si="5"/>
        <v>0.5</v>
      </c>
      <c r="R58" s="67">
        <f t="shared" si="2"/>
        <v>0</v>
      </c>
    </row>
    <row r="59" spans="1:18" x14ac:dyDescent="0.2">
      <c r="A59" s="67" t="s">
        <v>2613</v>
      </c>
      <c r="B59" s="90" t="s">
        <v>2614</v>
      </c>
      <c r="C59" s="67" t="s">
        <v>20</v>
      </c>
      <c r="D59" s="11">
        <f>Info!$B$51</f>
        <v>0</v>
      </c>
      <c r="E59" s="11">
        <f>Info!$B$54</f>
        <v>0</v>
      </c>
      <c r="F59" s="11"/>
      <c r="G59" s="11"/>
      <c r="H59" s="11"/>
      <c r="I59" s="11"/>
      <c r="J59" s="11"/>
      <c r="K59" s="67"/>
      <c r="L59" s="67">
        <v>2</v>
      </c>
      <c r="M59" s="67" t="s">
        <v>21</v>
      </c>
      <c r="N59" s="67" t="s">
        <v>2615</v>
      </c>
      <c r="O59" s="11">
        <v>0.5</v>
      </c>
      <c r="P59" s="72">
        <f t="shared" si="4"/>
        <v>0</v>
      </c>
      <c r="Q59" s="72">
        <f t="shared" si="5"/>
        <v>0.25</v>
      </c>
      <c r="R59" s="67">
        <f t="shared" si="2"/>
        <v>0</v>
      </c>
    </row>
    <row r="60" spans="1:18" x14ac:dyDescent="0.2">
      <c r="A60" s="67" t="s">
        <v>2616</v>
      </c>
      <c r="B60" s="90" t="s">
        <v>2617</v>
      </c>
      <c r="C60" s="67" t="s">
        <v>20</v>
      </c>
      <c r="D60" s="11">
        <f>Info!$B$51</f>
        <v>0</v>
      </c>
      <c r="E60" s="11">
        <f>Info!$B$54</f>
        <v>0</v>
      </c>
      <c r="F60" s="11"/>
      <c r="G60" s="11"/>
      <c r="H60" s="11"/>
      <c r="I60" s="11"/>
      <c r="J60" s="11"/>
      <c r="K60" s="67"/>
      <c r="L60" s="67">
        <v>2</v>
      </c>
      <c r="M60" s="67" t="s">
        <v>21</v>
      </c>
      <c r="N60" s="67" t="s">
        <v>242</v>
      </c>
      <c r="O60" s="11">
        <v>1</v>
      </c>
      <c r="P60" s="72">
        <f t="shared" si="4"/>
        <v>0</v>
      </c>
      <c r="Q60" s="72">
        <f t="shared" si="5"/>
        <v>0.5</v>
      </c>
      <c r="R60" s="67">
        <f t="shared" si="2"/>
        <v>0</v>
      </c>
    </row>
    <row r="61" spans="1:18" x14ac:dyDescent="0.2">
      <c r="A61" s="67" t="s">
        <v>2618</v>
      </c>
      <c r="B61" s="90" t="s">
        <v>2619</v>
      </c>
      <c r="C61" s="67" t="s">
        <v>20</v>
      </c>
      <c r="D61" s="11">
        <f>Info!$B$51</f>
        <v>0</v>
      </c>
      <c r="E61" s="11">
        <f>Info!$B$54</f>
        <v>0</v>
      </c>
      <c r="F61" s="11"/>
      <c r="G61" s="11"/>
      <c r="H61" s="11"/>
      <c r="I61" s="11"/>
      <c r="J61" s="11"/>
      <c r="K61" s="67"/>
      <c r="L61" s="67">
        <v>2</v>
      </c>
      <c r="M61" s="67" t="s">
        <v>70</v>
      </c>
      <c r="N61" s="67" t="s">
        <v>2620</v>
      </c>
      <c r="O61" s="11">
        <v>0.5</v>
      </c>
      <c r="P61" s="72">
        <f t="shared" si="4"/>
        <v>0</v>
      </c>
      <c r="Q61" s="72">
        <f t="shared" si="5"/>
        <v>0.25</v>
      </c>
      <c r="R61" s="67">
        <f t="shared" si="2"/>
        <v>0</v>
      </c>
    </row>
    <row r="62" spans="1:18" x14ac:dyDescent="0.2">
      <c r="A62" s="67" t="s">
        <v>2629</v>
      </c>
      <c r="B62" s="90" t="s">
        <v>2630</v>
      </c>
      <c r="C62" s="67" t="s">
        <v>20</v>
      </c>
      <c r="D62" s="11">
        <f>Info!$B$51</f>
        <v>0</v>
      </c>
      <c r="E62" s="11">
        <f>Info!$B$54</f>
        <v>0</v>
      </c>
      <c r="F62" s="11"/>
      <c r="G62" s="11"/>
      <c r="H62" s="11"/>
      <c r="I62" s="11"/>
      <c r="J62" s="11"/>
      <c r="K62" s="67"/>
      <c r="L62" s="67">
        <v>2</v>
      </c>
      <c r="M62" s="67" t="s">
        <v>70</v>
      </c>
      <c r="N62" s="67" t="s">
        <v>2631</v>
      </c>
      <c r="O62" s="11">
        <v>0.5</v>
      </c>
      <c r="P62" s="72">
        <f t="shared" si="4"/>
        <v>0</v>
      </c>
      <c r="Q62" s="72">
        <f t="shared" si="5"/>
        <v>0.25</v>
      </c>
      <c r="R62" s="67">
        <f t="shared" si="2"/>
        <v>0</v>
      </c>
    </row>
    <row r="63" spans="1:18" x14ac:dyDescent="0.2">
      <c r="A63" s="87" t="s">
        <v>2632</v>
      </c>
      <c r="B63" s="90" t="s">
        <v>2633</v>
      </c>
      <c r="C63" s="67"/>
      <c r="D63" s="11"/>
      <c r="E63" s="11"/>
      <c r="F63" s="11"/>
      <c r="G63" s="11"/>
      <c r="H63" s="11"/>
      <c r="I63" s="11"/>
      <c r="J63" s="11"/>
      <c r="K63" s="67"/>
      <c r="L63" s="67"/>
      <c r="M63" s="67"/>
      <c r="N63" s="67"/>
      <c r="P63" s="72">
        <f t="shared" si="4"/>
        <v>0</v>
      </c>
      <c r="Q63" s="72">
        <f t="shared" si="5"/>
        <v>0</v>
      </c>
      <c r="R63" s="67">
        <f t="shared" si="2"/>
        <v>0</v>
      </c>
    </row>
    <row r="64" spans="1:18" x14ac:dyDescent="0.2">
      <c r="A64" s="67" t="s">
        <v>2634</v>
      </c>
      <c r="B64" s="90" t="s">
        <v>2635</v>
      </c>
      <c r="C64" s="67" t="s">
        <v>20</v>
      </c>
      <c r="D64" s="11">
        <f>Info!$B$51</f>
        <v>0</v>
      </c>
      <c r="E64" s="11">
        <f>Info!$B$54</f>
        <v>0</v>
      </c>
      <c r="F64" s="11"/>
      <c r="G64" s="11"/>
      <c r="H64" s="11"/>
      <c r="I64" s="11"/>
      <c r="J64" s="11"/>
      <c r="K64" s="67"/>
      <c r="L64" s="67">
        <v>2</v>
      </c>
      <c r="M64" s="67" t="s">
        <v>70</v>
      </c>
      <c r="N64" s="67" t="s">
        <v>2631</v>
      </c>
      <c r="O64" s="11">
        <v>0.5</v>
      </c>
      <c r="P64" s="72">
        <f t="shared" si="4"/>
        <v>0</v>
      </c>
      <c r="Q64" s="72">
        <f t="shared" si="5"/>
        <v>0.25</v>
      </c>
      <c r="R64" s="67">
        <f t="shared" si="2"/>
        <v>0</v>
      </c>
    </row>
    <row r="65" spans="1:18" x14ac:dyDescent="0.2">
      <c r="A65" s="67" t="s">
        <v>2636</v>
      </c>
      <c r="B65" s="90" t="s">
        <v>2637</v>
      </c>
      <c r="C65" s="67" t="s">
        <v>20</v>
      </c>
      <c r="D65" s="11">
        <f>Info!$B$51</f>
        <v>0</v>
      </c>
      <c r="E65" s="11">
        <f>Info!$B$54</f>
        <v>0</v>
      </c>
      <c r="F65" s="11"/>
      <c r="G65" s="11"/>
      <c r="H65" s="11"/>
      <c r="I65" s="11"/>
      <c r="J65" s="11"/>
      <c r="K65" s="67"/>
      <c r="L65" s="67">
        <v>2</v>
      </c>
      <c r="M65" s="67" t="s">
        <v>32</v>
      </c>
      <c r="N65" s="67" t="s">
        <v>2623</v>
      </c>
      <c r="O65" s="11">
        <v>1</v>
      </c>
      <c r="P65" s="72">
        <f t="shared" si="4"/>
        <v>0</v>
      </c>
      <c r="Q65" s="72">
        <f t="shared" si="5"/>
        <v>0.5</v>
      </c>
      <c r="R65" s="67">
        <f t="shared" si="2"/>
        <v>0</v>
      </c>
    </row>
    <row r="66" spans="1:18" x14ac:dyDescent="0.2">
      <c r="A66" s="67" t="s">
        <v>2638</v>
      </c>
      <c r="B66" s="90" t="s">
        <v>2639</v>
      </c>
      <c r="C66" s="67" t="s">
        <v>20</v>
      </c>
      <c r="D66" s="11">
        <f>Info!$B$51</f>
        <v>0</v>
      </c>
      <c r="E66" s="11">
        <f>Info!$B$54</f>
        <v>0</v>
      </c>
      <c r="F66" s="11"/>
      <c r="G66" s="11"/>
      <c r="H66" s="11"/>
      <c r="I66" s="11"/>
      <c r="J66" s="11"/>
      <c r="K66" s="67"/>
      <c r="L66" s="67">
        <v>2</v>
      </c>
      <c r="M66" s="67" t="s">
        <v>32</v>
      </c>
      <c r="N66" s="67" t="s">
        <v>2640</v>
      </c>
      <c r="O66" s="11">
        <v>0.8</v>
      </c>
      <c r="P66" s="72">
        <f t="shared" si="4"/>
        <v>0</v>
      </c>
      <c r="Q66" s="72">
        <f t="shared" si="5"/>
        <v>0.4</v>
      </c>
      <c r="R66" s="67">
        <f t="shared" ref="R66:R129" si="6">IF(_xlfn.BITAND(P66&gt;0.4999, Q66&gt;0.4999)=1,1,0)</f>
        <v>0</v>
      </c>
    </row>
    <row r="67" spans="1:18" x14ac:dyDescent="0.2">
      <c r="A67" s="67" t="s">
        <v>2641</v>
      </c>
      <c r="B67" s="90" t="s">
        <v>2642</v>
      </c>
      <c r="C67" s="67" t="s">
        <v>20</v>
      </c>
      <c r="D67" s="11">
        <f>Info!$B$51</f>
        <v>0</v>
      </c>
      <c r="E67" s="11">
        <f>Info!$B$54</f>
        <v>0</v>
      </c>
      <c r="F67" s="11"/>
      <c r="G67" s="11"/>
      <c r="H67" s="11"/>
      <c r="I67" s="11"/>
      <c r="J67" s="11"/>
      <c r="K67" s="67"/>
      <c r="L67" s="67">
        <v>2</v>
      </c>
      <c r="M67" s="67" t="s">
        <v>32</v>
      </c>
      <c r="N67" s="67" t="s">
        <v>2643</v>
      </c>
      <c r="O67" s="11">
        <v>0.8</v>
      </c>
      <c r="P67" s="72">
        <f t="shared" si="4"/>
        <v>0</v>
      </c>
      <c r="Q67" s="72">
        <f t="shared" si="5"/>
        <v>0.4</v>
      </c>
      <c r="R67" s="67">
        <f t="shared" si="6"/>
        <v>0</v>
      </c>
    </row>
    <row r="68" spans="1:18" x14ac:dyDescent="0.2">
      <c r="A68" s="67" t="s">
        <v>2644</v>
      </c>
      <c r="B68" s="90" t="s">
        <v>2645</v>
      </c>
      <c r="C68" s="67" t="s">
        <v>20</v>
      </c>
      <c r="D68" s="11">
        <f>Info!$B$50</f>
        <v>0.3</v>
      </c>
      <c r="E68" s="11">
        <f>Info!$B$54</f>
        <v>0</v>
      </c>
      <c r="F68" s="11"/>
      <c r="G68" s="11"/>
      <c r="H68" s="11"/>
      <c r="I68" s="11"/>
      <c r="J68" s="11"/>
      <c r="K68" s="67"/>
      <c r="L68" s="67">
        <v>2</v>
      </c>
      <c r="M68" s="67" t="s">
        <v>21</v>
      </c>
      <c r="N68" s="67" t="s">
        <v>125</v>
      </c>
      <c r="O68" s="11">
        <v>0.2</v>
      </c>
      <c r="P68" s="72">
        <f t="shared" si="4"/>
        <v>0.15</v>
      </c>
      <c r="Q68" s="72">
        <f t="shared" si="5"/>
        <v>0.17499999999999999</v>
      </c>
      <c r="R68" s="67">
        <f t="shared" si="6"/>
        <v>0</v>
      </c>
    </row>
    <row r="69" spans="1:18" x14ac:dyDescent="0.2">
      <c r="A69" s="67" t="s">
        <v>2646</v>
      </c>
      <c r="B69" s="90" t="s">
        <v>2647</v>
      </c>
      <c r="C69" s="67" t="s">
        <v>20</v>
      </c>
      <c r="D69" s="11">
        <f>Info!$B$51</f>
        <v>0</v>
      </c>
      <c r="E69" s="11">
        <f>Info!$B$54</f>
        <v>0</v>
      </c>
      <c r="F69" s="11"/>
      <c r="G69" s="11"/>
      <c r="H69" s="11"/>
      <c r="I69" s="11"/>
      <c r="J69" s="11"/>
      <c r="K69" s="67"/>
      <c r="L69" s="67">
        <v>2</v>
      </c>
      <c r="M69" s="67" t="s">
        <v>70</v>
      </c>
      <c r="N69" s="67" t="s">
        <v>2631</v>
      </c>
      <c r="O69" s="11">
        <v>0.5</v>
      </c>
      <c r="P69" s="72">
        <f t="shared" si="4"/>
        <v>0</v>
      </c>
      <c r="Q69" s="72">
        <f t="shared" si="5"/>
        <v>0.25</v>
      </c>
      <c r="R69" s="67">
        <f t="shared" si="6"/>
        <v>0</v>
      </c>
    </row>
    <row r="70" spans="1:18" x14ac:dyDescent="0.2">
      <c r="A70" s="67" t="s">
        <v>2648</v>
      </c>
      <c r="B70" s="90" t="s">
        <v>2649</v>
      </c>
      <c r="C70" s="67" t="s">
        <v>20</v>
      </c>
      <c r="D70" s="11">
        <f>Info!$B$51</f>
        <v>0</v>
      </c>
      <c r="E70" s="11">
        <f>Info!$B$54</f>
        <v>0</v>
      </c>
      <c r="F70" s="11"/>
      <c r="G70" s="11"/>
      <c r="H70" s="11"/>
      <c r="I70" s="11"/>
      <c r="J70" s="11"/>
      <c r="K70" s="67"/>
      <c r="L70" s="67">
        <v>2</v>
      </c>
      <c r="M70" s="67" t="s">
        <v>70</v>
      </c>
      <c r="N70" s="67" t="s">
        <v>2650</v>
      </c>
      <c r="O70" s="11">
        <v>0.5</v>
      </c>
      <c r="P70" s="72">
        <f t="shared" si="4"/>
        <v>0</v>
      </c>
      <c r="Q70" s="72">
        <f t="shared" si="5"/>
        <v>0.25</v>
      </c>
      <c r="R70" s="67">
        <f t="shared" si="6"/>
        <v>0</v>
      </c>
    </row>
    <row r="71" spans="1:18" x14ac:dyDescent="0.2">
      <c r="A71" s="67" t="s">
        <v>2651</v>
      </c>
      <c r="B71" s="90" t="s">
        <v>2652</v>
      </c>
      <c r="C71" s="67" t="s">
        <v>20</v>
      </c>
      <c r="D71" s="11">
        <f>Info!$B$51</f>
        <v>0</v>
      </c>
      <c r="E71" s="11">
        <f>Info!$B$54</f>
        <v>0</v>
      </c>
      <c r="F71" s="11"/>
      <c r="G71" s="11"/>
      <c r="H71" s="11"/>
      <c r="I71" s="11"/>
      <c r="J71" s="11"/>
      <c r="K71" s="67"/>
      <c r="L71" s="67">
        <v>2</v>
      </c>
      <c r="M71" s="67" t="s">
        <v>70</v>
      </c>
      <c r="N71" s="67" t="s">
        <v>2650</v>
      </c>
      <c r="O71" s="11">
        <v>0.5</v>
      </c>
      <c r="P71" s="72">
        <f t="shared" si="4"/>
        <v>0</v>
      </c>
      <c r="Q71" s="72">
        <f t="shared" si="5"/>
        <v>0.25</v>
      </c>
      <c r="R71" s="67">
        <f t="shared" si="6"/>
        <v>0</v>
      </c>
    </row>
    <row r="72" spans="1:18" x14ac:dyDescent="0.2">
      <c r="A72" s="67" t="s">
        <v>2653</v>
      </c>
      <c r="B72" s="90" t="s">
        <v>2654</v>
      </c>
      <c r="C72" s="67" t="s">
        <v>20</v>
      </c>
      <c r="D72" s="11">
        <f>Info!$B$51</f>
        <v>0</v>
      </c>
      <c r="E72" s="11">
        <f>Info!$B$54</f>
        <v>0</v>
      </c>
      <c r="F72" s="11"/>
      <c r="G72" s="11"/>
      <c r="H72" s="11"/>
      <c r="I72" s="11"/>
      <c r="J72" s="11"/>
      <c r="K72" s="67"/>
      <c r="L72" s="67">
        <v>2</v>
      </c>
      <c r="M72" s="67" t="s">
        <v>32</v>
      </c>
      <c r="N72" s="67" t="s">
        <v>2655</v>
      </c>
      <c r="O72" s="11">
        <v>0.2</v>
      </c>
      <c r="P72" s="72">
        <f t="shared" si="4"/>
        <v>0</v>
      </c>
      <c r="Q72" s="72">
        <f t="shared" si="5"/>
        <v>0.1</v>
      </c>
      <c r="R72" s="67">
        <f t="shared" si="6"/>
        <v>0</v>
      </c>
    </row>
    <row r="73" spans="1:18" x14ac:dyDescent="0.2">
      <c r="A73" s="67" t="s">
        <v>2656</v>
      </c>
      <c r="B73" s="90" t="s">
        <v>2657</v>
      </c>
      <c r="C73" s="67" t="s">
        <v>20</v>
      </c>
      <c r="D73" s="11">
        <f>Info!$B$51</f>
        <v>0</v>
      </c>
      <c r="E73" s="11">
        <f>Info!$B$54</f>
        <v>0</v>
      </c>
      <c r="F73" s="11"/>
      <c r="G73" s="11"/>
      <c r="H73" s="11"/>
      <c r="I73" s="11"/>
      <c r="J73" s="11"/>
      <c r="K73" s="67"/>
      <c r="L73" s="67">
        <v>2</v>
      </c>
      <c r="M73" s="67" t="s">
        <v>70</v>
      </c>
      <c r="N73" s="67" t="s">
        <v>2650</v>
      </c>
      <c r="O73" s="11">
        <v>0.5</v>
      </c>
      <c r="P73" s="72">
        <f t="shared" si="4"/>
        <v>0</v>
      </c>
      <c r="Q73" s="72">
        <f t="shared" si="5"/>
        <v>0.25</v>
      </c>
      <c r="R73" s="67">
        <f t="shared" si="6"/>
        <v>0</v>
      </c>
    </row>
    <row r="74" spans="1:18" x14ac:dyDescent="0.2">
      <c r="A74" s="67" t="s">
        <v>2658</v>
      </c>
      <c r="B74" s="90" t="s">
        <v>2659</v>
      </c>
      <c r="C74" s="67" t="s">
        <v>20</v>
      </c>
      <c r="D74" s="11">
        <f>Info!$B$50</f>
        <v>0.3</v>
      </c>
      <c r="E74" s="11">
        <f>Info!$B$54</f>
        <v>0</v>
      </c>
      <c r="F74" s="11"/>
      <c r="G74" s="11"/>
      <c r="H74" s="11"/>
      <c r="I74" s="11"/>
      <c r="J74" s="11"/>
      <c r="K74" s="67"/>
      <c r="L74" s="67">
        <v>2</v>
      </c>
      <c r="M74" s="67" t="s">
        <v>32</v>
      </c>
      <c r="N74" s="67" t="s">
        <v>2660</v>
      </c>
      <c r="O74" s="11">
        <v>0.2</v>
      </c>
      <c r="P74" s="72">
        <f t="shared" si="4"/>
        <v>0.15</v>
      </c>
      <c r="Q74" s="72">
        <f t="shared" si="5"/>
        <v>0.17499999999999999</v>
      </c>
      <c r="R74" s="67">
        <f t="shared" si="6"/>
        <v>0</v>
      </c>
    </row>
    <row r="75" spans="1:18" x14ac:dyDescent="0.2">
      <c r="A75" s="67" t="s">
        <v>2671</v>
      </c>
      <c r="B75" s="90" t="s">
        <v>2672</v>
      </c>
      <c r="C75" s="67" t="s">
        <v>20</v>
      </c>
      <c r="D75" s="11">
        <f>Info!$B$51</f>
        <v>0</v>
      </c>
      <c r="E75" s="11">
        <f>Info!$B$54</f>
        <v>0</v>
      </c>
      <c r="F75" s="11"/>
      <c r="G75" s="11"/>
      <c r="H75" s="11"/>
      <c r="I75" s="11"/>
      <c r="J75" s="11"/>
      <c r="K75" s="67"/>
      <c r="L75" s="67">
        <v>2</v>
      </c>
      <c r="M75" s="67" t="s">
        <v>21</v>
      </c>
      <c r="N75" s="67" t="s">
        <v>2673</v>
      </c>
      <c r="O75" s="11">
        <v>0.5</v>
      </c>
      <c r="P75" s="72">
        <f t="shared" si="4"/>
        <v>0</v>
      </c>
      <c r="Q75" s="72">
        <f t="shared" si="5"/>
        <v>0.25</v>
      </c>
      <c r="R75" s="67">
        <f t="shared" si="6"/>
        <v>0</v>
      </c>
    </row>
    <row r="76" spans="1:18" x14ac:dyDescent="0.2">
      <c r="A76" s="67" t="s">
        <v>2674</v>
      </c>
      <c r="B76" s="90" t="s">
        <v>2675</v>
      </c>
      <c r="C76" s="67" t="s">
        <v>20</v>
      </c>
      <c r="D76" s="11">
        <f>Info!$B$51</f>
        <v>0</v>
      </c>
      <c r="E76" s="11">
        <f>Info!$B$54</f>
        <v>0</v>
      </c>
      <c r="F76" s="11"/>
      <c r="G76" s="11"/>
      <c r="H76" s="11"/>
      <c r="I76" s="11"/>
      <c r="J76" s="11"/>
      <c r="K76" s="67"/>
      <c r="L76" s="67">
        <v>2</v>
      </c>
      <c r="M76" s="67" t="s">
        <v>21</v>
      </c>
      <c r="N76" s="67" t="s">
        <v>2673</v>
      </c>
      <c r="O76" s="11">
        <v>0.5</v>
      </c>
      <c r="P76" s="72">
        <f t="shared" si="4"/>
        <v>0</v>
      </c>
      <c r="Q76" s="72">
        <f t="shared" si="5"/>
        <v>0.25</v>
      </c>
      <c r="R76" s="67">
        <f t="shared" si="6"/>
        <v>0</v>
      </c>
    </row>
    <row r="77" spans="1:18" x14ac:dyDescent="0.2">
      <c r="A77" s="67" t="s">
        <v>2676</v>
      </c>
      <c r="B77" s="90" t="s">
        <v>2677</v>
      </c>
      <c r="C77" s="67" t="s">
        <v>20</v>
      </c>
      <c r="D77" s="11">
        <f>Info!$B$51</f>
        <v>0</v>
      </c>
      <c r="E77" s="11">
        <f>Info!$B$54</f>
        <v>0</v>
      </c>
      <c r="F77" s="11"/>
      <c r="G77" s="11"/>
      <c r="H77" s="11"/>
      <c r="I77" s="11"/>
      <c r="J77" s="11"/>
      <c r="K77" s="67"/>
      <c r="L77" s="67">
        <v>2</v>
      </c>
      <c r="M77" s="67" t="s">
        <v>21</v>
      </c>
      <c r="N77" s="67" t="s">
        <v>2678</v>
      </c>
      <c r="O77" s="11">
        <v>0.8</v>
      </c>
      <c r="P77" s="72">
        <f t="shared" si="4"/>
        <v>0</v>
      </c>
      <c r="Q77" s="72">
        <f t="shared" si="5"/>
        <v>0.4</v>
      </c>
      <c r="R77" s="67">
        <f t="shared" si="6"/>
        <v>0</v>
      </c>
    </row>
    <row r="78" spans="1:18" x14ac:dyDescent="0.2">
      <c r="A78" s="67" t="s">
        <v>2690</v>
      </c>
      <c r="B78" s="90" t="s">
        <v>2691</v>
      </c>
      <c r="C78" s="67" t="s">
        <v>20</v>
      </c>
      <c r="D78" s="11">
        <f>Info!$B$51</f>
        <v>0</v>
      </c>
      <c r="E78" s="11">
        <f>Info!$B$54</f>
        <v>0</v>
      </c>
      <c r="F78" s="11"/>
      <c r="G78" s="11"/>
      <c r="H78" s="11"/>
      <c r="I78" s="11"/>
      <c r="J78" s="11"/>
      <c r="K78" s="67"/>
      <c r="L78" s="67">
        <v>2</v>
      </c>
      <c r="M78" s="67" t="s">
        <v>32</v>
      </c>
      <c r="N78" s="67" t="s">
        <v>2692</v>
      </c>
      <c r="O78" s="11">
        <v>0.2</v>
      </c>
      <c r="P78" s="72">
        <f t="shared" si="4"/>
        <v>0</v>
      </c>
      <c r="Q78" s="72">
        <f t="shared" si="5"/>
        <v>0.1</v>
      </c>
      <c r="R78" s="67">
        <f t="shared" si="6"/>
        <v>0</v>
      </c>
    </row>
    <row r="79" spans="1:18" x14ac:dyDescent="0.2">
      <c r="A79" s="67" t="s">
        <v>2693</v>
      </c>
      <c r="B79" s="90" t="s">
        <v>2694</v>
      </c>
      <c r="C79" s="67" t="s">
        <v>20</v>
      </c>
      <c r="D79" s="11">
        <f>Info!$B$51</f>
        <v>0</v>
      </c>
      <c r="E79" s="11">
        <f>Info!$B$54</f>
        <v>0</v>
      </c>
      <c r="F79" s="11"/>
      <c r="G79" s="11"/>
      <c r="H79" s="11"/>
      <c r="I79" s="11"/>
      <c r="J79" s="11"/>
      <c r="K79" s="67"/>
      <c r="L79" s="67">
        <v>2</v>
      </c>
      <c r="M79" s="67" t="s">
        <v>32</v>
      </c>
      <c r="N79" s="67" t="s">
        <v>2695</v>
      </c>
      <c r="O79" s="11">
        <v>0.2</v>
      </c>
      <c r="P79" s="72">
        <f t="shared" si="4"/>
        <v>0</v>
      </c>
      <c r="Q79" s="72">
        <f t="shared" si="5"/>
        <v>0.1</v>
      </c>
      <c r="R79" s="67">
        <f t="shared" si="6"/>
        <v>0</v>
      </c>
    </row>
    <row r="80" spans="1:18" x14ac:dyDescent="0.2">
      <c r="A80" s="88" t="s">
        <v>2699</v>
      </c>
      <c r="B80" s="89" t="s">
        <v>2700</v>
      </c>
      <c r="C80" s="67" t="s">
        <v>20</v>
      </c>
      <c r="D80" s="11"/>
      <c r="E80" s="11"/>
      <c r="F80" s="11"/>
      <c r="G80" s="11"/>
      <c r="H80" s="11"/>
      <c r="I80" s="11"/>
      <c r="J80" s="11"/>
      <c r="K80" s="67">
        <v>5</v>
      </c>
      <c r="L80" s="67"/>
      <c r="M80" s="67" t="s">
        <v>21</v>
      </c>
      <c r="N80" s="67" t="s">
        <v>163</v>
      </c>
      <c r="O80" s="11">
        <v>0.8</v>
      </c>
      <c r="P80" s="72">
        <f t="shared" si="4"/>
        <v>0</v>
      </c>
      <c r="Q80" s="72">
        <f t="shared" si="5"/>
        <v>0.4</v>
      </c>
      <c r="R80" s="67">
        <f t="shared" si="6"/>
        <v>0</v>
      </c>
    </row>
    <row r="81" spans="1:18" x14ac:dyDescent="0.2">
      <c r="A81" s="67" t="s">
        <v>2705</v>
      </c>
      <c r="B81" s="90" t="s">
        <v>2706</v>
      </c>
      <c r="C81" s="67" t="s">
        <v>20</v>
      </c>
      <c r="D81" s="11">
        <f>Info!$B$51</f>
        <v>0</v>
      </c>
      <c r="E81" s="11">
        <f>Info!$B$54</f>
        <v>0</v>
      </c>
      <c r="F81" s="11"/>
      <c r="G81" s="11"/>
      <c r="H81" s="11"/>
      <c r="I81" s="11"/>
      <c r="J81" s="11"/>
      <c r="K81" s="67"/>
      <c r="L81" s="67">
        <v>1</v>
      </c>
      <c r="M81" s="67" t="s">
        <v>21</v>
      </c>
      <c r="N81" s="67" t="s">
        <v>2707</v>
      </c>
      <c r="O81" s="11">
        <v>0.8</v>
      </c>
      <c r="P81" s="72">
        <f t="shared" si="4"/>
        <v>0</v>
      </c>
      <c r="Q81" s="72">
        <f t="shared" si="5"/>
        <v>0.4</v>
      </c>
      <c r="R81" s="67">
        <f t="shared" si="6"/>
        <v>0</v>
      </c>
    </row>
    <row r="82" spans="1:18" x14ac:dyDescent="0.2">
      <c r="A82" s="67" t="s">
        <v>2711</v>
      </c>
      <c r="B82" s="90" t="s">
        <v>2712</v>
      </c>
      <c r="C82" s="67" t="s">
        <v>20</v>
      </c>
      <c r="D82" s="11">
        <f>Info!$B$51</f>
        <v>0</v>
      </c>
      <c r="E82" s="11">
        <f>Info!$B$54</f>
        <v>0</v>
      </c>
      <c r="F82" s="11"/>
      <c r="G82" s="11"/>
      <c r="H82" s="11"/>
      <c r="I82" s="11"/>
      <c r="J82" s="11"/>
      <c r="K82" s="67"/>
      <c r="L82" s="67">
        <v>1</v>
      </c>
      <c r="M82" s="67" t="s">
        <v>21</v>
      </c>
      <c r="N82" s="67" t="s">
        <v>2606</v>
      </c>
      <c r="O82" s="11">
        <v>1</v>
      </c>
      <c r="P82" s="72">
        <f t="shared" si="4"/>
        <v>0</v>
      </c>
      <c r="Q82" s="72">
        <f t="shared" si="5"/>
        <v>0.5</v>
      </c>
      <c r="R82" s="67">
        <f t="shared" si="6"/>
        <v>0</v>
      </c>
    </row>
    <row r="83" spans="1:18" x14ac:dyDescent="0.2">
      <c r="A83" s="67" t="s">
        <v>2713</v>
      </c>
      <c r="B83" s="90" t="s">
        <v>2714</v>
      </c>
      <c r="C83" s="67" t="s">
        <v>184</v>
      </c>
      <c r="D83" s="11">
        <f>Info!$B$17</f>
        <v>0</v>
      </c>
      <c r="E83" s="11">
        <f>Info!$B$20</f>
        <v>0.6</v>
      </c>
      <c r="F83" s="11">
        <f>Info!$B$26</f>
        <v>0.3</v>
      </c>
      <c r="G83" s="11">
        <f>Info!$B$32</f>
        <v>0</v>
      </c>
      <c r="H83" s="11">
        <f>Info!$B$37</f>
        <v>0</v>
      </c>
      <c r="I83" s="11">
        <f>Info!$B$40</f>
        <v>0</v>
      </c>
      <c r="J83" s="11">
        <f>Info!$B$43</f>
        <v>0.5</v>
      </c>
      <c r="K83" s="67"/>
      <c r="L83" s="67">
        <v>1</v>
      </c>
      <c r="M83" s="67" t="s">
        <v>21</v>
      </c>
      <c r="N83" s="67" t="s">
        <v>2612</v>
      </c>
      <c r="O83" s="11">
        <v>1</v>
      </c>
      <c r="P83" s="72">
        <f t="shared" ref="P83:P90" si="7">(D83+E83+F83+G83+H83+I83+J83)/6</f>
        <v>0.23333333333333331</v>
      </c>
      <c r="Q83" s="72">
        <f t="shared" si="5"/>
        <v>0.6166666666666667</v>
      </c>
      <c r="R83" s="67">
        <f t="shared" si="6"/>
        <v>0</v>
      </c>
    </row>
    <row r="84" spans="1:18" x14ac:dyDescent="0.2">
      <c r="A84" s="67" t="s">
        <v>2717</v>
      </c>
      <c r="B84" s="90" t="s">
        <v>2718</v>
      </c>
      <c r="C84" s="67" t="s">
        <v>201</v>
      </c>
      <c r="D84" s="11">
        <f>Info!$B$17</f>
        <v>0</v>
      </c>
      <c r="E84" s="11">
        <f>Info!$B$20</f>
        <v>0.6</v>
      </c>
      <c r="F84" s="11">
        <f>Info!$B$26</f>
        <v>0.3</v>
      </c>
      <c r="G84" s="11">
        <f>Info!$B$30</f>
        <v>0.6</v>
      </c>
      <c r="H84" s="11">
        <f>Info!$B$37</f>
        <v>0</v>
      </c>
      <c r="I84" s="11">
        <f>Info!$B$40</f>
        <v>0</v>
      </c>
      <c r="J84" s="11">
        <f>Info!$B$42</f>
        <v>1</v>
      </c>
      <c r="K84" s="67"/>
      <c r="L84" s="67">
        <v>2</v>
      </c>
      <c r="M84" s="67" t="s">
        <v>21</v>
      </c>
      <c r="N84" s="67" t="s">
        <v>2719</v>
      </c>
      <c r="O84" s="11">
        <v>0.8</v>
      </c>
      <c r="P84" s="72">
        <f t="shared" si="7"/>
        <v>0.41666666666666669</v>
      </c>
      <c r="Q84" s="72">
        <f t="shared" si="5"/>
        <v>0.60833333333333339</v>
      </c>
      <c r="R84" s="67">
        <f t="shared" si="6"/>
        <v>0</v>
      </c>
    </row>
    <row r="85" spans="1:18" x14ac:dyDescent="0.2">
      <c r="A85" s="67" t="s">
        <v>2720</v>
      </c>
      <c r="B85" s="90" t="s">
        <v>2721</v>
      </c>
      <c r="C85" s="67" t="s">
        <v>201</v>
      </c>
      <c r="D85" s="11">
        <f>Info!$B$17</f>
        <v>0</v>
      </c>
      <c r="E85" s="11">
        <f>Info!$B$19</f>
        <v>1</v>
      </c>
      <c r="F85" s="11">
        <f>Info!$B$24</f>
        <v>1</v>
      </c>
      <c r="G85" s="11">
        <f>Info!$B$32</f>
        <v>0</v>
      </c>
      <c r="H85" s="11">
        <f>Info!$B$37</f>
        <v>0</v>
      </c>
      <c r="I85" s="11">
        <f>Info!$B$40</f>
        <v>0</v>
      </c>
      <c r="J85" s="11">
        <f>Info!$B$42</f>
        <v>1</v>
      </c>
      <c r="K85" s="67"/>
      <c r="L85" s="67">
        <v>2</v>
      </c>
      <c r="M85" s="67" t="s">
        <v>32</v>
      </c>
      <c r="N85" s="67" t="s">
        <v>317</v>
      </c>
      <c r="O85" s="11">
        <v>0.2</v>
      </c>
      <c r="P85" s="72">
        <f t="shared" si="7"/>
        <v>0.5</v>
      </c>
      <c r="Q85" s="72">
        <f t="shared" si="5"/>
        <v>0.35</v>
      </c>
      <c r="R85" s="67">
        <f t="shared" si="6"/>
        <v>0</v>
      </c>
    </row>
    <row r="86" spans="1:18" x14ac:dyDescent="0.2">
      <c r="A86" s="88" t="s">
        <v>2728</v>
      </c>
      <c r="B86" s="89" t="s">
        <v>2729</v>
      </c>
      <c r="C86" s="67" t="s">
        <v>201</v>
      </c>
      <c r="D86" s="11">
        <f>Info!$B$17</f>
        <v>0</v>
      </c>
      <c r="E86" s="11">
        <f>Info!$B$22</f>
        <v>0</v>
      </c>
      <c r="F86" s="11">
        <f>Info!$B$27</f>
        <v>0</v>
      </c>
      <c r="G86" s="11">
        <f>Info!$B$32</f>
        <v>0</v>
      </c>
      <c r="H86" s="11">
        <f>Info!$B$37</f>
        <v>0</v>
      </c>
      <c r="I86" s="11">
        <f>Info!$B$40</f>
        <v>0</v>
      </c>
      <c r="J86" s="11">
        <f>Info!$B$44</f>
        <v>0</v>
      </c>
      <c r="K86" s="67"/>
      <c r="L86" s="67">
        <v>1</v>
      </c>
      <c r="M86" s="67" t="s">
        <v>80</v>
      </c>
      <c r="N86" s="67" t="s">
        <v>2730</v>
      </c>
      <c r="O86" s="11">
        <v>0.2</v>
      </c>
      <c r="P86" s="72">
        <f t="shared" si="7"/>
        <v>0</v>
      </c>
      <c r="Q86" s="72">
        <f t="shared" si="5"/>
        <v>0.1</v>
      </c>
      <c r="R86" s="67">
        <f t="shared" si="6"/>
        <v>0</v>
      </c>
    </row>
    <row r="87" spans="1:18" x14ac:dyDescent="0.2">
      <c r="A87" s="88" t="s">
        <v>2731</v>
      </c>
      <c r="B87" s="89" t="s">
        <v>2732</v>
      </c>
      <c r="C87" s="67" t="s">
        <v>201</v>
      </c>
      <c r="D87" s="11">
        <f>Info!$B$17</f>
        <v>0</v>
      </c>
      <c r="E87" s="11">
        <f>Info!$B$22</f>
        <v>0</v>
      </c>
      <c r="F87" s="11">
        <f>Info!$B$27</f>
        <v>0</v>
      </c>
      <c r="G87" s="11">
        <f>Info!$B$32</f>
        <v>0</v>
      </c>
      <c r="H87" s="11">
        <f>Info!$B$37</f>
        <v>0</v>
      </c>
      <c r="I87" s="11">
        <f>Info!$B$40</f>
        <v>0</v>
      </c>
      <c r="J87" s="11">
        <f>Info!$B$44</f>
        <v>0</v>
      </c>
      <c r="K87" s="67"/>
      <c r="L87" s="67">
        <v>1</v>
      </c>
      <c r="M87" s="67" t="s">
        <v>21</v>
      </c>
      <c r="N87" s="67" t="s">
        <v>163</v>
      </c>
      <c r="O87" s="11">
        <v>0.8</v>
      </c>
      <c r="P87" s="72">
        <f t="shared" si="7"/>
        <v>0</v>
      </c>
      <c r="Q87" s="72">
        <f t="shared" si="5"/>
        <v>0.4</v>
      </c>
      <c r="R87" s="67">
        <f t="shared" si="6"/>
        <v>0</v>
      </c>
    </row>
    <row r="88" spans="1:18" x14ac:dyDescent="0.2">
      <c r="A88" s="88" t="s">
        <v>2733</v>
      </c>
      <c r="B88" s="89" t="s">
        <v>2734</v>
      </c>
      <c r="C88" s="67" t="s">
        <v>201</v>
      </c>
      <c r="D88" s="11">
        <f>Info!$B$17</f>
        <v>0</v>
      </c>
      <c r="E88" s="11">
        <f>Info!$B$20</f>
        <v>0.6</v>
      </c>
      <c r="F88" s="11">
        <f>Info!$B$25</f>
        <v>0.6</v>
      </c>
      <c r="G88" s="11">
        <f>Info!$B$32</f>
        <v>0</v>
      </c>
      <c r="H88" s="11">
        <f>Info!$B$37</f>
        <v>0</v>
      </c>
      <c r="I88" s="11">
        <f>Info!$B$40</f>
        <v>0</v>
      </c>
      <c r="J88" s="11">
        <f>Info!$B$42</f>
        <v>1</v>
      </c>
      <c r="K88" s="67"/>
      <c r="L88" s="67">
        <v>1</v>
      </c>
      <c r="M88" s="67" t="s">
        <v>21</v>
      </c>
      <c r="N88" s="67" t="s">
        <v>2735</v>
      </c>
      <c r="O88" s="11">
        <v>1</v>
      </c>
      <c r="P88" s="72">
        <f t="shared" si="7"/>
        <v>0.3666666666666667</v>
      </c>
      <c r="Q88" s="72">
        <f t="shared" si="5"/>
        <v>0.68333333333333335</v>
      </c>
      <c r="R88" s="67">
        <f t="shared" si="6"/>
        <v>0</v>
      </c>
    </row>
    <row r="89" spans="1:18" x14ac:dyDescent="0.2">
      <c r="A89" s="67" t="s">
        <v>2736</v>
      </c>
      <c r="B89" s="90" t="s">
        <v>2737</v>
      </c>
      <c r="C89" s="67" t="s">
        <v>201</v>
      </c>
      <c r="D89" s="11">
        <f>Info!$B$17</f>
        <v>0</v>
      </c>
      <c r="E89" s="11">
        <f>Info!$B$20</f>
        <v>0.6</v>
      </c>
      <c r="F89" s="11">
        <f>Info!$B$25</f>
        <v>0.6</v>
      </c>
      <c r="G89" s="11">
        <f>Info!$B$30</f>
        <v>0.6</v>
      </c>
      <c r="H89" s="11">
        <f>Info!$B$35</f>
        <v>0.6</v>
      </c>
      <c r="I89" s="11">
        <f>Info!$B$40</f>
        <v>0</v>
      </c>
      <c r="J89" s="11">
        <f>Info!$B$44</f>
        <v>0</v>
      </c>
      <c r="K89" s="67"/>
      <c r="L89" s="67">
        <v>1</v>
      </c>
      <c r="M89" s="67" t="s">
        <v>32</v>
      </c>
      <c r="N89" s="67" t="s">
        <v>2692</v>
      </c>
      <c r="O89" s="11">
        <v>0.2</v>
      </c>
      <c r="P89" s="72">
        <f t="shared" si="7"/>
        <v>0.39999999999999997</v>
      </c>
      <c r="Q89" s="72">
        <f t="shared" si="5"/>
        <v>0.3</v>
      </c>
      <c r="R89" s="67">
        <f t="shared" si="6"/>
        <v>0</v>
      </c>
    </row>
    <row r="90" spans="1:18" x14ac:dyDescent="0.2">
      <c r="A90" s="67" t="s">
        <v>2738</v>
      </c>
      <c r="B90" s="90" t="s">
        <v>2739</v>
      </c>
      <c r="C90" s="67" t="s">
        <v>201</v>
      </c>
      <c r="D90" s="11">
        <f>Info!$B$17</f>
        <v>0</v>
      </c>
      <c r="E90" s="11">
        <f>Info!$B$20</f>
        <v>0.6</v>
      </c>
      <c r="F90" s="11">
        <f>Info!$B$26</f>
        <v>0.3</v>
      </c>
      <c r="G90" s="11">
        <f>Info!$B$32</f>
        <v>0</v>
      </c>
      <c r="H90" s="11">
        <f>Info!$B$37</f>
        <v>0</v>
      </c>
      <c r="I90" s="11">
        <f>Info!$B$40</f>
        <v>0</v>
      </c>
      <c r="J90" s="11">
        <f>Info!$B$42</f>
        <v>1</v>
      </c>
      <c r="K90" s="67"/>
      <c r="L90" s="67">
        <v>1</v>
      </c>
      <c r="M90" s="67" t="s">
        <v>21</v>
      </c>
      <c r="N90" s="67" t="s">
        <v>242</v>
      </c>
      <c r="O90" s="11">
        <v>1</v>
      </c>
      <c r="P90" s="72">
        <f t="shared" si="7"/>
        <v>0.31666666666666665</v>
      </c>
      <c r="Q90" s="72">
        <f t="shared" si="5"/>
        <v>0.65833333333333333</v>
      </c>
      <c r="R90" s="67">
        <f t="shared" si="6"/>
        <v>0</v>
      </c>
    </row>
    <row r="91" spans="1:18" x14ac:dyDescent="0.2">
      <c r="A91" s="67" t="s">
        <v>2740</v>
      </c>
      <c r="B91" s="90" t="s">
        <v>2741</v>
      </c>
      <c r="C91" s="67"/>
      <c r="D91" s="11"/>
      <c r="E91" s="11"/>
      <c r="F91" s="11"/>
      <c r="G91" s="11"/>
      <c r="H91" s="11"/>
      <c r="I91" s="11"/>
      <c r="J91" s="11"/>
      <c r="K91" s="67"/>
      <c r="L91" s="67"/>
      <c r="M91" s="67"/>
      <c r="N91" s="67"/>
      <c r="P91" s="72">
        <f t="shared" ref="P91:P154" si="8">(D91+E91+F91+G91+H91+I91+J91)/7</f>
        <v>0</v>
      </c>
      <c r="Q91" s="72">
        <f t="shared" si="5"/>
        <v>0</v>
      </c>
      <c r="R91" s="67">
        <f t="shared" si="6"/>
        <v>0</v>
      </c>
    </row>
    <row r="92" spans="1:18" x14ac:dyDescent="0.2">
      <c r="A92" s="67" t="s">
        <v>2742</v>
      </c>
      <c r="B92" s="90" t="s">
        <v>2743</v>
      </c>
      <c r="C92" s="67"/>
      <c r="D92" s="67"/>
      <c r="E92" s="67"/>
      <c r="F92" s="67"/>
      <c r="G92" s="67"/>
      <c r="H92" s="67"/>
      <c r="I92" s="67"/>
      <c r="J92" s="11">
        <f>Info!$B$43</f>
        <v>0.5</v>
      </c>
      <c r="K92" s="67">
        <v>4</v>
      </c>
      <c r="L92" s="67"/>
      <c r="M92" s="67"/>
      <c r="N92" s="67"/>
      <c r="P92" s="72">
        <f t="shared" si="8"/>
        <v>7.1428571428571425E-2</v>
      </c>
      <c r="Q92" s="72">
        <f t="shared" si="5"/>
        <v>3.5714285714285712E-2</v>
      </c>
      <c r="R92" s="67">
        <f t="shared" si="6"/>
        <v>0</v>
      </c>
    </row>
    <row r="93" spans="1:18" x14ac:dyDescent="0.2">
      <c r="A93" s="67" t="s">
        <v>2744</v>
      </c>
      <c r="B93" s="90" t="s">
        <v>2745</v>
      </c>
      <c r="C93" s="67"/>
      <c r="D93" s="67"/>
      <c r="E93" s="67"/>
      <c r="F93" s="67"/>
      <c r="G93" s="67"/>
      <c r="H93" s="67"/>
      <c r="I93" s="67"/>
      <c r="J93" s="11">
        <f>Info!$B$42</f>
        <v>1</v>
      </c>
      <c r="K93" s="67">
        <v>4</v>
      </c>
      <c r="L93" s="67"/>
      <c r="M93" s="67"/>
      <c r="N93" s="67"/>
      <c r="P93" s="72">
        <f t="shared" si="8"/>
        <v>0.14285714285714285</v>
      </c>
      <c r="Q93" s="72">
        <f t="shared" si="5"/>
        <v>7.1428571428571425E-2</v>
      </c>
      <c r="R93" s="67">
        <f t="shared" si="6"/>
        <v>0</v>
      </c>
    </row>
    <row r="94" spans="1:18" x14ac:dyDescent="0.2">
      <c r="A94" s="67" t="s">
        <v>2746</v>
      </c>
      <c r="B94" s="90" t="s">
        <v>2747</v>
      </c>
      <c r="C94" s="67"/>
      <c r="D94" s="67"/>
      <c r="E94" s="67"/>
      <c r="F94" s="67"/>
      <c r="G94" s="67"/>
      <c r="H94" s="67"/>
      <c r="I94" s="67"/>
      <c r="J94" s="11">
        <f>Info!$B$44</f>
        <v>0</v>
      </c>
      <c r="K94" s="67">
        <v>4</v>
      </c>
      <c r="L94" s="67"/>
      <c r="M94" s="67"/>
      <c r="N94" s="67"/>
      <c r="P94" s="72">
        <f t="shared" si="8"/>
        <v>0</v>
      </c>
      <c r="Q94" s="72">
        <f t="shared" si="5"/>
        <v>0</v>
      </c>
      <c r="R94" s="67">
        <f t="shared" si="6"/>
        <v>0</v>
      </c>
    </row>
    <row r="95" spans="1:18" x14ac:dyDescent="0.2">
      <c r="A95" s="67" t="s">
        <v>2748</v>
      </c>
      <c r="B95" s="90" t="s">
        <v>2749</v>
      </c>
      <c r="C95" s="67"/>
      <c r="D95" s="67"/>
      <c r="E95" s="67"/>
      <c r="F95" s="67"/>
      <c r="G95" s="67"/>
      <c r="H95" s="67"/>
      <c r="I95" s="67"/>
      <c r="J95" s="11">
        <f>Info!$B$42</f>
        <v>1</v>
      </c>
      <c r="K95" s="67">
        <v>4</v>
      </c>
      <c r="L95" s="67"/>
      <c r="M95" s="67"/>
      <c r="N95" s="67"/>
      <c r="P95" s="72">
        <f t="shared" si="8"/>
        <v>0.14285714285714285</v>
      </c>
      <c r="Q95" s="72">
        <f t="shared" si="5"/>
        <v>7.1428571428571425E-2</v>
      </c>
      <c r="R95" s="67">
        <f t="shared" si="6"/>
        <v>0</v>
      </c>
    </row>
    <row r="96" spans="1:18" x14ac:dyDescent="0.2">
      <c r="A96" s="67" t="s">
        <v>2750</v>
      </c>
      <c r="B96" s="90" t="s">
        <v>2751</v>
      </c>
      <c r="C96" s="67"/>
      <c r="D96" s="67"/>
      <c r="E96" s="67"/>
      <c r="F96" s="67"/>
      <c r="G96" s="67"/>
      <c r="H96" s="67"/>
      <c r="I96" s="67"/>
      <c r="J96" s="11">
        <f>Info!$B$44</f>
        <v>0</v>
      </c>
      <c r="K96" s="67">
        <v>4</v>
      </c>
      <c r="L96" s="67"/>
      <c r="M96" s="67"/>
      <c r="N96" s="67"/>
      <c r="P96" s="72">
        <f t="shared" si="8"/>
        <v>0</v>
      </c>
      <c r="Q96" s="72">
        <f t="shared" si="5"/>
        <v>0</v>
      </c>
      <c r="R96" s="67">
        <f t="shared" si="6"/>
        <v>0</v>
      </c>
    </row>
    <row r="97" spans="1:18" x14ac:dyDescent="0.2">
      <c r="A97" s="67" t="s">
        <v>2752</v>
      </c>
      <c r="B97" s="90" t="s">
        <v>2753</v>
      </c>
      <c r="C97" s="67"/>
      <c r="D97" s="11"/>
      <c r="E97" s="11"/>
      <c r="F97" s="11"/>
      <c r="G97" s="11"/>
      <c r="H97" s="11"/>
      <c r="I97" s="11"/>
      <c r="J97" s="11"/>
      <c r="K97" s="67"/>
      <c r="L97" s="67"/>
      <c r="M97" s="67"/>
      <c r="N97" s="67"/>
      <c r="P97" s="72">
        <f t="shared" si="8"/>
        <v>0</v>
      </c>
      <c r="Q97" s="72">
        <f t="shared" si="5"/>
        <v>0</v>
      </c>
      <c r="R97" s="67">
        <f t="shared" si="6"/>
        <v>0</v>
      </c>
    </row>
    <row r="98" spans="1:18" x14ac:dyDescent="0.2">
      <c r="A98" s="88" t="s">
        <v>919</v>
      </c>
      <c r="B98" s="89" t="s">
        <v>2754</v>
      </c>
      <c r="C98" s="67"/>
      <c r="D98" s="67"/>
      <c r="E98" s="67"/>
      <c r="F98" s="67"/>
      <c r="G98" s="67"/>
      <c r="H98" s="67"/>
      <c r="I98" s="67"/>
      <c r="J98" s="11">
        <f>Info!$B$44</f>
        <v>0</v>
      </c>
      <c r="K98" s="67"/>
      <c r="L98" s="75"/>
      <c r="M98" s="75"/>
      <c r="N98" s="75"/>
      <c r="P98" s="72">
        <f t="shared" si="8"/>
        <v>0</v>
      </c>
      <c r="Q98" s="72">
        <f t="shared" si="5"/>
        <v>0</v>
      </c>
      <c r="R98" s="67">
        <f t="shared" si="6"/>
        <v>0</v>
      </c>
    </row>
    <row r="99" spans="1:18" x14ac:dyDescent="0.2">
      <c r="A99" s="88" t="s">
        <v>344</v>
      </c>
      <c r="B99" s="89" t="s">
        <v>2755</v>
      </c>
      <c r="C99" s="67"/>
      <c r="D99" s="67"/>
      <c r="E99" s="67"/>
      <c r="F99" s="67"/>
      <c r="G99" s="67"/>
      <c r="H99" s="67"/>
      <c r="I99" s="67"/>
      <c r="J99" s="11">
        <f>Info!$B$44</f>
        <v>0</v>
      </c>
      <c r="K99" s="67"/>
      <c r="L99" s="67"/>
      <c r="M99" s="67"/>
      <c r="N99" s="67"/>
      <c r="P99" s="72">
        <f t="shared" si="8"/>
        <v>0</v>
      </c>
      <c r="Q99" s="72">
        <f t="shared" si="5"/>
        <v>0</v>
      </c>
      <c r="R99" s="67">
        <f t="shared" si="6"/>
        <v>0</v>
      </c>
    </row>
    <row r="100" spans="1:18" x14ac:dyDescent="0.2">
      <c r="A100" s="88" t="s">
        <v>257</v>
      </c>
      <c r="B100" s="89" t="s">
        <v>2757</v>
      </c>
      <c r="C100" s="67"/>
      <c r="D100" s="67"/>
      <c r="E100" s="67"/>
      <c r="F100" s="67"/>
      <c r="G100" s="67"/>
      <c r="H100" s="67"/>
      <c r="I100" s="67"/>
      <c r="J100" s="11">
        <f>Info!$B$43</f>
        <v>0.5</v>
      </c>
      <c r="K100" s="67"/>
      <c r="L100" s="67"/>
      <c r="M100" s="67"/>
      <c r="N100" s="67"/>
      <c r="P100" s="72">
        <f t="shared" si="8"/>
        <v>7.1428571428571425E-2</v>
      </c>
      <c r="Q100" s="72">
        <f t="shared" si="5"/>
        <v>3.5714285714285712E-2</v>
      </c>
      <c r="R100" s="67">
        <f t="shared" si="6"/>
        <v>0</v>
      </c>
    </row>
    <row r="101" spans="1:18" x14ac:dyDescent="0.2">
      <c r="A101" s="88" t="s">
        <v>299</v>
      </c>
      <c r="B101" s="89" t="s">
        <v>2760</v>
      </c>
      <c r="C101" s="67"/>
      <c r="D101" s="11"/>
      <c r="E101" s="11"/>
      <c r="F101" s="11"/>
      <c r="G101" s="11"/>
      <c r="H101" s="11"/>
      <c r="I101" s="11"/>
      <c r="J101" s="11">
        <f>Info!$B$44</f>
        <v>0</v>
      </c>
      <c r="K101" s="67"/>
      <c r="L101" s="67"/>
      <c r="M101" s="67"/>
      <c r="N101" s="67"/>
      <c r="P101" s="72">
        <f t="shared" si="8"/>
        <v>0</v>
      </c>
      <c r="Q101" s="72">
        <f t="shared" si="5"/>
        <v>0</v>
      </c>
      <c r="R101" s="67">
        <f t="shared" si="6"/>
        <v>0</v>
      </c>
    </row>
    <row r="102" spans="1:18" x14ac:dyDescent="0.2">
      <c r="A102" s="88" t="s">
        <v>2761</v>
      </c>
      <c r="B102" s="89" t="s">
        <v>2762</v>
      </c>
      <c r="C102" s="67"/>
      <c r="D102" s="67"/>
      <c r="E102" s="67"/>
      <c r="F102" s="67"/>
      <c r="G102" s="67"/>
      <c r="H102" s="67"/>
      <c r="I102" s="67"/>
      <c r="J102" s="11">
        <f>Info!$B$44</f>
        <v>0</v>
      </c>
      <c r="K102" s="67"/>
      <c r="L102" s="67"/>
      <c r="M102" s="67"/>
      <c r="N102" s="67"/>
      <c r="P102" s="72">
        <f t="shared" si="8"/>
        <v>0</v>
      </c>
      <c r="Q102" s="72">
        <f t="shared" si="5"/>
        <v>0</v>
      </c>
      <c r="R102" s="67">
        <f t="shared" si="6"/>
        <v>0</v>
      </c>
    </row>
    <row r="103" spans="1:18" x14ac:dyDescent="0.2">
      <c r="A103" s="88" t="s">
        <v>1156</v>
      </c>
      <c r="B103" s="89" t="s">
        <v>2764</v>
      </c>
      <c r="C103" s="67"/>
      <c r="D103" s="67"/>
      <c r="E103" s="67"/>
      <c r="F103" s="67"/>
      <c r="G103" s="67"/>
      <c r="H103" s="67"/>
      <c r="I103" s="67"/>
      <c r="J103" s="11">
        <f>Info!$B$43</f>
        <v>0.5</v>
      </c>
      <c r="K103" s="67"/>
      <c r="L103" s="67"/>
      <c r="M103" s="67"/>
      <c r="N103" s="67"/>
      <c r="P103" s="72">
        <f t="shared" si="8"/>
        <v>7.1428571428571425E-2</v>
      </c>
      <c r="Q103" s="72">
        <f t="shared" si="5"/>
        <v>3.5714285714285712E-2</v>
      </c>
      <c r="R103" s="67">
        <f t="shared" si="6"/>
        <v>0</v>
      </c>
    </row>
    <row r="104" spans="1:18" x14ac:dyDescent="0.2">
      <c r="A104" s="88" t="s">
        <v>850</v>
      </c>
      <c r="B104" s="89" t="s">
        <v>2765</v>
      </c>
      <c r="C104" s="67"/>
      <c r="D104" s="67"/>
      <c r="E104" s="67"/>
      <c r="F104" s="67"/>
      <c r="G104" s="67"/>
      <c r="H104" s="67"/>
      <c r="I104" s="67"/>
      <c r="J104" s="11">
        <f>Info!$B$44</f>
        <v>0</v>
      </c>
      <c r="K104" s="67"/>
      <c r="L104" s="67"/>
      <c r="M104" s="67"/>
      <c r="N104" s="67"/>
      <c r="P104" s="72">
        <f t="shared" si="8"/>
        <v>0</v>
      </c>
      <c r="Q104" s="72">
        <f t="shared" si="5"/>
        <v>0</v>
      </c>
      <c r="R104" s="67">
        <f t="shared" si="6"/>
        <v>0</v>
      </c>
    </row>
    <row r="105" spans="1:18" x14ac:dyDescent="0.2">
      <c r="A105" s="88" t="s">
        <v>2324</v>
      </c>
      <c r="B105" s="89" t="s">
        <v>2766</v>
      </c>
      <c r="C105" s="67"/>
      <c r="D105" s="11"/>
      <c r="E105" s="11"/>
      <c r="F105" s="11"/>
      <c r="G105" s="11"/>
      <c r="H105" s="11"/>
      <c r="I105" s="11"/>
      <c r="J105" s="11">
        <f>Info!$B$44</f>
        <v>0</v>
      </c>
      <c r="K105" s="67"/>
      <c r="L105" s="67"/>
      <c r="M105" s="67"/>
      <c r="N105" s="67"/>
      <c r="P105" s="72">
        <f t="shared" si="8"/>
        <v>0</v>
      </c>
      <c r="Q105" s="72">
        <f t="shared" si="5"/>
        <v>0</v>
      </c>
      <c r="R105" s="67">
        <f t="shared" si="6"/>
        <v>0</v>
      </c>
    </row>
    <row r="106" spans="1:18" x14ac:dyDescent="0.2">
      <c r="A106" s="88" t="s">
        <v>2767</v>
      </c>
      <c r="B106" s="89" t="s">
        <v>2768</v>
      </c>
      <c r="C106" s="67"/>
      <c r="D106" s="11"/>
      <c r="E106" s="11"/>
      <c r="F106" s="11"/>
      <c r="G106" s="11"/>
      <c r="H106" s="11"/>
      <c r="I106" s="11"/>
      <c r="J106" s="11">
        <f>Info!$B$44</f>
        <v>0</v>
      </c>
      <c r="K106" s="67"/>
      <c r="L106" s="67"/>
      <c r="M106" s="67"/>
      <c r="N106" s="67"/>
      <c r="P106" s="72">
        <f t="shared" si="8"/>
        <v>0</v>
      </c>
      <c r="Q106" s="72">
        <f t="shared" si="5"/>
        <v>0</v>
      </c>
      <c r="R106" s="67">
        <f t="shared" si="6"/>
        <v>0</v>
      </c>
    </row>
    <row r="107" spans="1:18" x14ac:dyDescent="0.2">
      <c r="A107" s="88" t="s">
        <v>1321</v>
      </c>
      <c r="B107" s="89" t="s">
        <v>2769</v>
      </c>
      <c r="C107" s="67"/>
      <c r="D107" s="11"/>
      <c r="E107" s="11"/>
      <c r="F107" s="11"/>
      <c r="G107" s="11"/>
      <c r="H107" s="11"/>
      <c r="I107" s="11"/>
      <c r="J107" s="11">
        <f>Info!$B$43</f>
        <v>0.5</v>
      </c>
      <c r="K107" s="67"/>
      <c r="L107" s="67"/>
      <c r="M107" s="67"/>
      <c r="N107" s="67"/>
      <c r="P107" s="72">
        <f t="shared" si="8"/>
        <v>7.1428571428571425E-2</v>
      </c>
      <c r="Q107" s="72">
        <f t="shared" si="5"/>
        <v>3.5714285714285712E-2</v>
      </c>
      <c r="R107" s="67">
        <f t="shared" si="6"/>
        <v>0</v>
      </c>
    </row>
    <row r="108" spans="1:18" x14ac:dyDescent="0.2">
      <c r="A108" s="88" t="s">
        <v>2770</v>
      </c>
      <c r="B108" s="89" t="s">
        <v>2771</v>
      </c>
      <c r="C108" s="67"/>
      <c r="D108" s="11"/>
      <c r="E108" s="11"/>
      <c r="F108" s="11"/>
      <c r="G108" s="11"/>
      <c r="H108" s="11"/>
      <c r="I108" s="11"/>
      <c r="J108" s="11">
        <f>Info!$B$42</f>
        <v>1</v>
      </c>
      <c r="K108" s="67"/>
      <c r="L108" s="67"/>
      <c r="M108" s="67"/>
      <c r="N108" s="67"/>
      <c r="P108" s="72">
        <f t="shared" si="8"/>
        <v>0.14285714285714285</v>
      </c>
      <c r="Q108" s="72">
        <f t="shared" si="5"/>
        <v>7.1428571428571425E-2</v>
      </c>
      <c r="R108" s="67">
        <f t="shared" si="6"/>
        <v>0</v>
      </c>
    </row>
    <row r="109" spans="1:18" x14ac:dyDescent="0.2">
      <c r="A109" s="88" t="s">
        <v>2772</v>
      </c>
      <c r="B109" s="89" t="s">
        <v>2773</v>
      </c>
      <c r="C109" s="67"/>
      <c r="D109" s="11"/>
      <c r="E109" s="11"/>
      <c r="F109" s="11"/>
      <c r="G109" s="11"/>
      <c r="H109" s="11"/>
      <c r="I109" s="11"/>
      <c r="J109" s="11">
        <f>Info!$B$43</f>
        <v>0.5</v>
      </c>
      <c r="K109" s="67"/>
      <c r="L109" s="67"/>
      <c r="M109" s="67"/>
      <c r="N109" s="67"/>
      <c r="P109" s="72">
        <f t="shared" si="8"/>
        <v>7.1428571428571425E-2</v>
      </c>
      <c r="Q109" s="72">
        <f t="shared" si="5"/>
        <v>3.5714285714285712E-2</v>
      </c>
      <c r="R109" s="67">
        <f t="shared" si="6"/>
        <v>0</v>
      </c>
    </row>
    <row r="110" spans="1:18" x14ac:dyDescent="0.2">
      <c r="A110" s="88" t="s">
        <v>2774</v>
      </c>
      <c r="B110" s="89" t="s">
        <v>2775</v>
      </c>
      <c r="C110" s="67"/>
      <c r="D110" s="11"/>
      <c r="E110" s="11"/>
      <c r="F110" s="11"/>
      <c r="G110" s="11"/>
      <c r="H110" s="11"/>
      <c r="I110" s="11"/>
      <c r="J110" s="11">
        <f>Info!$B$43</f>
        <v>0.5</v>
      </c>
      <c r="K110" s="67"/>
      <c r="L110" s="67"/>
      <c r="M110" s="67"/>
      <c r="N110" s="67"/>
      <c r="P110" s="72">
        <f t="shared" si="8"/>
        <v>7.1428571428571425E-2</v>
      </c>
      <c r="Q110" s="72">
        <f t="shared" si="5"/>
        <v>3.5714285714285712E-2</v>
      </c>
      <c r="R110" s="67">
        <f t="shared" si="6"/>
        <v>0</v>
      </c>
    </row>
    <row r="111" spans="1:18" x14ac:dyDescent="0.2">
      <c r="A111" s="88" t="s">
        <v>1487</v>
      </c>
      <c r="B111" s="89" t="s">
        <v>2776</v>
      </c>
      <c r="C111" s="67"/>
      <c r="D111" s="11"/>
      <c r="E111" s="11"/>
      <c r="F111" s="11"/>
      <c r="G111" s="11"/>
      <c r="H111" s="11"/>
      <c r="I111" s="11"/>
      <c r="J111" s="11">
        <f>Info!$B$42</f>
        <v>1</v>
      </c>
      <c r="K111" s="67"/>
      <c r="L111" s="67"/>
      <c r="M111" s="67"/>
      <c r="N111" s="67"/>
      <c r="P111" s="72">
        <f t="shared" si="8"/>
        <v>0.14285714285714285</v>
      </c>
      <c r="Q111" s="72">
        <f t="shared" si="5"/>
        <v>7.1428571428571425E-2</v>
      </c>
      <c r="R111" s="67">
        <f t="shared" si="6"/>
        <v>0</v>
      </c>
    </row>
    <row r="112" spans="1:18" x14ac:dyDescent="0.2">
      <c r="A112" s="88" t="s">
        <v>822</v>
      </c>
      <c r="B112" s="89" t="s">
        <v>2777</v>
      </c>
      <c r="C112" s="67"/>
      <c r="D112" s="11"/>
      <c r="E112" s="11"/>
      <c r="F112" s="11"/>
      <c r="G112" s="11"/>
      <c r="H112" s="11"/>
      <c r="I112" s="11"/>
      <c r="J112" s="11">
        <f>Info!$B$42</f>
        <v>1</v>
      </c>
      <c r="K112" s="67"/>
      <c r="L112" s="67"/>
      <c r="M112" s="67"/>
      <c r="N112" s="67"/>
      <c r="P112" s="72">
        <f t="shared" si="8"/>
        <v>0.14285714285714285</v>
      </c>
      <c r="Q112" s="72">
        <f t="shared" si="5"/>
        <v>7.1428571428571425E-2</v>
      </c>
      <c r="R112" s="67">
        <f t="shared" si="6"/>
        <v>0</v>
      </c>
    </row>
    <row r="113" spans="1:18" x14ac:dyDescent="0.2">
      <c r="A113" s="88" t="s">
        <v>2778</v>
      </c>
      <c r="B113" s="89" t="s">
        <v>2779</v>
      </c>
      <c r="C113" s="67"/>
      <c r="D113" s="11"/>
      <c r="E113" s="11"/>
      <c r="F113" s="11"/>
      <c r="G113" s="11"/>
      <c r="H113" s="11"/>
      <c r="I113" s="11"/>
      <c r="J113" s="11">
        <f>Info!$B$42</f>
        <v>1</v>
      </c>
      <c r="K113" s="67"/>
      <c r="L113" s="67"/>
      <c r="M113" s="67"/>
      <c r="N113" s="67"/>
      <c r="P113" s="72">
        <f t="shared" si="8"/>
        <v>0.14285714285714285</v>
      </c>
      <c r="Q113" s="72">
        <f t="shared" si="5"/>
        <v>7.1428571428571425E-2</v>
      </c>
      <c r="R113" s="67">
        <f t="shared" si="6"/>
        <v>0</v>
      </c>
    </row>
    <row r="114" spans="1:18" x14ac:dyDescent="0.2">
      <c r="A114" s="88" t="s">
        <v>2780</v>
      </c>
      <c r="B114" s="89" t="s">
        <v>2781</v>
      </c>
      <c r="C114" s="67"/>
      <c r="D114" s="11"/>
      <c r="E114" s="11"/>
      <c r="F114" s="11"/>
      <c r="G114" s="11"/>
      <c r="H114" s="11"/>
      <c r="I114" s="11"/>
      <c r="J114" s="11">
        <f>Info!$B$43</f>
        <v>0.5</v>
      </c>
      <c r="K114" s="67"/>
      <c r="L114" s="67"/>
      <c r="M114" s="67"/>
      <c r="N114" s="67"/>
      <c r="P114" s="72">
        <f t="shared" si="8"/>
        <v>7.1428571428571425E-2</v>
      </c>
      <c r="Q114" s="72">
        <f t="shared" si="5"/>
        <v>3.5714285714285712E-2</v>
      </c>
      <c r="R114" s="67">
        <f t="shared" si="6"/>
        <v>0</v>
      </c>
    </row>
    <row r="115" spans="1:18" x14ac:dyDescent="0.2">
      <c r="A115" s="88" t="s">
        <v>2782</v>
      </c>
      <c r="B115" s="89" t="s">
        <v>2783</v>
      </c>
      <c r="C115" s="67"/>
      <c r="D115" s="11"/>
      <c r="E115" s="11"/>
      <c r="F115" s="11"/>
      <c r="G115" s="11"/>
      <c r="H115" s="11"/>
      <c r="I115" s="11"/>
      <c r="J115" s="11">
        <f>Info!$B$44</f>
        <v>0</v>
      </c>
      <c r="K115" s="67"/>
      <c r="L115" s="67"/>
      <c r="M115" s="67"/>
      <c r="N115" s="67"/>
      <c r="P115" s="72">
        <f t="shared" si="8"/>
        <v>0</v>
      </c>
      <c r="Q115" s="72">
        <f t="shared" ref="Q115:Q178" si="9">(O115+P115)/2</f>
        <v>0</v>
      </c>
      <c r="R115" s="67">
        <f t="shared" si="6"/>
        <v>0</v>
      </c>
    </row>
    <row r="116" spans="1:18" x14ac:dyDescent="0.2">
      <c r="A116" s="88" t="s">
        <v>2784</v>
      </c>
      <c r="B116" s="89" t="s">
        <v>2785</v>
      </c>
      <c r="C116" s="67"/>
      <c r="D116" s="11"/>
      <c r="E116" s="11"/>
      <c r="F116" s="11"/>
      <c r="G116" s="11"/>
      <c r="H116" s="11"/>
      <c r="I116" s="11"/>
      <c r="J116" s="11">
        <f>Info!$B$44</f>
        <v>0</v>
      </c>
      <c r="K116" s="67"/>
      <c r="L116" s="67"/>
      <c r="M116" s="67"/>
      <c r="N116" s="67"/>
      <c r="P116" s="72">
        <f t="shared" si="8"/>
        <v>0</v>
      </c>
      <c r="Q116" s="72">
        <f t="shared" si="9"/>
        <v>0</v>
      </c>
      <c r="R116" s="67">
        <f t="shared" si="6"/>
        <v>0</v>
      </c>
    </row>
    <row r="117" spans="1:18" x14ac:dyDescent="0.2">
      <c r="A117" s="88" t="s">
        <v>583</v>
      </c>
      <c r="B117" s="89" t="s">
        <v>2786</v>
      </c>
      <c r="C117" s="67"/>
      <c r="D117" s="11"/>
      <c r="E117" s="11"/>
      <c r="F117" s="11"/>
      <c r="G117" s="11"/>
      <c r="H117" s="11"/>
      <c r="I117" s="11"/>
      <c r="J117" s="11">
        <f>Info!$B$44</f>
        <v>0</v>
      </c>
      <c r="K117" s="67"/>
      <c r="L117" s="67"/>
      <c r="M117" s="67"/>
      <c r="N117" s="67"/>
      <c r="P117" s="72">
        <f t="shared" si="8"/>
        <v>0</v>
      </c>
      <c r="Q117" s="72">
        <f t="shared" si="9"/>
        <v>0</v>
      </c>
      <c r="R117" s="67">
        <f t="shared" si="6"/>
        <v>0</v>
      </c>
    </row>
    <row r="118" spans="1:18" x14ac:dyDescent="0.2">
      <c r="A118" s="88" t="s">
        <v>2390</v>
      </c>
      <c r="B118" s="89" t="s">
        <v>2787</v>
      </c>
      <c r="C118" s="67"/>
      <c r="D118" s="67"/>
      <c r="E118" s="67"/>
      <c r="F118" s="67"/>
      <c r="G118" s="67"/>
      <c r="H118" s="67"/>
      <c r="I118" s="67"/>
      <c r="J118" s="11">
        <f>Info!$B$44</f>
        <v>0</v>
      </c>
      <c r="K118" s="67"/>
      <c r="L118" s="67"/>
      <c r="M118" s="67"/>
      <c r="N118" s="67"/>
      <c r="P118" s="72">
        <f t="shared" si="8"/>
        <v>0</v>
      </c>
      <c r="Q118" s="72">
        <f t="shared" si="9"/>
        <v>0</v>
      </c>
      <c r="R118" s="67">
        <f t="shared" si="6"/>
        <v>0</v>
      </c>
    </row>
    <row r="119" spans="1:18" x14ac:dyDescent="0.2">
      <c r="A119" s="88" t="s">
        <v>2789</v>
      </c>
      <c r="B119" s="89" t="s">
        <v>2790</v>
      </c>
      <c r="C119" s="67"/>
      <c r="D119" s="11"/>
      <c r="E119" s="11"/>
      <c r="F119" s="11"/>
      <c r="G119" s="11"/>
      <c r="H119" s="11"/>
      <c r="I119" s="11"/>
      <c r="J119" s="11">
        <f>Info!$B$44</f>
        <v>0</v>
      </c>
      <c r="K119" s="67"/>
      <c r="L119" s="67"/>
      <c r="M119" s="67"/>
      <c r="N119" s="67"/>
      <c r="P119" s="72">
        <f t="shared" si="8"/>
        <v>0</v>
      </c>
      <c r="Q119" s="72">
        <f t="shared" si="9"/>
        <v>0</v>
      </c>
      <c r="R119" s="67">
        <f t="shared" si="6"/>
        <v>0</v>
      </c>
    </row>
    <row r="120" spans="1:18" x14ac:dyDescent="0.2">
      <c r="A120" s="88" t="s">
        <v>2791</v>
      </c>
      <c r="B120" s="89" t="s">
        <v>2792</v>
      </c>
      <c r="C120" s="67"/>
      <c r="D120" s="67"/>
      <c r="E120" s="67"/>
      <c r="F120" s="67"/>
      <c r="G120" s="67"/>
      <c r="H120" s="67"/>
      <c r="I120" s="67"/>
      <c r="J120" s="11">
        <f>Info!$B$44</f>
        <v>0</v>
      </c>
      <c r="K120" s="67"/>
      <c r="L120" s="67"/>
      <c r="M120" s="67"/>
      <c r="N120" s="67"/>
      <c r="P120" s="72">
        <f t="shared" si="8"/>
        <v>0</v>
      </c>
      <c r="Q120" s="72">
        <f t="shared" si="9"/>
        <v>0</v>
      </c>
      <c r="R120" s="67">
        <f t="shared" si="6"/>
        <v>0</v>
      </c>
    </row>
    <row r="121" spans="1:18" x14ac:dyDescent="0.2">
      <c r="A121" s="88" t="s">
        <v>1311</v>
      </c>
      <c r="B121" s="89" t="s">
        <v>2793</v>
      </c>
      <c r="C121" s="67"/>
      <c r="D121" s="11"/>
      <c r="E121" s="11"/>
      <c r="F121" s="11"/>
      <c r="G121" s="11"/>
      <c r="H121" s="11"/>
      <c r="I121" s="11"/>
      <c r="J121" s="11">
        <f>Info!$B$42</f>
        <v>1</v>
      </c>
      <c r="K121" s="67"/>
      <c r="L121" s="67"/>
      <c r="M121" s="67"/>
      <c r="N121" s="67"/>
      <c r="P121" s="72">
        <f t="shared" si="8"/>
        <v>0.14285714285714285</v>
      </c>
      <c r="Q121" s="72">
        <f t="shared" si="9"/>
        <v>7.1428571428571425E-2</v>
      </c>
      <c r="R121" s="67">
        <f t="shared" si="6"/>
        <v>0</v>
      </c>
    </row>
    <row r="122" spans="1:18" x14ac:dyDescent="0.2">
      <c r="A122" s="88" t="s">
        <v>2794</v>
      </c>
      <c r="B122" s="89" t="s">
        <v>2795</v>
      </c>
      <c r="C122" s="67"/>
      <c r="D122" s="11"/>
      <c r="E122" s="11"/>
      <c r="F122" s="11"/>
      <c r="G122" s="11"/>
      <c r="H122" s="11"/>
      <c r="I122" s="11"/>
      <c r="J122" s="11">
        <f>Info!$B$43</f>
        <v>0.5</v>
      </c>
      <c r="K122" s="67"/>
      <c r="L122" s="67"/>
      <c r="M122" s="67"/>
      <c r="N122" s="67"/>
      <c r="P122" s="72">
        <f t="shared" si="8"/>
        <v>7.1428571428571425E-2</v>
      </c>
      <c r="Q122" s="72">
        <f t="shared" si="9"/>
        <v>3.5714285714285712E-2</v>
      </c>
      <c r="R122" s="67">
        <f t="shared" si="6"/>
        <v>0</v>
      </c>
    </row>
    <row r="123" spans="1:18" x14ac:dyDescent="0.2">
      <c r="A123" s="88" t="s">
        <v>2796</v>
      </c>
      <c r="B123" s="89" t="s">
        <v>2797</v>
      </c>
      <c r="C123" s="67"/>
      <c r="D123" s="67"/>
      <c r="E123" s="67"/>
      <c r="F123" s="67"/>
      <c r="G123" s="67"/>
      <c r="H123" s="67"/>
      <c r="I123" s="67"/>
      <c r="J123" s="11">
        <f>Info!$B$43</f>
        <v>0.5</v>
      </c>
      <c r="K123" s="67"/>
      <c r="L123" s="67"/>
      <c r="M123" s="67"/>
      <c r="N123" s="67"/>
      <c r="P123" s="72">
        <f t="shared" si="8"/>
        <v>7.1428571428571425E-2</v>
      </c>
      <c r="Q123" s="72">
        <f t="shared" si="9"/>
        <v>3.5714285714285712E-2</v>
      </c>
      <c r="R123" s="67">
        <f t="shared" si="6"/>
        <v>0</v>
      </c>
    </row>
    <row r="124" spans="1:18" x14ac:dyDescent="0.2">
      <c r="A124" s="88" t="s">
        <v>2798</v>
      </c>
      <c r="B124" s="89" t="s">
        <v>2799</v>
      </c>
      <c r="C124" s="67"/>
      <c r="D124" s="11"/>
      <c r="E124" s="11"/>
      <c r="F124" s="11"/>
      <c r="G124" s="11"/>
      <c r="H124" s="11"/>
      <c r="I124" s="11"/>
      <c r="J124" s="11">
        <f>Info!$B$42</f>
        <v>1</v>
      </c>
      <c r="K124" s="67"/>
      <c r="L124" s="67"/>
      <c r="M124" s="67"/>
      <c r="N124" s="67"/>
      <c r="P124" s="72">
        <f t="shared" si="8"/>
        <v>0.14285714285714285</v>
      </c>
      <c r="Q124" s="72">
        <f t="shared" si="9"/>
        <v>7.1428571428571425E-2</v>
      </c>
      <c r="R124" s="67">
        <f t="shared" si="6"/>
        <v>0</v>
      </c>
    </row>
    <row r="125" spans="1:18" x14ac:dyDescent="0.2">
      <c r="A125" s="88" t="s">
        <v>2800</v>
      </c>
      <c r="B125" s="89" t="s">
        <v>2801</v>
      </c>
      <c r="C125" s="67"/>
      <c r="D125" s="11"/>
      <c r="E125" s="11"/>
      <c r="F125" s="11"/>
      <c r="G125" s="11"/>
      <c r="H125" s="11"/>
      <c r="I125" s="11"/>
      <c r="J125" s="11">
        <f>Info!$B$42</f>
        <v>1</v>
      </c>
      <c r="K125" s="67"/>
      <c r="L125" s="67"/>
      <c r="M125" s="67"/>
      <c r="N125" s="67"/>
      <c r="P125" s="72">
        <f t="shared" si="8"/>
        <v>0.14285714285714285</v>
      </c>
      <c r="Q125" s="72">
        <f t="shared" si="9"/>
        <v>7.1428571428571425E-2</v>
      </c>
      <c r="R125" s="67">
        <f t="shared" si="6"/>
        <v>0</v>
      </c>
    </row>
    <row r="126" spans="1:18" x14ac:dyDescent="0.2">
      <c r="A126" s="88" t="s">
        <v>2802</v>
      </c>
      <c r="B126" s="89" t="s">
        <v>2803</v>
      </c>
      <c r="C126" s="67"/>
      <c r="D126" s="11"/>
      <c r="E126" s="11"/>
      <c r="F126" s="11"/>
      <c r="G126" s="11"/>
      <c r="H126" s="11"/>
      <c r="I126" s="11"/>
      <c r="J126" s="11">
        <f>Info!$B$44</f>
        <v>0</v>
      </c>
      <c r="K126" s="67"/>
      <c r="L126" s="67"/>
      <c r="M126" s="67"/>
      <c r="N126" s="67"/>
      <c r="P126" s="72">
        <f t="shared" si="8"/>
        <v>0</v>
      </c>
      <c r="Q126" s="72">
        <f t="shared" si="9"/>
        <v>0</v>
      </c>
      <c r="R126" s="67">
        <f t="shared" si="6"/>
        <v>0</v>
      </c>
    </row>
    <row r="127" spans="1:18" x14ac:dyDescent="0.2">
      <c r="A127" s="88" t="s">
        <v>1012</v>
      </c>
      <c r="B127" s="89" t="s">
        <v>2804</v>
      </c>
      <c r="C127" s="67"/>
      <c r="D127" s="11"/>
      <c r="E127" s="11"/>
      <c r="F127" s="11"/>
      <c r="G127" s="11"/>
      <c r="H127" s="11"/>
      <c r="I127" s="11"/>
      <c r="J127" s="11">
        <f>Info!$B$42</f>
        <v>1</v>
      </c>
      <c r="K127" s="67"/>
      <c r="L127" s="67"/>
      <c r="M127" s="67"/>
      <c r="N127" s="67"/>
      <c r="P127" s="72">
        <f t="shared" si="8"/>
        <v>0.14285714285714285</v>
      </c>
      <c r="Q127" s="72">
        <f t="shared" si="9"/>
        <v>7.1428571428571425E-2</v>
      </c>
      <c r="R127" s="67">
        <f t="shared" si="6"/>
        <v>0</v>
      </c>
    </row>
    <row r="128" spans="1:18" x14ac:dyDescent="0.2">
      <c r="A128" s="88" t="s">
        <v>2805</v>
      </c>
      <c r="B128" s="89" t="s">
        <v>2806</v>
      </c>
      <c r="C128" s="67"/>
      <c r="D128" s="11"/>
      <c r="E128" s="11"/>
      <c r="F128" s="11"/>
      <c r="G128" s="11"/>
      <c r="H128" s="11"/>
      <c r="I128" s="11"/>
      <c r="J128" s="11">
        <f>Info!$B$44</f>
        <v>0</v>
      </c>
      <c r="K128" s="67"/>
      <c r="L128" s="67"/>
      <c r="M128" s="67"/>
      <c r="N128" s="67"/>
      <c r="P128" s="72">
        <f t="shared" si="8"/>
        <v>0</v>
      </c>
      <c r="Q128" s="72">
        <f t="shared" si="9"/>
        <v>0</v>
      </c>
      <c r="R128" s="67">
        <f t="shared" si="6"/>
        <v>0</v>
      </c>
    </row>
    <row r="129" spans="1:18" x14ac:dyDescent="0.2">
      <c r="A129" s="88" t="s">
        <v>1314</v>
      </c>
      <c r="B129" s="89" t="s">
        <v>2807</v>
      </c>
      <c r="C129" s="67"/>
      <c r="D129" s="67"/>
      <c r="E129" s="67"/>
      <c r="F129" s="67"/>
      <c r="G129" s="67"/>
      <c r="H129" s="67"/>
      <c r="I129" s="67"/>
      <c r="J129" s="11">
        <f>Info!$B$42</f>
        <v>1</v>
      </c>
      <c r="K129" s="67"/>
      <c r="L129" s="67"/>
      <c r="M129" s="67"/>
      <c r="N129" s="67"/>
      <c r="P129" s="72">
        <f t="shared" si="8"/>
        <v>0.14285714285714285</v>
      </c>
      <c r="Q129" s="72">
        <f t="shared" si="9"/>
        <v>7.1428571428571425E-2</v>
      </c>
      <c r="R129" s="67">
        <f t="shared" si="6"/>
        <v>0</v>
      </c>
    </row>
    <row r="130" spans="1:18" x14ac:dyDescent="0.2">
      <c r="A130" s="88" t="s">
        <v>2394</v>
      </c>
      <c r="B130" s="89" t="s">
        <v>2808</v>
      </c>
      <c r="C130" s="67"/>
      <c r="D130" s="67"/>
      <c r="E130" s="67"/>
      <c r="F130" s="67"/>
      <c r="G130" s="67"/>
      <c r="H130" s="67"/>
      <c r="I130" s="67"/>
      <c r="J130" s="11">
        <f>Info!$B$44</f>
        <v>0</v>
      </c>
      <c r="K130" s="67"/>
      <c r="L130" s="67"/>
      <c r="M130" s="67"/>
      <c r="N130" s="67"/>
      <c r="P130" s="72">
        <f t="shared" si="8"/>
        <v>0</v>
      </c>
      <c r="Q130" s="72">
        <f t="shared" si="9"/>
        <v>0</v>
      </c>
      <c r="R130" s="67">
        <f t="shared" ref="R130:R193" si="10">IF(_xlfn.BITAND(P130&gt;0.4999, Q130&gt;0.4999)=1,1,0)</f>
        <v>0</v>
      </c>
    </row>
    <row r="131" spans="1:18" x14ac:dyDescent="0.2">
      <c r="A131" s="67" t="s">
        <v>2809</v>
      </c>
      <c r="B131" s="87" t="s">
        <v>2810</v>
      </c>
      <c r="C131" s="67"/>
      <c r="D131" s="11"/>
      <c r="E131" s="11"/>
      <c r="F131" s="11"/>
      <c r="G131" s="11"/>
      <c r="H131" s="11"/>
      <c r="I131" s="11"/>
      <c r="J131" s="11">
        <f>Info!$B$43</f>
        <v>0.5</v>
      </c>
      <c r="K131" s="67"/>
      <c r="L131" s="67"/>
      <c r="M131" s="67"/>
      <c r="N131" s="67"/>
      <c r="P131" s="72">
        <f t="shared" si="8"/>
        <v>7.1428571428571425E-2</v>
      </c>
      <c r="Q131" s="72">
        <f t="shared" si="9"/>
        <v>3.5714285714285712E-2</v>
      </c>
      <c r="R131" s="67">
        <f t="shared" si="10"/>
        <v>0</v>
      </c>
    </row>
    <row r="132" spans="1:18" x14ac:dyDescent="0.2">
      <c r="A132" s="67" t="s">
        <v>1917</v>
      </c>
      <c r="B132" s="87" t="s">
        <v>2811</v>
      </c>
      <c r="C132" s="67"/>
      <c r="D132" s="67"/>
      <c r="E132" s="67"/>
      <c r="F132" s="67"/>
      <c r="G132" s="67"/>
      <c r="H132" s="67"/>
      <c r="I132" s="67"/>
      <c r="J132" s="11">
        <f>Info!$B$43</f>
        <v>0.5</v>
      </c>
      <c r="K132" s="67"/>
      <c r="L132" s="67"/>
      <c r="M132" s="67"/>
      <c r="N132" s="67"/>
      <c r="P132" s="72">
        <f t="shared" si="8"/>
        <v>7.1428571428571425E-2</v>
      </c>
      <c r="Q132" s="72">
        <f t="shared" si="9"/>
        <v>3.5714285714285712E-2</v>
      </c>
      <c r="R132" s="67">
        <f t="shared" si="10"/>
        <v>0</v>
      </c>
    </row>
    <row r="133" spans="1:18" x14ac:dyDescent="0.2">
      <c r="A133" s="67" t="s">
        <v>2812</v>
      </c>
      <c r="B133" s="87" t="s">
        <v>2813</v>
      </c>
      <c r="C133" s="67"/>
      <c r="D133" s="11"/>
      <c r="E133" s="11"/>
      <c r="F133" s="11"/>
      <c r="G133" s="11"/>
      <c r="H133" s="11"/>
      <c r="I133" s="11"/>
      <c r="J133" s="11">
        <f>Info!$B$44</f>
        <v>0</v>
      </c>
      <c r="K133" s="67"/>
      <c r="L133" s="67"/>
      <c r="M133" s="67"/>
      <c r="N133" s="67"/>
      <c r="P133" s="72">
        <f t="shared" si="8"/>
        <v>0</v>
      </c>
      <c r="Q133" s="72">
        <f t="shared" si="9"/>
        <v>0</v>
      </c>
      <c r="R133" s="67">
        <f t="shared" si="10"/>
        <v>0</v>
      </c>
    </row>
    <row r="134" spans="1:18" x14ac:dyDescent="0.2">
      <c r="A134" s="67" t="s">
        <v>2814</v>
      </c>
      <c r="B134" s="87" t="s">
        <v>2815</v>
      </c>
      <c r="C134" s="67"/>
      <c r="D134" s="11"/>
      <c r="E134" s="11"/>
      <c r="F134" s="11"/>
      <c r="G134" s="11"/>
      <c r="H134" s="11"/>
      <c r="I134" s="11"/>
      <c r="J134" s="11">
        <f>Info!$B$44</f>
        <v>0</v>
      </c>
      <c r="K134" s="67"/>
      <c r="L134" s="67"/>
      <c r="M134" s="67"/>
      <c r="N134" s="67"/>
      <c r="P134" s="72">
        <f t="shared" si="8"/>
        <v>0</v>
      </c>
      <c r="Q134" s="72">
        <f t="shared" si="9"/>
        <v>0</v>
      </c>
      <c r="R134" s="67">
        <f t="shared" si="10"/>
        <v>0</v>
      </c>
    </row>
    <row r="135" spans="1:18" x14ac:dyDescent="0.2">
      <c r="A135" s="67" t="s">
        <v>2259</v>
      </c>
      <c r="B135" s="87" t="s">
        <v>2816</v>
      </c>
      <c r="C135" s="67"/>
      <c r="D135" s="11"/>
      <c r="E135" s="11"/>
      <c r="F135" s="11"/>
      <c r="G135" s="11"/>
      <c r="H135" s="11"/>
      <c r="I135" s="11"/>
      <c r="J135" s="11">
        <f>Info!$B$44</f>
        <v>0</v>
      </c>
      <c r="K135" s="67"/>
      <c r="L135" s="67"/>
      <c r="M135" s="67"/>
      <c r="N135" s="67"/>
      <c r="P135" s="72">
        <f t="shared" si="8"/>
        <v>0</v>
      </c>
      <c r="Q135" s="72">
        <f t="shared" si="9"/>
        <v>0</v>
      </c>
      <c r="R135" s="67">
        <f t="shared" si="10"/>
        <v>0</v>
      </c>
    </row>
    <row r="136" spans="1:18" x14ac:dyDescent="0.2">
      <c r="A136" s="67" t="s">
        <v>144</v>
      </c>
      <c r="B136" s="87" t="s">
        <v>2817</v>
      </c>
      <c r="C136" s="67"/>
      <c r="D136" s="11"/>
      <c r="E136" s="11"/>
      <c r="F136" s="11"/>
      <c r="G136" s="11"/>
      <c r="H136" s="11"/>
      <c r="I136" s="11"/>
      <c r="J136" s="11">
        <f>Info!$B$42</f>
        <v>1</v>
      </c>
      <c r="K136" s="67"/>
      <c r="L136" s="67"/>
      <c r="M136" s="67"/>
      <c r="N136" s="67"/>
      <c r="P136" s="72">
        <f t="shared" si="8"/>
        <v>0.14285714285714285</v>
      </c>
      <c r="Q136" s="72">
        <f t="shared" si="9"/>
        <v>7.1428571428571425E-2</v>
      </c>
      <c r="R136" s="67">
        <f t="shared" si="10"/>
        <v>0</v>
      </c>
    </row>
    <row r="137" spans="1:18" x14ac:dyDescent="0.2">
      <c r="A137" s="67" t="s">
        <v>2428</v>
      </c>
      <c r="B137" s="87" t="s">
        <v>2818</v>
      </c>
      <c r="C137" s="67"/>
      <c r="D137" s="11"/>
      <c r="E137" s="11"/>
      <c r="F137" s="11"/>
      <c r="G137" s="11"/>
      <c r="H137" s="11"/>
      <c r="I137" s="11"/>
      <c r="J137" s="11">
        <f>Info!$B$44</f>
        <v>0</v>
      </c>
      <c r="K137" s="67"/>
      <c r="L137" s="67"/>
      <c r="M137" s="67"/>
      <c r="N137" s="67"/>
      <c r="P137" s="72">
        <f t="shared" si="8"/>
        <v>0</v>
      </c>
      <c r="Q137" s="72">
        <f t="shared" si="9"/>
        <v>0</v>
      </c>
      <c r="R137" s="67">
        <f t="shared" si="10"/>
        <v>0</v>
      </c>
    </row>
    <row r="138" spans="1:18" x14ac:dyDescent="0.2">
      <c r="A138" s="67" t="s">
        <v>818</v>
      </c>
      <c r="B138" s="87" t="s">
        <v>2819</v>
      </c>
      <c r="C138" s="67"/>
      <c r="D138" s="11"/>
      <c r="E138" s="11"/>
      <c r="F138" s="11"/>
      <c r="G138" s="11"/>
      <c r="H138" s="11"/>
      <c r="I138" s="11"/>
      <c r="J138" s="11">
        <f>Info!$B$43</f>
        <v>0.5</v>
      </c>
      <c r="K138" s="67"/>
      <c r="L138" s="67"/>
      <c r="M138" s="67"/>
      <c r="N138" s="67"/>
      <c r="P138" s="72">
        <f t="shared" si="8"/>
        <v>7.1428571428571425E-2</v>
      </c>
      <c r="Q138" s="72">
        <f t="shared" si="9"/>
        <v>3.5714285714285712E-2</v>
      </c>
      <c r="R138" s="67">
        <f t="shared" si="10"/>
        <v>0</v>
      </c>
    </row>
    <row r="139" spans="1:18" x14ac:dyDescent="0.2">
      <c r="A139" s="67" t="s">
        <v>1425</v>
      </c>
      <c r="B139" s="87" t="s">
        <v>2821</v>
      </c>
      <c r="C139" s="67"/>
      <c r="D139" s="67"/>
      <c r="E139" s="67"/>
      <c r="F139" s="67"/>
      <c r="G139" s="67"/>
      <c r="H139" s="67"/>
      <c r="I139" s="67"/>
      <c r="J139" s="11">
        <f>Info!$B$42</f>
        <v>1</v>
      </c>
      <c r="K139" s="67"/>
      <c r="L139" s="67"/>
      <c r="M139" s="67"/>
      <c r="N139" s="67"/>
      <c r="P139" s="72">
        <f t="shared" si="8"/>
        <v>0.14285714285714285</v>
      </c>
      <c r="Q139" s="72">
        <f t="shared" si="9"/>
        <v>7.1428571428571425E-2</v>
      </c>
      <c r="R139" s="67">
        <f t="shared" si="10"/>
        <v>0</v>
      </c>
    </row>
    <row r="140" spans="1:18" x14ac:dyDescent="0.2">
      <c r="A140" s="67" t="s">
        <v>2822</v>
      </c>
      <c r="B140" s="87" t="s">
        <v>2823</v>
      </c>
      <c r="C140" s="67"/>
      <c r="D140" s="11"/>
      <c r="E140" s="11"/>
      <c r="F140" s="11"/>
      <c r="G140" s="11"/>
      <c r="H140" s="11"/>
      <c r="I140" s="11"/>
      <c r="J140" s="11">
        <f>Info!$B$44</f>
        <v>0</v>
      </c>
      <c r="K140" s="67"/>
      <c r="L140" s="67"/>
      <c r="M140" s="67"/>
      <c r="N140" s="67"/>
      <c r="P140" s="72">
        <f t="shared" si="8"/>
        <v>0</v>
      </c>
      <c r="Q140" s="72">
        <f t="shared" si="9"/>
        <v>0</v>
      </c>
      <c r="R140" s="67">
        <f t="shared" si="10"/>
        <v>0</v>
      </c>
    </row>
    <row r="141" spans="1:18" x14ac:dyDescent="0.2">
      <c r="A141" s="67" t="s">
        <v>951</v>
      </c>
      <c r="B141" s="87" t="s">
        <v>2824</v>
      </c>
      <c r="C141" s="67"/>
      <c r="D141" s="11"/>
      <c r="E141" s="11"/>
      <c r="F141" s="11"/>
      <c r="G141" s="11"/>
      <c r="H141" s="11"/>
      <c r="I141" s="11"/>
      <c r="J141" s="11">
        <f>Info!$B$42</f>
        <v>1</v>
      </c>
      <c r="K141" s="67"/>
      <c r="L141" s="67"/>
      <c r="M141" s="67"/>
      <c r="N141" s="67"/>
      <c r="P141" s="72">
        <f t="shared" si="8"/>
        <v>0.14285714285714285</v>
      </c>
      <c r="Q141" s="72">
        <f t="shared" si="9"/>
        <v>7.1428571428571425E-2</v>
      </c>
      <c r="R141" s="67">
        <f t="shared" si="10"/>
        <v>0</v>
      </c>
    </row>
    <row r="142" spans="1:18" x14ac:dyDescent="0.2">
      <c r="A142" s="67" t="s">
        <v>2825</v>
      </c>
      <c r="B142" s="87" t="s">
        <v>2826</v>
      </c>
      <c r="C142" s="67"/>
      <c r="D142" s="11"/>
      <c r="E142" s="11"/>
      <c r="F142" s="11"/>
      <c r="G142" s="11"/>
      <c r="H142" s="11"/>
      <c r="I142" s="11"/>
      <c r="J142" s="11">
        <f>Info!$B$43</f>
        <v>0.5</v>
      </c>
      <c r="K142" s="67"/>
      <c r="L142" s="67"/>
      <c r="M142" s="67"/>
      <c r="N142" s="67"/>
      <c r="P142" s="72">
        <f t="shared" si="8"/>
        <v>7.1428571428571425E-2</v>
      </c>
      <c r="Q142" s="72">
        <f t="shared" si="9"/>
        <v>3.5714285714285712E-2</v>
      </c>
      <c r="R142" s="67">
        <f t="shared" si="10"/>
        <v>0</v>
      </c>
    </row>
    <row r="143" spans="1:18" x14ac:dyDescent="0.2">
      <c r="A143" s="67" t="s">
        <v>2827</v>
      </c>
      <c r="B143" s="87" t="s">
        <v>2828</v>
      </c>
      <c r="C143" s="67"/>
      <c r="D143" s="11"/>
      <c r="E143" s="11"/>
      <c r="F143" s="11"/>
      <c r="G143" s="11"/>
      <c r="H143" s="11"/>
      <c r="I143" s="11"/>
      <c r="J143" s="11">
        <f>Info!$B$44</f>
        <v>0</v>
      </c>
      <c r="K143" s="67"/>
      <c r="L143" s="67"/>
      <c r="M143" s="67"/>
      <c r="N143" s="67"/>
      <c r="P143" s="72">
        <f t="shared" si="8"/>
        <v>0</v>
      </c>
      <c r="Q143" s="72">
        <f t="shared" si="9"/>
        <v>0</v>
      </c>
      <c r="R143" s="67">
        <f t="shared" si="10"/>
        <v>0</v>
      </c>
    </row>
    <row r="144" spans="1:18" x14ac:dyDescent="0.2">
      <c r="A144" s="67" t="s">
        <v>2829</v>
      </c>
      <c r="B144" s="87" t="s">
        <v>2830</v>
      </c>
      <c r="C144" s="67"/>
      <c r="D144" s="11"/>
      <c r="E144" s="11"/>
      <c r="F144" s="11"/>
      <c r="G144" s="11"/>
      <c r="H144" s="11"/>
      <c r="I144" s="11"/>
      <c r="J144" s="11">
        <f>Info!$B$43</f>
        <v>0.5</v>
      </c>
      <c r="K144" s="67"/>
      <c r="L144" s="67"/>
      <c r="M144" s="67"/>
      <c r="N144" s="67"/>
      <c r="P144" s="72">
        <f t="shared" si="8"/>
        <v>7.1428571428571425E-2</v>
      </c>
      <c r="Q144" s="72">
        <f t="shared" si="9"/>
        <v>3.5714285714285712E-2</v>
      </c>
      <c r="R144" s="67">
        <f t="shared" si="10"/>
        <v>0</v>
      </c>
    </row>
    <row r="145" spans="1:18" x14ac:dyDescent="0.2">
      <c r="A145" s="67" t="s">
        <v>2263</v>
      </c>
      <c r="B145" s="87" t="s">
        <v>2831</v>
      </c>
      <c r="C145" s="67"/>
      <c r="D145" s="11"/>
      <c r="E145" s="11"/>
      <c r="F145" s="11"/>
      <c r="G145" s="11"/>
      <c r="H145" s="11"/>
      <c r="I145" s="11"/>
      <c r="J145" s="11">
        <f>Info!$B$44</f>
        <v>0</v>
      </c>
      <c r="K145" s="67"/>
      <c r="L145" s="67"/>
      <c r="M145" s="67"/>
      <c r="N145" s="67"/>
      <c r="P145" s="72">
        <f t="shared" si="8"/>
        <v>0</v>
      </c>
      <c r="Q145" s="72">
        <f t="shared" si="9"/>
        <v>0</v>
      </c>
      <c r="R145" s="67">
        <f t="shared" si="10"/>
        <v>0</v>
      </c>
    </row>
    <row r="146" spans="1:18" x14ac:dyDescent="0.2">
      <c r="A146" s="67" t="s">
        <v>2306</v>
      </c>
      <c r="B146" s="87" t="s">
        <v>2832</v>
      </c>
      <c r="C146" s="67"/>
      <c r="D146" s="11"/>
      <c r="E146" s="11"/>
      <c r="F146" s="11"/>
      <c r="G146" s="11"/>
      <c r="H146" s="11"/>
      <c r="I146" s="11"/>
      <c r="J146" s="11">
        <f>Info!$B$44</f>
        <v>0</v>
      </c>
      <c r="K146" s="67"/>
      <c r="L146" s="67"/>
      <c r="M146" s="67"/>
      <c r="N146" s="67"/>
      <c r="P146" s="72">
        <f t="shared" si="8"/>
        <v>0</v>
      </c>
      <c r="Q146" s="72">
        <f t="shared" si="9"/>
        <v>0</v>
      </c>
      <c r="R146" s="67">
        <f t="shared" si="10"/>
        <v>0</v>
      </c>
    </row>
    <row r="147" spans="1:18" x14ac:dyDescent="0.2">
      <c r="A147" s="67" t="s">
        <v>2833</v>
      </c>
      <c r="B147" s="87" t="s">
        <v>2834</v>
      </c>
      <c r="C147" s="67"/>
      <c r="D147" s="11"/>
      <c r="E147" s="11"/>
      <c r="F147" s="11"/>
      <c r="G147" s="11"/>
      <c r="H147" s="11"/>
      <c r="I147" s="11"/>
      <c r="J147" s="11">
        <f>Info!$B$42</f>
        <v>1</v>
      </c>
      <c r="K147" s="67"/>
      <c r="L147" s="67"/>
      <c r="M147" s="67"/>
      <c r="N147" s="67"/>
      <c r="P147" s="72">
        <f t="shared" si="8"/>
        <v>0.14285714285714285</v>
      </c>
      <c r="Q147" s="72">
        <f t="shared" si="9"/>
        <v>7.1428571428571425E-2</v>
      </c>
      <c r="R147" s="67">
        <f t="shared" si="10"/>
        <v>0</v>
      </c>
    </row>
    <row r="148" spans="1:18" x14ac:dyDescent="0.2">
      <c r="A148" s="67" t="s">
        <v>931</v>
      </c>
      <c r="B148" s="87" t="s">
        <v>2835</v>
      </c>
      <c r="C148" s="67"/>
      <c r="D148" s="11"/>
      <c r="E148" s="11"/>
      <c r="F148" s="11"/>
      <c r="G148" s="11"/>
      <c r="H148" s="11"/>
      <c r="I148" s="11"/>
      <c r="J148" s="11">
        <f>Info!$B$44</f>
        <v>0</v>
      </c>
      <c r="K148" s="67"/>
      <c r="L148" s="67"/>
      <c r="M148" s="67"/>
      <c r="N148" s="67"/>
      <c r="P148" s="72">
        <f t="shared" si="8"/>
        <v>0</v>
      </c>
      <c r="Q148" s="72">
        <f t="shared" si="9"/>
        <v>0</v>
      </c>
      <c r="R148" s="67">
        <f t="shared" si="10"/>
        <v>0</v>
      </c>
    </row>
    <row r="149" spans="1:18" x14ac:dyDescent="0.2">
      <c r="A149" s="67" t="s">
        <v>2836</v>
      </c>
      <c r="B149" s="87" t="s">
        <v>2837</v>
      </c>
      <c r="C149" s="67"/>
      <c r="D149" s="11"/>
      <c r="E149" s="11"/>
      <c r="F149" s="11"/>
      <c r="G149" s="11"/>
      <c r="H149" s="11"/>
      <c r="I149" s="11"/>
      <c r="J149" s="11">
        <f>Info!$B$44</f>
        <v>0</v>
      </c>
      <c r="K149" s="67"/>
      <c r="L149" s="67"/>
      <c r="M149" s="67"/>
      <c r="N149" s="67"/>
      <c r="P149" s="72">
        <f t="shared" si="8"/>
        <v>0</v>
      </c>
      <c r="Q149" s="72">
        <f t="shared" si="9"/>
        <v>0</v>
      </c>
      <c r="R149" s="67">
        <f t="shared" si="10"/>
        <v>0</v>
      </c>
    </row>
    <row r="150" spans="1:18" x14ac:dyDescent="0.2">
      <c r="A150" s="67" t="s">
        <v>2838</v>
      </c>
      <c r="B150" s="87" t="s">
        <v>2839</v>
      </c>
      <c r="C150" s="67"/>
      <c r="D150" s="11"/>
      <c r="E150" s="11"/>
      <c r="F150" s="11"/>
      <c r="G150" s="11"/>
      <c r="H150" s="11"/>
      <c r="I150" s="11"/>
      <c r="J150" s="11">
        <f>Info!$B$43</f>
        <v>0.5</v>
      </c>
      <c r="K150" s="67"/>
      <c r="L150" s="67"/>
      <c r="M150" s="67"/>
      <c r="N150" s="67"/>
      <c r="P150" s="72">
        <f t="shared" si="8"/>
        <v>7.1428571428571425E-2</v>
      </c>
      <c r="Q150" s="72">
        <f t="shared" si="9"/>
        <v>3.5714285714285712E-2</v>
      </c>
      <c r="R150" s="67">
        <f t="shared" si="10"/>
        <v>0</v>
      </c>
    </row>
    <row r="151" spans="1:18" x14ac:dyDescent="0.2">
      <c r="A151" s="67" t="s">
        <v>95</v>
      </c>
      <c r="B151" s="87" t="s">
        <v>2840</v>
      </c>
      <c r="C151" s="67"/>
      <c r="D151" s="11"/>
      <c r="E151" s="11"/>
      <c r="F151" s="11"/>
      <c r="G151" s="11"/>
      <c r="H151" s="11"/>
      <c r="I151" s="11"/>
      <c r="J151" s="11">
        <f>Info!$B$42</f>
        <v>1</v>
      </c>
      <c r="K151" s="67"/>
      <c r="L151" s="67"/>
      <c r="M151" s="67"/>
      <c r="N151" s="67"/>
      <c r="P151" s="72">
        <f t="shared" si="8"/>
        <v>0.14285714285714285</v>
      </c>
      <c r="Q151" s="72">
        <f t="shared" si="9"/>
        <v>7.1428571428571425E-2</v>
      </c>
      <c r="R151" s="67">
        <f t="shared" si="10"/>
        <v>0</v>
      </c>
    </row>
    <row r="152" spans="1:18" x14ac:dyDescent="0.2">
      <c r="A152" s="67" t="s">
        <v>234</v>
      </c>
      <c r="B152" s="87" t="s">
        <v>2841</v>
      </c>
      <c r="C152" s="67"/>
      <c r="D152" s="67"/>
      <c r="E152" s="67"/>
      <c r="F152" s="67"/>
      <c r="G152" s="67"/>
      <c r="H152" s="67"/>
      <c r="I152" s="67"/>
      <c r="J152" s="11">
        <f>Info!$B$42</f>
        <v>1</v>
      </c>
      <c r="K152" s="67"/>
      <c r="L152" s="67"/>
      <c r="M152" s="67"/>
      <c r="N152" s="67"/>
      <c r="P152" s="72">
        <f t="shared" si="8"/>
        <v>0.14285714285714285</v>
      </c>
      <c r="Q152" s="72">
        <f t="shared" si="9"/>
        <v>7.1428571428571425E-2</v>
      </c>
      <c r="R152" s="67">
        <f t="shared" si="10"/>
        <v>0</v>
      </c>
    </row>
    <row r="153" spans="1:18" x14ac:dyDescent="0.2">
      <c r="A153" s="67" t="s">
        <v>2842</v>
      </c>
      <c r="B153" s="87" t="s">
        <v>2843</v>
      </c>
      <c r="C153" s="67"/>
      <c r="D153" s="11"/>
      <c r="E153" s="11"/>
      <c r="F153" s="11"/>
      <c r="G153" s="11"/>
      <c r="H153" s="11"/>
      <c r="I153" s="11"/>
      <c r="J153" s="11">
        <f>Info!$B$43</f>
        <v>0.5</v>
      </c>
      <c r="K153" s="67"/>
      <c r="L153" s="67"/>
      <c r="M153" s="67"/>
      <c r="N153" s="67"/>
      <c r="P153" s="72">
        <f t="shared" si="8"/>
        <v>7.1428571428571425E-2</v>
      </c>
      <c r="Q153" s="72">
        <f t="shared" si="9"/>
        <v>3.5714285714285712E-2</v>
      </c>
      <c r="R153" s="67">
        <f t="shared" si="10"/>
        <v>0</v>
      </c>
    </row>
    <row r="154" spans="1:18" x14ac:dyDescent="0.2">
      <c r="A154" s="67" t="s">
        <v>58</v>
      </c>
      <c r="B154" s="87" t="s">
        <v>2844</v>
      </c>
      <c r="C154" s="67"/>
      <c r="D154" s="11"/>
      <c r="E154" s="11"/>
      <c r="F154" s="11"/>
      <c r="G154" s="11"/>
      <c r="H154" s="11"/>
      <c r="I154" s="11"/>
      <c r="J154" s="11">
        <f>Info!$B$42</f>
        <v>1</v>
      </c>
      <c r="K154" s="67"/>
      <c r="L154" s="67"/>
      <c r="M154" s="67"/>
      <c r="N154" s="67"/>
      <c r="P154" s="72">
        <f t="shared" si="8"/>
        <v>0.14285714285714285</v>
      </c>
      <c r="Q154" s="72">
        <f t="shared" si="9"/>
        <v>7.1428571428571425E-2</v>
      </c>
      <c r="R154" s="67">
        <f t="shared" si="10"/>
        <v>0</v>
      </c>
    </row>
    <row r="155" spans="1:18" x14ac:dyDescent="0.2">
      <c r="A155" s="67" t="s">
        <v>356</v>
      </c>
      <c r="B155" s="87" t="s">
        <v>2845</v>
      </c>
      <c r="C155" s="67"/>
      <c r="D155" s="11"/>
      <c r="E155" s="11"/>
      <c r="F155" s="11"/>
      <c r="G155" s="11"/>
      <c r="H155" s="11"/>
      <c r="I155" s="11"/>
      <c r="J155" s="11">
        <f>Info!$B$42</f>
        <v>1</v>
      </c>
      <c r="K155" s="67"/>
      <c r="L155" s="67"/>
      <c r="M155" s="67"/>
      <c r="N155" s="67"/>
      <c r="P155" s="72">
        <f t="shared" ref="P155:P218" si="11">(D155+E155+F155+G155+H155+I155+J155)/7</f>
        <v>0.14285714285714285</v>
      </c>
      <c r="Q155" s="72">
        <f t="shared" si="9"/>
        <v>7.1428571428571425E-2</v>
      </c>
      <c r="R155" s="67">
        <f t="shared" si="10"/>
        <v>0</v>
      </c>
    </row>
    <row r="156" spans="1:18" x14ac:dyDescent="0.2">
      <c r="A156" s="67" t="s">
        <v>89</v>
      </c>
      <c r="B156" s="87" t="s">
        <v>2846</v>
      </c>
      <c r="C156" s="67"/>
      <c r="D156" s="11"/>
      <c r="E156" s="11"/>
      <c r="F156" s="11"/>
      <c r="G156" s="11"/>
      <c r="H156" s="11"/>
      <c r="I156" s="11"/>
      <c r="J156" s="11">
        <f>Info!$B$42</f>
        <v>1</v>
      </c>
      <c r="K156" s="67"/>
      <c r="L156" s="67"/>
      <c r="M156" s="67"/>
      <c r="N156" s="67"/>
      <c r="P156" s="72">
        <f t="shared" si="11"/>
        <v>0.14285714285714285</v>
      </c>
      <c r="Q156" s="72">
        <f t="shared" si="9"/>
        <v>7.1428571428571425E-2</v>
      </c>
      <c r="R156" s="67">
        <f t="shared" si="10"/>
        <v>0</v>
      </c>
    </row>
    <row r="157" spans="1:18" x14ac:dyDescent="0.2">
      <c r="A157" s="67" t="s">
        <v>168</v>
      </c>
      <c r="B157" s="87" t="s">
        <v>2847</v>
      </c>
      <c r="C157" s="67"/>
      <c r="D157" s="11"/>
      <c r="E157" s="11"/>
      <c r="F157" s="11"/>
      <c r="G157" s="11"/>
      <c r="H157" s="11"/>
      <c r="I157" s="11"/>
      <c r="J157" s="11">
        <f>Info!$B$44</f>
        <v>0</v>
      </c>
      <c r="K157" s="67"/>
      <c r="L157" s="67"/>
      <c r="M157" s="67"/>
      <c r="N157" s="67"/>
      <c r="P157" s="72">
        <f t="shared" si="11"/>
        <v>0</v>
      </c>
      <c r="Q157" s="72">
        <f t="shared" si="9"/>
        <v>0</v>
      </c>
      <c r="R157" s="67">
        <f t="shared" si="10"/>
        <v>0</v>
      </c>
    </row>
    <row r="158" spans="1:18" x14ac:dyDescent="0.2">
      <c r="A158" s="67" t="s">
        <v>215</v>
      </c>
      <c r="B158" s="87" t="s">
        <v>2848</v>
      </c>
      <c r="C158" s="67"/>
      <c r="D158" s="11"/>
      <c r="E158" s="11"/>
      <c r="F158" s="11"/>
      <c r="G158" s="11"/>
      <c r="H158" s="11"/>
      <c r="I158" s="11"/>
      <c r="J158" s="11">
        <f>Info!$B$42</f>
        <v>1</v>
      </c>
      <c r="K158" s="67"/>
      <c r="L158" s="67"/>
      <c r="M158" s="67"/>
      <c r="N158" s="67"/>
      <c r="P158" s="72">
        <f t="shared" si="11"/>
        <v>0.14285714285714285</v>
      </c>
      <c r="Q158" s="72">
        <f t="shared" si="9"/>
        <v>7.1428571428571425E-2</v>
      </c>
      <c r="R158" s="67">
        <f t="shared" si="10"/>
        <v>0</v>
      </c>
    </row>
    <row r="159" spans="1:18" x14ac:dyDescent="0.2">
      <c r="A159" s="67" t="s">
        <v>212</v>
      </c>
      <c r="B159" s="87" t="s">
        <v>2849</v>
      </c>
      <c r="C159" s="67"/>
      <c r="D159" s="11"/>
      <c r="E159" s="11"/>
      <c r="F159" s="11"/>
      <c r="G159" s="11"/>
      <c r="H159" s="11"/>
      <c r="I159" s="11"/>
      <c r="J159" s="11">
        <f>Info!$B$42</f>
        <v>1</v>
      </c>
      <c r="K159" s="67"/>
      <c r="L159" s="67"/>
      <c r="M159" s="67"/>
      <c r="N159" s="67"/>
      <c r="P159" s="72">
        <f t="shared" si="11"/>
        <v>0.14285714285714285</v>
      </c>
      <c r="Q159" s="72">
        <f t="shared" si="9"/>
        <v>7.1428571428571425E-2</v>
      </c>
      <c r="R159" s="67">
        <f t="shared" si="10"/>
        <v>0</v>
      </c>
    </row>
    <row r="160" spans="1:18" x14ac:dyDescent="0.2">
      <c r="A160" s="67" t="s">
        <v>60</v>
      </c>
      <c r="B160" s="87" t="s">
        <v>2850</v>
      </c>
      <c r="C160" s="67"/>
      <c r="D160" s="11"/>
      <c r="E160" s="11"/>
      <c r="F160" s="11"/>
      <c r="G160" s="11"/>
      <c r="H160" s="11"/>
      <c r="I160" s="11"/>
      <c r="J160" s="11">
        <f>Info!$B$42</f>
        <v>1</v>
      </c>
      <c r="K160" s="67"/>
      <c r="L160" s="67"/>
      <c r="M160" s="67"/>
      <c r="N160" s="67"/>
      <c r="P160" s="72">
        <f t="shared" si="11"/>
        <v>0.14285714285714285</v>
      </c>
      <c r="Q160" s="72">
        <f t="shared" si="9"/>
        <v>7.1428571428571425E-2</v>
      </c>
      <c r="R160" s="67">
        <f t="shared" si="10"/>
        <v>0</v>
      </c>
    </row>
    <row r="161" spans="1:18" x14ac:dyDescent="0.2">
      <c r="A161" s="67" t="s">
        <v>2851</v>
      </c>
      <c r="B161" s="87" t="s">
        <v>2852</v>
      </c>
      <c r="C161" s="67"/>
      <c r="D161" s="11"/>
      <c r="E161" s="11"/>
      <c r="F161" s="11"/>
      <c r="G161" s="11"/>
      <c r="H161" s="11"/>
      <c r="I161" s="11"/>
      <c r="J161" s="11">
        <f>Info!$B$44</f>
        <v>0</v>
      </c>
      <c r="K161" s="67"/>
      <c r="L161" s="67"/>
      <c r="M161" s="67"/>
      <c r="N161" s="67"/>
      <c r="P161" s="72">
        <f t="shared" si="11"/>
        <v>0</v>
      </c>
      <c r="Q161" s="72">
        <f t="shared" si="9"/>
        <v>0</v>
      </c>
      <c r="R161" s="67">
        <f t="shared" si="10"/>
        <v>0</v>
      </c>
    </row>
    <row r="162" spans="1:18" x14ac:dyDescent="0.2">
      <c r="A162" s="67" t="s">
        <v>2853</v>
      </c>
      <c r="B162" s="87" t="s">
        <v>2854</v>
      </c>
      <c r="C162" s="67"/>
      <c r="D162" s="67"/>
      <c r="E162" s="67"/>
      <c r="F162" s="67"/>
      <c r="G162" s="67"/>
      <c r="H162" s="67"/>
      <c r="I162" s="67"/>
      <c r="J162" s="11">
        <f>Info!$B$44</f>
        <v>0</v>
      </c>
      <c r="K162" s="67"/>
      <c r="L162" s="67"/>
      <c r="M162" s="67"/>
      <c r="N162" s="67"/>
      <c r="P162" s="72">
        <f t="shared" si="11"/>
        <v>0</v>
      </c>
      <c r="Q162" s="72">
        <f t="shared" si="9"/>
        <v>0</v>
      </c>
      <c r="R162" s="67">
        <f t="shared" si="10"/>
        <v>0</v>
      </c>
    </row>
    <row r="163" spans="1:18" x14ac:dyDescent="0.2">
      <c r="A163" s="67" t="s">
        <v>2855</v>
      </c>
      <c r="B163" s="87" t="s">
        <v>2856</v>
      </c>
      <c r="C163" s="67"/>
      <c r="D163" s="11"/>
      <c r="E163" s="11"/>
      <c r="F163" s="11"/>
      <c r="G163" s="11"/>
      <c r="H163" s="11"/>
      <c r="I163" s="11"/>
      <c r="J163" s="11">
        <f>Info!$B$44</f>
        <v>0</v>
      </c>
      <c r="K163" s="67"/>
      <c r="L163" s="67"/>
      <c r="M163" s="67"/>
      <c r="N163" s="67"/>
      <c r="P163" s="72">
        <f t="shared" si="11"/>
        <v>0</v>
      </c>
      <c r="Q163" s="72">
        <f t="shared" si="9"/>
        <v>0</v>
      </c>
      <c r="R163" s="67">
        <f t="shared" si="10"/>
        <v>0</v>
      </c>
    </row>
    <row r="164" spans="1:18" x14ac:dyDescent="0.2">
      <c r="A164" s="67" t="s">
        <v>2857</v>
      </c>
      <c r="B164" s="87" t="s">
        <v>2858</v>
      </c>
      <c r="C164" s="67"/>
      <c r="D164" s="11"/>
      <c r="E164" s="11"/>
      <c r="F164" s="11"/>
      <c r="G164" s="11"/>
      <c r="H164" s="11"/>
      <c r="I164" s="11"/>
      <c r="J164" s="11">
        <f>Info!$B$44</f>
        <v>0</v>
      </c>
      <c r="K164" s="67"/>
      <c r="L164" s="67"/>
      <c r="M164" s="67"/>
      <c r="N164" s="67"/>
      <c r="P164" s="72">
        <f t="shared" si="11"/>
        <v>0</v>
      </c>
      <c r="Q164" s="72">
        <f t="shared" si="9"/>
        <v>0</v>
      </c>
      <c r="R164" s="67">
        <f t="shared" si="10"/>
        <v>0</v>
      </c>
    </row>
    <row r="165" spans="1:18" x14ac:dyDescent="0.2">
      <c r="A165" s="67" t="s">
        <v>2859</v>
      </c>
      <c r="B165" s="87" t="s">
        <v>2860</v>
      </c>
      <c r="C165" s="67"/>
      <c r="D165" s="11"/>
      <c r="E165" s="11"/>
      <c r="F165" s="11"/>
      <c r="G165" s="11"/>
      <c r="H165" s="11"/>
      <c r="I165" s="11"/>
      <c r="J165" s="11">
        <f>Info!$B$44</f>
        <v>0</v>
      </c>
      <c r="K165" s="67"/>
      <c r="L165" s="67"/>
      <c r="M165" s="67"/>
      <c r="N165" s="67"/>
      <c r="P165" s="72">
        <f t="shared" si="11"/>
        <v>0</v>
      </c>
      <c r="Q165" s="72">
        <f t="shared" si="9"/>
        <v>0</v>
      </c>
      <c r="R165" s="67">
        <f t="shared" si="10"/>
        <v>0</v>
      </c>
    </row>
    <row r="166" spans="1:18" x14ac:dyDescent="0.2">
      <c r="A166" s="67" t="s">
        <v>2302</v>
      </c>
      <c r="B166" s="87" t="s">
        <v>2861</v>
      </c>
      <c r="C166" s="67"/>
      <c r="D166" s="67"/>
      <c r="E166" s="67"/>
      <c r="F166" s="67"/>
      <c r="G166" s="67"/>
      <c r="H166" s="67"/>
      <c r="I166" s="67"/>
      <c r="J166" s="11">
        <f>Info!$B$44</f>
        <v>0</v>
      </c>
      <c r="K166" s="67"/>
      <c r="L166" s="67"/>
      <c r="M166" s="67"/>
      <c r="N166" s="67"/>
      <c r="P166" s="72">
        <f t="shared" si="11"/>
        <v>0</v>
      </c>
      <c r="Q166" s="72">
        <f t="shared" si="9"/>
        <v>0</v>
      </c>
      <c r="R166" s="67">
        <f t="shared" si="10"/>
        <v>0</v>
      </c>
    </row>
    <row r="167" spans="1:18" x14ac:dyDescent="0.2">
      <c r="A167" s="67" t="s">
        <v>2862</v>
      </c>
      <c r="B167" s="87" t="s">
        <v>2863</v>
      </c>
      <c r="C167" s="67"/>
      <c r="D167" s="11"/>
      <c r="E167" s="11"/>
      <c r="F167" s="11"/>
      <c r="G167" s="11"/>
      <c r="H167" s="11"/>
      <c r="I167" s="11"/>
      <c r="J167" s="11">
        <f>Info!$B$44</f>
        <v>0</v>
      </c>
      <c r="K167" s="67"/>
      <c r="L167" s="67"/>
      <c r="M167" s="67"/>
      <c r="N167" s="67"/>
      <c r="P167" s="72">
        <f t="shared" si="11"/>
        <v>0</v>
      </c>
      <c r="Q167" s="72">
        <f t="shared" si="9"/>
        <v>0</v>
      </c>
      <c r="R167" s="67">
        <f t="shared" si="10"/>
        <v>0</v>
      </c>
    </row>
    <row r="168" spans="1:18" x14ac:dyDescent="0.2">
      <c r="A168" s="67" t="s">
        <v>2864</v>
      </c>
      <c r="B168" s="87" t="s">
        <v>2865</v>
      </c>
      <c r="C168" s="67"/>
      <c r="D168" s="67"/>
      <c r="E168" s="67"/>
      <c r="F168" s="67"/>
      <c r="G168" s="67"/>
      <c r="H168" s="67"/>
      <c r="I168" s="67"/>
      <c r="J168" s="11">
        <f>Info!$B$44</f>
        <v>0</v>
      </c>
      <c r="K168" s="67"/>
      <c r="L168" s="67"/>
      <c r="M168" s="67"/>
      <c r="N168" s="67"/>
      <c r="P168" s="72">
        <f t="shared" si="11"/>
        <v>0</v>
      </c>
      <c r="Q168" s="72">
        <f t="shared" si="9"/>
        <v>0</v>
      </c>
      <c r="R168" s="67">
        <f t="shared" si="10"/>
        <v>0</v>
      </c>
    </row>
    <row r="169" spans="1:18" x14ac:dyDescent="0.2">
      <c r="A169" s="67" t="s">
        <v>1309</v>
      </c>
      <c r="B169" s="87" t="s">
        <v>2866</v>
      </c>
      <c r="C169" s="67"/>
      <c r="D169" s="67"/>
      <c r="E169" s="67"/>
      <c r="F169" s="67"/>
      <c r="G169" s="67"/>
      <c r="H169" s="67"/>
      <c r="I169" s="67"/>
      <c r="J169" s="11">
        <f>Info!$B$42</f>
        <v>1</v>
      </c>
      <c r="K169" s="67"/>
      <c r="L169" s="67"/>
      <c r="M169" s="67"/>
      <c r="N169" s="67"/>
      <c r="P169" s="72">
        <f t="shared" si="11"/>
        <v>0.14285714285714285</v>
      </c>
      <c r="Q169" s="72">
        <f t="shared" si="9"/>
        <v>7.1428571428571425E-2</v>
      </c>
      <c r="R169" s="67">
        <f t="shared" si="10"/>
        <v>0</v>
      </c>
    </row>
    <row r="170" spans="1:18" x14ac:dyDescent="0.2">
      <c r="A170" s="67" t="s">
        <v>2867</v>
      </c>
      <c r="B170" s="87" t="s">
        <v>2868</v>
      </c>
      <c r="C170" s="67"/>
      <c r="D170" s="67"/>
      <c r="E170" s="67"/>
      <c r="F170" s="67"/>
      <c r="G170" s="67"/>
      <c r="H170" s="67"/>
      <c r="I170" s="67"/>
      <c r="J170" s="11">
        <f>Info!$B$42</f>
        <v>1</v>
      </c>
      <c r="K170" s="67"/>
      <c r="L170" s="67"/>
      <c r="M170" s="67"/>
      <c r="N170" s="67"/>
      <c r="P170" s="72">
        <f t="shared" si="11"/>
        <v>0.14285714285714285</v>
      </c>
      <c r="Q170" s="72">
        <f t="shared" si="9"/>
        <v>7.1428571428571425E-2</v>
      </c>
      <c r="R170" s="67">
        <f t="shared" si="10"/>
        <v>0</v>
      </c>
    </row>
    <row r="171" spans="1:18" x14ac:dyDescent="0.2">
      <c r="A171" s="67" t="s">
        <v>2384</v>
      </c>
      <c r="B171" s="87" t="s">
        <v>2869</v>
      </c>
      <c r="C171" s="67"/>
      <c r="D171" s="67"/>
      <c r="E171" s="67"/>
      <c r="F171" s="67"/>
      <c r="G171" s="67"/>
      <c r="H171" s="67"/>
      <c r="I171" s="67"/>
      <c r="J171" s="11">
        <f>Info!$B$44</f>
        <v>0</v>
      </c>
      <c r="K171" s="67"/>
      <c r="L171" s="67"/>
      <c r="M171" s="67"/>
      <c r="N171" s="67"/>
      <c r="P171" s="72">
        <f t="shared" si="11"/>
        <v>0</v>
      </c>
      <c r="Q171" s="72">
        <f t="shared" si="9"/>
        <v>0</v>
      </c>
      <c r="R171" s="67">
        <f t="shared" si="10"/>
        <v>0</v>
      </c>
    </row>
    <row r="172" spans="1:18" x14ac:dyDescent="0.2">
      <c r="A172" s="67" t="s">
        <v>2870</v>
      </c>
      <c r="B172" s="87" t="s">
        <v>2871</v>
      </c>
      <c r="C172" s="67"/>
      <c r="D172" s="67"/>
      <c r="E172" s="67"/>
      <c r="F172" s="67"/>
      <c r="G172" s="67"/>
      <c r="H172" s="67"/>
      <c r="I172" s="67"/>
      <c r="J172" s="11">
        <f>Info!$B$43</f>
        <v>0.5</v>
      </c>
      <c r="K172" s="67"/>
      <c r="L172" s="67"/>
      <c r="M172" s="67"/>
      <c r="N172" s="67"/>
      <c r="P172" s="72">
        <f t="shared" si="11"/>
        <v>7.1428571428571425E-2</v>
      </c>
      <c r="Q172" s="72">
        <f t="shared" si="9"/>
        <v>3.5714285714285712E-2</v>
      </c>
      <c r="R172" s="67">
        <f t="shared" si="10"/>
        <v>0</v>
      </c>
    </row>
    <row r="173" spans="1:18" x14ac:dyDescent="0.2">
      <c r="A173" s="67" t="s">
        <v>649</v>
      </c>
      <c r="B173" s="87" t="s">
        <v>2872</v>
      </c>
      <c r="C173" s="67"/>
      <c r="D173" s="67"/>
      <c r="E173" s="67"/>
      <c r="F173" s="67"/>
      <c r="G173" s="67"/>
      <c r="H173" s="67"/>
      <c r="I173" s="67"/>
      <c r="J173" s="11">
        <f>Info!$B$44</f>
        <v>0</v>
      </c>
      <c r="K173" s="67"/>
      <c r="L173" s="67"/>
      <c r="M173" s="67"/>
      <c r="N173" s="67"/>
      <c r="P173" s="72">
        <f t="shared" si="11"/>
        <v>0</v>
      </c>
      <c r="Q173" s="72">
        <f t="shared" si="9"/>
        <v>0</v>
      </c>
      <c r="R173" s="67">
        <f t="shared" si="10"/>
        <v>0</v>
      </c>
    </row>
    <row r="174" spans="1:18" x14ac:dyDescent="0.2">
      <c r="A174" s="67" t="s">
        <v>2442</v>
      </c>
      <c r="B174" s="87" t="s">
        <v>2873</v>
      </c>
      <c r="C174" s="67"/>
      <c r="D174" s="67"/>
      <c r="E174" s="67"/>
      <c r="F174" s="67"/>
      <c r="G174" s="67"/>
      <c r="H174" s="67"/>
      <c r="I174" s="67"/>
      <c r="J174" s="11">
        <f>Info!$B$44</f>
        <v>0</v>
      </c>
      <c r="K174" s="67"/>
      <c r="L174" s="67"/>
      <c r="M174" s="67"/>
      <c r="N174" s="67"/>
      <c r="P174" s="72">
        <f t="shared" si="11"/>
        <v>0</v>
      </c>
      <c r="Q174" s="72">
        <f t="shared" si="9"/>
        <v>0</v>
      </c>
      <c r="R174" s="67">
        <f t="shared" si="10"/>
        <v>0</v>
      </c>
    </row>
    <row r="175" spans="1:18" x14ac:dyDescent="0.2">
      <c r="A175" s="67" t="s">
        <v>2874</v>
      </c>
      <c r="B175" s="87" t="s">
        <v>2875</v>
      </c>
      <c r="C175" s="67"/>
      <c r="D175" s="67"/>
      <c r="E175" s="67"/>
      <c r="F175" s="67"/>
      <c r="G175" s="67"/>
      <c r="H175" s="67"/>
      <c r="I175" s="67"/>
      <c r="J175" s="11">
        <f>Info!$B$44</f>
        <v>0</v>
      </c>
      <c r="K175" s="67"/>
      <c r="L175" s="67"/>
      <c r="M175" s="67"/>
      <c r="N175" s="67"/>
      <c r="P175" s="72">
        <f t="shared" si="11"/>
        <v>0</v>
      </c>
      <c r="Q175" s="72">
        <f t="shared" si="9"/>
        <v>0</v>
      </c>
      <c r="R175" s="67">
        <f t="shared" si="10"/>
        <v>0</v>
      </c>
    </row>
    <row r="176" spans="1:18" x14ac:dyDescent="0.2">
      <c r="A176" s="67" t="s">
        <v>2876</v>
      </c>
      <c r="B176" s="87" t="s">
        <v>2877</v>
      </c>
      <c r="C176" s="67"/>
      <c r="D176" s="67"/>
      <c r="E176" s="67"/>
      <c r="F176" s="67"/>
      <c r="G176" s="67"/>
      <c r="H176" s="67"/>
      <c r="I176" s="67"/>
      <c r="J176" s="11">
        <f>Info!$B$43</f>
        <v>0.5</v>
      </c>
      <c r="K176" s="67"/>
      <c r="L176" s="67"/>
      <c r="M176" s="67"/>
      <c r="N176" s="67"/>
      <c r="P176" s="72">
        <f t="shared" si="11"/>
        <v>7.1428571428571425E-2</v>
      </c>
      <c r="Q176" s="72">
        <f t="shared" si="9"/>
        <v>3.5714285714285712E-2</v>
      </c>
      <c r="R176" s="67">
        <f t="shared" si="10"/>
        <v>0</v>
      </c>
    </row>
    <row r="177" spans="1:18" x14ac:dyDescent="0.2">
      <c r="A177" s="67" t="s">
        <v>18</v>
      </c>
      <c r="B177" s="87" t="s">
        <v>2878</v>
      </c>
      <c r="C177" s="67"/>
      <c r="D177" s="67"/>
      <c r="E177" s="67"/>
      <c r="F177" s="67"/>
      <c r="G177" s="67"/>
      <c r="H177" s="67"/>
      <c r="I177" s="67"/>
      <c r="J177" s="11">
        <f>Info!$B$42</f>
        <v>1</v>
      </c>
      <c r="K177" s="67"/>
      <c r="L177" s="67"/>
      <c r="M177" s="67"/>
      <c r="N177" s="67"/>
      <c r="P177" s="72">
        <f t="shared" si="11"/>
        <v>0.14285714285714285</v>
      </c>
      <c r="Q177" s="72">
        <f t="shared" si="9"/>
        <v>7.1428571428571425E-2</v>
      </c>
      <c r="R177" s="67">
        <f t="shared" si="10"/>
        <v>0</v>
      </c>
    </row>
    <row r="178" spans="1:18" x14ac:dyDescent="0.2">
      <c r="A178" s="67" t="s">
        <v>2879</v>
      </c>
      <c r="B178" s="87" t="s">
        <v>2880</v>
      </c>
      <c r="C178" s="67"/>
      <c r="D178" s="67"/>
      <c r="E178" s="67"/>
      <c r="F178" s="67"/>
      <c r="G178" s="67"/>
      <c r="H178" s="67"/>
      <c r="I178" s="67"/>
      <c r="J178" s="11">
        <f>Info!$B$42</f>
        <v>1</v>
      </c>
      <c r="K178" s="67"/>
      <c r="L178" s="67"/>
      <c r="M178" s="67"/>
      <c r="N178" s="67"/>
      <c r="P178" s="72">
        <f t="shared" si="11"/>
        <v>0.14285714285714285</v>
      </c>
      <c r="Q178" s="72">
        <f t="shared" si="9"/>
        <v>7.1428571428571425E-2</v>
      </c>
      <c r="R178" s="67">
        <f t="shared" si="10"/>
        <v>0</v>
      </c>
    </row>
    <row r="179" spans="1:18" x14ac:dyDescent="0.2">
      <c r="A179" s="67" t="s">
        <v>2882</v>
      </c>
      <c r="B179" s="87" t="s">
        <v>2883</v>
      </c>
      <c r="C179" s="67"/>
      <c r="D179" s="67"/>
      <c r="E179" s="67"/>
      <c r="F179" s="67"/>
      <c r="G179" s="67"/>
      <c r="H179" s="67"/>
      <c r="I179" s="67"/>
      <c r="J179" s="11">
        <f>Info!$B$44</f>
        <v>0</v>
      </c>
      <c r="K179" s="67"/>
      <c r="L179" s="67"/>
      <c r="M179" s="67"/>
      <c r="N179" s="67"/>
      <c r="P179" s="72">
        <f t="shared" si="11"/>
        <v>0</v>
      </c>
      <c r="Q179" s="72">
        <f t="shared" ref="Q179:Q242" si="12">(O179+P179)/2</f>
        <v>0</v>
      </c>
      <c r="R179" s="67">
        <f t="shared" si="10"/>
        <v>0</v>
      </c>
    </row>
    <row r="180" spans="1:18" x14ac:dyDescent="0.2">
      <c r="A180" s="67" t="s">
        <v>2884</v>
      </c>
      <c r="B180" s="87" t="s">
        <v>2885</v>
      </c>
      <c r="C180" s="67"/>
      <c r="D180" s="67"/>
      <c r="E180" s="67"/>
      <c r="F180" s="67"/>
      <c r="G180" s="67"/>
      <c r="H180" s="67"/>
      <c r="I180" s="67"/>
      <c r="J180" s="11">
        <f>Info!$B$44</f>
        <v>0</v>
      </c>
      <c r="K180" s="67"/>
      <c r="L180" s="67"/>
      <c r="M180" s="67"/>
      <c r="N180" s="67"/>
      <c r="P180" s="72">
        <f t="shared" si="11"/>
        <v>0</v>
      </c>
      <c r="Q180" s="72">
        <f t="shared" si="12"/>
        <v>0</v>
      </c>
      <c r="R180" s="67">
        <f t="shared" si="10"/>
        <v>0</v>
      </c>
    </row>
    <row r="181" spans="1:18" x14ac:dyDescent="0.2">
      <c r="A181" s="67" t="s">
        <v>2886</v>
      </c>
      <c r="B181" s="87" t="s">
        <v>2887</v>
      </c>
      <c r="C181" s="67"/>
      <c r="D181" s="67"/>
      <c r="E181" s="67"/>
      <c r="F181" s="67"/>
      <c r="G181" s="67"/>
      <c r="H181" s="67"/>
      <c r="I181" s="67"/>
      <c r="J181" s="11">
        <f>Info!$B$43</f>
        <v>0.5</v>
      </c>
      <c r="K181" s="67"/>
      <c r="L181" s="67"/>
      <c r="M181" s="67"/>
      <c r="N181" s="67"/>
      <c r="P181" s="72">
        <f t="shared" si="11"/>
        <v>7.1428571428571425E-2</v>
      </c>
      <c r="Q181" s="72">
        <f t="shared" si="12"/>
        <v>3.5714285714285712E-2</v>
      </c>
      <c r="R181" s="67">
        <f t="shared" si="10"/>
        <v>0</v>
      </c>
    </row>
    <row r="182" spans="1:18" x14ac:dyDescent="0.2">
      <c r="A182" s="67" t="s">
        <v>2888</v>
      </c>
      <c r="B182" s="87" t="s">
        <v>2889</v>
      </c>
      <c r="C182" s="67"/>
      <c r="D182" s="67"/>
      <c r="E182" s="67"/>
      <c r="F182" s="67"/>
      <c r="G182" s="67"/>
      <c r="H182" s="67"/>
      <c r="I182" s="67"/>
      <c r="J182" s="11">
        <f>Info!$B$42</f>
        <v>1</v>
      </c>
      <c r="K182" s="67"/>
      <c r="L182" s="67"/>
      <c r="M182" s="67"/>
      <c r="N182" s="67"/>
      <c r="P182" s="72">
        <f t="shared" si="11"/>
        <v>0.14285714285714285</v>
      </c>
      <c r="Q182" s="72">
        <f t="shared" si="12"/>
        <v>7.1428571428571425E-2</v>
      </c>
      <c r="R182" s="67">
        <f t="shared" si="10"/>
        <v>0</v>
      </c>
    </row>
    <row r="183" spans="1:18" x14ac:dyDescent="0.2">
      <c r="A183" s="67" t="s">
        <v>1218</v>
      </c>
      <c r="B183" s="87" t="s">
        <v>2890</v>
      </c>
      <c r="C183" s="67"/>
      <c r="D183" s="67"/>
      <c r="E183" s="67"/>
      <c r="F183" s="67"/>
      <c r="G183" s="67"/>
      <c r="H183" s="67"/>
      <c r="I183" s="67"/>
      <c r="J183" s="11">
        <f>Info!$B$44</f>
        <v>0</v>
      </c>
      <c r="K183" s="67"/>
      <c r="L183" s="67"/>
      <c r="M183" s="67"/>
      <c r="N183" s="67"/>
      <c r="P183" s="72">
        <f t="shared" si="11"/>
        <v>0</v>
      </c>
      <c r="Q183" s="72">
        <f t="shared" si="12"/>
        <v>0</v>
      </c>
      <c r="R183" s="67">
        <f t="shared" si="10"/>
        <v>0</v>
      </c>
    </row>
    <row r="184" spans="1:18" x14ac:dyDescent="0.2">
      <c r="A184" s="67" t="s">
        <v>1361</v>
      </c>
      <c r="B184" s="87" t="s">
        <v>2891</v>
      </c>
      <c r="C184" s="67"/>
      <c r="D184" s="67"/>
      <c r="E184" s="67"/>
      <c r="F184" s="67"/>
      <c r="G184" s="67"/>
      <c r="H184" s="67"/>
      <c r="I184" s="67"/>
      <c r="J184" s="11">
        <f>Info!$B$42</f>
        <v>1</v>
      </c>
      <c r="K184" s="67"/>
      <c r="L184" s="67"/>
      <c r="M184" s="67"/>
      <c r="N184" s="67"/>
      <c r="P184" s="72">
        <f t="shared" si="11"/>
        <v>0.14285714285714285</v>
      </c>
      <c r="Q184" s="72">
        <f t="shared" si="12"/>
        <v>7.1428571428571425E-2</v>
      </c>
      <c r="R184" s="67">
        <f t="shared" si="10"/>
        <v>0</v>
      </c>
    </row>
    <row r="185" spans="1:18" x14ac:dyDescent="0.2">
      <c r="A185" s="67" t="s">
        <v>1228</v>
      </c>
      <c r="B185" s="87" t="s">
        <v>2892</v>
      </c>
      <c r="C185" s="67"/>
      <c r="D185" s="67"/>
      <c r="E185" s="67"/>
      <c r="F185" s="67"/>
      <c r="G185" s="67"/>
      <c r="H185" s="67"/>
      <c r="I185" s="67"/>
      <c r="J185" s="11">
        <f>Info!$B$44</f>
        <v>0</v>
      </c>
      <c r="K185" s="67"/>
      <c r="L185" s="67"/>
      <c r="M185" s="67"/>
      <c r="N185" s="67"/>
      <c r="P185" s="72">
        <f t="shared" si="11"/>
        <v>0</v>
      </c>
      <c r="Q185" s="72">
        <f t="shared" si="12"/>
        <v>0</v>
      </c>
      <c r="R185" s="67">
        <f t="shared" si="10"/>
        <v>0</v>
      </c>
    </row>
    <row r="186" spans="1:18" x14ac:dyDescent="0.2">
      <c r="A186" s="67" t="s">
        <v>2893</v>
      </c>
      <c r="B186" s="87" t="s">
        <v>2894</v>
      </c>
      <c r="C186" s="67"/>
      <c r="D186" s="67"/>
      <c r="E186" s="67"/>
      <c r="F186" s="67"/>
      <c r="G186" s="67"/>
      <c r="H186" s="67"/>
      <c r="I186" s="67"/>
      <c r="J186" s="11">
        <f>Info!$B$44</f>
        <v>0</v>
      </c>
      <c r="K186" s="67"/>
      <c r="L186" s="67"/>
      <c r="M186" s="67"/>
      <c r="N186" s="67"/>
      <c r="P186" s="72">
        <f t="shared" si="11"/>
        <v>0</v>
      </c>
      <c r="Q186" s="72">
        <f t="shared" si="12"/>
        <v>0</v>
      </c>
      <c r="R186" s="67">
        <f t="shared" si="10"/>
        <v>0</v>
      </c>
    </row>
    <row r="187" spans="1:18" x14ac:dyDescent="0.2">
      <c r="A187" s="67" t="s">
        <v>2895</v>
      </c>
      <c r="B187" s="87" t="s">
        <v>2896</v>
      </c>
      <c r="C187" s="67"/>
      <c r="D187" s="67"/>
      <c r="E187" s="67"/>
      <c r="F187" s="67"/>
      <c r="G187" s="67"/>
      <c r="H187" s="67"/>
      <c r="I187" s="67"/>
      <c r="J187" s="11">
        <f>Info!$B$44</f>
        <v>0</v>
      </c>
      <c r="K187" s="67"/>
      <c r="L187" s="67"/>
      <c r="M187" s="67"/>
      <c r="N187" s="67"/>
      <c r="P187" s="72">
        <f t="shared" si="11"/>
        <v>0</v>
      </c>
      <c r="Q187" s="72">
        <f t="shared" si="12"/>
        <v>0</v>
      </c>
      <c r="R187" s="67">
        <f t="shared" si="10"/>
        <v>0</v>
      </c>
    </row>
    <row r="188" spans="1:18" x14ac:dyDescent="0.2">
      <c r="A188" s="67" t="s">
        <v>2334</v>
      </c>
      <c r="B188" s="87" t="s">
        <v>2897</v>
      </c>
      <c r="C188" s="67"/>
      <c r="D188" s="67"/>
      <c r="E188" s="67"/>
      <c r="F188" s="67"/>
      <c r="G188" s="67"/>
      <c r="H188" s="67"/>
      <c r="I188" s="67"/>
      <c r="J188" s="11">
        <f>Info!$B$44</f>
        <v>0</v>
      </c>
      <c r="K188" s="67"/>
      <c r="L188" s="67"/>
      <c r="M188" s="67"/>
      <c r="N188" s="67"/>
      <c r="P188" s="72">
        <f t="shared" si="11"/>
        <v>0</v>
      </c>
      <c r="Q188" s="72">
        <f t="shared" si="12"/>
        <v>0</v>
      </c>
      <c r="R188" s="67">
        <f t="shared" si="10"/>
        <v>0</v>
      </c>
    </row>
    <row r="189" spans="1:18" x14ac:dyDescent="0.2">
      <c r="A189" s="67" t="s">
        <v>2898</v>
      </c>
      <c r="B189" s="87" t="s">
        <v>2899</v>
      </c>
      <c r="C189" s="67"/>
      <c r="D189" s="67"/>
      <c r="E189" s="67"/>
      <c r="F189" s="67"/>
      <c r="G189" s="67"/>
      <c r="H189" s="67"/>
      <c r="I189" s="67"/>
      <c r="J189" s="11">
        <f>Info!$B$42</f>
        <v>1</v>
      </c>
      <c r="K189" s="67"/>
      <c r="L189" s="67"/>
      <c r="M189" s="67"/>
      <c r="N189" s="67"/>
      <c r="P189" s="72">
        <f t="shared" si="11"/>
        <v>0.14285714285714285</v>
      </c>
      <c r="Q189" s="72">
        <f t="shared" si="12"/>
        <v>7.1428571428571425E-2</v>
      </c>
      <c r="R189" s="67">
        <f t="shared" si="10"/>
        <v>0</v>
      </c>
    </row>
    <row r="190" spans="1:18" x14ac:dyDescent="0.2">
      <c r="A190" s="67" t="s">
        <v>1337</v>
      </c>
      <c r="B190" s="87" t="s">
        <v>2900</v>
      </c>
      <c r="C190" s="67"/>
      <c r="D190" s="67"/>
      <c r="E190" s="67"/>
      <c r="F190" s="67"/>
      <c r="G190" s="67"/>
      <c r="H190" s="67"/>
      <c r="I190" s="67"/>
      <c r="J190" s="11">
        <f>Info!$B$42</f>
        <v>1</v>
      </c>
      <c r="K190" s="67"/>
      <c r="L190" s="67"/>
      <c r="M190" s="67"/>
      <c r="N190" s="67"/>
      <c r="P190" s="72">
        <f t="shared" si="11"/>
        <v>0.14285714285714285</v>
      </c>
      <c r="Q190" s="72">
        <f t="shared" si="12"/>
        <v>7.1428571428571425E-2</v>
      </c>
      <c r="R190" s="67">
        <f t="shared" si="10"/>
        <v>0</v>
      </c>
    </row>
    <row r="191" spans="1:18" x14ac:dyDescent="0.2">
      <c r="A191" s="67" t="s">
        <v>2901</v>
      </c>
      <c r="B191" s="87" t="s">
        <v>2902</v>
      </c>
      <c r="C191" s="67"/>
      <c r="D191" s="67"/>
      <c r="E191" s="67"/>
      <c r="F191" s="67"/>
      <c r="G191" s="67"/>
      <c r="H191" s="67"/>
      <c r="I191" s="67"/>
      <c r="J191" s="11">
        <f>Info!$B$42</f>
        <v>1</v>
      </c>
      <c r="K191" s="67"/>
      <c r="L191" s="67"/>
      <c r="M191" s="67"/>
      <c r="N191" s="67"/>
      <c r="P191" s="72">
        <f t="shared" si="11"/>
        <v>0.14285714285714285</v>
      </c>
      <c r="Q191" s="72">
        <f t="shared" si="12"/>
        <v>7.1428571428571425E-2</v>
      </c>
      <c r="R191" s="67">
        <f t="shared" si="10"/>
        <v>0</v>
      </c>
    </row>
    <row r="192" spans="1:18" x14ac:dyDescent="0.2">
      <c r="A192" s="67" t="s">
        <v>1158</v>
      </c>
      <c r="B192" s="87" t="s">
        <v>2903</v>
      </c>
      <c r="C192" s="67"/>
      <c r="D192" s="67"/>
      <c r="E192" s="67"/>
      <c r="F192" s="67"/>
      <c r="G192" s="67"/>
      <c r="H192" s="67"/>
      <c r="I192" s="67"/>
      <c r="J192" s="11">
        <f>Info!$B$43</f>
        <v>0.5</v>
      </c>
      <c r="K192" s="67"/>
      <c r="L192" s="67"/>
      <c r="M192" s="67"/>
      <c r="N192" s="67"/>
      <c r="P192" s="72">
        <f t="shared" si="11"/>
        <v>7.1428571428571425E-2</v>
      </c>
      <c r="Q192" s="72">
        <f t="shared" si="12"/>
        <v>3.5714285714285712E-2</v>
      </c>
      <c r="R192" s="67">
        <f t="shared" si="10"/>
        <v>0</v>
      </c>
    </row>
    <row r="193" spans="1:18" x14ac:dyDescent="0.2">
      <c r="A193" s="67" t="s">
        <v>2904</v>
      </c>
      <c r="B193" s="87" t="s">
        <v>2905</v>
      </c>
      <c r="C193" s="67"/>
      <c r="D193" s="67"/>
      <c r="E193" s="67"/>
      <c r="F193" s="67"/>
      <c r="G193" s="67"/>
      <c r="H193" s="67"/>
      <c r="I193" s="67"/>
      <c r="J193" s="11">
        <f>Info!$B$42</f>
        <v>1</v>
      </c>
      <c r="K193" s="67"/>
      <c r="L193" s="67"/>
      <c r="M193" s="67"/>
      <c r="N193" s="67"/>
      <c r="P193" s="72">
        <f t="shared" si="11"/>
        <v>0.14285714285714285</v>
      </c>
      <c r="Q193" s="72">
        <f t="shared" si="12"/>
        <v>7.1428571428571425E-2</v>
      </c>
      <c r="R193" s="67">
        <f t="shared" si="10"/>
        <v>0</v>
      </c>
    </row>
    <row r="194" spans="1:18" x14ac:dyDescent="0.2">
      <c r="A194" s="67" t="s">
        <v>2906</v>
      </c>
      <c r="B194" s="87" t="s">
        <v>2907</v>
      </c>
      <c r="C194" s="67"/>
      <c r="D194" s="67"/>
      <c r="E194" s="67"/>
      <c r="F194" s="67"/>
      <c r="G194" s="67"/>
      <c r="H194" s="67"/>
      <c r="I194" s="67"/>
      <c r="J194" s="11">
        <f>Info!$B$44</f>
        <v>0</v>
      </c>
      <c r="K194" s="67"/>
      <c r="L194" s="67"/>
      <c r="M194" s="67"/>
      <c r="N194" s="67"/>
      <c r="P194" s="72">
        <f t="shared" si="11"/>
        <v>0</v>
      </c>
      <c r="Q194" s="72">
        <f t="shared" si="12"/>
        <v>0</v>
      </c>
      <c r="R194" s="67">
        <f t="shared" ref="R194:R257" si="13">IF(_xlfn.BITAND(P194&gt;0.4999, Q194&gt;0.4999)=1,1,0)</f>
        <v>0</v>
      </c>
    </row>
    <row r="195" spans="1:18" x14ac:dyDescent="0.2">
      <c r="A195" s="67" t="s">
        <v>2908</v>
      </c>
      <c r="B195" s="87" t="s">
        <v>2909</v>
      </c>
      <c r="C195" s="67"/>
      <c r="D195" s="67"/>
      <c r="E195" s="67"/>
      <c r="F195" s="67"/>
      <c r="G195" s="67"/>
      <c r="H195" s="67"/>
      <c r="I195" s="67"/>
      <c r="J195" s="11">
        <f>Info!$B$43</f>
        <v>0.5</v>
      </c>
      <c r="K195" s="67"/>
      <c r="L195" s="67"/>
      <c r="M195" s="67"/>
      <c r="N195" s="67"/>
      <c r="P195" s="72">
        <f t="shared" si="11"/>
        <v>7.1428571428571425E-2</v>
      </c>
      <c r="Q195" s="72">
        <f t="shared" si="12"/>
        <v>3.5714285714285712E-2</v>
      </c>
      <c r="R195" s="67">
        <f t="shared" si="13"/>
        <v>0</v>
      </c>
    </row>
    <row r="196" spans="1:18" x14ac:dyDescent="0.2">
      <c r="A196" s="67" t="s">
        <v>2910</v>
      </c>
      <c r="B196" s="87" t="s">
        <v>2911</v>
      </c>
      <c r="C196" s="67"/>
      <c r="D196" s="67"/>
      <c r="E196" s="67"/>
      <c r="F196" s="67"/>
      <c r="G196" s="67"/>
      <c r="H196" s="67"/>
      <c r="I196" s="67"/>
      <c r="J196" s="11">
        <f>Info!$B$44</f>
        <v>0</v>
      </c>
      <c r="K196" s="67"/>
      <c r="L196" s="67"/>
      <c r="M196" s="67"/>
      <c r="N196" s="67"/>
      <c r="P196" s="72">
        <f t="shared" si="11"/>
        <v>0</v>
      </c>
      <c r="Q196" s="72">
        <f t="shared" si="12"/>
        <v>0</v>
      </c>
      <c r="R196" s="67">
        <f t="shared" si="13"/>
        <v>0</v>
      </c>
    </row>
    <row r="197" spans="1:18" x14ac:dyDescent="0.2">
      <c r="A197" s="67" t="s">
        <v>2316</v>
      </c>
      <c r="B197" s="87" t="s">
        <v>2912</v>
      </c>
      <c r="C197" s="67"/>
      <c r="D197" s="67"/>
      <c r="E197" s="67"/>
      <c r="F197" s="67"/>
      <c r="G197" s="67"/>
      <c r="H197" s="67"/>
      <c r="I197" s="67"/>
      <c r="J197" s="11">
        <f>Info!$B$44</f>
        <v>0</v>
      </c>
      <c r="K197" s="67"/>
      <c r="L197" s="67"/>
      <c r="M197" s="67"/>
      <c r="N197" s="67"/>
      <c r="P197" s="72">
        <f t="shared" si="11"/>
        <v>0</v>
      </c>
      <c r="Q197" s="72">
        <f t="shared" si="12"/>
        <v>0</v>
      </c>
      <c r="R197" s="67">
        <f t="shared" si="13"/>
        <v>0</v>
      </c>
    </row>
    <row r="198" spans="1:18" x14ac:dyDescent="0.2">
      <c r="A198" s="67" t="s">
        <v>2913</v>
      </c>
      <c r="B198" s="87" t="s">
        <v>2914</v>
      </c>
      <c r="C198" s="67"/>
      <c r="D198" s="67"/>
      <c r="E198" s="67"/>
      <c r="F198" s="67"/>
      <c r="G198" s="67"/>
      <c r="H198" s="67"/>
      <c r="I198" s="67"/>
      <c r="J198" s="11">
        <f>Info!$B$43</f>
        <v>0.5</v>
      </c>
      <c r="K198" s="67"/>
      <c r="L198" s="67"/>
      <c r="M198" s="67"/>
      <c r="N198" s="67"/>
      <c r="P198" s="72">
        <f t="shared" si="11"/>
        <v>7.1428571428571425E-2</v>
      </c>
      <c r="Q198" s="72">
        <f t="shared" si="12"/>
        <v>3.5714285714285712E-2</v>
      </c>
      <c r="R198" s="67">
        <f t="shared" si="13"/>
        <v>0</v>
      </c>
    </row>
    <row r="199" spans="1:18" x14ac:dyDescent="0.2">
      <c r="A199" s="67" t="s">
        <v>27</v>
      </c>
      <c r="B199" s="87" t="s">
        <v>2915</v>
      </c>
      <c r="C199" s="67"/>
      <c r="D199" s="67"/>
      <c r="E199" s="67"/>
      <c r="F199" s="67"/>
      <c r="G199" s="67"/>
      <c r="H199" s="67"/>
      <c r="I199" s="67"/>
      <c r="J199" s="11">
        <f>Info!$B$43</f>
        <v>0.5</v>
      </c>
      <c r="K199" s="67"/>
      <c r="L199" s="67"/>
      <c r="M199" s="67"/>
      <c r="N199" s="67"/>
      <c r="P199" s="72">
        <f t="shared" si="11"/>
        <v>7.1428571428571425E-2</v>
      </c>
      <c r="Q199" s="72">
        <f t="shared" si="12"/>
        <v>3.5714285714285712E-2</v>
      </c>
      <c r="R199" s="67">
        <f t="shared" si="13"/>
        <v>0</v>
      </c>
    </row>
    <row r="200" spans="1:18" x14ac:dyDescent="0.2">
      <c r="A200" s="67" t="s">
        <v>2916</v>
      </c>
      <c r="B200" s="87" t="s">
        <v>2917</v>
      </c>
      <c r="C200" s="67"/>
      <c r="D200" s="67"/>
      <c r="E200" s="67"/>
      <c r="F200" s="67"/>
      <c r="G200" s="67"/>
      <c r="H200" s="67"/>
      <c r="I200" s="67"/>
      <c r="J200" s="11">
        <f>Info!$B$43</f>
        <v>0.5</v>
      </c>
      <c r="K200" s="67"/>
      <c r="L200" s="67"/>
      <c r="M200" s="67"/>
      <c r="N200" s="67"/>
      <c r="P200" s="72">
        <f t="shared" si="11"/>
        <v>7.1428571428571425E-2</v>
      </c>
      <c r="Q200" s="72">
        <f t="shared" si="12"/>
        <v>3.5714285714285712E-2</v>
      </c>
      <c r="R200" s="67">
        <f t="shared" si="13"/>
        <v>0</v>
      </c>
    </row>
    <row r="201" spans="1:18" x14ac:dyDescent="0.2">
      <c r="A201" s="67" t="s">
        <v>987</v>
      </c>
      <c r="B201" s="87" t="s">
        <v>2918</v>
      </c>
      <c r="C201" s="67"/>
      <c r="D201" s="67"/>
      <c r="E201" s="67"/>
      <c r="F201" s="67"/>
      <c r="G201" s="67"/>
      <c r="H201" s="67"/>
      <c r="I201" s="67"/>
      <c r="J201" s="11">
        <f>Info!$B$42</f>
        <v>1</v>
      </c>
      <c r="K201" s="67"/>
      <c r="L201" s="67"/>
      <c r="M201" s="67"/>
      <c r="N201" s="67"/>
      <c r="P201" s="72">
        <f t="shared" si="11"/>
        <v>0.14285714285714285</v>
      </c>
      <c r="Q201" s="72">
        <f t="shared" si="12"/>
        <v>7.1428571428571425E-2</v>
      </c>
      <c r="R201" s="67">
        <f t="shared" si="13"/>
        <v>0</v>
      </c>
    </row>
    <row r="202" spans="1:18" x14ac:dyDescent="0.2">
      <c r="A202" s="67" t="s">
        <v>2919</v>
      </c>
      <c r="B202" s="87" t="s">
        <v>2920</v>
      </c>
      <c r="C202" s="67"/>
      <c r="D202" s="11"/>
      <c r="E202" s="11"/>
      <c r="F202" s="11"/>
      <c r="G202" s="11"/>
      <c r="H202" s="11"/>
      <c r="I202" s="11"/>
      <c r="J202" s="11">
        <f>Info!$B$44</f>
        <v>0</v>
      </c>
      <c r="K202" s="67"/>
      <c r="L202" s="67"/>
      <c r="M202" s="67"/>
      <c r="N202" s="67"/>
      <c r="P202" s="72">
        <f t="shared" si="11"/>
        <v>0</v>
      </c>
      <c r="Q202" s="72">
        <f t="shared" si="12"/>
        <v>0</v>
      </c>
      <c r="R202" s="67">
        <f t="shared" si="13"/>
        <v>0</v>
      </c>
    </row>
    <row r="203" spans="1:18" x14ac:dyDescent="0.2">
      <c r="A203" s="67" t="s">
        <v>2921</v>
      </c>
      <c r="B203" s="87" t="s">
        <v>2922</v>
      </c>
      <c r="C203" s="67"/>
      <c r="D203" s="67"/>
      <c r="E203" s="67"/>
      <c r="F203" s="67"/>
      <c r="G203" s="67"/>
      <c r="H203" s="67"/>
      <c r="I203" s="67"/>
      <c r="J203" s="11">
        <f>Info!$B$42</f>
        <v>1</v>
      </c>
      <c r="K203" s="67"/>
      <c r="L203" s="67"/>
      <c r="M203" s="67"/>
      <c r="N203" s="67"/>
      <c r="P203" s="72">
        <f t="shared" si="11"/>
        <v>0.14285714285714285</v>
      </c>
      <c r="Q203" s="72">
        <f t="shared" si="12"/>
        <v>7.1428571428571425E-2</v>
      </c>
      <c r="R203" s="67">
        <f t="shared" si="13"/>
        <v>0</v>
      </c>
    </row>
    <row r="204" spans="1:18" x14ac:dyDescent="0.2">
      <c r="A204" s="67" t="s">
        <v>1985</v>
      </c>
      <c r="B204" s="87" t="s">
        <v>2923</v>
      </c>
      <c r="C204" s="67"/>
      <c r="D204" s="67"/>
      <c r="E204" s="67"/>
      <c r="F204" s="67"/>
      <c r="G204" s="67"/>
      <c r="H204" s="67"/>
      <c r="I204" s="67"/>
      <c r="J204" s="11">
        <f>Info!$B$43</f>
        <v>0.5</v>
      </c>
      <c r="K204" s="67"/>
      <c r="L204" s="67"/>
      <c r="M204" s="67"/>
      <c r="N204" s="67"/>
      <c r="P204" s="72">
        <f t="shared" si="11"/>
        <v>7.1428571428571425E-2</v>
      </c>
      <c r="Q204" s="72">
        <f t="shared" si="12"/>
        <v>3.5714285714285712E-2</v>
      </c>
      <c r="R204" s="67">
        <f t="shared" si="13"/>
        <v>0</v>
      </c>
    </row>
    <row r="205" spans="1:18" x14ac:dyDescent="0.2">
      <c r="A205" s="67" t="s">
        <v>2924</v>
      </c>
      <c r="B205" s="87" t="s">
        <v>2925</v>
      </c>
      <c r="C205" s="67"/>
      <c r="D205" s="67"/>
      <c r="E205" s="67"/>
      <c r="F205" s="67"/>
      <c r="G205" s="67"/>
      <c r="H205" s="67"/>
      <c r="I205" s="67"/>
      <c r="J205" s="11">
        <f>Info!$B$44</f>
        <v>0</v>
      </c>
      <c r="K205" s="67"/>
      <c r="L205" s="67"/>
      <c r="M205" s="67"/>
      <c r="N205" s="67"/>
      <c r="P205" s="72">
        <f t="shared" si="11"/>
        <v>0</v>
      </c>
      <c r="Q205" s="72">
        <f t="shared" si="12"/>
        <v>0</v>
      </c>
      <c r="R205" s="67">
        <f t="shared" si="13"/>
        <v>0</v>
      </c>
    </row>
    <row r="206" spans="1:18" x14ac:dyDescent="0.2">
      <c r="A206" s="67" t="s">
        <v>1737</v>
      </c>
      <c r="B206" s="87" t="s">
        <v>2926</v>
      </c>
      <c r="C206" s="67"/>
      <c r="D206" s="67"/>
      <c r="E206" s="67"/>
      <c r="F206" s="67"/>
      <c r="G206" s="67"/>
      <c r="H206" s="67"/>
      <c r="I206" s="67"/>
      <c r="J206" s="11">
        <f>Info!$B$42</f>
        <v>1</v>
      </c>
      <c r="K206" s="67"/>
      <c r="L206" s="67"/>
      <c r="M206" s="67"/>
      <c r="N206" s="67"/>
      <c r="P206" s="72">
        <f t="shared" si="11"/>
        <v>0.14285714285714285</v>
      </c>
      <c r="Q206" s="72">
        <f t="shared" si="12"/>
        <v>7.1428571428571425E-2</v>
      </c>
      <c r="R206" s="67">
        <f t="shared" si="13"/>
        <v>0</v>
      </c>
    </row>
    <row r="207" spans="1:18" x14ac:dyDescent="0.2">
      <c r="A207" s="67" t="s">
        <v>1373</v>
      </c>
      <c r="B207" s="87" t="s">
        <v>2927</v>
      </c>
      <c r="C207" s="67"/>
      <c r="D207" s="67"/>
      <c r="E207" s="67"/>
      <c r="F207" s="67"/>
      <c r="G207" s="67"/>
      <c r="H207" s="67"/>
      <c r="I207" s="67"/>
      <c r="J207" s="11">
        <f>Info!$B$42</f>
        <v>1</v>
      </c>
      <c r="K207" s="67"/>
      <c r="L207" s="67"/>
      <c r="M207" s="67"/>
      <c r="N207" s="67"/>
      <c r="P207" s="72">
        <f t="shared" si="11"/>
        <v>0.14285714285714285</v>
      </c>
      <c r="Q207" s="72">
        <f t="shared" si="12"/>
        <v>7.1428571428571425E-2</v>
      </c>
      <c r="R207" s="67">
        <f t="shared" si="13"/>
        <v>0</v>
      </c>
    </row>
    <row r="208" spans="1:18" x14ac:dyDescent="0.2">
      <c r="A208" s="67" t="s">
        <v>2928</v>
      </c>
      <c r="B208" s="87" t="s">
        <v>2929</v>
      </c>
      <c r="C208" s="67"/>
      <c r="D208" s="67"/>
      <c r="E208" s="67"/>
      <c r="F208" s="67"/>
      <c r="G208" s="67"/>
      <c r="H208" s="67"/>
      <c r="I208" s="67"/>
      <c r="J208" s="11">
        <f>Info!$B$43</f>
        <v>0.5</v>
      </c>
      <c r="K208" s="67"/>
      <c r="L208" s="67"/>
      <c r="M208" s="67"/>
      <c r="N208" s="67"/>
      <c r="P208" s="72">
        <f t="shared" si="11"/>
        <v>7.1428571428571425E-2</v>
      </c>
      <c r="Q208" s="72">
        <f t="shared" si="12"/>
        <v>3.5714285714285712E-2</v>
      </c>
      <c r="R208" s="67">
        <f t="shared" si="13"/>
        <v>0</v>
      </c>
    </row>
    <row r="209" spans="1:18" x14ac:dyDescent="0.2">
      <c r="A209" s="67" t="s">
        <v>2930</v>
      </c>
      <c r="B209" s="87" t="s">
        <v>2931</v>
      </c>
      <c r="C209" s="67"/>
      <c r="D209" s="67"/>
      <c r="E209" s="67"/>
      <c r="F209" s="67"/>
      <c r="G209" s="67"/>
      <c r="H209" s="67"/>
      <c r="I209" s="67"/>
      <c r="J209" s="11">
        <f>Info!$B$42</f>
        <v>1</v>
      </c>
      <c r="K209" s="67"/>
      <c r="L209" s="67"/>
      <c r="M209" s="67"/>
      <c r="N209" s="67"/>
      <c r="P209" s="72">
        <f t="shared" si="11"/>
        <v>0.14285714285714285</v>
      </c>
      <c r="Q209" s="72">
        <f t="shared" si="12"/>
        <v>7.1428571428571425E-2</v>
      </c>
      <c r="R209" s="67">
        <f t="shared" si="13"/>
        <v>0</v>
      </c>
    </row>
    <row r="210" spans="1:18" x14ac:dyDescent="0.2">
      <c r="A210" s="67" t="s">
        <v>2932</v>
      </c>
      <c r="B210" s="87" t="s">
        <v>2933</v>
      </c>
      <c r="C210" s="67"/>
      <c r="D210" s="67"/>
      <c r="E210" s="67"/>
      <c r="F210" s="67"/>
      <c r="G210" s="67"/>
      <c r="H210" s="67"/>
      <c r="I210" s="67"/>
      <c r="J210" s="11">
        <f>Info!$B$44</f>
        <v>0</v>
      </c>
      <c r="K210" s="67"/>
      <c r="L210" s="67"/>
      <c r="M210" s="67"/>
      <c r="N210" s="67"/>
      <c r="P210" s="72">
        <f t="shared" si="11"/>
        <v>0</v>
      </c>
      <c r="Q210" s="72">
        <f t="shared" si="12"/>
        <v>0</v>
      </c>
      <c r="R210" s="67">
        <f t="shared" si="13"/>
        <v>0</v>
      </c>
    </row>
    <row r="211" spans="1:18" x14ac:dyDescent="0.2">
      <c r="A211" s="67" t="s">
        <v>55</v>
      </c>
      <c r="B211" s="87" t="s">
        <v>2934</v>
      </c>
      <c r="C211" s="67"/>
      <c r="D211" s="67"/>
      <c r="E211" s="67"/>
      <c r="F211" s="67"/>
      <c r="G211" s="67"/>
      <c r="H211" s="67"/>
      <c r="I211" s="67"/>
      <c r="J211" s="11">
        <f>Info!$B$42</f>
        <v>1</v>
      </c>
      <c r="K211" s="67"/>
      <c r="L211" s="67"/>
      <c r="M211" s="67"/>
      <c r="N211" s="67"/>
      <c r="P211" s="72">
        <f t="shared" si="11"/>
        <v>0.14285714285714285</v>
      </c>
      <c r="Q211" s="72">
        <f t="shared" si="12"/>
        <v>7.1428571428571425E-2</v>
      </c>
      <c r="R211" s="67">
        <f t="shared" si="13"/>
        <v>0</v>
      </c>
    </row>
    <row r="212" spans="1:18" x14ac:dyDescent="0.2">
      <c r="A212" s="67" t="s">
        <v>1381</v>
      </c>
      <c r="B212" s="87" t="s">
        <v>2935</v>
      </c>
      <c r="C212" s="67"/>
      <c r="D212" s="67"/>
      <c r="E212" s="67"/>
      <c r="F212" s="67"/>
      <c r="G212" s="67"/>
      <c r="H212" s="67"/>
      <c r="I212" s="67"/>
      <c r="J212" s="11">
        <f>Info!$B$42</f>
        <v>1</v>
      </c>
      <c r="K212" s="67"/>
      <c r="L212" s="67"/>
      <c r="M212" s="67"/>
      <c r="N212" s="67"/>
      <c r="P212" s="72">
        <f t="shared" si="11"/>
        <v>0.14285714285714285</v>
      </c>
      <c r="Q212" s="72">
        <f t="shared" si="12"/>
        <v>7.1428571428571425E-2</v>
      </c>
      <c r="R212" s="67">
        <f t="shared" si="13"/>
        <v>0</v>
      </c>
    </row>
    <row r="213" spans="1:18" x14ac:dyDescent="0.2">
      <c r="A213" s="67" t="s">
        <v>2936</v>
      </c>
      <c r="B213" s="87" t="s">
        <v>2937</v>
      </c>
      <c r="C213" s="67"/>
      <c r="D213" s="67"/>
      <c r="E213" s="67"/>
      <c r="F213" s="67"/>
      <c r="G213" s="67"/>
      <c r="H213" s="67"/>
      <c r="I213" s="67"/>
      <c r="J213" s="11">
        <f>Info!$B$42</f>
        <v>1</v>
      </c>
      <c r="K213" s="67"/>
      <c r="L213" s="67"/>
      <c r="M213" s="67"/>
      <c r="N213" s="67"/>
      <c r="P213" s="72">
        <f t="shared" si="11"/>
        <v>0.14285714285714285</v>
      </c>
      <c r="Q213" s="72">
        <f t="shared" si="12"/>
        <v>7.1428571428571425E-2</v>
      </c>
      <c r="R213" s="67">
        <f t="shared" si="13"/>
        <v>0</v>
      </c>
    </row>
    <row r="214" spans="1:18" x14ac:dyDescent="0.2">
      <c r="A214" s="67" t="s">
        <v>2938</v>
      </c>
      <c r="B214" s="87" t="s">
        <v>2939</v>
      </c>
      <c r="C214" s="67"/>
      <c r="D214" s="67"/>
      <c r="E214" s="67"/>
      <c r="F214" s="67"/>
      <c r="G214" s="67"/>
      <c r="H214" s="67"/>
      <c r="I214" s="67"/>
      <c r="J214" s="11">
        <f>Info!$B$43</f>
        <v>0.5</v>
      </c>
      <c r="K214" s="67"/>
      <c r="L214" s="67"/>
      <c r="M214" s="67"/>
      <c r="N214" s="67"/>
      <c r="P214" s="72">
        <f t="shared" si="11"/>
        <v>7.1428571428571425E-2</v>
      </c>
      <c r="Q214" s="72">
        <f t="shared" si="12"/>
        <v>3.5714285714285712E-2</v>
      </c>
      <c r="R214" s="67">
        <f t="shared" si="13"/>
        <v>0</v>
      </c>
    </row>
    <row r="215" spans="1:18" x14ac:dyDescent="0.2">
      <c r="A215" s="67" t="s">
        <v>2940</v>
      </c>
      <c r="B215" s="87" t="s">
        <v>2941</v>
      </c>
      <c r="C215" s="67"/>
      <c r="D215" s="67"/>
      <c r="E215" s="67"/>
      <c r="F215" s="67"/>
      <c r="G215" s="67"/>
      <c r="H215" s="67"/>
      <c r="I215" s="67"/>
      <c r="J215" s="11">
        <f>Info!$B$44</f>
        <v>0</v>
      </c>
      <c r="K215" s="67"/>
      <c r="L215" s="67"/>
      <c r="M215" s="67"/>
      <c r="N215" s="67"/>
      <c r="P215" s="72">
        <f t="shared" si="11"/>
        <v>0</v>
      </c>
      <c r="Q215" s="72">
        <f t="shared" si="12"/>
        <v>0</v>
      </c>
      <c r="R215" s="67">
        <f t="shared" si="13"/>
        <v>0</v>
      </c>
    </row>
    <row r="216" spans="1:18" x14ac:dyDescent="0.2">
      <c r="A216" s="67" t="s">
        <v>2942</v>
      </c>
      <c r="B216" s="87" t="s">
        <v>2943</v>
      </c>
      <c r="C216" s="67"/>
      <c r="D216" s="67"/>
      <c r="E216" s="67"/>
      <c r="F216" s="67"/>
      <c r="G216" s="67"/>
      <c r="H216" s="67"/>
      <c r="I216" s="67"/>
      <c r="J216" s="11">
        <f>Info!$B$44</f>
        <v>0</v>
      </c>
      <c r="K216" s="67"/>
      <c r="L216" s="67"/>
      <c r="M216" s="67"/>
      <c r="N216" s="67"/>
      <c r="P216" s="72">
        <f t="shared" si="11"/>
        <v>0</v>
      </c>
      <c r="Q216" s="72">
        <f t="shared" si="12"/>
        <v>0</v>
      </c>
      <c r="R216" s="67">
        <f t="shared" si="13"/>
        <v>0</v>
      </c>
    </row>
    <row r="217" spans="1:18" x14ac:dyDescent="0.2">
      <c r="A217" s="67" t="s">
        <v>2944</v>
      </c>
      <c r="B217" s="87" t="s">
        <v>2945</v>
      </c>
      <c r="C217" s="67"/>
      <c r="D217" s="67"/>
      <c r="E217" s="67"/>
      <c r="F217" s="67"/>
      <c r="G217" s="67"/>
      <c r="H217" s="67"/>
      <c r="I217" s="67"/>
      <c r="J217" s="11">
        <f>Info!$B$44</f>
        <v>0</v>
      </c>
      <c r="K217" s="67"/>
      <c r="L217" s="67"/>
      <c r="M217" s="67"/>
      <c r="N217" s="67"/>
      <c r="P217" s="72">
        <f t="shared" si="11"/>
        <v>0</v>
      </c>
      <c r="Q217" s="72">
        <f t="shared" si="12"/>
        <v>0</v>
      </c>
      <c r="R217" s="67">
        <f t="shared" si="13"/>
        <v>0</v>
      </c>
    </row>
    <row r="218" spans="1:18" x14ac:dyDescent="0.2">
      <c r="A218" s="67" t="s">
        <v>2946</v>
      </c>
      <c r="B218" s="87" t="s">
        <v>2947</v>
      </c>
      <c r="C218" s="67"/>
      <c r="D218" s="67"/>
      <c r="E218" s="67"/>
      <c r="F218" s="67"/>
      <c r="G218" s="67"/>
      <c r="H218" s="67"/>
      <c r="I218" s="67"/>
      <c r="J218" s="11">
        <f>Info!$B$44</f>
        <v>0</v>
      </c>
      <c r="K218" s="67"/>
      <c r="L218" s="67"/>
      <c r="M218" s="67"/>
      <c r="N218" s="67"/>
      <c r="P218" s="72">
        <f t="shared" si="11"/>
        <v>0</v>
      </c>
      <c r="Q218" s="72">
        <f t="shared" si="12"/>
        <v>0</v>
      </c>
      <c r="R218" s="67">
        <f t="shared" si="13"/>
        <v>0</v>
      </c>
    </row>
    <row r="219" spans="1:18" x14ac:dyDescent="0.2">
      <c r="A219" s="67" t="s">
        <v>2388</v>
      </c>
      <c r="B219" s="87" t="s">
        <v>2948</v>
      </c>
      <c r="C219" s="67"/>
      <c r="D219" s="67"/>
      <c r="E219" s="67"/>
      <c r="F219" s="67"/>
      <c r="G219" s="67"/>
      <c r="H219" s="67"/>
      <c r="I219" s="67"/>
      <c r="J219" s="11">
        <f>Info!$B$44</f>
        <v>0</v>
      </c>
      <c r="K219" s="67"/>
      <c r="L219" s="67"/>
      <c r="M219" s="67"/>
      <c r="N219" s="67"/>
      <c r="P219" s="72">
        <f t="shared" ref="P219:P282" si="14">(D219+E219+F219+G219+H219+I219+J219)/7</f>
        <v>0</v>
      </c>
      <c r="Q219" s="72">
        <f t="shared" si="12"/>
        <v>0</v>
      </c>
      <c r="R219" s="67">
        <f t="shared" si="13"/>
        <v>0</v>
      </c>
    </row>
    <row r="220" spans="1:18" x14ac:dyDescent="0.2">
      <c r="A220" s="67" t="s">
        <v>2949</v>
      </c>
      <c r="B220" s="87" t="s">
        <v>2950</v>
      </c>
      <c r="C220" s="67"/>
      <c r="D220" s="67"/>
      <c r="E220" s="67"/>
      <c r="F220" s="67"/>
      <c r="G220" s="67"/>
      <c r="H220" s="67"/>
      <c r="I220" s="67"/>
      <c r="J220" s="11">
        <f>Info!$B$42</f>
        <v>1</v>
      </c>
      <c r="K220" s="67"/>
      <c r="L220" s="67"/>
      <c r="M220" s="67"/>
      <c r="N220" s="67"/>
      <c r="P220" s="72">
        <f t="shared" si="14"/>
        <v>0.14285714285714285</v>
      </c>
      <c r="Q220" s="72">
        <f t="shared" si="12"/>
        <v>7.1428571428571425E-2</v>
      </c>
      <c r="R220" s="67">
        <f t="shared" si="13"/>
        <v>0</v>
      </c>
    </row>
    <row r="221" spans="1:18" x14ac:dyDescent="0.2">
      <c r="A221" s="67" t="s">
        <v>895</v>
      </c>
      <c r="B221" s="87" t="s">
        <v>2951</v>
      </c>
      <c r="C221" s="67"/>
      <c r="D221" s="67"/>
      <c r="E221" s="67"/>
      <c r="F221" s="67"/>
      <c r="G221" s="67"/>
      <c r="H221" s="67"/>
      <c r="I221" s="67"/>
      <c r="J221" s="11">
        <f>Info!$B$43</f>
        <v>0.5</v>
      </c>
      <c r="K221" s="67"/>
      <c r="L221" s="67"/>
      <c r="M221" s="67"/>
      <c r="N221" s="67"/>
      <c r="P221" s="72">
        <f t="shared" si="14"/>
        <v>7.1428571428571425E-2</v>
      </c>
      <c r="Q221" s="72">
        <f t="shared" si="12"/>
        <v>3.5714285714285712E-2</v>
      </c>
      <c r="R221" s="67">
        <f t="shared" si="13"/>
        <v>0</v>
      </c>
    </row>
    <row r="222" spans="1:18" x14ac:dyDescent="0.2">
      <c r="A222" s="67" t="s">
        <v>84</v>
      </c>
      <c r="B222" s="87" t="s">
        <v>2952</v>
      </c>
      <c r="C222" s="67"/>
      <c r="D222" s="67"/>
      <c r="E222" s="67"/>
      <c r="F222" s="67"/>
      <c r="G222" s="67"/>
      <c r="H222" s="67"/>
      <c r="I222" s="67"/>
      <c r="J222" s="11">
        <f>Info!$B$42</f>
        <v>1</v>
      </c>
      <c r="K222" s="67"/>
      <c r="L222" s="67"/>
      <c r="M222" s="67"/>
      <c r="N222" s="67"/>
      <c r="P222" s="72">
        <f t="shared" si="14"/>
        <v>0.14285714285714285</v>
      </c>
      <c r="Q222" s="72">
        <f t="shared" si="12"/>
        <v>7.1428571428571425E-2</v>
      </c>
      <c r="R222" s="67">
        <f t="shared" si="13"/>
        <v>0</v>
      </c>
    </row>
    <row r="223" spans="1:18" x14ac:dyDescent="0.2">
      <c r="A223" s="67" t="s">
        <v>2953</v>
      </c>
      <c r="B223" s="87" t="s">
        <v>2954</v>
      </c>
      <c r="C223" s="67"/>
      <c r="D223" s="67"/>
      <c r="E223" s="67"/>
      <c r="F223" s="67"/>
      <c r="G223" s="67"/>
      <c r="H223" s="67"/>
      <c r="I223" s="67"/>
      <c r="J223" s="11">
        <f>Info!$B$44</f>
        <v>0</v>
      </c>
      <c r="K223" s="67"/>
      <c r="L223" s="67"/>
      <c r="M223" s="67"/>
      <c r="N223" s="67"/>
      <c r="P223" s="72">
        <f t="shared" si="14"/>
        <v>0</v>
      </c>
      <c r="Q223" s="72">
        <f t="shared" si="12"/>
        <v>0</v>
      </c>
      <c r="R223" s="67">
        <f t="shared" si="13"/>
        <v>0</v>
      </c>
    </row>
    <row r="224" spans="1:18" x14ac:dyDescent="0.2">
      <c r="A224" s="67" t="s">
        <v>2955</v>
      </c>
      <c r="B224" s="87" t="s">
        <v>2956</v>
      </c>
      <c r="C224" s="67"/>
      <c r="D224" s="67"/>
      <c r="E224" s="67"/>
      <c r="F224" s="67"/>
      <c r="G224" s="67"/>
      <c r="H224" s="67"/>
      <c r="I224" s="67"/>
      <c r="J224" s="11">
        <f>Info!$B$43</f>
        <v>0.5</v>
      </c>
      <c r="K224" s="67"/>
      <c r="L224" s="67"/>
      <c r="M224" s="67"/>
      <c r="N224" s="67"/>
      <c r="P224" s="72">
        <f t="shared" si="14"/>
        <v>7.1428571428571425E-2</v>
      </c>
      <c r="Q224" s="72">
        <f t="shared" si="12"/>
        <v>3.5714285714285712E-2</v>
      </c>
      <c r="R224" s="67">
        <f t="shared" si="13"/>
        <v>0</v>
      </c>
    </row>
    <row r="225" spans="1:18" x14ac:dyDescent="0.2">
      <c r="A225" s="67" t="s">
        <v>2957</v>
      </c>
      <c r="B225" s="87" t="s">
        <v>2958</v>
      </c>
      <c r="C225" s="67"/>
      <c r="D225" s="67"/>
      <c r="E225" s="67"/>
      <c r="F225" s="67"/>
      <c r="G225" s="67"/>
      <c r="H225" s="67"/>
      <c r="I225" s="67"/>
      <c r="J225" s="11">
        <f>Info!$B$43</f>
        <v>0.5</v>
      </c>
      <c r="K225" s="67"/>
      <c r="L225" s="67"/>
      <c r="M225" s="67"/>
      <c r="N225" s="67"/>
      <c r="P225" s="72">
        <f t="shared" si="14"/>
        <v>7.1428571428571425E-2</v>
      </c>
      <c r="Q225" s="72">
        <f t="shared" si="12"/>
        <v>3.5714285714285712E-2</v>
      </c>
      <c r="R225" s="67">
        <f t="shared" si="13"/>
        <v>0</v>
      </c>
    </row>
    <row r="226" spans="1:18" x14ac:dyDescent="0.2">
      <c r="A226" s="67" t="s">
        <v>2959</v>
      </c>
      <c r="B226" s="87" t="s">
        <v>2960</v>
      </c>
      <c r="C226" s="67"/>
      <c r="D226" s="67"/>
      <c r="E226" s="67"/>
      <c r="F226" s="67"/>
      <c r="G226" s="67"/>
      <c r="H226" s="67"/>
      <c r="I226" s="67"/>
      <c r="J226" s="11">
        <f>Info!$B$43</f>
        <v>0.5</v>
      </c>
      <c r="K226" s="67"/>
      <c r="L226" s="67"/>
      <c r="M226" s="67"/>
      <c r="N226" s="67"/>
      <c r="P226" s="72">
        <f t="shared" si="14"/>
        <v>7.1428571428571425E-2</v>
      </c>
      <c r="Q226" s="72">
        <f t="shared" si="12"/>
        <v>3.5714285714285712E-2</v>
      </c>
      <c r="R226" s="67">
        <f t="shared" si="13"/>
        <v>0</v>
      </c>
    </row>
    <row r="227" spans="1:18" x14ac:dyDescent="0.2">
      <c r="A227" s="67" t="s">
        <v>2961</v>
      </c>
      <c r="B227" s="87" t="s">
        <v>2962</v>
      </c>
      <c r="C227" s="67"/>
      <c r="D227" s="67"/>
      <c r="E227" s="67"/>
      <c r="F227" s="67"/>
      <c r="G227" s="67"/>
      <c r="H227" s="67"/>
      <c r="I227" s="67"/>
      <c r="J227" s="11">
        <f>Info!$B$42</f>
        <v>1</v>
      </c>
      <c r="K227" s="67"/>
      <c r="L227" s="67"/>
      <c r="M227" s="67"/>
      <c r="N227" s="67"/>
      <c r="P227" s="72">
        <f t="shared" si="14"/>
        <v>0.14285714285714285</v>
      </c>
      <c r="Q227" s="72">
        <f t="shared" si="12"/>
        <v>7.1428571428571425E-2</v>
      </c>
      <c r="R227" s="67">
        <f t="shared" si="13"/>
        <v>0</v>
      </c>
    </row>
    <row r="228" spans="1:18" x14ac:dyDescent="0.2">
      <c r="A228" s="67" t="s">
        <v>1102</v>
      </c>
      <c r="B228" s="87" t="s">
        <v>2964</v>
      </c>
      <c r="C228" s="67"/>
      <c r="D228" s="67"/>
      <c r="E228" s="67"/>
      <c r="F228" s="67"/>
      <c r="G228" s="67"/>
      <c r="H228" s="67"/>
      <c r="I228" s="67"/>
      <c r="J228" s="11">
        <f>Info!$B$42</f>
        <v>1</v>
      </c>
      <c r="K228" s="67"/>
      <c r="L228" s="67"/>
      <c r="M228" s="67"/>
      <c r="N228" s="67"/>
      <c r="P228" s="72">
        <f t="shared" si="14"/>
        <v>0.14285714285714285</v>
      </c>
      <c r="Q228" s="72">
        <f t="shared" si="12"/>
        <v>7.1428571428571425E-2</v>
      </c>
      <c r="R228" s="67">
        <f t="shared" si="13"/>
        <v>0</v>
      </c>
    </row>
    <row r="229" spans="1:18" x14ac:dyDescent="0.2">
      <c r="A229" s="67" t="s">
        <v>2965</v>
      </c>
      <c r="B229" s="87" t="s">
        <v>2966</v>
      </c>
      <c r="C229" s="67"/>
      <c r="D229" s="67"/>
      <c r="E229" s="67"/>
      <c r="F229" s="67"/>
      <c r="G229" s="67"/>
      <c r="H229" s="67"/>
      <c r="I229" s="67"/>
      <c r="J229" s="11">
        <f>Info!$B$42</f>
        <v>1</v>
      </c>
      <c r="K229" s="67"/>
      <c r="L229" s="67"/>
      <c r="M229" s="67"/>
      <c r="N229" s="67"/>
      <c r="P229" s="72">
        <f t="shared" si="14"/>
        <v>0.14285714285714285</v>
      </c>
      <c r="Q229" s="72">
        <f t="shared" si="12"/>
        <v>7.1428571428571425E-2</v>
      </c>
      <c r="R229" s="67">
        <f t="shared" si="13"/>
        <v>0</v>
      </c>
    </row>
    <row r="230" spans="1:18" x14ac:dyDescent="0.2">
      <c r="A230" s="67" t="s">
        <v>1343</v>
      </c>
      <c r="B230" s="87" t="s">
        <v>2967</v>
      </c>
      <c r="C230" s="67"/>
      <c r="D230" s="67"/>
      <c r="E230" s="67"/>
      <c r="F230" s="67"/>
      <c r="G230" s="67"/>
      <c r="H230" s="67"/>
      <c r="I230" s="67"/>
      <c r="J230" s="11">
        <f>Info!$B$42</f>
        <v>1</v>
      </c>
      <c r="K230" s="67"/>
      <c r="L230" s="67"/>
      <c r="M230" s="67"/>
      <c r="N230" s="67"/>
      <c r="P230" s="72">
        <f t="shared" si="14"/>
        <v>0.14285714285714285</v>
      </c>
      <c r="Q230" s="72">
        <f t="shared" si="12"/>
        <v>7.1428571428571425E-2</v>
      </c>
      <c r="R230" s="67">
        <f t="shared" si="13"/>
        <v>0</v>
      </c>
    </row>
    <row r="231" spans="1:18" x14ac:dyDescent="0.2">
      <c r="A231" s="67" t="s">
        <v>2968</v>
      </c>
      <c r="B231" s="87" t="s">
        <v>2969</v>
      </c>
      <c r="C231" s="67"/>
      <c r="D231" s="67"/>
      <c r="E231" s="67"/>
      <c r="F231" s="67"/>
      <c r="G231" s="67"/>
      <c r="H231" s="67"/>
      <c r="I231" s="67"/>
      <c r="J231" s="11">
        <f>Info!$B$42</f>
        <v>1</v>
      </c>
      <c r="K231" s="67"/>
      <c r="L231" s="67"/>
      <c r="M231" s="67"/>
      <c r="N231" s="67"/>
      <c r="P231" s="72">
        <f t="shared" si="14"/>
        <v>0.14285714285714285</v>
      </c>
      <c r="Q231" s="72">
        <f t="shared" si="12"/>
        <v>7.1428571428571425E-2</v>
      </c>
      <c r="R231" s="67">
        <f t="shared" si="13"/>
        <v>0</v>
      </c>
    </row>
    <row r="232" spans="1:18" x14ac:dyDescent="0.2">
      <c r="A232" s="67" t="s">
        <v>43</v>
      </c>
      <c r="B232" s="87" t="s">
        <v>2970</v>
      </c>
      <c r="C232" s="67"/>
      <c r="D232" s="67"/>
      <c r="E232" s="67"/>
      <c r="F232" s="67"/>
      <c r="G232" s="67"/>
      <c r="H232" s="67"/>
      <c r="I232" s="67"/>
      <c r="J232" s="11">
        <f>Info!$B$42</f>
        <v>1</v>
      </c>
      <c r="K232" s="67"/>
      <c r="L232" s="67"/>
      <c r="M232" s="67"/>
      <c r="N232" s="67"/>
      <c r="P232" s="72">
        <f t="shared" si="14"/>
        <v>0.14285714285714285</v>
      </c>
      <c r="Q232" s="72">
        <f t="shared" si="12"/>
        <v>7.1428571428571425E-2</v>
      </c>
      <c r="R232" s="67">
        <f t="shared" si="13"/>
        <v>0</v>
      </c>
    </row>
    <row r="233" spans="1:18" x14ac:dyDescent="0.2">
      <c r="A233" s="67" t="s">
        <v>2971</v>
      </c>
      <c r="B233" s="87" t="s">
        <v>2972</v>
      </c>
      <c r="C233" s="67"/>
      <c r="D233" s="67"/>
      <c r="E233" s="67"/>
      <c r="F233" s="67"/>
      <c r="G233" s="67"/>
      <c r="H233" s="67"/>
      <c r="I233" s="67"/>
      <c r="J233" s="11">
        <f>Info!$B$43</f>
        <v>0.5</v>
      </c>
      <c r="K233" s="67"/>
      <c r="L233" s="67"/>
      <c r="M233" s="67"/>
      <c r="N233" s="67"/>
      <c r="P233" s="72">
        <f t="shared" si="14"/>
        <v>7.1428571428571425E-2</v>
      </c>
      <c r="Q233" s="72">
        <f t="shared" si="12"/>
        <v>3.5714285714285712E-2</v>
      </c>
      <c r="R233" s="67">
        <f t="shared" si="13"/>
        <v>0</v>
      </c>
    </row>
    <row r="234" spans="1:18" x14ac:dyDescent="0.2">
      <c r="A234" s="67" t="s">
        <v>2973</v>
      </c>
      <c r="B234" s="87" t="s">
        <v>2974</v>
      </c>
      <c r="C234" s="67"/>
      <c r="D234" s="67"/>
      <c r="E234" s="67"/>
      <c r="F234" s="67"/>
      <c r="G234" s="67"/>
      <c r="H234" s="67"/>
      <c r="I234" s="67"/>
      <c r="J234" s="11">
        <f>Info!$B$42</f>
        <v>1</v>
      </c>
      <c r="K234" s="67"/>
      <c r="L234" s="67"/>
      <c r="M234" s="67"/>
      <c r="N234" s="67"/>
      <c r="P234" s="72">
        <f t="shared" si="14"/>
        <v>0.14285714285714285</v>
      </c>
      <c r="Q234" s="72">
        <f t="shared" si="12"/>
        <v>7.1428571428571425E-2</v>
      </c>
      <c r="R234" s="67">
        <f t="shared" si="13"/>
        <v>0</v>
      </c>
    </row>
    <row r="235" spans="1:18" x14ac:dyDescent="0.2">
      <c r="A235" s="67" t="s">
        <v>2975</v>
      </c>
      <c r="B235" s="87" t="s">
        <v>2976</v>
      </c>
      <c r="C235" s="67"/>
      <c r="D235" s="67"/>
      <c r="E235" s="67"/>
      <c r="F235" s="67"/>
      <c r="G235" s="67"/>
      <c r="H235" s="67"/>
      <c r="I235" s="67"/>
      <c r="J235" s="11">
        <f>Info!$B$42</f>
        <v>1</v>
      </c>
      <c r="K235" s="67"/>
      <c r="L235" s="67"/>
      <c r="M235" s="67"/>
      <c r="N235" s="67"/>
      <c r="P235" s="72">
        <f t="shared" si="14"/>
        <v>0.14285714285714285</v>
      </c>
      <c r="Q235" s="72">
        <f t="shared" si="12"/>
        <v>7.1428571428571425E-2</v>
      </c>
      <c r="R235" s="67">
        <f t="shared" si="13"/>
        <v>0</v>
      </c>
    </row>
    <row r="236" spans="1:18" x14ac:dyDescent="0.2">
      <c r="A236" s="67" t="s">
        <v>505</v>
      </c>
      <c r="B236" s="87" t="s">
        <v>2977</v>
      </c>
      <c r="C236" s="67"/>
      <c r="D236" s="67"/>
      <c r="E236" s="67"/>
      <c r="F236" s="67"/>
      <c r="G236" s="67"/>
      <c r="H236" s="67"/>
      <c r="I236" s="67"/>
      <c r="J236" s="11">
        <f>Info!$B$43</f>
        <v>0.5</v>
      </c>
      <c r="K236" s="67"/>
      <c r="L236" s="67"/>
      <c r="M236" s="67"/>
      <c r="N236" s="67"/>
      <c r="P236" s="72">
        <f t="shared" si="14"/>
        <v>7.1428571428571425E-2</v>
      </c>
      <c r="Q236" s="72">
        <f t="shared" si="12"/>
        <v>3.5714285714285712E-2</v>
      </c>
      <c r="R236" s="67">
        <f t="shared" si="13"/>
        <v>0</v>
      </c>
    </row>
    <row r="237" spans="1:18" x14ac:dyDescent="0.2">
      <c r="A237" s="67" t="s">
        <v>2978</v>
      </c>
      <c r="B237" s="87" t="s">
        <v>2979</v>
      </c>
      <c r="C237" s="67"/>
      <c r="D237" s="67"/>
      <c r="E237" s="67"/>
      <c r="F237" s="67"/>
      <c r="G237" s="67"/>
      <c r="H237" s="67"/>
      <c r="I237" s="67"/>
      <c r="J237" s="11">
        <f>Info!$B$44</f>
        <v>0</v>
      </c>
      <c r="K237" s="67"/>
      <c r="L237" s="67"/>
      <c r="M237" s="67"/>
      <c r="N237" s="67"/>
      <c r="P237" s="72">
        <f t="shared" si="14"/>
        <v>0</v>
      </c>
      <c r="Q237" s="72">
        <f t="shared" si="12"/>
        <v>0</v>
      </c>
      <c r="R237" s="67">
        <f t="shared" si="13"/>
        <v>0</v>
      </c>
    </row>
    <row r="238" spans="1:18" x14ac:dyDescent="0.2">
      <c r="A238" s="67" t="s">
        <v>2980</v>
      </c>
      <c r="B238" s="87" t="s">
        <v>2981</v>
      </c>
      <c r="C238" s="67"/>
      <c r="D238" s="67"/>
      <c r="E238" s="67"/>
      <c r="F238" s="67"/>
      <c r="G238" s="67"/>
      <c r="H238" s="67"/>
      <c r="I238" s="67"/>
      <c r="J238" s="11">
        <f>Info!$B$44</f>
        <v>0</v>
      </c>
      <c r="K238" s="67"/>
      <c r="L238" s="67"/>
      <c r="M238" s="67"/>
      <c r="N238" s="67"/>
      <c r="P238" s="72">
        <f t="shared" si="14"/>
        <v>0</v>
      </c>
      <c r="Q238" s="72">
        <f t="shared" si="12"/>
        <v>0</v>
      </c>
      <c r="R238" s="67">
        <f t="shared" si="13"/>
        <v>0</v>
      </c>
    </row>
    <row r="239" spans="1:18" x14ac:dyDescent="0.2">
      <c r="A239" s="67" t="s">
        <v>556</v>
      </c>
      <c r="B239" s="87" t="s">
        <v>2982</v>
      </c>
      <c r="C239" s="67"/>
      <c r="D239" s="67"/>
      <c r="E239" s="67"/>
      <c r="F239" s="67"/>
      <c r="G239" s="67"/>
      <c r="H239" s="67"/>
      <c r="I239" s="67"/>
      <c r="J239" s="11">
        <f>Info!$B$43</f>
        <v>0.5</v>
      </c>
      <c r="K239" s="67"/>
      <c r="L239" s="67"/>
      <c r="M239" s="67"/>
      <c r="N239" s="67"/>
      <c r="P239" s="72">
        <f t="shared" si="14"/>
        <v>7.1428571428571425E-2</v>
      </c>
      <c r="Q239" s="72">
        <f t="shared" si="12"/>
        <v>3.5714285714285712E-2</v>
      </c>
      <c r="R239" s="67">
        <f t="shared" si="13"/>
        <v>0</v>
      </c>
    </row>
    <row r="240" spans="1:18" x14ac:dyDescent="0.2">
      <c r="A240" s="67" t="s">
        <v>1316</v>
      </c>
      <c r="B240" s="87" t="s">
        <v>2983</v>
      </c>
      <c r="C240" s="67"/>
      <c r="D240" s="67"/>
      <c r="E240" s="67"/>
      <c r="F240" s="67"/>
      <c r="G240" s="67"/>
      <c r="H240" s="67"/>
      <c r="I240" s="67"/>
      <c r="J240" s="11">
        <f>Info!$B$42</f>
        <v>1</v>
      </c>
      <c r="K240" s="67"/>
      <c r="L240" s="67"/>
      <c r="M240" s="67"/>
      <c r="N240" s="67"/>
      <c r="P240" s="72">
        <f t="shared" si="14"/>
        <v>0.14285714285714285</v>
      </c>
      <c r="Q240" s="72">
        <f t="shared" si="12"/>
        <v>7.1428571428571425E-2</v>
      </c>
      <c r="R240" s="67">
        <f t="shared" si="13"/>
        <v>0</v>
      </c>
    </row>
    <row r="241" spans="1:18" x14ac:dyDescent="0.2">
      <c r="A241" s="67" t="s">
        <v>2984</v>
      </c>
      <c r="B241" s="87" t="s">
        <v>2985</v>
      </c>
      <c r="C241" s="67"/>
      <c r="D241" s="67"/>
      <c r="E241" s="67"/>
      <c r="F241" s="67"/>
      <c r="G241" s="67"/>
      <c r="H241" s="67"/>
      <c r="I241" s="67"/>
      <c r="J241" s="11">
        <f>Info!$B$42</f>
        <v>1</v>
      </c>
      <c r="K241" s="67"/>
      <c r="L241" s="67"/>
      <c r="M241" s="67"/>
      <c r="N241" s="67"/>
      <c r="P241" s="72">
        <f t="shared" si="14"/>
        <v>0.14285714285714285</v>
      </c>
      <c r="Q241" s="72">
        <f t="shared" si="12"/>
        <v>7.1428571428571425E-2</v>
      </c>
      <c r="R241" s="67">
        <f t="shared" si="13"/>
        <v>0</v>
      </c>
    </row>
    <row r="242" spans="1:18" x14ac:dyDescent="0.2">
      <c r="A242" s="67" t="s">
        <v>1267</v>
      </c>
      <c r="B242" s="87" t="s">
        <v>2986</v>
      </c>
      <c r="C242" s="67"/>
      <c r="D242" s="67"/>
      <c r="E242" s="67"/>
      <c r="F242" s="67"/>
      <c r="G242" s="67"/>
      <c r="H242" s="67"/>
      <c r="I242" s="67"/>
      <c r="J242" s="11">
        <f>Info!$B$42</f>
        <v>1</v>
      </c>
      <c r="K242" s="67"/>
      <c r="L242" s="67"/>
      <c r="M242" s="67"/>
      <c r="N242" s="67"/>
      <c r="P242" s="72">
        <f t="shared" si="14"/>
        <v>0.14285714285714285</v>
      </c>
      <c r="Q242" s="72">
        <f t="shared" si="12"/>
        <v>7.1428571428571425E-2</v>
      </c>
      <c r="R242" s="67">
        <f t="shared" si="13"/>
        <v>0</v>
      </c>
    </row>
    <row r="243" spans="1:18" x14ac:dyDescent="0.2">
      <c r="A243" s="67" t="s">
        <v>2987</v>
      </c>
      <c r="B243" s="87" t="s">
        <v>2988</v>
      </c>
      <c r="C243" s="67"/>
      <c r="D243" s="67"/>
      <c r="E243" s="67"/>
      <c r="F243" s="67"/>
      <c r="G243" s="67"/>
      <c r="H243" s="67"/>
      <c r="I243" s="67"/>
      <c r="J243" s="11">
        <f>Info!$B$42</f>
        <v>1</v>
      </c>
      <c r="K243" s="67"/>
      <c r="L243" s="67"/>
      <c r="M243" s="67"/>
      <c r="N243" s="67"/>
      <c r="P243" s="72">
        <f t="shared" si="14"/>
        <v>0.14285714285714285</v>
      </c>
      <c r="Q243" s="72">
        <f t="shared" ref="Q243:Q306" si="15">(O243+P243)/2</f>
        <v>7.1428571428571425E-2</v>
      </c>
      <c r="R243" s="67">
        <f t="shared" si="13"/>
        <v>0</v>
      </c>
    </row>
    <row r="244" spans="1:18" x14ac:dyDescent="0.2">
      <c r="A244" s="67" t="s">
        <v>2989</v>
      </c>
      <c r="B244" s="87" t="s">
        <v>2990</v>
      </c>
      <c r="C244" s="67"/>
      <c r="D244" s="67"/>
      <c r="E244" s="67"/>
      <c r="F244" s="67"/>
      <c r="G244" s="67"/>
      <c r="H244" s="67"/>
      <c r="I244" s="67"/>
      <c r="J244" s="11">
        <f>Info!$B$44</f>
        <v>0</v>
      </c>
      <c r="K244" s="67"/>
      <c r="L244" s="67"/>
      <c r="M244" s="67"/>
      <c r="N244" s="67"/>
      <c r="P244" s="72">
        <f t="shared" si="14"/>
        <v>0</v>
      </c>
      <c r="Q244" s="72">
        <f t="shared" si="15"/>
        <v>0</v>
      </c>
      <c r="R244" s="67">
        <f t="shared" si="13"/>
        <v>0</v>
      </c>
    </row>
    <row r="245" spans="1:18" x14ac:dyDescent="0.2">
      <c r="A245" s="67" t="s">
        <v>2991</v>
      </c>
      <c r="B245" s="87" t="s">
        <v>2992</v>
      </c>
      <c r="C245" s="67"/>
      <c r="D245" s="67"/>
      <c r="E245" s="67"/>
      <c r="F245" s="67"/>
      <c r="G245" s="67"/>
      <c r="H245" s="67"/>
      <c r="I245" s="67"/>
      <c r="J245" s="11">
        <f>Info!$B$42</f>
        <v>1</v>
      </c>
      <c r="K245" s="67"/>
      <c r="L245" s="67"/>
      <c r="M245" s="67"/>
      <c r="N245" s="67"/>
      <c r="P245" s="72">
        <f t="shared" si="14"/>
        <v>0.14285714285714285</v>
      </c>
      <c r="Q245" s="72">
        <f t="shared" si="15"/>
        <v>7.1428571428571425E-2</v>
      </c>
      <c r="R245" s="67">
        <f t="shared" si="13"/>
        <v>0</v>
      </c>
    </row>
    <row r="246" spans="1:18" x14ac:dyDescent="0.2">
      <c r="A246" s="67" t="s">
        <v>2993</v>
      </c>
      <c r="B246" s="87" t="s">
        <v>2994</v>
      </c>
      <c r="C246" s="67"/>
      <c r="D246" s="67"/>
      <c r="E246" s="67"/>
      <c r="F246" s="67"/>
      <c r="G246" s="67"/>
      <c r="H246" s="67"/>
      <c r="I246" s="67"/>
      <c r="J246" s="11">
        <f>Info!$B$43</f>
        <v>0.5</v>
      </c>
      <c r="K246" s="67"/>
      <c r="L246" s="67"/>
      <c r="M246" s="67"/>
      <c r="N246" s="67"/>
      <c r="P246" s="72">
        <f t="shared" si="14"/>
        <v>7.1428571428571425E-2</v>
      </c>
      <c r="Q246" s="72">
        <f t="shared" si="15"/>
        <v>3.5714285714285712E-2</v>
      </c>
      <c r="R246" s="67">
        <f t="shared" si="13"/>
        <v>0</v>
      </c>
    </row>
    <row r="247" spans="1:18" x14ac:dyDescent="0.2">
      <c r="A247" s="67" t="s">
        <v>2995</v>
      </c>
      <c r="B247" s="87" t="s">
        <v>2996</v>
      </c>
      <c r="C247" s="67"/>
      <c r="D247" s="67"/>
      <c r="E247" s="67"/>
      <c r="F247" s="67"/>
      <c r="G247" s="67"/>
      <c r="H247" s="67"/>
      <c r="I247" s="67"/>
      <c r="J247" s="11">
        <f>Info!$B$42</f>
        <v>1</v>
      </c>
      <c r="K247" s="67"/>
      <c r="L247" s="67"/>
      <c r="M247" s="67"/>
      <c r="N247" s="67"/>
      <c r="P247" s="72">
        <f t="shared" si="14"/>
        <v>0.14285714285714285</v>
      </c>
      <c r="Q247" s="72">
        <f t="shared" si="15"/>
        <v>7.1428571428571425E-2</v>
      </c>
      <c r="R247" s="67">
        <f t="shared" si="13"/>
        <v>0</v>
      </c>
    </row>
    <row r="248" spans="1:18" x14ac:dyDescent="0.2">
      <c r="A248" s="67" t="s">
        <v>2997</v>
      </c>
      <c r="B248" s="87" t="s">
        <v>2998</v>
      </c>
      <c r="C248" s="67"/>
      <c r="D248" s="67"/>
      <c r="E248" s="67"/>
      <c r="F248" s="67"/>
      <c r="G248" s="67"/>
      <c r="H248" s="67"/>
      <c r="I248" s="67"/>
      <c r="J248" s="11">
        <f>Info!$B$42</f>
        <v>1</v>
      </c>
      <c r="K248" s="67"/>
      <c r="L248" s="67"/>
      <c r="M248" s="67"/>
      <c r="N248" s="67"/>
      <c r="P248" s="72">
        <f t="shared" si="14"/>
        <v>0.14285714285714285</v>
      </c>
      <c r="Q248" s="72">
        <f t="shared" si="15"/>
        <v>7.1428571428571425E-2</v>
      </c>
      <c r="R248" s="67">
        <f t="shared" si="13"/>
        <v>0</v>
      </c>
    </row>
    <row r="249" spans="1:18" x14ac:dyDescent="0.2">
      <c r="A249" s="67" t="s">
        <v>2999</v>
      </c>
      <c r="B249" s="87" t="s">
        <v>3000</v>
      </c>
      <c r="C249" s="67"/>
      <c r="D249" s="67"/>
      <c r="E249" s="67"/>
      <c r="F249" s="67"/>
      <c r="G249" s="67"/>
      <c r="H249" s="67"/>
      <c r="I249" s="67"/>
      <c r="J249" s="11">
        <f>Info!$B$42</f>
        <v>1</v>
      </c>
      <c r="K249" s="67"/>
      <c r="L249" s="67"/>
      <c r="M249" s="67"/>
      <c r="N249" s="67"/>
      <c r="P249" s="72">
        <f t="shared" si="14"/>
        <v>0.14285714285714285</v>
      </c>
      <c r="Q249" s="72">
        <f t="shared" si="15"/>
        <v>7.1428571428571425E-2</v>
      </c>
      <c r="R249" s="67">
        <f t="shared" si="13"/>
        <v>0</v>
      </c>
    </row>
    <row r="250" spans="1:18" x14ac:dyDescent="0.2">
      <c r="A250" s="67" t="s">
        <v>3001</v>
      </c>
      <c r="B250" s="87" t="s">
        <v>3002</v>
      </c>
      <c r="C250" s="67"/>
      <c r="D250" s="67"/>
      <c r="E250" s="67"/>
      <c r="F250" s="67"/>
      <c r="G250" s="67"/>
      <c r="H250" s="67"/>
      <c r="I250" s="67"/>
      <c r="J250" s="11">
        <f>Info!$B$44</f>
        <v>0</v>
      </c>
      <c r="K250" s="67"/>
      <c r="L250" s="67"/>
      <c r="M250" s="67"/>
      <c r="N250" s="67"/>
      <c r="P250" s="72">
        <f t="shared" si="14"/>
        <v>0</v>
      </c>
      <c r="Q250" s="72">
        <f t="shared" si="15"/>
        <v>0</v>
      </c>
      <c r="R250" s="67">
        <f t="shared" si="13"/>
        <v>0</v>
      </c>
    </row>
    <row r="251" spans="1:18" x14ac:dyDescent="0.2">
      <c r="A251" s="67" t="s">
        <v>3003</v>
      </c>
      <c r="B251" s="87" t="s">
        <v>3004</v>
      </c>
      <c r="C251" s="67"/>
      <c r="D251" s="11"/>
      <c r="E251" s="11"/>
      <c r="F251" s="11"/>
      <c r="G251" s="11"/>
      <c r="H251" s="11"/>
      <c r="I251" s="11"/>
      <c r="J251" s="11">
        <f>Info!$B$42</f>
        <v>1</v>
      </c>
      <c r="K251" s="67"/>
      <c r="L251" s="67"/>
      <c r="M251" s="67"/>
      <c r="N251" s="67"/>
      <c r="P251" s="72">
        <f t="shared" si="14"/>
        <v>0.14285714285714285</v>
      </c>
      <c r="Q251" s="72">
        <f t="shared" si="15"/>
        <v>7.1428571428571425E-2</v>
      </c>
      <c r="R251" s="67">
        <f t="shared" si="13"/>
        <v>0</v>
      </c>
    </row>
    <row r="252" spans="1:18" x14ac:dyDescent="0.2">
      <c r="A252" s="67" t="s">
        <v>3005</v>
      </c>
      <c r="B252" s="87" t="s">
        <v>3006</v>
      </c>
      <c r="C252" s="67"/>
      <c r="D252" s="67"/>
      <c r="E252" s="67"/>
      <c r="F252" s="67"/>
      <c r="G252" s="67"/>
      <c r="H252" s="67"/>
      <c r="I252" s="67"/>
      <c r="J252" s="11">
        <f>Info!$B$44</f>
        <v>0</v>
      </c>
      <c r="K252" s="67"/>
      <c r="L252" s="67"/>
      <c r="M252" s="67"/>
      <c r="N252" s="67"/>
      <c r="P252" s="72">
        <f t="shared" si="14"/>
        <v>0</v>
      </c>
      <c r="Q252" s="72">
        <f t="shared" si="15"/>
        <v>0</v>
      </c>
      <c r="R252" s="67">
        <f t="shared" si="13"/>
        <v>0</v>
      </c>
    </row>
    <row r="253" spans="1:18" x14ac:dyDescent="0.2">
      <c r="A253" s="67" t="s">
        <v>3007</v>
      </c>
      <c r="B253" s="87" t="s">
        <v>3008</v>
      </c>
      <c r="C253" s="67"/>
      <c r="D253" s="67"/>
      <c r="E253" s="67"/>
      <c r="F253" s="67"/>
      <c r="G253" s="67"/>
      <c r="H253" s="67"/>
      <c r="I253" s="67"/>
      <c r="J253" s="11">
        <f>Info!$B$43</f>
        <v>0.5</v>
      </c>
      <c r="K253" s="67"/>
      <c r="L253" s="67"/>
      <c r="M253" s="67"/>
      <c r="N253" s="67"/>
      <c r="P253" s="72">
        <f t="shared" si="14"/>
        <v>7.1428571428571425E-2</v>
      </c>
      <c r="Q253" s="72">
        <f t="shared" si="15"/>
        <v>3.5714285714285712E-2</v>
      </c>
      <c r="R253" s="67">
        <f t="shared" si="13"/>
        <v>0</v>
      </c>
    </row>
    <row r="254" spans="1:18" x14ac:dyDescent="0.2">
      <c r="A254" s="67" t="s">
        <v>3009</v>
      </c>
      <c r="B254" s="87" t="s">
        <v>3010</v>
      </c>
      <c r="C254" s="67"/>
      <c r="D254" s="67"/>
      <c r="E254" s="67"/>
      <c r="F254" s="67"/>
      <c r="G254" s="67"/>
      <c r="H254" s="67"/>
      <c r="I254" s="67"/>
      <c r="J254" s="11">
        <f>Info!$B$44</f>
        <v>0</v>
      </c>
      <c r="K254" s="67"/>
      <c r="L254" s="67"/>
      <c r="M254" s="67"/>
      <c r="N254" s="67"/>
      <c r="P254" s="72">
        <f t="shared" si="14"/>
        <v>0</v>
      </c>
      <c r="Q254" s="72">
        <f t="shared" si="15"/>
        <v>0</v>
      </c>
      <c r="R254" s="67">
        <f t="shared" si="13"/>
        <v>0</v>
      </c>
    </row>
    <row r="255" spans="1:18" x14ac:dyDescent="0.2">
      <c r="A255" s="67" t="s">
        <v>3011</v>
      </c>
      <c r="B255" s="87" t="s">
        <v>3012</v>
      </c>
      <c r="C255" s="67"/>
      <c r="D255" s="67"/>
      <c r="E255" s="67"/>
      <c r="F255" s="67"/>
      <c r="G255" s="67"/>
      <c r="H255" s="67"/>
      <c r="I255" s="67"/>
      <c r="J255" s="11">
        <f>Info!$B$42</f>
        <v>1</v>
      </c>
      <c r="K255" s="67"/>
      <c r="L255" s="67"/>
      <c r="M255" s="67"/>
      <c r="N255" s="67"/>
      <c r="P255" s="72">
        <f t="shared" si="14"/>
        <v>0.14285714285714285</v>
      </c>
      <c r="Q255" s="72">
        <f t="shared" si="15"/>
        <v>7.1428571428571425E-2</v>
      </c>
      <c r="R255" s="67">
        <f t="shared" si="13"/>
        <v>0</v>
      </c>
    </row>
    <row r="256" spans="1:18" x14ac:dyDescent="0.2">
      <c r="A256" s="67" t="s">
        <v>1919</v>
      </c>
      <c r="B256" s="87" t="s">
        <v>3013</v>
      </c>
      <c r="C256" s="67"/>
      <c r="D256" s="67"/>
      <c r="E256" s="67"/>
      <c r="F256" s="67"/>
      <c r="G256" s="67"/>
      <c r="H256" s="67"/>
      <c r="I256" s="67"/>
      <c r="J256" s="11">
        <f>Info!$B$43</f>
        <v>0.5</v>
      </c>
      <c r="K256" s="67"/>
      <c r="L256" s="67"/>
      <c r="M256" s="67"/>
      <c r="N256" s="67"/>
      <c r="P256" s="72">
        <f t="shared" si="14"/>
        <v>7.1428571428571425E-2</v>
      </c>
      <c r="Q256" s="72">
        <f t="shared" si="15"/>
        <v>3.5714285714285712E-2</v>
      </c>
      <c r="R256" s="67">
        <f t="shared" si="13"/>
        <v>0</v>
      </c>
    </row>
    <row r="257" spans="1:18" x14ac:dyDescent="0.2">
      <c r="A257" s="67" t="s">
        <v>3014</v>
      </c>
      <c r="B257" s="87" t="s">
        <v>3015</v>
      </c>
      <c r="C257" s="67"/>
      <c r="D257" s="67"/>
      <c r="E257" s="67"/>
      <c r="F257" s="67"/>
      <c r="G257" s="67"/>
      <c r="H257" s="67"/>
      <c r="I257" s="67"/>
      <c r="J257" s="11">
        <f>Info!$B$44</f>
        <v>0</v>
      </c>
      <c r="K257" s="67"/>
      <c r="L257" s="67"/>
      <c r="M257" s="67"/>
      <c r="N257" s="67"/>
      <c r="P257" s="72">
        <f t="shared" si="14"/>
        <v>0</v>
      </c>
      <c r="Q257" s="72">
        <f t="shared" si="15"/>
        <v>0</v>
      </c>
      <c r="R257" s="67">
        <f t="shared" si="13"/>
        <v>0</v>
      </c>
    </row>
    <row r="258" spans="1:18" x14ac:dyDescent="0.2">
      <c r="A258" s="67" t="s">
        <v>3016</v>
      </c>
      <c r="B258" s="87" t="s">
        <v>3017</v>
      </c>
      <c r="C258" s="67"/>
      <c r="D258" s="67"/>
      <c r="E258" s="67"/>
      <c r="F258" s="67"/>
      <c r="G258" s="67"/>
      <c r="H258" s="67"/>
      <c r="I258" s="67"/>
      <c r="J258" s="11">
        <f>Info!$B$43</f>
        <v>0.5</v>
      </c>
      <c r="K258" s="67"/>
      <c r="L258" s="67"/>
      <c r="M258" s="67"/>
      <c r="N258" s="67"/>
      <c r="P258" s="72">
        <f t="shared" si="14"/>
        <v>7.1428571428571425E-2</v>
      </c>
      <c r="Q258" s="72">
        <f t="shared" si="15"/>
        <v>3.5714285714285712E-2</v>
      </c>
      <c r="R258" s="67">
        <f t="shared" ref="R258:R321" si="16">IF(_xlfn.BITAND(P258&gt;0.4999, Q258&gt;0.4999)=1,1,0)</f>
        <v>0</v>
      </c>
    </row>
    <row r="259" spans="1:18" x14ac:dyDescent="0.2">
      <c r="A259" s="67" t="s">
        <v>3018</v>
      </c>
      <c r="B259" s="87" t="s">
        <v>3019</v>
      </c>
      <c r="C259" s="67"/>
      <c r="D259" s="67"/>
      <c r="E259" s="67"/>
      <c r="F259" s="67"/>
      <c r="G259" s="67"/>
      <c r="H259" s="67"/>
      <c r="I259" s="67"/>
      <c r="J259" s="11">
        <f>Info!$B$44</f>
        <v>0</v>
      </c>
      <c r="K259" s="67"/>
      <c r="L259" s="67"/>
      <c r="M259" s="67"/>
      <c r="N259" s="67"/>
      <c r="P259" s="72">
        <f t="shared" si="14"/>
        <v>0</v>
      </c>
      <c r="Q259" s="72">
        <f t="shared" si="15"/>
        <v>0</v>
      </c>
      <c r="R259" s="67">
        <f t="shared" si="16"/>
        <v>0</v>
      </c>
    </row>
    <row r="260" spans="1:18" x14ac:dyDescent="0.2">
      <c r="A260" s="67" t="s">
        <v>990</v>
      </c>
      <c r="B260" s="87" t="s">
        <v>3020</v>
      </c>
      <c r="C260" s="67"/>
      <c r="D260" s="67"/>
      <c r="E260" s="67"/>
      <c r="F260" s="67"/>
      <c r="G260" s="67"/>
      <c r="H260" s="67"/>
      <c r="I260" s="67"/>
      <c r="J260" s="11">
        <f>Info!$B$42</f>
        <v>1</v>
      </c>
      <c r="K260" s="67"/>
      <c r="L260" s="67"/>
      <c r="M260" s="67"/>
      <c r="N260" s="67"/>
      <c r="P260" s="72">
        <f t="shared" si="14"/>
        <v>0.14285714285714285</v>
      </c>
      <c r="Q260" s="72">
        <f t="shared" si="15"/>
        <v>7.1428571428571425E-2</v>
      </c>
      <c r="R260" s="67">
        <f t="shared" si="16"/>
        <v>0</v>
      </c>
    </row>
    <row r="261" spans="1:18" x14ac:dyDescent="0.2">
      <c r="A261" s="67" t="s">
        <v>2270</v>
      </c>
      <c r="B261" s="87" t="s">
        <v>3021</v>
      </c>
      <c r="C261" s="67"/>
      <c r="D261" s="67"/>
      <c r="E261" s="67"/>
      <c r="F261" s="67"/>
      <c r="G261" s="67"/>
      <c r="H261" s="67"/>
      <c r="I261" s="67"/>
      <c r="J261" s="11">
        <f>Info!$B$44</f>
        <v>0</v>
      </c>
      <c r="K261" s="67"/>
      <c r="L261" s="67"/>
      <c r="M261" s="67"/>
      <c r="N261" s="67"/>
      <c r="P261" s="72">
        <f t="shared" si="14"/>
        <v>0</v>
      </c>
      <c r="Q261" s="72">
        <f t="shared" si="15"/>
        <v>0</v>
      </c>
      <c r="R261" s="67">
        <f t="shared" si="16"/>
        <v>0</v>
      </c>
    </row>
    <row r="262" spans="1:18" x14ac:dyDescent="0.2">
      <c r="A262" s="67" t="s">
        <v>182</v>
      </c>
      <c r="B262" s="87" t="s">
        <v>3022</v>
      </c>
      <c r="C262" s="67"/>
      <c r="D262" s="67"/>
      <c r="E262" s="67"/>
      <c r="F262" s="67"/>
      <c r="G262" s="67"/>
      <c r="H262" s="67"/>
      <c r="I262" s="67"/>
      <c r="J262" s="11">
        <f>Info!$B$42</f>
        <v>1</v>
      </c>
      <c r="K262" s="67"/>
      <c r="L262" s="67"/>
      <c r="M262" s="67"/>
      <c r="N262" s="67"/>
      <c r="P262" s="72">
        <f t="shared" si="14"/>
        <v>0.14285714285714285</v>
      </c>
      <c r="Q262" s="72">
        <f t="shared" si="15"/>
        <v>7.1428571428571425E-2</v>
      </c>
      <c r="R262" s="67">
        <f t="shared" si="16"/>
        <v>0</v>
      </c>
    </row>
    <row r="263" spans="1:18" x14ac:dyDescent="0.2">
      <c r="A263" s="67" t="s">
        <v>3023</v>
      </c>
      <c r="B263" s="87" t="s">
        <v>3024</v>
      </c>
      <c r="C263" s="67"/>
      <c r="D263" s="67"/>
      <c r="E263" s="67"/>
      <c r="F263" s="67"/>
      <c r="G263" s="67"/>
      <c r="H263" s="67"/>
      <c r="I263" s="67"/>
      <c r="J263" s="11">
        <f>Info!$B$43</f>
        <v>0.5</v>
      </c>
      <c r="K263" s="67"/>
      <c r="L263" s="67"/>
      <c r="M263" s="67"/>
      <c r="N263" s="67"/>
      <c r="P263" s="72">
        <f t="shared" si="14"/>
        <v>7.1428571428571425E-2</v>
      </c>
      <c r="Q263" s="72">
        <f t="shared" si="15"/>
        <v>3.5714285714285712E-2</v>
      </c>
      <c r="R263" s="67">
        <f t="shared" si="16"/>
        <v>0</v>
      </c>
    </row>
    <row r="264" spans="1:18" x14ac:dyDescent="0.2">
      <c r="A264" s="67" t="s">
        <v>3025</v>
      </c>
      <c r="B264" s="87" t="s">
        <v>3026</v>
      </c>
      <c r="C264" s="67"/>
      <c r="D264" s="67"/>
      <c r="E264" s="67"/>
      <c r="F264" s="67"/>
      <c r="G264" s="67"/>
      <c r="H264" s="67"/>
      <c r="I264" s="67"/>
      <c r="J264" s="11">
        <f>Info!$B$44</f>
        <v>0</v>
      </c>
      <c r="K264" s="67"/>
      <c r="L264" s="67"/>
      <c r="M264" s="67"/>
      <c r="N264" s="67"/>
      <c r="P264" s="72">
        <f t="shared" si="14"/>
        <v>0</v>
      </c>
      <c r="Q264" s="72">
        <f t="shared" si="15"/>
        <v>0</v>
      </c>
      <c r="R264" s="67">
        <f t="shared" si="16"/>
        <v>0</v>
      </c>
    </row>
    <row r="265" spans="1:18" x14ac:dyDescent="0.2">
      <c r="A265" s="67" t="s">
        <v>3027</v>
      </c>
      <c r="B265" s="87" t="s">
        <v>3028</v>
      </c>
      <c r="C265" s="67"/>
      <c r="D265" s="67"/>
      <c r="E265" s="67"/>
      <c r="F265" s="67"/>
      <c r="G265" s="67"/>
      <c r="H265" s="67"/>
      <c r="I265" s="67"/>
      <c r="J265" s="11">
        <f>Info!$B$42</f>
        <v>1</v>
      </c>
      <c r="K265" s="67"/>
      <c r="L265" s="67"/>
      <c r="M265" s="67"/>
      <c r="N265" s="67"/>
      <c r="P265" s="72">
        <f t="shared" si="14"/>
        <v>0.14285714285714285</v>
      </c>
      <c r="Q265" s="72">
        <f t="shared" si="15"/>
        <v>7.1428571428571425E-2</v>
      </c>
      <c r="R265" s="67">
        <f t="shared" si="16"/>
        <v>0</v>
      </c>
    </row>
    <row r="266" spans="1:18" x14ac:dyDescent="0.2">
      <c r="A266" s="67" t="s">
        <v>3029</v>
      </c>
      <c r="B266" s="87" t="s">
        <v>3030</v>
      </c>
      <c r="C266" s="67"/>
      <c r="D266" s="67"/>
      <c r="E266" s="67"/>
      <c r="F266" s="67"/>
      <c r="G266" s="67"/>
      <c r="H266" s="67"/>
      <c r="I266" s="67"/>
      <c r="J266" s="11">
        <f>Info!$B$42</f>
        <v>1</v>
      </c>
      <c r="K266" s="67"/>
      <c r="L266" s="67"/>
      <c r="M266" s="67"/>
      <c r="N266" s="67"/>
      <c r="P266" s="72">
        <f t="shared" si="14"/>
        <v>0.14285714285714285</v>
      </c>
      <c r="Q266" s="72">
        <f t="shared" si="15"/>
        <v>7.1428571428571425E-2</v>
      </c>
      <c r="R266" s="67">
        <f t="shared" si="16"/>
        <v>0</v>
      </c>
    </row>
    <row r="267" spans="1:18" x14ac:dyDescent="0.2">
      <c r="A267" s="67" t="s">
        <v>3031</v>
      </c>
      <c r="B267" s="87" t="s">
        <v>3032</v>
      </c>
      <c r="C267" s="67"/>
      <c r="D267" s="67"/>
      <c r="E267" s="67"/>
      <c r="F267" s="67"/>
      <c r="G267" s="67"/>
      <c r="H267" s="67"/>
      <c r="I267" s="67"/>
      <c r="J267" s="11">
        <f>Info!$B$44</f>
        <v>0</v>
      </c>
      <c r="K267" s="67"/>
      <c r="L267" s="67"/>
      <c r="M267" s="67"/>
      <c r="N267" s="67"/>
      <c r="P267" s="72">
        <f t="shared" si="14"/>
        <v>0</v>
      </c>
      <c r="Q267" s="72">
        <f t="shared" si="15"/>
        <v>0</v>
      </c>
      <c r="R267" s="67">
        <f t="shared" si="16"/>
        <v>0</v>
      </c>
    </row>
    <row r="268" spans="1:18" x14ac:dyDescent="0.2">
      <c r="A268" s="67" t="s">
        <v>92</v>
      </c>
      <c r="B268" s="87" t="s">
        <v>3033</v>
      </c>
      <c r="C268" s="67"/>
      <c r="D268" s="67"/>
      <c r="E268" s="67"/>
      <c r="F268" s="67"/>
      <c r="G268" s="67"/>
      <c r="H268" s="67"/>
      <c r="I268" s="67"/>
      <c r="J268" s="11">
        <f>Info!$B$42</f>
        <v>1</v>
      </c>
      <c r="K268" s="67"/>
      <c r="L268" s="67"/>
      <c r="M268" s="67"/>
      <c r="N268" s="67"/>
      <c r="P268" s="72">
        <f t="shared" si="14"/>
        <v>0.14285714285714285</v>
      </c>
      <c r="Q268" s="72">
        <f t="shared" si="15"/>
        <v>7.1428571428571425E-2</v>
      </c>
      <c r="R268" s="67">
        <f t="shared" si="16"/>
        <v>0</v>
      </c>
    </row>
    <row r="269" spans="1:18" x14ac:dyDescent="0.2">
      <c r="A269" s="67" t="s">
        <v>209</v>
      </c>
      <c r="B269" s="87" t="s">
        <v>3034</v>
      </c>
      <c r="C269" s="67"/>
      <c r="D269" s="67"/>
      <c r="E269" s="67"/>
      <c r="F269" s="67"/>
      <c r="G269" s="67"/>
      <c r="H269" s="67"/>
      <c r="I269" s="67"/>
      <c r="J269" s="11">
        <f>Info!$B$42</f>
        <v>1</v>
      </c>
      <c r="K269" s="67"/>
      <c r="L269" s="67"/>
      <c r="M269" s="67"/>
      <c r="N269" s="67"/>
      <c r="P269" s="72">
        <f t="shared" si="14"/>
        <v>0.14285714285714285</v>
      </c>
      <c r="Q269" s="72">
        <f t="shared" si="15"/>
        <v>7.1428571428571425E-2</v>
      </c>
      <c r="R269" s="67">
        <f t="shared" si="16"/>
        <v>0</v>
      </c>
    </row>
    <row r="270" spans="1:18" x14ac:dyDescent="0.2">
      <c r="A270" s="67" t="s">
        <v>885</v>
      </c>
      <c r="B270" s="87" t="s">
        <v>3035</v>
      </c>
      <c r="C270" s="67"/>
      <c r="D270" s="67"/>
      <c r="E270" s="67"/>
      <c r="F270" s="67"/>
      <c r="G270" s="67"/>
      <c r="H270" s="67"/>
      <c r="I270" s="67"/>
      <c r="J270" s="11">
        <f>Info!$B$42</f>
        <v>1</v>
      </c>
      <c r="K270" s="67"/>
      <c r="L270" s="67"/>
      <c r="M270" s="67"/>
      <c r="N270" s="67"/>
      <c r="P270" s="72">
        <f t="shared" si="14"/>
        <v>0.14285714285714285</v>
      </c>
      <c r="Q270" s="72">
        <f t="shared" si="15"/>
        <v>7.1428571428571425E-2</v>
      </c>
      <c r="R270" s="67">
        <f t="shared" si="16"/>
        <v>0</v>
      </c>
    </row>
    <row r="271" spans="1:18" x14ac:dyDescent="0.2">
      <c r="A271" s="67" t="s">
        <v>75</v>
      </c>
      <c r="B271" s="87" t="s">
        <v>3036</v>
      </c>
      <c r="C271" s="67"/>
      <c r="D271" s="67"/>
      <c r="E271" s="67"/>
      <c r="F271" s="67"/>
      <c r="G271" s="67"/>
      <c r="H271" s="67"/>
      <c r="I271" s="67"/>
      <c r="J271" s="11">
        <f>Info!$B$42</f>
        <v>1</v>
      </c>
      <c r="K271" s="67"/>
      <c r="L271" s="67"/>
      <c r="M271" s="67"/>
      <c r="N271" s="67"/>
      <c r="P271" s="72">
        <f t="shared" si="14"/>
        <v>0.14285714285714285</v>
      </c>
      <c r="Q271" s="72">
        <f t="shared" si="15"/>
        <v>7.1428571428571425E-2</v>
      </c>
      <c r="R271" s="67">
        <f t="shared" si="16"/>
        <v>0</v>
      </c>
    </row>
    <row r="272" spans="1:18" x14ac:dyDescent="0.2">
      <c r="A272" s="67" t="s">
        <v>3037</v>
      </c>
      <c r="B272" s="87" t="s">
        <v>3038</v>
      </c>
      <c r="C272" s="67"/>
      <c r="D272" s="67"/>
      <c r="E272" s="67"/>
      <c r="F272" s="67"/>
      <c r="G272" s="67"/>
      <c r="H272" s="67"/>
      <c r="I272" s="67"/>
      <c r="J272" s="11">
        <f>Info!$B$44</f>
        <v>0</v>
      </c>
      <c r="K272" s="67"/>
      <c r="L272" s="67"/>
      <c r="M272" s="67"/>
      <c r="N272" s="67"/>
      <c r="P272" s="72">
        <f t="shared" si="14"/>
        <v>0</v>
      </c>
      <c r="Q272" s="72">
        <f t="shared" si="15"/>
        <v>0</v>
      </c>
      <c r="R272" s="67">
        <f t="shared" si="16"/>
        <v>0</v>
      </c>
    </row>
    <row r="273" spans="1:18" x14ac:dyDescent="0.2">
      <c r="A273" s="67" t="s">
        <v>339</v>
      </c>
      <c r="B273" s="87" t="s">
        <v>3039</v>
      </c>
      <c r="C273" s="67"/>
      <c r="D273" s="67"/>
      <c r="E273" s="67"/>
      <c r="F273" s="67"/>
      <c r="G273" s="67"/>
      <c r="H273" s="67"/>
      <c r="I273" s="67"/>
      <c r="J273" s="11">
        <f>Info!$B$43</f>
        <v>0.5</v>
      </c>
      <c r="K273" s="67"/>
      <c r="L273" s="67"/>
      <c r="M273" s="67"/>
      <c r="N273" s="67"/>
      <c r="P273" s="72">
        <f t="shared" si="14"/>
        <v>7.1428571428571425E-2</v>
      </c>
      <c r="Q273" s="72">
        <f t="shared" si="15"/>
        <v>3.5714285714285712E-2</v>
      </c>
      <c r="R273" s="67">
        <f t="shared" si="16"/>
        <v>0</v>
      </c>
    </row>
    <row r="274" spans="1:18" x14ac:dyDescent="0.2">
      <c r="A274" s="67" t="s">
        <v>3040</v>
      </c>
      <c r="B274" s="87" t="s">
        <v>3041</v>
      </c>
      <c r="C274" s="67"/>
      <c r="D274" s="67"/>
      <c r="E274" s="67"/>
      <c r="F274" s="67"/>
      <c r="G274" s="67"/>
      <c r="H274" s="67"/>
      <c r="I274" s="67"/>
      <c r="J274" s="11">
        <f>Info!$B$42</f>
        <v>1</v>
      </c>
      <c r="K274" s="67"/>
      <c r="L274" s="67"/>
      <c r="M274" s="67"/>
      <c r="N274" s="67"/>
      <c r="P274" s="72">
        <f t="shared" si="14"/>
        <v>0.14285714285714285</v>
      </c>
      <c r="Q274" s="72">
        <f t="shared" si="15"/>
        <v>7.1428571428571425E-2</v>
      </c>
      <c r="R274" s="67">
        <f t="shared" si="16"/>
        <v>0</v>
      </c>
    </row>
    <row r="275" spans="1:18" x14ac:dyDescent="0.2">
      <c r="A275" s="67" t="s">
        <v>3042</v>
      </c>
      <c r="B275" s="87" t="s">
        <v>3043</v>
      </c>
      <c r="C275" s="67"/>
      <c r="D275" s="67"/>
      <c r="E275" s="67"/>
      <c r="F275" s="67"/>
      <c r="G275" s="67"/>
      <c r="H275" s="67"/>
      <c r="I275" s="67"/>
      <c r="J275" s="11">
        <f>Info!$B$44</f>
        <v>0</v>
      </c>
      <c r="K275" s="67"/>
      <c r="L275" s="67"/>
      <c r="M275" s="67"/>
      <c r="N275" s="67"/>
      <c r="P275" s="72">
        <f t="shared" si="14"/>
        <v>0</v>
      </c>
      <c r="Q275" s="72">
        <f t="shared" si="15"/>
        <v>0</v>
      </c>
      <c r="R275" s="67">
        <f t="shared" si="16"/>
        <v>0</v>
      </c>
    </row>
    <row r="276" spans="1:18" x14ac:dyDescent="0.2">
      <c r="A276" s="67" t="s">
        <v>3044</v>
      </c>
      <c r="B276" s="87" t="s">
        <v>3045</v>
      </c>
      <c r="C276" s="67"/>
      <c r="D276" s="67"/>
      <c r="E276" s="67"/>
      <c r="F276" s="67"/>
      <c r="G276" s="67"/>
      <c r="H276" s="67"/>
      <c r="I276" s="67"/>
      <c r="J276" s="11">
        <f>Info!$B$44</f>
        <v>0</v>
      </c>
      <c r="K276" s="67"/>
      <c r="L276" s="67"/>
      <c r="M276" s="67"/>
      <c r="N276" s="67"/>
      <c r="P276" s="72">
        <f t="shared" si="14"/>
        <v>0</v>
      </c>
      <c r="Q276" s="72">
        <f t="shared" si="15"/>
        <v>0</v>
      </c>
      <c r="R276" s="67">
        <f t="shared" si="16"/>
        <v>0</v>
      </c>
    </row>
    <row r="277" spans="1:18" x14ac:dyDescent="0.2">
      <c r="A277" s="67" t="s">
        <v>3046</v>
      </c>
      <c r="B277" s="87" t="s">
        <v>3047</v>
      </c>
      <c r="C277" s="67"/>
      <c r="D277" s="67"/>
      <c r="E277" s="67"/>
      <c r="F277" s="67"/>
      <c r="G277" s="67"/>
      <c r="H277" s="67"/>
      <c r="I277" s="67"/>
      <c r="J277" s="11">
        <f>Info!$B$43</f>
        <v>0.5</v>
      </c>
      <c r="K277" s="67"/>
      <c r="L277" s="67"/>
      <c r="M277" s="67"/>
      <c r="N277" s="67"/>
      <c r="P277" s="72">
        <f t="shared" si="14"/>
        <v>7.1428571428571425E-2</v>
      </c>
      <c r="Q277" s="72">
        <f t="shared" si="15"/>
        <v>3.5714285714285712E-2</v>
      </c>
      <c r="R277" s="67">
        <f t="shared" si="16"/>
        <v>0</v>
      </c>
    </row>
    <row r="278" spans="1:18" x14ac:dyDescent="0.2">
      <c r="A278" s="67" t="s">
        <v>306</v>
      </c>
      <c r="B278" s="87" t="s">
        <v>3048</v>
      </c>
      <c r="C278" s="67"/>
      <c r="D278" s="67"/>
      <c r="E278" s="67"/>
      <c r="F278" s="67"/>
      <c r="G278" s="67"/>
      <c r="H278" s="67"/>
      <c r="I278" s="67"/>
      <c r="J278" s="11">
        <f>Info!$B$43</f>
        <v>0.5</v>
      </c>
      <c r="K278" s="67"/>
      <c r="L278" s="67"/>
      <c r="M278" s="67"/>
      <c r="N278" s="67"/>
      <c r="P278" s="72">
        <f t="shared" si="14"/>
        <v>7.1428571428571425E-2</v>
      </c>
      <c r="Q278" s="72">
        <f t="shared" si="15"/>
        <v>3.5714285714285712E-2</v>
      </c>
      <c r="R278" s="67">
        <f t="shared" si="16"/>
        <v>0</v>
      </c>
    </row>
    <row r="279" spans="1:18" x14ac:dyDescent="0.2">
      <c r="A279" s="67" t="s">
        <v>2374</v>
      </c>
      <c r="B279" s="87" t="s">
        <v>3049</v>
      </c>
      <c r="C279" s="67"/>
      <c r="D279" s="67"/>
      <c r="E279" s="67"/>
      <c r="F279" s="67"/>
      <c r="G279" s="67"/>
      <c r="H279" s="67"/>
      <c r="I279" s="67"/>
      <c r="J279" s="11">
        <f>Info!$B$44</f>
        <v>0</v>
      </c>
      <c r="K279" s="67"/>
      <c r="L279" s="67"/>
      <c r="M279" s="67"/>
      <c r="N279" s="67"/>
      <c r="P279" s="72">
        <f t="shared" si="14"/>
        <v>0</v>
      </c>
      <c r="Q279" s="72">
        <f t="shared" si="15"/>
        <v>0</v>
      </c>
      <c r="R279" s="67">
        <f t="shared" si="16"/>
        <v>0</v>
      </c>
    </row>
    <row r="280" spans="1:18" x14ac:dyDescent="0.2">
      <c r="A280" s="67" t="s">
        <v>240</v>
      </c>
      <c r="B280" s="87" t="s">
        <v>3050</v>
      </c>
      <c r="C280" s="67"/>
      <c r="D280" s="67"/>
      <c r="E280" s="67"/>
      <c r="F280" s="67"/>
      <c r="G280" s="67"/>
      <c r="H280" s="67"/>
      <c r="I280" s="67"/>
      <c r="J280" s="11">
        <f>Info!$B$42</f>
        <v>1</v>
      </c>
      <c r="K280" s="67"/>
      <c r="L280" s="67"/>
      <c r="M280" s="67"/>
      <c r="N280" s="67"/>
      <c r="P280" s="72">
        <f t="shared" si="14"/>
        <v>0.14285714285714285</v>
      </c>
      <c r="Q280" s="72">
        <f t="shared" si="15"/>
        <v>7.1428571428571425E-2</v>
      </c>
      <c r="R280" s="67">
        <f t="shared" si="16"/>
        <v>0</v>
      </c>
    </row>
    <row r="281" spans="1:18" x14ac:dyDescent="0.2">
      <c r="A281" s="67" t="s">
        <v>3051</v>
      </c>
      <c r="B281" s="87" t="s">
        <v>3052</v>
      </c>
      <c r="C281" s="67"/>
      <c r="D281" s="67"/>
      <c r="E281" s="67"/>
      <c r="F281" s="67"/>
      <c r="G281" s="67"/>
      <c r="H281" s="67"/>
      <c r="I281" s="67"/>
      <c r="J281" s="11">
        <f>Info!$B$42</f>
        <v>1</v>
      </c>
      <c r="K281" s="67"/>
      <c r="L281" s="67"/>
      <c r="M281" s="67"/>
      <c r="N281" s="67"/>
      <c r="P281" s="72">
        <f t="shared" si="14"/>
        <v>0.14285714285714285</v>
      </c>
      <c r="Q281" s="72">
        <f t="shared" si="15"/>
        <v>7.1428571428571425E-2</v>
      </c>
      <c r="R281" s="67">
        <f t="shared" si="16"/>
        <v>0</v>
      </c>
    </row>
    <row r="282" spans="1:18" x14ac:dyDescent="0.2">
      <c r="A282" s="67" t="s">
        <v>943</v>
      </c>
      <c r="B282" s="87" t="s">
        <v>3053</v>
      </c>
      <c r="C282" s="67"/>
      <c r="D282" s="67"/>
      <c r="E282" s="67"/>
      <c r="F282" s="67"/>
      <c r="G282" s="67"/>
      <c r="H282" s="67"/>
      <c r="I282" s="67"/>
      <c r="J282" s="11">
        <f>Info!$B$42</f>
        <v>1</v>
      </c>
      <c r="K282" s="67"/>
      <c r="L282" s="67"/>
      <c r="M282" s="67"/>
      <c r="N282" s="67"/>
      <c r="P282" s="72">
        <f t="shared" si="14"/>
        <v>0.14285714285714285</v>
      </c>
      <c r="Q282" s="72">
        <f t="shared" si="15"/>
        <v>7.1428571428571425E-2</v>
      </c>
      <c r="R282" s="67">
        <f t="shared" si="16"/>
        <v>0</v>
      </c>
    </row>
    <row r="283" spans="1:18" x14ac:dyDescent="0.2">
      <c r="A283" s="67" t="s">
        <v>3054</v>
      </c>
      <c r="B283" s="87" t="s">
        <v>3055</v>
      </c>
      <c r="C283" s="67"/>
      <c r="D283" s="67"/>
      <c r="E283" s="67"/>
      <c r="F283" s="67"/>
      <c r="G283" s="67"/>
      <c r="H283" s="67"/>
      <c r="I283" s="67"/>
      <c r="J283" s="11">
        <f>Info!$B$43</f>
        <v>0.5</v>
      </c>
      <c r="K283" s="67"/>
      <c r="L283" s="67"/>
      <c r="M283" s="67"/>
      <c r="N283" s="67"/>
      <c r="P283" s="72">
        <f t="shared" ref="P283:P346" si="17">(D283+E283+F283+G283+H283+I283+J283)/7</f>
        <v>7.1428571428571425E-2</v>
      </c>
      <c r="Q283" s="72">
        <f t="shared" si="15"/>
        <v>3.5714285714285712E-2</v>
      </c>
      <c r="R283" s="67">
        <f t="shared" si="16"/>
        <v>0</v>
      </c>
    </row>
    <row r="284" spans="1:18" x14ac:dyDescent="0.2">
      <c r="A284" s="67" t="s">
        <v>3056</v>
      </c>
      <c r="B284" s="87" t="s">
        <v>3057</v>
      </c>
      <c r="C284" s="67"/>
      <c r="D284" s="67"/>
      <c r="E284" s="67"/>
      <c r="F284" s="67"/>
      <c r="G284" s="67"/>
      <c r="H284" s="67"/>
      <c r="I284" s="67"/>
      <c r="J284" s="11">
        <f>Info!$B$43</f>
        <v>0.5</v>
      </c>
      <c r="K284" s="67"/>
      <c r="L284" s="67"/>
      <c r="M284" s="67"/>
      <c r="N284" s="67"/>
      <c r="P284" s="72">
        <f t="shared" si="17"/>
        <v>7.1428571428571425E-2</v>
      </c>
      <c r="Q284" s="72">
        <f t="shared" si="15"/>
        <v>3.5714285714285712E-2</v>
      </c>
      <c r="R284" s="67">
        <f t="shared" si="16"/>
        <v>0</v>
      </c>
    </row>
    <row r="285" spans="1:18" x14ac:dyDescent="0.2">
      <c r="A285" s="67" t="s">
        <v>3058</v>
      </c>
      <c r="B285" s="87" t="s">
        <v>3059</v>
      </c>
      <c r="C285" s="67"/>
      <c r="D285" s="67"/>
      <c r="E285" s="67"/>
      <c r="F285" s="67"/>
      <c r="G285" s="67"/>
      <c r="H285" s="67"/>
      <c r="I285" s="67"/>
      <c r="J285" s="11">
        <f>Info!$B$42</f>
        <v>1</v>
      </c>
      <c r="K285" s="67"/>
      <c r="L285" s="67"/>
      <c r="M285" s="67"/>
      <c r="N285" s="67"/>
      <c r="P285" s="72">
        <f t="shared" si="17"/>
        <v>0.14285714285714285</v>
      </c>
      <c r="Q285" s="72">
        <f t="shared" si="15"/>
        <v>7.1428571428571425E-2</v>
      </c>
      <c r="R285" s="67">
        <f t="shared" si="16"/>
        <v>0</v>
      </c>
    </row>
    <row r="286" spans="1:18" x14ac:dyDescent="0.2">
      <c r="A286" s="67" t="s">
        <v>730</v>
      </c>
      <c r="B286" s="87" t="s">
        <v>3060</v>
      </c>
      <c r="C286" s="67"/>
      <c r="D286" s="67"/>
      <c r="E286" s="67"/>
      <c r="F286" s="67"/>
      <c r="G286" s="67"/>
      <c r="H286" s="67"/>
      <c r="I286" s="67"/>
      <c r="J286" s="11">
        <f>Info!$B$44</f>
        <v>0</v>
      </c>
      <c r="K286" s="67"/>
      <c r="L286" s="67"/>
      <c r="M286" s="67"/>
      <c r="N286" s="67"/>
      <c r="P286" s="72">
        <f t="shared" si="17"/>
        <v>0</v>
      </c>
      <c r="Q286" s="72">
        <f t="shared" si="15"/>
        <v>0</v>
      </c>
      <c r="R286" s="67">
        <f t="shared" si="16"/>
        <v>0</v>
      </c>
    </row>
    <row r="287" spans="1:18" x14ac:dyDescent="0.2">
      <c r="A287" s="67" t="s">
        <v>23</v>
      </c>
      <c r="B287" s="87" t="s">
        <v>3061</v>
      </c>
      <c r="C287" s="67"/>
      <c r="D287" s="67"/>
      <c r="E287" s="67"/>
      <c r="F287" s="67"/>
      <c r="G287" s="67"/>
      <c r="H287" s="67"/>
      <c r="I287" s="67"/>
      <c r="J287" s="11">
        <f>Info!$B$42</f>
        <v>1</v>
      </c>
      <c r="K287" s="67"/>
      <c r="L287" s="67"/>
      <c r="M287" s="67"/>
      <c r="N287" s="67"/>
      <c r="P287" s="72">
        <f t="shared" si="17"/>
        <v>0.14285714285714285</v>
      </c>
      <c r="Q287" s="72">
        <f t="shared" si="15"/>
        <v>7.1428571428571425E-2</v>
      </c>
      <c r="R287" s="67">
        <f t="shared" si="16"/>
        <v>0</v>
      </c>
    </row>
    <row r="288" spans="1:18" x14ac:dyDescent="0.2">
      <c r="A288" s="67" t="s">
        <v>1567</v>
      </c>
      <c r="B288" s="87" t="s">
        <v>3062</v>
      </c>
      <c r="C288" s="67"/>
      <c r="D288" s="67"/>
      <c r="E288" s="67"/>
      <c r="F288" s="67"/>
      <c r="G288" s="67"/>
      <c r="H288" s="67"/>
      <c r="I288" s="67"/>
      <c r="J288" s="11">
        <f>Info!$B$42</f>
        <v>1</v>
      </c>
      <c r="K288" s="67"/>
      <c r="L288" s="67"/>
      <c r="M288" s="67"/>
      <c r="N288" s="67"/>
      <c r="P288" s="72">
        <f t="shared" si="17"/>
        <v>0.14285714285714285</v>
      </c>
      <c r="Q288" s="72">
        <f t="shared" si="15"/>
        <v>7.1428571428571425E-2</v>
      </c>
      <c r="R288" s="67">
        <f t="shared" si="16"/>
        <v>0</v>
      </c>
    </row>
    <row r="289" spans="1:18" x14ac:dyDescent="0.2">
      <c r="A289" s="67" t="s">
        <v>853</v>
      </c>
      <c r="B289" s="87" t="s">
        <v>3063</v>
      </c>
      <c r="C289" s="67"/>
      <c r="D289" s="67"/>
      <c r="E289" s="67"/>
      <c r="F289" s="67"/>
      <c r="G289" s="67"/>
      <c r="H289" s="67"/>
      <c r="I289" s="67"/>
      <c r="J289" s="11">
        <f>Info!$B$44</f>
        <v>0</v>
      </c>
      <c r="K289" s="67"/>
      <c r="L289" s="67"/>
      <c r="M289" s="67"/>
      <c r="N289" s="67"/>
      <c r="P289" s="72">
        <f t="shared" si="17"/>
        <v>0</v>
      </c>
      <c r="Q289" s="72">
        <f t="shared" si="15"/>
        <v>0</v>
      </c>
      <c r="R289" s="67">
        <f t="shared" si="16"/>
        <v>0</v>
      </c>
    </row>
    <row r="290" spans="1:18" x14ac:dyDescent="0.2">
      <c r="A290" s="67" t="s">
        <v>2281</v>
      </c>
      <c r="B290" s="87" t="s">
        <v>3064</v>
      </c>
      <c r="C290" s="67"/>
      <c r="D290" s="67"/>
      <c r="E290" s="67"/>
      <c r="F290" s="67"/>
      <c r="G290" s="67"/>
      <c r="H290" s="67"/>
      <c r="I290" s="67"/>
      <c r="J290" s="11">
        <f>Info!$B$43</f>
        <v>0.5</v>
      </c>
      <c r="K290" s="67"/>
      <c r="L290" s="67"/>
      <c r="M290" s="67"/>
      <c r="N290" s="67"/>
      <c r="P290" s="72">
        <f t="shared" si="17"/>
        <v>7.1428571428571425E-2</v>
      </c>
      <c r="Q290" s="72">
        <f t="shared" si="15"/>
        <v>3.5714285714285712E-2</v>
      </c>
      <c r="R290" s="67">
        <f t="shared" si="16"/>
        <v>0</v>
      </c>
    </row>
    <row r="291" spans="1:18" x14ac:dyDescent="0.2">
      <c r="A291" s="67" t="s">
        <v>3065</v>
      </c>
      <c r="B291" s="87" t="s">
        <v>3066</v>
      </c>
      <c r="C291" s="67"/>
      <c r="D291" s="67"/>
      <c r="E291" s="67"/>
      <c r="F291" s="67"/>
      <c r="G291" s="67"/>
      <c r="H291" s="67"/>
      <c r="I291" s="67"/>
      <c r="J291" s="11">
        <f>Info!$B$43</f>
        <v>0.5</v>
      </c>
      <c r="K291" s="67"/>
      <c r="L291" s="67"/>
      <c r="M291" s="67"/>
      <c r="N291" s="67"/>
      <c r="P291" s="72">
        <f t="shared" si="17"/>
        <v>7.1428571428571425E-2</v>
      </c>
      <c r="Q291" s="72">
        <f t="shared" si="15"/>
        <v>3.5714285714285712E-2</v>
      </c>
      <c r="R291" s="67">
        <f t="shared" si="16"/>
        <v>0</v>
      </c>
    </row>
    <row r="292" spans="1:18" x14ac:dyDescent="0.2">
      <c r="A292" s="67" t="s">
        <v>1068</v>
      </c>
      <c r="B292" s="87" t="s">
        <v>3067</v>
      </c>
      <c r="C292" s="67"/>
      <c r="D292" s="67"/>
      <c r="E292" s="67"/>
      <c r="F292" s="67"/>
      <c r="G292" s="67"/>
      <c r="H292" s="67"/>
      <c r="I292" s="67"/>
      <c r="J292" s="11">
        <f>Info!$B$42</f>
        <v>1</v>
      </c>
      <c r="K292" s="67"/>
      <c r="L292" s="67"/>
      <c r="M292" s="67"/>
      <c r="N292" s="67"/>
      <c r="P292" s="72">
        <f t="shared" si="17"/>
        <v>0.14285714285714285</v>
      </c>
      <c r="Q292" s="72">
        <f t="shared" si="15"/>
        <v>7.1428571428571425E-2</v>
      </c>
      <c r="R292" s="67">
        <f t="shared" si="16"/>
        <v>0</v>
      </c>
    </row>
    <row r="293" spans="1:18" x14ac:dyDescent="0.2">
      <c r="A293" s="67" t="s">
        <v>3068</v>
      </c>
      <c r="B293" s="87" t="s">
        <v>3069</v>
      </c>
      <c r="C293" s="67"/>
      <c r="D293" s="67"/>
      <c r="E293" s="67"/>
      <c r="F293" s="67"/>
      <c r="G293" s="67"/>
      <c r="H293" s="67"/>
      <c r="I293" s="67"/>
      <c r="J293" s="11">
        <f>Info!$B$43</f>
        <v>0.5</v>
      </c>
      <c r="K293" s="67"/>
      <c r="L293" s="67"/>
      <c r="M293" s="67"/>
      <c r="N293" s="67"/>
      <c r="P293" s="72">
        <f t="shared" si="17"/>
        <v>7.1428571428571425E-2</v>
      </c>
      <c r="Q293" s="72">
        <f t="shared" si="15"/>
        <v>3.5714285714285712E-2</v>
      </c>
      <c r="R293" s="67">
        <f t="shared" si="16"/>
        <v>0</v>
      </c>
    </row>
    <row r="294" spans="1:18" x14ac:dyDescent="0.2">
      <c r="A294" s="67" t="s">
        <v>651</v>
      </c>
      <c r="B294" s="87" t="s">
        <v>3070</v>
      </c>
      <c r="C294" s="67"/>
      <c r="D294" s="67"/>
      <c r="E294" s="67"/>
      <c r="F294" s="67"/>
      <c r="G294" s="67"/>
      <c r="H294" s="67"/>
      <c r="I294" s="67"/>
      <c r="J294" s="11">
        <f>Info!$B$44</f>
        <v>0</v>
      </c>
      <c r="K294" s="67"/>
      <c r="L294" s="67"/>
      <c r="M294" s="67"/>
      <c r="N294" s="67"/>
      <c r="P294" s="72">
        <f t="shared" si="17"/>
        <v>0</v>
      </c>
      <c r="Q294" s="72">
        <f t="shared" si="15"/>
        <v>0</v>
      </c>
      <c r="R294" s="67">
        <f t="shared" si="16"/>
        <v>0</v>
      </c>
    </row>
    <row r="295" spans="1:18" x14ac:dyDescent="0.2">
      <c r="A295" s="67" t="s">
        <v>3072</v>
      </c>
      <c r="B295" s="87" t="s">
        <v>3073</v>
      </c>
      <c r="C295" s="67"/>
      <c r="D295" s="67"/>
      <c r="E295" s="67"/>
      <c r="F295" s="67"/>
      <c r="G295" s="67"/>
      <c r="H295" s="67"/>
      <c r="I295" s="67"/>
      <c r="J295" s="11">
        <f>Info!$B$44</f>
        <v>0</v>
      </c>
      <c r="K295" s="67"/>
      <c r="L295" s="67"/>
      <c r="M295" s="67"/>
      <c r="N295" s="67"/>
      <c r="P295" s="72">
        <f t="shared" si="17"/>
        <v>0</v>
      </c>
      <c r="Q295" s="72">
        <f t="shared" si="15"/>
        <v>0</v>
      </c>
      <c r="R295" s="67">
        <f t="shared" si="16"/>
        <v>0</v>
      </c>
    </row>
    <row r="296" spans="1:18" x14ac:dyDescent="0.2">
      <c r="A296" s="67" t="s">
        <v>3074</v>
      </c>
      <c r="B296" s="87" t="s">
        <v>3075</v>
      </c>
      <c r="C296" s="67"/>
      <c r="D296" s="67"/>
      <c r="E296" s="67"/>
      <c r="F296" s="67"/>
      <c r="G296" s="67"/>
      <c r="H296" s="67"/>
      <c r="I296" s="67"/>
      <c r="J296" s="11">
        <f>Info!$B$43</f>
        <v>0.5</v>
      </c>
      <c r="K296" s="67"/>
      <c r="L296" s="67"/>
      <c r="M296" s="67"/>
      <c r="N296" s="67"/>
      <c r="P296" s="72">
        <f t="shared" si="17"/>
        <v>7.1428571428571425E-2</v>
      </c>
      <c r="Q296" s="72">
        <f t="shared" si="15"/>
        <v>3.5714285714285712E-2</v>
      </c>
      <c r="R296" s="67">
        <f t="shared" si="16"/>
        <v>0</v>
      </c>
    </row>
    <row r="297" spans="1:18" x14ac:dyDescent="0.2">
      <c r="A297" s="67" t="s">
        <v>3076</v>
      </c>
      <c r="B297" s="87" t="s">
        <v>3077</v>
      </c>
      <c r="C297" s="67"/>
      <c r="D297" s="67"/>
      <c r="E297" s="67"/>
      <c r="F297" s="67"/>
      <c r="G297" s="67"/>
      <c r="H297" s="67"/>
      <c r="I297" s="67"/>
      <c r="J297" s="11">
        <f>Info!$B$44</f>
        <v>0</v>
      </c>
      <c r="K297" s="67"/>
      <c r="L297" s="67"/>
      <c r="M297" s="67"/>
      <c r="N297" s="67"/>
      <c r="P297" s="72">
        <f t="shared" si="17"/>
        <v>0</v>
      </c>
      <c r="Q297" s="72">
        <f t="shared" si="15"/>
        <v>0</v>
      </c>
      <c r="R297" s="67">
        <f t="shared" si="16"/>
        <v>0</v>
      </c>
    </row>
    <row r="298" spans="1:18" x14ac:dyDescent="0.2">
      <c r="A298" s="67" t="s">
        <v>3078</v>
      </c>
      <c r="B298" s="87" t="s">
        <v>3079</v>
      </c>
      <c r="C298" s="67"/>
      <c r="D298" s="67"/>
      <c r="E298" s="67"/>
      <c r="F298" s="67"/>
      <c r="G298" s="67"/>
      <c r="H298" s="67"/>
      <c r="I298" s="67"/>
      <c r="J298" s="11">
        <f>Info!$B$44</f>
        <v>0</v>
      </c>
      <c r="K298" s="67"/>
      <c r="L298" s="67"/>
      <c r="M298" s="67"/>
      <c r="N298" s="67"/>
      <c r="P298" s="72">
        <f t="shared" si="17"/>
        <v>0</v>
      </c>
      <c r="Q298" s="72">
        <f t="shared" si="15"/>
        <v>0</v>
      </c>
      <c r="R298" s="67">
        <f t="shared" si="16"/>
        <v>0</v>
      </c>
    </row>
    <row r="299" spans="1:18" x14ac:dyDescent="0.2">
      <c r="A299" s="67" t="s">
        <v>30</v>
      </c>
      <c r="B299" s="87" t="s">
        <v>3080</v>
      </c>
      <c r="C299" s="67"/>
      <c r="D299" s="67"/>
      <c r="E299" s="67"/>
      <c r="F299" s="67"/>
      <c r="G299" s="67"/>
      <c r="H299" s="67"/>
      <c r="I299" s="67"/>
      <c r="J299" s="11">
        <f>Info!$B$42</f>
        <v>1</v>
      </c>
      <c r="K299" s="67"/>
      <c r="L299" s="67"/>
      <c r="M299" s="67"/>
      <c r="N299" s="67"/>
      <c r="P299" s="72">
        <f t="shared" si="17"/>
        <v>0.14285714285714285</v>
      </c>
      <c r="Q299" s="72">
        <f t="shared" si="15"/>
        <v>7.1428571428571425E-2</v>
      </c>
      <c r="R299" s="67">
        <f t="shared" si="16"/>
        <v>0</v>
      </c>
    </row>
    <row r="300" spans="1:18" x14ac:dyDescent="0.2">
      <c r="A300" s="67" t="s">
        <v>3081</v>
      </c>
      <c r="B300" s="87" t="s">
        <v>3082</v>
      </c>
      <c r="C300" s="67"/>
      <c r="D300" s="67"/>
      <c r="E300" s="67"/>
      <c r="F300" s="67"/>
      <c r="G300" s="67"/>
      <c r="H300" s="67"/>
      <c r="I300" s="67"/>
      <c r="J300" s="11">
        <f>Info!$B$42</f>
        <v>1</v>
      </c>
      <c r="K300" s="67"/>
      <c r="L300" s="67"/>
      <c r="M300" s="67"/>
      <c r="N300" s="67"/>
      <c r="P300" s="72">
        <f t="shared" si="17"/>
        <v>0.14285714285714285</v>
      </c>
      <c r="Q300" s="72">
        <f t="shared" si="15"/>
        <v>7.1428571428571425E-2</v>
      </c>
      <c r="R300" s="67">
        <f t="shared" si="16"/>
        <v>0</v>
      </c>
    </row>
    <row r="301" spans="1:18" x14ac:dyDescent="0.2">
      <c r="A301" s="67" t="s">
        <v>3083</v>
      </c>
      <c r="B301" s="87" t="s">
        <v>3084</v>
      </c>
      <c r="C301" s="67"/>
      <c r="D301" s="67"/>
      <c r="E301" s="67"/>
      <c r="F301" s="67"/>
      <c r="G301" s="67"/>
      <c r="H301" s="67"/>
      <c r="I301" s="67"/>
      <c r="J301" s="11">
        <f>Info!$B$44</f>
        <v>0</v>
      </c>
      <c r="K301" s="67"/>
      <c r="L301" s="67"/>
      <c r="M301" s="67"/>
      <c r="N301" s="67"/>
      <c r="P301" s="72">
        <f t="shared" si="17"/>
        <v>0</v>
      </c>
      <c r="Q301" s="72">
        <f t="shared" si="15"/>
        <v>0</v>
      </c>
      <c r="R301" s="67">
        <f t="shared" si="16"/>
        <v>0</v>
      </c>
    </row>
    <row r="302" spans="1:18" x14ac:dyDescent="0.2">
      <c r="A302" s="67" t="s">
        <v>3085</v>
      </c>
      <c r="B302" s="87" t="s">
        <v>3086</v>
      </c>
      <c r="C302" s="67"/>
      <c r="D302" s="67"/>
      <c r="E302" s="67"/>
      <c r="F302" s="67"/>
      <c r="G302" s="67"/>
      <c r="H302" s="67"/>
      <c r="I302" s="67"/>
      <c r="J302" s="11">
        <f>Info!$B$43</f>
        <v>0.5</v>
      </c>
      <c r="K302" s="67"/>
      <c r="L302" s="67"/>
      <c r="M302" s="67"/>
      <c r="N302" s="67"/>
      <c r="P302" s="72">
        <f t="shared" si="17"/>
        <v>7.1428571428571425E-2</v>
      </c>
      <c r="Q302" s="72">
        <f t="shared" si="15"/>
        <v>3.5714285714285712E-2</v>
      </c>
      <c r="R302" s="67">
        <f t="shared" si="16"/>
        <v>0</v>
      </c>
    </row>
    <row r="303" spans="1:18" x14ac:dyDescent="0.2">
      <c r="A303" s="67" t="s">
        <v>2261</v>
      </c>
      <c r="B303" s="87" t="s">
        <v>3087</v>
      </c>
      <c r="C303" s="67"/>
      <c r="D303" s="67"/>
      <c r="E303" s="67"/>
      <c r="F303" s="67"/>
      <c r="G303" s="67"/>
      <c r="H303" s="67"/>
      <c r="I303" s="67"/>
      <c r="J303" s="11">
        <f>Info!$B$44</f>
        <v>0</v>
      </c>
      <c r="K303" s="67"/>
      <c r="L303" s="67"/>
      <c r="M303" s="67"/>
      <c r="N303" s="67"/>
      <c r="P303" s="72">
        <f t="shared" si="17"/>
        <v>0</v>
      </c>
      <c r="Q303" s="72">
        <f t="shared" si="15"/>
        <v>0</v>
      </c>
      <c r="R303" s="67">
        <f t="shared" si="16"/>
        <v>0</v>
      </c>
    </row>
    <row r="304" spans="1:18" x14ac:dyDescent="0.2">
      <c r="A304" s="67" t="s">
        <v>3088</v>
      </c>
      <c r="B304" s="87" t="s">
        <v>3089</v>
      </c>
      <c r="C304" s="67"/>
      <c r="D304" s="67"/>
      <c r="E304" s="67"/>
      <c r="F304" s="67"/>
      <c r="G304" s="67"/>
      <c r="H304" s="67"/>
      <c r="I304" s="67"/>
      <c r="J304" s="11">
        <f>Info!$B$44</f>
        <v>0</v>
      </c>
      <c r="K304" s="67"/>
      <c r="L304" s="67"/>
      <c r="M304" s="67"/>
      <c r="N304" s="67"/>
      <c r="P304" s="72">
        <f t="shared" si="17"/>
        <v>0</v>
      </c>
      <c r="Q304" s="72">
        <f t="shared" si="15"/>
        <v>0</v>
      </c>
      <c r="R304" s="67">
        <f t="shared" si="16"/>
        <v>0</v>
      </c>
    </row>
    <row r="305" spans="1:18" x14ac:dyDescent="0.2">
      <c r="A305" s="67" t="s">
        <v>1328</v>
      </c>
      <c r="B305" s="87" t="s">
        <v>3090</v>
      </c>
      <c r="C305" s="67"/>
      <c r="D305" s="67"/>
      <c r="E305" s="67"/>
      <c r="F305" s="67"/>
      <c r="G305" s="67"/>
      <c r="H305" s="67"/>
      <c r="I305" s="67"/>
      <c r="J305" s="11">
        <f>Info!$B$42</f>
        <v>1</v>
      </c>
      <c r="K305" s="67"/>
      <c r="L305" s="67"/>
      <c r="M305" s="67"/>
      <c r="N305" s="67"/>
      <c r="P305" s="72">
        <f t="shared" si="17"/>
        <v>0.14285714285714285</v>
      </c>
      <c r="Q305" s="72">
        <f t="shared" si="15"/>
        <v>7.1428571428571425E-2</v>
      </c>
      <c r="R305" s="67">
        <f t="shared" si="16"/>
        <v>0</v>
      </c>
    </row>
    <row r="306" spans="1:18" x14ac:dyDescent="0.2">
      <c r="A306" s="67" t="s">
        <v>381</v>
      </c>
      <c r="B306" s="87" t="s">
        <v>3091</v>
      </c>
      <c r="C306" s="67"/>
      <c r="D306" s="67"/>
      <c r="E306" s="67"/>
      <c r="F306" s="67"/>
      <c r="G306" s="67"/>
      <c r="H306" s="67"/>
      <c r="I306" s="67"/>
      <c r="J306" s="11">
        <f>Info!$B$42</f>
        <v>1</v>
      </c>
      <c r="K306" s="67"/>
      <c r="L306" s="67"/>
      <c r="M306" s="67"/>
      <c r="N306" s="67"/>
      <c r="P306" s="72">
        <f t="shared" si="17"/>
        <v>0.14285714285714285</v>
      </c>
      <c r="Q306" s="72">
        <f t="shared" si="15"/>
        <v>7.1428571428571425E-2</v>
      </c>
      <c r="R306" s="67">
        <f t="shared" si="16"/>
        <v>0</v>
      </c>
    </row>
    <row r="307" spans="1:18" x14ac:dyDescent="0.2">
      <c r="A307" s="67" t="s">
        <v>397</v>
      </c>
      <c r="B307" s="87" t="s">
        <v>3092</v>
      </c>
      <c r="C307" s="67"/>
      <c r="D307" s="67"/>
      <c r="E307" s="67"/>
      <c r="F307" s="67"/>
      <c r="G307" s="67"/>
      <c r="H307" s="67"/>
      <c r="I307" s="67"/>
      <c r="J307" s="11">
        <f>Info!$B$42</f>
        <v>1</v>
      </c>
      <c r="K307" s="67"/>
      <c r="L307" s="67"/>
      <c r="M307" s="67"/>
      <c r="N307" s="67"/>
      <c r="P307" s="72">
        <f t="shared" si="17"/>
        <v>0.14285714285714285</v>
      </c>
      <c r="Q307" s="72">
        <f t="shared" ref="Q307:Q370" si="18">(O307+P307)/2</f>
        <v>7.1428571428571425E-2</v>
      </c>
      <c r="R307" s="67">
        <f t="shared" si="16"/>
        <v>0</v>
      </c>
    </row>
    <row r="308" spans="1:18" x14ac:dyDescent="0.2">
      <c r="A308" s="67" t="s">
        <v>217</v>
      </c>
      <c r="B308" s="87" t="s">
        <v>3093</v>
      </c>
      <c r="C308" s="67"/>
      <c r="D308" s="11"/>
      <c r="E308" s="11"/>
      <c r="F308" s="11"/>
      <c r="G308" s="11"/>
      <c r="H308" s="11"/>
      <c r="I308" s="11"/>
      <c r="J308" s="11">
        <f>Info!$B$43</f>
        <v>0.5</v>
      </c>
      <c r="K308" s="67"/>
      <c r="L308" s="67"/>
      <c r="M308" s="67"/>
      <c r="N308" s="67"/>
      <c r="P308" s="72">
        <f t="shared" si="17"/>
        <v>7.1428571428571425E-2</v>
      </c>
      <c r="Q308" s="72">
        <f t="shared" si="18"/>
        <v>3.5714285714285712E-2</v>
      </c>
      <c r="R308" s="67">
        <f t="shared" si="16"/>
        <v>0</v>
      </c>
    </row>
    <row r="309" spans="1:18" x14ac:dyDescent="0.2">
      <c r="A309" s="67" t="s">
        <v>3094</v>
      </c>
      <c r="B309" s="87" t="s">
        <v>3095</v>
      </c>
      <c r="C309" s="67"/>
      <c r="D309" s="67"/>
      <c r="E309" s="67"/>
      <c r="F309" s="67"/>
      <c r="G309" s="67"/>
      <c r="H309" s="67"/>
      <c r="I309" s="67"/>
      <c r="J309" s="11">
        <f>Info!$B$42</f>
        <v>1</v>
      </c>
      <c r="K309" s="67"/>
      <c r="L309" s="67"/>
      <c r="M309" s="67"/>
      <c r="N309" s="67"/>
      <c r="P309" s="72">
        <f t="shared" si="17"/>
        <v>0.14285714285714285</v>
      </c>
      <c r="Q309" s="72">
        <f t="shared" si="18"/>
        <v>7.1428571428571425E-2</v>
      </c>
      <c r="R309" s="67">
        <f t="shared" si="16"/>
        <v>0</v>
      </c>
    </row>
    <row r="310" spans="1:18" x14ac:dyDescent="0.2">
      <c r="A310" s="67" t="s">
        <v>3096</v>
      </c>
      <c r="B310" s="87" t="s">
        <v>3097</v>
      </c>
      <c r="C310" s="67"/>
      <c r="D310" s="67"/>
      <c r="E310" s="67"/>
      <c r="F310" s="67"/>
      <c r="G310" s="67"/>
      <c r="H310" s="67"/>
      <c r="I310" s="67"/>
      <c r="J310" s="11">
        <f>Info!$B$42</f>
        <v>1</v>
      </c>
      <c r="K310" s="67"/>
      <c r="L310" s="67"/>
      <c r="M310" s="67"/>
      <c r="N310" s="67"/>
      <c r="P310" s="72">
        <f t="shared" si="17"/>
        <v>0.14285714285714285</v>
      </c>
      <c r="Q310" s="72">
        <f t="shared" si="18"/>
        <v>7.1428571428571425E-2</v>
      </c>
      <c r="R310" s="67">
        <f t="shared" si="16"/>
        <v>0</v>
      </c>
    </row>
    <row r="311" spans="1:18" x14ac:dyDescent="0.2">
      <c r="A311" s="67" t="s">
        <v>3098</v>
      </c>
      <c r="B311" s="87" t="s">
        <v>3099</v>
      </c>
      <c r="C311" s="67"/>
      <c r="D311" s="67"/>
      <c r="E311" s="67"/>
      <c r="F311" s="67"/>
      <c r="G311" s="67"/>
      <c r="H311" s="67"/>
      <c r="I311" s="67"/>
      <c r="J311" s="11">
        <f>Info!$B$43</f>
        <v>0.5</v>
      </c>
      <c r="K311" s="67"/>
      <c r="L311" s="67"/>
      <c r="M311" s="67"/>
      <c r="N311" s="67"/>
      <c r="P311" s="72">
        <f t="shared" si="17"/>
        <v>7.1428571428571425E-2</v>
      </c>
      <c r="Q311" s="72">
        <f t="shared" si="18"/>
        <v>3.5714285714285712E-2</v>
      </c>
      <c r="R311" s="67">
        <f t="shared" si="16"/>
        <v>0</v>
      </c>
    </row>
    <row r="312" spans="1:18" x14ac:dyDescent="0.2">
      <c r="A312" s="67" t="s">
        <v>3100</v>
      </c>
      <c r="B312" s="87" t="s">
        <v>3101</v>
      </c>
      <c r="C312" s="67"/>
      <c r="D312" s="67"/>
      <c r="E312" s="67"/>
      <c r="F312" s="67"/>
      <c r="G312" s="67"/>
      <c r="H312" s="67"/>
      <c r="I312" s="67"/>
      <c r="J312" s="11">
        <f>Info!$B$42</f>
        <v>1</v>
      </c>
      <c r="K312" s="67"/>
      <c r="L312" s="67"/>
      <c r="M312" s="67"/>
      <c r="N312" s="67"/>
      <c r="P312" s="72">
        <f t="shared" si="17"/>
        <v>0.14285714285714285</v>
      </c>
      <c r="Q312" s="72">
        <f t="shared" si="18"/>
        <v>7.1428571428571425E-2</v>
      </c>
      <c r="R312" s="67">
        <f t="shared" si="16"/>
        <v>0</v>
      </c>
    </row>
    <row r="313" spans="1:18" x14ac:dyDescent="0.2">
      <c r="A313" s="67" t="s">
        <v>3102</v>
      </c>
      <c r="B313" s="87" t="s">
        <v>3103</v>
      </c>
      <c r="C313" s="67"/>
      <c r="D313" s="67"/>
      <c r="E313" s="67"/>
      <c r="F313" s="67"/>
      <c r="G313" s="67"/>
      <c r="H313" s="67"/>
      <c r="I313" s="67"/>
      <c r="J313" s="11">
        <f>Info!$B$42</f>
        <v>1</v>
      </c>
      <c r="K313" s="67"/>
      <c r="L313" s="67"/>
      <c r="M313" s="67"/>
      <c r="N313" s="67"/>
      <c r="P313" s="72">
        <f t="shared" si="17"/>
        <v>0.14285714285714285</v>
      </c>
      <c r="Q313" s="72">
        <f t="shared" si="18"/>
        <v>7.1428571428571425E-2</v>
      </c>
      <c r="R313" s="67">
        <f t="shared" si="16"/>
        <v>0</v>
      </c>
    </row>
    <row r="314" spans="1:18" x14ac:dyDescent="0.2">
      <c r="A314" s="67" t="s">
        <v>3104</v>
      </c>
      <c r="B314" s="87" t="s">
        <v>3105</v>
      </c>
      <c r="C314" s="67"/>
      <c r="D314" s="67"/>
      <c r="E314" s="67"/>
      <c r="F314" s="67"/>
      <c r="G314" s="67"/>
      <c r="H314" s="67"/>
      <c r="I314" s="67"/>
      <c r="J314" s="11">
        <f>Info!$B$42</f>
        <v>1</v>
      </c>
      <c r="K314" s="67"/>
      <c r="L314" s="67"/>
      <c r="M314" s="67"/>
      <c r="N314" s="67"/>
      <c r="P314" s="72">
        <f t="shared" si="17"/>
        <v>0.14285714285714285</v>
      </c>
      <c r="Q314" s="72">
        <f t="shared" si="18"/>
        <v>7.1428571428571425E-2</v>
      </c>
      <c r="R314" s="67">
        <f t="shared" si="16"/>
        <v>0</v>
      </c>
    </row>
    <row r="315" spans="1:18" x14ac:dyDescent="0.2">
      <c r="A315" s="67" t="s">
        <v>166</v>
      </c>
      <c r="B315" s="87" t="s">
        <v>3106</v>
      </c>
      <c r="C315" s="67"/>
      <c r="D315" s="67"/>
      <c r="E315" s="67"/>
      <c r="F315" s="67"/>
      <c r="G315" s="67"/>
      <c r="H315" s="67"/>
      <c r="I315" s="67"/>
      <c r="J315" s="11">
        <f>Info!$B$42</f>
        <v>1</v>
      </c>
      <c r="K315" s="67"/>
      <c r="L315" s="67"/>
      <c r="M315" s="67"/>
      <c r="N315" s="67"/>
      <c r="P315" s="72">
        <f t="shared" si="17"/>
        <v>0.14285714285714285</v>
      </c>
      <c r="Q315" s="72">
        <f t="shared" si="18"/>
        <v>7.1428571428571425E-2</v>
      </c>
      <c r="R315" s="67">
        <f t="shared" si="16"/>
        <v>0</v>
      </c>
    </row>
    <row r="316" spans="1:18" x14ac:dyDescent="0.2">
      <c r="A316" s="67" t="s">
        <v>3107</v>
      </c>
      <c r="B316" s="87" t="s">
        <v>3108</v>
      </c>
      <c r="C316" s="67"/>
      <c r="D316" s="67"/>
      <c r="E316" s="67"/>
      <c r="F316" s="67"/>
      <c r="G316" s="67"/>
      <c r="H316" s="67"/>
      <c r="I316" s="67"/>
      <c r="J316" s="11">
        <f>Info!$B$42</f>
        <v>1</v>
      </c>
      <c r="K316" s="67"/>
      <c r="L316" s="67"/>
      <c r="M316" s="67"/>
      <c r="N316" s="67"/>
      <c r="P316" s="72">
        <f t="shared" si="17"/>
        <v>0.14285714285714285</v>
      </c>
      <c r="Q316" s="72">
        <f t="shared" si="18"/>
        <v>7.1428571428571425E-2</v>
      </c>
      <c r="R316" s="67">
        <f t="shared" si="16"/>
        <v>0</v>
      </c>
    </row>
    <row r="317" spans="1:18" x14ac:dyDescent="0.2">
      <c r="A317" s="67" t="s">
        <v>3109</v>
      </c>
      <c r="B317" s="87" t="s">
        <v>3110</v>
      </c>
      <c r="C317" s="67"/>
      <c r="D317" s="67"/>
      <c r="E317" s="67"/>
      <c r="F317" s="67"/>
      <c r="G317" s="67"/>
      <c r="H317" s="67"/>
      <c r="I317" s="67"/>
      <c r="J317" s="11">
        <f>Info!$B$44</f>
        <v>0</v>
      </c>
      <c r="K317" s="67"/>
      <c r="L317" s="67"/>
      <c r="M317" s="67"/>
      <c r="N317" s="67"/>
      <c r="P317" s="72">
        <f t="shared" si="17"/>
        <v>0</v>
      </c>
      <c r="Q317" s="72">
        <f t="shared" si="18"/>
        <v>0</v>
      </c>
      <c r="R317" s="67">
        <f t="shared" si="16"/>
        <v>0</v>
      </c>
    </row>
    <row r="318" spans="1:18" x14ac:dyDescent="0.2">
      <c r="A318" s="67" t="s">
        <v>3111</v>
      </c>
      <c r="B318" s="87" t="s">
        <v>3112</v>
      </c>
      <c r="C318" s="67"/>
      <c r="D318" s="67"/>
      <c r="E318" s="67"/>
      <c r="F318" s="67"/>
      <c r="G318" s="67"/>
      <c r="H318" s="67"/>
      <c r="I318" s="67"/>
      <c r="J318" s="11">
        <f>Info!$B$42</f>
        <v>1</v>
      </c>
      <c r="K318" s="67"/>
      <c r="L318" s="67"/>
      <c r="M318" s="67"/>
      <c r="N318" s="67"/>
      <c r="P318" s="72">
        <f t="shared" si="17"/>
        <v>0.14285714285714285</v>
      </c>
      <c r="Q318" s="72">
        <f t="shared" si="18"/>
        <v>7.1428571428571425E-2</v>
      </c>
      <c r="R318" s="67">
        <f t="shared" si="16"/>
        <v>0</v>
      </c>
    </row>
    <row r="319" spans="1:18" x14ac:dyDescent="0.2">
      <c r="A319" s="67" t="s">
        <v>3113</v>
      </c>
      <c r="B319" s="87" t="s">
        <v>3114</v>
      </c>
      <c r="C319" s="67"/>
      <c r="D319" s="67"/>
      <c r="E319" s="67"/>
      <c r="F319" s="67"/>
      <c r="G319" s="67"/>
      <c r="H319" s="67"/>
      <c r="I319" s="67"/>
      <c r="J319" s="11">
        <f>Info!$B$44</f>
        <v>0</v>
      </c>
      <c r="K319" s="67"/>
      <c r="L319" s="67"/>
      <c r="M319" s="67"/>
      <c r="N319" s="67"/>
      <c r="P319" s="72">
        <f t="shared" si="17"/>
        <v>0</v>
      </c>
      <c r="Q319" s="72">
        <f t="shared" si="18"/>
        <v>0</v>
      </c>
      <c r="R319" s="67">
        <f t="shared" si="16"/>
        <v>0</v>
      </c>
    </row>
    <row r="320" spans="1:18" x14ac:dyDescent="0.2">
      <c r="A320" s="67" t="s">
        <v>3115</v>
      </c>
      <c r="B320" s="87" t="s">
        <v>3116</v>
      </c>
      <c r="C320" s="67"/>
      <c r="D320" s="67"/>
      <c r="E320" s="67"/>
      <c r="F320" s="67"/>
      <c r="G320" s="67"/>
      <c r="H320" s="67"/>
      <c r="I320" s="67"/>
      <c r="J320" s="11">
        <f>Info!$B$44</f>
        <v>0</v>
      </c>
      <c r="K320" s="67"/>
      <c r="L320" s="67"/>
      <c r="M320" s="67"/>
      <c r="N320" s="67"/>
      <c r="P320" s="72">
        <f t="shared" si="17"/>
        <v>0</v>
      </c>
      <c r="Q320" s="72">
        <f t="shared" si="18"/>
        <v>0</v>
      </c>
      <c r="R320" s="67">
        <f t="shared" si="16"/>
        <v>0</v>
      </c>
    </row>
    <row r="321" spans="1:18" x14ac:dyDescent="0.2">
      <c r="A321" s="67" t="s">
        <v>2342</v>
      </c>
      <c r="B321" s="87" t="s">
        <v>3117</v>
      </c>
      <c r="C321" s="67"/>
      <c r="D321" s="67"/>
      <c r="E321" s="67"/>
      <c r="F321" s="67"/>
      <c r="G321" s="67"/>
      <c r="H321" s="67"/>
      <c r="I321" s="67"/>
      <c r="J321" s="11">
        <f>Info!$B$44</f>
        <v>0</v>
      </c>
      <c r="K321" s="67"/>
      <c r="L321" s="67"/>
      <c r="M321" s="67"/>
      <c r="N321" s="67"/>
      <c r="P321" s="72">
        <f t="shared" si="17"/>
        <v>0</v>
      </c>
      <c r="Q321" s="72">
        <f t="shared" si="18"/>
        <v>0</v>
      </c>
      <c r="R321" s="67">
        <f t="shared" si="16"/>
        <v>0</v>
      </c>
    </row>
    <row r="322" spans="1:18" x14ac:dyDescent="0.2">
      <c r="A322" s="67" t="s">
        <v>3118</v>
      </c>
      <c r="B322" s="87" t="s">
        <v>3119</v>
      </c>
      <c r="C322" s="67"/>
      <c r="D322" s="67"/>
      <c r="E322" s="67"/>
      <c r="F322" s="67"/>
      <c r="G322" s="67"/>
      <c r="H322" s="67"/>
      <c r="I322" s="67"/>
      <c r="J322" s="11">
        <f>Info!$B$43</f>
        <v>0.5</v>
      </c>
      <c r="K322" s="67"/>
      <c r="L322" s="67"/>
      <c r="M322" s="67"/>
      <c r="N322" s="67"/>
      <c r="P322" s="72">
        <f t="shared" si="17"/>
        <v>7.1428571428571425E-2</v>
      </c>
      <c r="Q322" s="72">
        <f t="shared" si="18"/>
        <v>3.5714285714285712E-2</v>
      </c>
      <c r="R322" s="67">
        <f t="shared" ref="R322:R385" si="19">IF(_xlfn.BITAND(P322&gt;0.4999, Q322&gt;0.4999)=1,1,0)</f>
        <v>0</v>
      </c>
    </row>
    <row r="323" spans="1:18" x14ac:dyDescent="0.2">
      <c r="A323" s="67" t="s">
        <v>3120</v>
      </c>
      <c r="B323" s="87" t="s">
        <v>3121</v>
      </c>
      <c r="C323" s="67"/>
      <c r="D323" s="67"/>
      <c r="E323" s="67"/>
      <c r="F323" s="67"/>
      <c r="G323" s="67"/>
      <c r="H323" s="67"/>
      <c r="I323" s="67"/>
      <c r="J323" s="11">
        <f>Info!$B$44</f>
        <v>0</v>
      </c>
      <c r="K323" s="67"/>
      <c r="L323" s="67"/>
      <c r="M323" s="67"/>
      <c r="N323" s="67"/>
      <c r="P323" s="72">
        <f t="shared" si="17"/>
        <v>0</v>
      </c>
      <c r="Q323" s="72">
        <f t="shared" si="18"/>
        <v>0</v>
      </c>
      <c r="R323" s="67">
        <f t="shared" si="19"/>
        <v>0</v>
      </c>
    </row>
    <row r="324" spans="1:18" x14ac:dyDescent="0.2">
      <c r="A324" s="67" t="s">
        <v>473</v>
      </c>
      <c r="B324" s="87" t="s">
        <v>3122</v>
      </c>
      <c r="C324" s="67"/>
      <c r="D324" s="67"/>
      <c r="E324" s="67"/>
      <c r="F324" s="67"/>
      <c r="G324" s="67"/>
      <c r="H324" s="67"/>
      <c r="I324" s="67"/>
      <c r="J324" s="11">
        <f>Info!$B$44</f>
        <v>0</v>
      </c>
      <c r="K324" s="67"/>
      <c r="L324" s="67"/>
      <c r="M324" s="67"/>
      <c r="N324" s="67"/>
      <c r="P324" s="72">
        <f t="shared" si="17"/>
        <v>0</v>
      </c>
      <c r="Q324" s="72">
        <f t="shared" si="18"/>
        <v>0</v>
      </c>
      <c r="R324" s="67">
        <f t="shared" si="19"/>
        <v>0</v>
      </c>
    </row>
    <row r="325" spans="1:18" x14ac:dyDescent="0.2">
      <c r="A325" s="67" t="s">
        <v>3123</v>
      </c>
      <c r="B325" s="87" t="s">
        <v>3124</v>
      </c>
      <c r="C325" s="67"/>
      <c r="D325" s="67"/>
      <c r="E325" s="67"/>
      <c r="F325" s="67"/>
      <c r="G325" s="67"/>
      <c r="H325" s="67"/>
      <c r="I325" s="67"/>
      <c r="J325" s="11">
        <f>Info!$B$44</f>
        <v>0</v>
      </c>
      <c r="K325" s="67"/>
      <c r="L325" s="67"/>
      <c r="M325" s="67"/>
      <c r="N325" s="67"/>
      <c r="P325" s="72">
        <f t="shared" si="17"/>
        <v>0</v>
      </c>
      <c r="Q325" s="72">
        <f t="shared" si="18"/>
        <v>0</v>
      </c>
      <c r="R325" s="67">
        <f t="shared" si="19"/>
        <v>0</v>
      </c>
    </row>
    <row r="326" spans="1:18" x14ac:dyDescent="0.2">
      <c r="A326" s="67" t="s">
        <v>3125</v>
      </c>
      <c r="B326" s="87" t="s">
        <v>3126</v>
      </c>
      <c r="C326" s="67"/>
      <c r="D326" s="67"/>
      <c r="E326" s="67"/>
      <c r="F326" s="67"/>
      <c r="G326" s="67"/>
      <c r="H326" s="67"/>
      <c r="I326" s="67"/>
      <c r="J326" s="11">
        <f>Info!$B$42</f>
        <v>1</v>
      </c>
      <c r="K326" s="67"/>
      <c r="L326" s="67"/>
      <c r="M326" s="67"/>
      <c r="N326" s="67"/>
      <c r="P326" s="72">
        <f t="shared" si="17"/>
        <v>0.14285714285714285</v>
      </c>
      <c r="Q326" s="72">
        <f t="shared" si="18"/>
        <v>7.1428571428571425E-2</v>
      </c>
      <c r="R326" s="67">
        <f t="shared" si="19"/>
        <v>0</v>
      </c>
    </row>
    <row r="327" spans="1:18" x14ac:dyDescent="0.2">
      <c r="A327" s="67" t="s">
        <v>3127</v>
      </c>
      <c r="B327" s="87" t="s">
        <v>3128</v>
      </c>
      <c r="C327" s="67"/>
      <c r="D327" s="67"/>
      <c r="E327" s="67"/>
      <c r="F327" s="67"/>
      <c r="G327" s="67"/>
      <c r="H327" s="67"/>
      <c r="I327" s="67"/>
      <c r="J327" s="11">
        <f>Info!$B$43</f>
        <v>0.5</v>
      </c>
      <c r="K327" s="67"/>
      <c r="L327" s="67"/>
      <c r="M327" s="67"/>
      <c r="N327" s="67"/>
      <c r="P327" s="72">
        <f t="shared" si="17"/>
        <v>7.1428571428571425E-2</v>
      </c>
      <c r="Q327" s="72">
        <f t="shared" si="18"/>
        <v>3.5714285714285712E-2</v>
      </c>
      <c r="R327" s="67">
        <f t="shared" si="19"/>
        <v>0</v>
      </c>
    </row>
    <row r="328" spans="1:18" x14ac:dyDescent="0.2">
      <c r="A328" s="67" t="s">
        <v>3129</v>
      </c>
      <c r="B328" s="87" t="s">
        <v>3130</v>
      </c>
      <c r="C328" s="67"/>
      <c r="D328" s="67"/>
      <c r="E328" s="67"/>
      <c r="F328" s="67"/>
      <c r="G328" s="67"/>
      <c r="H328" s="67"/>
      <c r="I328" s="67"/>
      <c r="J328" s="11">
        <f>Info!$B$42</f>
        <v>1</v>
      </c>
      <c r="K328" s="67"/>
      <c r="L328" s="67"/>
      <c r="M328" s="67"/>
      <c r="N328" s="67"/>
      <c r="P328" s="72">
        <f t="shared" si="17"/>
        <v>0.14285714285714285</v>
      </c>
      <c r="Q328" s="72">
        <f t="shared" si="18"/>
        <v>7.1428571428571425E-2</v>
      </c>
      <c r="R328" s="67">
        <f t="shared" si="19"/>
        <v>0</v>
      </c>
    </row>
    <row r="329" spans="1:18" x14ac:dyDescent="0.2">
      <c r="A329" s="67" t="s">
        <v>3131</v>
      </c>
      <c r="B329" s="87" t="s">
        <v>3132</v>
      </c>
      <c r="C329" s="67"/>
      <c r="D329" s="67"/>
      <c r="E329" s="67"/>
      <c r="F329" s="67"/>
      <c r="G329" s="67"/>
      <c r="H329" s="67"/>
      <c r="I329" s="67"/>
      <c r="J329" s="11">
        <f>Info!$B$43</f>
        <v>0.5</v>
      </c>
      <c r="K329" s="67"/>
      <c r="L329" s="67"/>
      <c r="M329" s="67"/>
      <c r="N329" s="67"/>
      <c r="P329" s="72">
        <f t="shared" si="17"/>
        <v>7.1428571428571425E-2</v>
      </c>
      <c r="Q329" s="72">
        <f t="shared" si="18"/>
        <v>3.5714285714285712E-2</v>
      </c>
      <c r="R329" s="67">
        <f t="shared" si="19"/>
        <v>0</v>
      </c>
    </row>
    <row r="330" spans="1:18" x14ac:dyDescent="0.2">
      <c r="A330" s="67" t="s">
        <v>3133</v>
      </c>
      <c r="B330" s="87" t="s">
        <v>3134</v>
      </c>
      <c r="C330" s="67"/>
      <c r="D330" s="67"/>
      <c r="E330" s="67"/>
      <c r="F330" s="67"/>
      <c r="G330" s="67"/>
      <c r="H330" s="67"/>
      <c r="I330" s="67"/>
      <c r="J330" s="11">
        <f>Info!$B$43</f>
        <v>0.5</v>
      </c>
      <c r="K330" s="67"/>
      <c r="L330" s="67"/>
      <c r="M330" s="67"/>
      <c r="N330" s="67"/>
      <c r="P330" s="72">
        <f t="shared" si="17"/>
        <v>7.1428571428571425E-2</v>
      </c>
      <c r="Q330" s="72">
        <f t="shared" si="18"/>
        <v>3.5714285714285712E-2</v>
      </c>
      <c r="R330" s="67">
        <f t="shared" si="19"/>
        <v>0</v>
      </c>
    </row>
    <row r="331" spans="1:18" x14ac:dyDescent="0.2">
      <c r="A331" s="67" t="s">
        <v>2095</v>
      </c>
      <c r="B331" s="87" t="s">
        <v>3135</v>
      </c>
      <c r="C331" s="67"/>
      <c r="D331" s="67"/>
      <c r="E331" s="67"/>
      <c r="F331" s="67"/>
      <c r="G331" s="67"/>
      <c r="H331" s="67"/>
      <c r="I331" s="67"/>
      <c r="J331" s="11">
        <f>Info!$B$43</f>
        <v>0.5</v>
      </c>
      <c r="K331" s="67"/>
      <c r="L331" s="67"/>
      <c r="M331" s="67"/>
      <c r="N331" s="67"/>
      <c r="P331" s="72">
        <f t="shared" si="17"/>
        <v>7.1428571428571425E-2</v>
      </c>
      <c r="Q331" s="72">
        <f t="shared" si="18"/>
        <v>3.5714285714285712E-2</v>
      </c>
      <c r="R331" s="67">
        <f t="shared" si="19"/>
        <v>0</v>
      </c>
    </row>
    <row r="332" spans="1:18" x14ac:dyDescent="0.2">
      <c r="A332" s="67" t="s">
        <v>3136</v>
      </c>
      <c r="B332" s="87" t="s">
        <v>3137</v>
      </c>
      <c r="C332" s="67"/>
      <c r="D332" s="67"/>
      <c r="E332" s="67"/>
      <c r="F332" s="67"/>
      <c r="G332" s="67"/>
      <c r="H332" s="67"/>
      <c r="I332" s="67"/>
      <c r="J332" s="11">
        <f>Info!$B$44</f>
        <v>0</v>
      </c>
      <c r="K332" s="67"/>
      <c r="L332" s="67"/>
      <c r="M332" s="67"/>
      <c r="N332" s="67"/>
      <c r="P332" s="72">
        <f t="shared" si="17"/>
        <v>0</v>
      </c>
      <c r="Q332" s="72">
        <f t="shared" si="18"/>
        <v>0</v>
      </c>
      <c r="R332" s="67">
        <f t="shared" si="19"/>
        <v>0</v>
      </c>
    </row>
    <row r="333" spans="1:18" x14ac:dyDescent="0.2">
      <c r="A333" s="67" t="s">
        <v>3138</v>
      </c>
      <c r="B333" s="87" t="s">
        <v>3139</v>
      </c>
      <c r="C333" s="67"/>
      <c r="D333" s="67"/>
      <c r="E333" s="67"/>
      <c r="F333" s="67"/>
      <c r="G333" s="67"/>
      <c r="H333" s="67"/>
      <c r="I333" s="67"/>
      <c r="J333" s="11">
        <f>Info!$B$43</f>
        <v>0.5</v>
      </c>
      <c r="K333" s="67"/>
      <c r="L333" s="67"/>
      <c r="M333" s="67"/>
      <c r="N333" s="67"/>
      <c r="P333" s="72">
        <f t="shared" si="17"/>
        <v>7.1428571428571425E-2</v>
      </c>
      <c r="Q333" s="72">
        <f t="shared" si="18"/>
        <v>3.5714285714285712E-2</v>
      </c>
      <c r="R333" s="67">
        <f t="shared" si="19"/>
        <v>0</v>
      </c>
    </row>
    <row r="334" spans="1:18" x14ac:dyDescent="0.2">
      <c r="A334" s="67" t="s">
        <v>3140</v>
      </c>
      <c r="B334" s="87" t="s">
        <v>3141</v>
      </c>
      <c r="C334" s="67"/>
      <c r="D334" s="67"/>
      <c r="E334" s="67"/>
      <c r="F334" s="67"/>
      <c r="G334" s="67"/>
      <c r="H334" s="67"/>
      <c r="I334" s="67"/>
      <c r="J334" s="11">
        <f>Info!$B$43</f>
        <v>0.5</v>
      </c>
      <c r="K334" s="67"/>
      <c r="L334" s="67"/>
      <c r="M334" s="67"/>
      <c r="N334" s="67"/>
      <c r="P334" s="72">
        <f t="shared" si="17"/>
        <v>7.1428571428571425E-2</v>
      </c>
      <c r="Q334" s="72">
        <f t="shared" si="18"/>
        <v>3.5714285714285712E-2</v>
      </c>
      <c r="R334" s="67">
        <f t="shared" si="19"/>
        <v>0</v>
      </c>
    </row>
    <row r="335" spans="1:18" x14ac:dyDescent="0.2">
      <c r="A335" s="67" t="s">
        <v>3142</v>
      </c>
      <c r="B335" s="87" t="s">
        <v>3143</v>
      </c>
      <c r="C335" s="67"/>
      <c r="D335" s="67"/>
      <c r="E335" s="67"/>
      <c r="F335" s="67"/>
      <c r="G335" s="67"/>
      <c r="H335" s="67"/>
      <c r="I335" s="67"/>
      <c r="J335" s="11">
        <f>Info!$B$42</f>
        <v>1</v>
      </c>
      <c r="K335" s="67"/>
      <c r="L335" s="67"/>
      <c r="M335" s="67"/>
      <c r="N335" s="67"/>
      <c r="P335" s="72">
        <f t="shared" si="17"/>
        <v>0.14285714285714285</v>
      </c>
      <c r="Q335" s="72">
        <f t="shared" si="18"/>
        <v>7.1428571428571425E-2</v>
      </c>
      <c r="R335" s="67">
        <f t="shared" si="19"/>
        <v>0</v>
      </c>
    </row>
    <row r="336" spans="1:18" x14ac:dyDescent="0.2">
      <c r="A336" s="67" t="s">
        <v>2276</v>
      </c>
      <c r="B336" s="87" t="s">
        <v>3145</v>
      </c>
      <c r="C336" s="67"/>
      <c r="D336" s="67"/>
      <c r="E336" s="67"/>
      <c r="F336" s="67"/>
      <c r="G336" s="67"/>
      <c r="H336" s="67"/>
      <c r="I336" s="67"/>
      <c r="J336" s="11">
        <f>Info!$B$44</f>
        <v>0</v>
      </c>
      <c r="K336" s="67"/>
      <c r="L336" s="67"/>
      <c r="M336" s="67"/>
      <c r="N336" s="67"/>
      <c r="P336" s="72">
        <f t="shared" si="17"/>
        <v>0</v>
      </c>
      <c r="Q336" s="72">
        <f t="shared" si="18"/>
        <v>0</v>
      </c>
      <c r="R336" s="67">
        <f t="shared" si="19"/>
        <v>0</v>
      </c>
    </row>
    <row r="337" spans="1:18" x14ac:dyDescent="0.2">
      <c r="A337" s="67" t="s">
        <v>3146</v>
      </c>
      <c r="B337" s="87" t="s">
        <v>3147</v>
      </c>
      <c r="C337" s="67"/>
      <c r="D337" s="67"/>
      <c r="E337" s="67"/>
      <c r="F337" s="67"/>
      <c r="G337" s="67"/>
      <c r="H337" s="67"/>
      <c r="I337" s="67"/>
      <c r="J337" s="11">
        <f>Info!$B$44</f>
        <v>0</v>
      </c>
      <c r="K337" s="67"/>
      <c r="L337" s="67"/>
      <c r="M337" s="67"/>
      <c r="N337" s="67"/>
      <c r="P337" s="72">
        <f t="shared" si="17"/>
        <v>0</v>
      </c>
      <c r="Q337" s="72">
        <f t="shared" si="18"/>
        <v>0</v>
      </c>
      <c r="R337" s="67">
        <f t="shared" si="19"/>
        <v>0</v>
      </c>
    </row>
    <row r="338" spans="1:18" x14ac:dyDescent="0.2">
      <c r="A338" s="67" t="s">
        <v>3148</v>
      </c>
      <c r="B338" s="87" t="s">
        <v>3149</v>
      </c>
      <c r="C338" s="67"/>
      <c r="D338" s="67"/>
      <c r="E338" s="67"/>
      <c r="F338" s="67"/>
      <c r="G338" s="67"/>
      <c r="H338" s="67"/>
      <c r="I338" s="67"/>
      <c r="J338" s="11">
        <f>Info!$B$42</f>
        <v>1</v>
      </c>
      <c r="K338" s="67"/>
      <c r="L338" s="67"/>
      <c r="M338" s="67"/>
      <c r="N338" s="67"/>
      <c r="P338" s="72">
        <f t="shared" si="17"/>
        <v>0.14285714285714285</v>
      </c>
      <c r="Q338" s="72">
        <f t="shared" si="18"/>
        <v>7.1428571428571425E-2</v>
      </c>
      <c r="R338" s="67">
        <f t="shared" si="19"/>
        <v>0</v>
      </c>
    </row>
    <row r="339" spans="1:18" x14ac:dyDescent="0.2">
      <c r="A339" s="67" t="s">
        <v>3150</v>
      </c>
      <c r="B339" s="87" t="s">
        <v>3151</v>
      </c>
      <c r="C339" s="67"/>
      <c r="D339" s="67"/>
      <c r="E339" s="67"/>
      <c r="F339" s="67"/>
      <c r="G339" s="67"/>
      <c r="H339" s="67"/>
      <c r="I339" s="67"/>
      <c r="J339" s="11">
        <f>Info!$B$43</f>
        <v>0.5</v>
      </c>
      <c r="K339" s="67"/>
      <c r="L339" s="67"/>
      <c r="M339" s="67"/>
      <c r="N339" s="67"/>
      <c r="P339" s="72">
        <f t="shared" si="17"/>
        <v>7.1428571428571425E-2</v>
      </c>
      <c r="Q339" s="72">
        <f t="shared" si="18"/>
        <v>3.5714285714285712E-2</v>
      </c>
      <c r="R339" s="67">
        <f t="shared" si="19"/>
        <v>0</v>
      </c>
    </row>
    <row r="340" spans="1:18" x14ac:dyDescent="0.2">
      <c r="A340" s="67" t="s">
        <v>173</v>
      </c>
      <c r="B340" s="87" t="s">
        <v>3152</v>
      </c>
      <c r="C340" s="67"/>
      <c r="D340" s="67"/>
      <c r="E340" s="67"/>
      <c r="F340" s="67"/>
      <c r="G340" s="67"/>
      <c r="H340" s="67"/>
      <c r="I340" s="67"/>
      <c r="J340" s="11">
        <f>Info!$B$43</f>
        <v>0.5</v>
      </c>
      <c r="K340" s="67"/>
      <c r="L340" s="67"/>
      <c r="M340" s="67"/>
      <c r="N340" s="67"/>
      <c r="P340" s="72">
        <f t="shared" si="17"/>
        <v>7.1428571428571425E-2</v>
      </c>
      <c r="Q340" s="72">
        <f t="shared" si="18"/>
        <v>3.5714285714285712E-2</v>
      </c>
      <c r="R340" s="67">
        <f t="shared" si="19"/>
        <v>0</v>
      </c>
    </row>
    <row r="341" spans="1:18" x14ac:dyDescent="0.2">
      <c r="A341" s="67" t="s">
        <v>3153</v>
      </c>
      <c r="B341" s="87" t="s">
        <v>3154</v>
      </c>
      <c r="C341" s="67"/>
      <c r="D341" s="67"/>
      <c r="E341" s="67"/>
      <c r="F341" s="67"/>
      <c r="G341" s="67"/>
      <c r="H341" s="67"/>
      <c r="I341" s="67"/>
      <c r="J341" s="11">
        <f>Info!$B$42</f>
        <v>1</v>
      </c>
      <c r="K341" s="67"/>
      <c r="L341" s="67"/>
      <c r="M341" s="67"/>
      <c r="N341" s="67"/>
      <c r="P341" s="72">
        <f t="shared" si="17"/>
        <v>0.14285714285714285</v>
      </c>
      <c r="Q341" s="72">
        <f t="shared" si="18"/>
        <v>7.1428571428571425E-2</v>
      </c>
      <c r="R341" s="67">
        <f t="shared" si="19"/>
        <v>0</v>
      </c>
    </row>
    <row r="342" spans="1:18" x14ac:dyDescent="0.2">
      <c r="A342" s="67" t="s">
        <v>3155</v>
      </c>
      <c r="B342" s="87" t="s">
        <v>3156</v>
      </c>
      <c r="C342" s="67"/>
      <c r="D342" s="67"/>
      <c r="E342" s="67"/>
      <c r="F342" s="67"/>
      <c r="G342" s="67"/>
      <c r="H342" s="67"/>
      <c r="I342" s="67"/>
      <c r="J342" s="11">
        <f>Info!$B$44</f>
        <v>0</v>
      </c>
      <c r="K342" s="67"/>
      <c r="L342" s="67"/>
      <c r="M342" s="67"/>
      <c r="N342" s="67"/>
      <c r="P342" s="72">
        <f t="shared" si="17"/>
        <v>0</v>
      </c>
      <c r="Q342" s="72">
        <f t="shared" si="18"/>
        <v>0</v>
      </c>
      <c r="R342" s="67">
        <f t="shared" si="19"/>
        <v>0</v>
      </c>
    </row>
    <row r="343" spans="1:18" x14ac:dyDescent="0.2">
      <c r="A343" s="67" t="s">
        <v>62</v>
      </c>
      <c r="B343" s="87" t="s">
        <v>3157</v>
      </c>
      <c r="C343" s="67"/>
      <c r="D343" s="67"/>
      <c r="E343" s="67"/>
      <c r="F343" s="67"/>
      <c r="G343" s="67"/>
      <c r="H343" s="67"/>
      <c r="I343" s="67"/>
      <c r="J343" s="11">
        <f>Info!$B$42</f>
        <v>1</v>
      </c>
      <c r="K343" s="67"/>
      <c r="L343" s="67"/>
      <c r="M343" s="67"/>
      <c r="N343" s="67"/>
      <c r="P343" s="72">
        <f t="shared" si="17"/>
        <v>0.14285714285714285</v>
      </c>
      <c r="Q343" s="72">
        <f t="shared" si="18"/>
        <v>7.1428571428571425E-2</v>
      </c>
      <c r="R343" s="67">
        <f t="shared" si="19"/>
        <v>0</v>
      </c>
    </row>
    <row r="344" spans="1:18" x14ac:dyDescent="0.2">
      <c r="A344" s="67" t="s">
        <v>3158</v>
      </c>
      <c r="B344" s="87" t="s">
        <v>3159</v>
      </c>
      <c r="C344" s="67"/>
      <c r="D344" s="67"/>
      <c r="E344" s="67"/>
      <c r="F344" s="67"/>
      <c r="G344" s="67"/>
      <c r="H344" s="67"/>
      <c r="I344" s="67"/>
      <c r="J344" s="11">
        <f>Info!$B$43</f>
        <v>0.5</v>
      </c>
      <c r="K344" s="67"/>
      <c r="L344" s="67"/>
      <c r="M344" s="67"/>
      <c r="N344" s="67"/>
      <c r="P344" s="72">
        <f t="shared" si="17"/>
        <v>7.1428571428571425E-2</v>
      </c>
      <c r="Q344" s="72">
        <f t="shared" si="18"/>
        <v>3.5714285714285712E-2</v>
      </c>
      <c r="R344" s="67">
        <f t="shared" si="19"/>
        <v>0</v>
      </c>
    </row>
    <row r="345" spans="1:18" x14ac:dyDescent="0.2">
      <c r="A345" s="67" t="s">
        <v>3160</v>
      </c>
      <c r="B345" s="87" t="s">
        <v>3161</v>
      </c>
      <c r="C345" s="67"/>
      <c r="D345" s="67"/>
      <c r="E345" s="67"/>
      <c r="F345" s="67"/>
      <c r="G345" s="67"/>
      <c r="H345" s="67"/>
      <c r="I345" s="67"/>
      <c r="J345" s="11">
        <f>Info!$B$42</f>
        <v>1</v>
      </c>
      <c r="K345" s="67"/>
      <c r="L345" s="67"/>
      <c r="M345" s="67"/>
      <c r="N345" s="67"/>
      <c r="P345" s="72">
        <f t="shared" si="17"/>
        <v>0.14285714285714285</v>
      </c>
      <c r="Q345" s="72">
        <f t="shared" si="18"/>
        <v>7.1428571428571425E-2</v>
      </c>
      <c r="R345" s="67">
        <f t="shared" si="19"/>
        <v>0</v>
      </c>
    </row>
    <row r="346" spans="1:18" x14ac:dyDescent="0.2">
      <c r="A346" s="67" t="s">
        <v>3162</v>
      </c>
      <c r="B346" s="87" t="s">
        <v>3163</v>
      </c>
      <c r="C346" s="67"/>
      <c r="D346" s="67"/>
      <c r="E346" s="67"/>
      <c r="F346" s="67"/>
      <c r="G346" s="67"/>
      <c r="H346" s="67"/>
      <c r="I346" s="67"/>
      <c r="J346" s="11">
        <f>Info!$B$42</f>
        <v>1</v>
      </c>
      <c r="K346" s="67"/>
      <c r="L346" s="67"/>
      <c r="M346" s="67"/>
      <c r="N346" s="67"/>
      <c r="P346" s="72">
        <f t="shared" si="17"/>
        <v>0.14285714285714285</v>
      </c>
      <c r="Q346" s="72">
        <f t="shared" si="18"/>
        <v>7.1428571428571425E-2</v>
      </c>
      <c r="R346" s="67">
        <f t="shared" si="19"/>
        <v>0</v>
      </c>
    </row>
    <row r="347" spans="1:18" x14ac:dyDescent="0.2">
      <c r="A347" s="67" t="s">
        <v>3164</v>
      </c>
      <c r="B347" s="87" t="s">
        <v>3165</v>
      </c>
      <c r="C347" s="67"/>
      <c r="D347" s="67"/>
      <c r="E347" s="67"/>
      <c r="F347" s="67"/>
      <c r="G347" s="67"/>
      <c r="H347" s="67"/>
      <c r="I347" s="67"/>
      <c r="J347" s="11">
        <f>Info!$B$42</f>
        <v>1</v>
      </c>
      <c r="K347" s="67"/>
      <c r="L347" s="67"/>
      <c r="M347" s="67"/>
      <c r="N347" s="67"/>
      <c r="P347" s="72">
        <f t="shared" ref="P347:P410" si="20">(D347+E347+F347+G347+H347+I347+J347)/7</f>
        <v>0.14285714285714285</v>
      </c>
      <c r="Q347" s="72">
        <f t="shared" si="18"/>
        <v>7.1428571428571425E-2</v>
      </c>
      <c r="R347" s="67">
        <f t="shared" si="19"/>
        <v>0</v>
      </c>
    </row>
    <row r="348" spans="1:18" x14ac:dyDescent="0.2">
      <c r="A348" s="67" t="s">
        <v>3166</v>
      </c>
      <c r="B348" s="87" t="s">
        <v>3167</v>
      </c>
      <c r="C348" s="67"/>
      <c r="D348" s="67"/>
      <c r="E348" s="67"/>
      <c r="F348" s="67"/>
      <c r="G348" s="67"/>
      <c r="H348" s="67"/>
      <c r="I348" s="67"/>
      <c r="J348" s="11">
        <f>Info!$B$44</f>
        <v>0</v>
      </c>
      <c r="K348" s="67"/>
      <c r="L348" s="67"/>
      <c r="M348" s="67"/>
      <c r="N348" s="67"/>
      <c r="P348" s="72">
        <f t="shared" si="20"/>
        <v>0</v>
      </c>
      <c r="Q348" s="72">
        <f t="shared" si="18"/>
        <v>0</v>
      </c>
      <c r="R348" s="67">
        <f t="shared" si="19"/>
        <v>0</v>
      </c>
    </row>
    <row r="349" spans="1:18" x14ac:dyDescent="0.2">
      <c r="A349" s="67" t="s">
        <v>3168</v>
      </c>
      <c r="B349" s="87" t="s">
        <v>3169</v>
      </c>
      <c r="C349" s="67"/>
      <c r="D349" s="67"/>
      <c r="E349" s="67"/>
      <c r="F349" s="67"/>
      <c r="G349" s="67"/>
      <c r="H349" s="67"/>
      <c r="I349" s="67"/>
      <c r="J349" s="11">
        <f>Info!$B$43</f>
        <v>0.5</v>
      </c>
      <c r="K349" s="67"/>
      <c r="L349" s="67"/>
      <c r="M349" s="67"/>
      <c r="N349" s="67"/>
      <c r="P349" s="72">
        <f t="shared" si="20"/>
        <v>7.1428571428571425E-2</v>
      </c>
      <c r="Q349" s="72">
        <f t="shared" si="18"/>
        <v>3.5714285714285712E-2</v>
      </c>
      <c r="R349" s="67">
        <f t="shared" si="19"/>
        <v>0</v>
      </c>
    </row>
    <row r="350" spans="1:18" x14ac:dyDescent="0.2">
      <c r="A350" s="67" t="s">
        <v>3170</v>
      </c>
      <c r="B350" s="87" t="s">
        <v>3171</v>
      </c>
      <c r="C350" s="67"/>
      <c r="D350" s="67"/>
      <c r="E350" s="67"/>
      <c r="F350" s="67"/>
      <c r="G350" s="67"/>
      <c r="H350" s="67"/>
      <c r="I350" s="67"/>
      <c r="J350" s="11">
        <f>Info!$B$44</f>
        <v>0</v>
      </c>
      <c r="K350" s="67"/>
      <c r="L350" s="67"/>
      <c r="M350" s="67"/>
      <c r="N350" s="67"/>
      <c r="P350" s="72">
        <f t="shared" si="20"/>
        <v>0</v>
      </c>
      <c r="Q350" s="72">
        <f t="shared" si="18"/>
        <v>0</v>
      </c>
      <c r="R350" s="67">
        <f t="shared" si="19"/>
        <v>0</v>
      </c>
    </row>
    <row r="351" spans="1:18" x14ac:dyDescent="0.2">
      <c r="A351" s="67" t="s">
        <v>3172</v>
      </c>
      <c r="B351" s="87" t="s">
        <v>3173</v>
      </c>
      <c r="C351" s="67"/>
      <c r="D351" s="67"/>
      <c r="E351" s="67"/>
      <c r="F351" s="67"/>
      <c r="G351" s="67"/>
      <c r="H351" s="67"/>
      <c r="I351" s="67"/>
      <c r="J351" s="11">
        <f>Info!$B$44</f>
        <v>0</v>
      </c>
      <c r="K351" s="67"/>
      <c r="L351" s="67"/>
      <c r="M351" s="67"/>
      <c r="N351" s="67"/>
      <c r="P351" s="72">
        <f t="shared" si="20"/>
        <v>0</v>
      </c>
      <c r="Q351" s="72">
        <f t="shared" si="18"/>
        <v>0</v>
      </c>
      <c r="R351" s="67">
        <f t="shared" si="19"/>
        <v>0</v>
      </c>
    </row>
    <row r="352" spans="1:18" x14ac:dyDescent="0.2">
      <c r="A352" s="67" t="s">
        <v>3174</v>
      </c>
      <c r="B352" s="87" t="s">
        <v>3175</v>
      </c>
      <c r="C352" s="67"/>
      <c r="D352" s="67"/>
      <c r="E352" s="67"/>
      <c r="F352" s="67"/>
      <c r="G352" s="67"/>
      <c r="H352" s="67"/>
      <c r="I352" s="67"/>
      <c r="J352" s="11">
        <f>Info!$B$43</f>
        <v>0.5</v>
      </c>
      <c r="K352" s="67"/>
      <c r="L352" s="67"/>
      <c r="M352" s="67"/>
      <c r="N352" s="67"/>
      <c r="P352" s="72">
        <f t="shared" si="20"/>
        <v>7.1428571428571425E-2</v>
      </c>
      <c r="Q352" s="72">
        <f t="shared" si="18"/>
        <v>3.5714285714285712E-2</v>
      </c>
      <c r="R352" s="67">
        <f t="shared" si="19"/>
        <v>0</v>
      </c>
    </row>
    <row r="353" spans="1:18" x14ac:dyDescent="0.2">
      <c r="A353" s="67" t="s">
        <v>3176</v>
      </c>
      <c r="B353" s="87" t="s">
        <v>3177</v>
      </c>
      <c r="C353" s="67"/>
      <c r="D353" s="67"/>
      <c r="E353" s="67"/>
      <c r="F353" s="67"/>
      <c r="G353" s="67"/>
      <c r="H353" s="67"/>
      <c r="I353" s="67"/>
      <c r="J353" s="11">
        <f>Info!$B$44</f>
        <v>0</v>
      </c>
      <c r="K353" s="67"/>
      <c r="L353" s="67"/>
      <c r="M353" s="67"/>
      <c r="N353" s="67"/>
      <c r="P353" s="72">
        <f t="shared" si="20"/>
        <v>0</v>
      </c>
      <c r="Q353" s="72">
        <f t="shared" si="18"/>
        <v>0</v>
      </c>
      <c r="R353" s="67">
        <f t="shared" si="19"/>
        <v>0</v>
      </c>
    </row>
    <row r="354" spans="1:18" x14ac:dyDescent="0.2">
      <c r="A354" s="67" t="s">
        <v>3178</v>
      </c>
      <c r="B354" s="87" t="s">
        <v>3179</v>
      </c>
      <c r="C354" s="67"/>
      <c r="D354" s="67"/>
      <c r="E354" s="67"/>
      <c r="F354" s="67"/>
      <c r="G354" s="67"/>
      <c r="H354" s="67"/>
      <c r="I354" s="67"/>
      <c r="J354" s="11">
        <f>Info!$B$44</f>
        <v>0</v>
      </c>
      <c r="K354" s="67"/>
      <c r="L354" s="67"/>
      <c r="M354" s="67"/>
      <c r="N354" s="67"/>
      <c r="P354" s="72">
        <f t="shared" si="20"/>
        <v>0</v>
      </c>
      <c r="Q354" s="72">
        <f t="shared" si="18"/>
        <v>0</v>
      </c>
      <c r="R354" s="67">
        <f t="shared" si="19"/>
        <v>0</v>
      </c>
    </row>
    <row r="355" spans="1:18" x14ac:dyDescent="0.2">
      <c r="A355" s="67" t="s">
        <v>3180</v>
      </c>
      <c r="B355" s="87" t="s">
        <v>3181</v>
      </c>
      <c r="C355" s="67"/>
      <c r="D355" s="67"/>
      <c r="E355" s="67"/>
      <c r="F355" s="67"/>
      <c r="G355" s="67"/>
      <c r="H355" s="67"/>
      <c r="I355" s="67"/>
      <c r="J355" s="11">
        <f>Info!$B$44</f>
        <v>0</v>
      </c>
      <c r="K355" s="67"/>
      <c r="L355" s="67"/>
      <c r="M355" s="67"/>
      <c r="N355" s="67"/>
      <c r="P355" s="72">
        <f t="shared" si="20"/>
        <v>0</v>
      </c>
      <c r="Q355" s="72">
        <f t="shared" si="18"/>
        <v>0</v>
      </c>
      <c r="R355" s="67">
        <f t="shared" si="19"/>
        <v>0</v>
      </c>
    </row>
    <row r="356" spans="1:18" x14ac:dyDescent="0.2">
      <c r="A356" s="67" t="s">
        <v>3182</v>
      </c>
      <c r="B356" s="87" t="s">
        <v>3183</v>
      </c>
      <c r="C356" s="67"/>
      <c r="D356" s="67"/>
      <c r="E356" s="67"/>
      <c r="F356" s="67"/>
      <c r="G356" s="67"/>
      <c r="H356" s="67"/>
      <c r="I356" s="67"/>
      <c r="J356" s="11">
        <f>Info!$B$42</f>
        <v>1</v>
      </c>
      <c r="K356" s="67"/>
      <c r="L356" s="67"/>
      <c r="M356" s="67"/>
      <c r="N356" s="67"/>
      <c r="P356" s="72">
        <f t="shared" si="20"/>
        <v>0.14285714285714285</v>
      </c>
      <c r="Q356" s="72">
        <f t="shared" si="18"/>
        <v>7.1428571428571425E-2</v>
      </c>
      <c r="R356" s="67">
        <f t="shared" si="19"/>
        <v>0</v>
      </c>
    </row>
    <row r="357" spans="1:18" x14ac:dyDescent="0.2">
      <c r="A357" s="67" t="s">
        <v>3185</v>
      </c>
      <c r="B357" s="87" t="s">
        <v>3186</v>
      </c>
      <c r="C357" s="67"/>
      <c r="D357" s="67"/>
      <c r="E357" s="67"/>
      <c r="F357" s="67"/>
      <c r="G357" s="67"/>
      <c r="H357" s="67"/>
      <c r="I357" s="67"/>
      <c r="J357" s="11">
        <f>Info!$B$44</f>
        <v>0</v>
      </c>
      <c r="K357" s="67"/>
      <c r="L357" s="67"/>
      <c r="M357" s="67"/>
      <c r="N357" s="67"/>
      <c r="P357" s="72">
        <f t="shared" si="20"/>
        <v>0</v>
      </c>
      <c r="Q357" s="72">
        <f t="shared" si="18"/>
        <v>0</v>
      </c>
      <c r="R357" s="67">
        <f t="shared" si="19"/>
        <v>0</v>
      </c>
    </row>
    <row r="358" spans="1:18" x14ac:dyDescent="0.2">
      <c r="A358" s="67" t="s">
        <v>3187</v>
      </c>
      <c r="B358" s="87" t="s">
        <v>3188</v>
      </c>
      <c r="C358" s="67"/>
      <c r="D358" s="67"/>
      <c r="E358" s="67"/>
      <c r="F358" s="67"/>
      <c r="G358" s="67"/>
      <c r="H358" s="67"/>
      <c r="I358" s="67"/>
      <c r="J358" s="11">
        <f>Info!$B$43</f>
        <v>0.5</v>
      </c>
      <c r="K358" s="67"/>
      <c r="L358" s="67"/>
      <c r="M358" s="67"/>
      <c r="N358" s="67"/>
      <c r="P358" s="72">
        <f t="shared" si="20"/>
        <v>7.1428571428571425E-2</v>
      </c>
      <c r="Q358" s="72">
        <f t="shared" si="18"/>
        <v>3.5714285714285712E-2</v>
      </c>
      <c r="R358" s="67">
        <f t="shared" si="19"/>
        <v>0</v>
      </c>
    </row>
    <row r="359" spans="1:18" x14ac:dyDescent="0.2">
      <c r="A359" s="67" t="s">
        <v>3189</v>
      </c>
      <c r="B359" s="87" t="s">
        <v>3190</v>
      </c>
      <c r="C359" s="67"/>
      <c r="D359" s="67"/>
      <c r="E359" s="67"/>
      <c r="F359" s="67"/>
      <c r="G359" s="67"/>
      <c r="H359" s="67"/>
      <c r="I359" s="67"/>
      <c r="J359" s="11">
        <f>Info!$B$44</f>
        <v>0</v>
      </c>
      <c r="K359" s="67"/>
      <c r="L359" s="67"/>
      <c r="M359" s="67"/>
      <c r="N359" s="67"/>
      <c r="P359" s="72">
        <f t="shared" si="20"/>
        <v>0</v>
      </c>
      <c r="Q359" s="72">
        <f t="shared" si="18"/>
        <v>0</v>
      </c>
      <c r="R359" s="67">
        <f t="shared" si="19"/>
        <v>0</v>
      </c>
    </row>
    <row r="360" spans="1:18" x14ac:dyDescent="0.2">
      <c r="A360" s="67" t="s">
        <v>2356</v>
      </c>
      <c r="B360" s="87" t="s">
        <v>3191</v>
      </c>
      <c r="C360" s="67"/>
      <c r="D360" s="67"/>
      <c r="E360" s="67"/>
      <c r="F360" s="67"/>
      <c r="G360" s="67"/>
      <c r="H360" s="67"/>
      <c r="I360" s="67"/>
      <c r="J360" s="11">
        <f>Info!$B$44</f>
        <v>0</v>
      </c>
      <c r="K360" s="67"/>
      <c r="L360" s="67"/>
      <c r="M360" s="67"/>
      <c r="N360" s="67"/>
      <c r="P360" s="72">
        <f t="shared" si="20"/>
        <v>0</v>
      </c>
      <c r="Q360" s="72">
        <f t="shared" si="18"/>
        <v>0</v>
      </c>
      <c r="R360" s="67">
        <f t="shared" si="19"/>
        <v>0</v>
      </c>
    </row>
    <row r="361" spans="1:18" x14ac:dyDescent="0.2">
      <c r="A361" s="67" t="s">
        <v>3192</v>
      </c>
      <c r="B361" s="87" t="s">
        <v>3193</v>
      </c>
      <c r="C361" s="67"/>
      <c r="D361" s="67"/>
      <c r="E361" s="67"/>
      <c r="F361" s="67"/>
      <c r="G361" s="67"/>
      <c r="H361" s="67"/>
      <c r="I361" s="67"/>
      <c r="J361" s="11">
        <f>Info!$B$42</f>
        <v>1</v>
      </c>
      <c r="K361" s="67"/>
      <c r="L361" s="67"/>
      <c r="M361" s="67"/>
      <c r="N361" s="67"/>
      <c r="P361" s="72">
        <f t="shared" si="20"/>
        <v>0.14285714285714285</v>
      </c>
      <c r="Q361" s="72">
        <f t="shared" si="18"/>
        <v>7.1428571428571425E-2</v>
      </c>
      <c r="R361" s="67">
        <f t="shared" si="19"/>
        <v>0</v>
      </c>
    </row>
    <row r="362" spans="1:18" x14ac:dyDescent="0.2">
      <c r="A362" s="67" t="s">
        <v>2310</v>
      </c>
      <c r="B362" s="87" t="s">
        <v>3194</v>
      </c>
      <c r="C362" s="67"/>
      <c r="D362" s="67"/>
      <c r="E362" s="67"/>
      <c r="F362" s="67"/>
      <c r="G362" s="67"/>
      <c r="H362" s="67"/>
      <c r="I362" s="67"/>
      <c r="J362" s="11">
        <f>Info!$B$44</f>
        <v>0</v>
      </c>
      <c r="K362" s="67"/>
      <c r="L362" s="67"/>
      <c r="M362" s="67"/>
      <c r="N362" s="67"/>
      <c r="P362" s="72">
        <f t="shared" si="20"/>
        <v>0</v>
      </c>
      <c r="Q362" s="72">
        <f t="shared" si="18"/>
        <v>0</v>
      </c>
      <c r="R362" s="67">
        <f t="shared" si="19"/>
        <v>0</v>
      </c>
    </row>
    <row r="363" spans="1:18" x14ac:dyDescent="0.2">
      <c r="A363" s="67" t="s">
        <v>3195</v>
      </c>
      <c r="B363" s="87" t="s">
        <v>3196</v>
      </c>
      <c r="C363" s="67"/>
      <c r="D363" s="67"/>
      <c r="E363" s="67"/>
      <c r="F363" s="67"/>
      <c r="G363" s="67"/>
      <c r="H363" s="67"/>
      <c r="I363" s="67"/>
      <c r="J363" s="11">
        <f>Info!$B$43</f>
        <v>0.5</v>
      </c>
      <c r="K363" s="67"/>
      <c r="L363" s="67"/>
      <c r="M363" s="67"/>
      <c r="N363" s="67"/>
      <c r="P363" s="72">
        <f t="shared" si="20"/>
        <v>7.1428571428571425E-2</v>
      </c>
      <c r="Q363" s="72">
        <f t="shared" si="18"/>
        <v>3.5714285714285712E-2</v>
      </c>
      <c r="R363" s="67">
        <f t="shared" si="19"/>
        <v>0</v>
      </c>
    </row>
    <row r="364" spans="1:18" x14ac:dyDescent="0.2">
      <c r="A364" s="67" t="s">
        <v>3197</v>
      </c>
      <c r="B364" s="87" t="s">
        <v>3198</v>
      </c>
      <c r="C364" s="67"/>
      <c r="D364" s="67"/>
      <c r="E364" s="67"/>
      <c r="F364" s="67"/>
      <c r="G364" s="67"/>
      <c r="H364" s="67"/>
      <c r="I364" s="67"/>
      <c r="J364" s="11">
        <f>Info!$B$43</f>
        <v>0.5</v>
      </c>
      <c r="K364" s="67"/>
      <c r="L364" s="67"/>
      <c r="M364" s="67"/>
      <c r="N364" s="67"/>
      <c r="P364" s="72">
        <f t="shared" si="20"/>
        <v>7.1428571428571425E-2</v>
      </c>
      <c r="Q364" s="72">
        <f t="shared" si="18"/>
        <v>3.5714285714285712E-2</v>
      </c>
      <c r="R364" s="67">
        <f t="shared" si="19"/>
        <v>0</v>
      </c>
    </row>
    <row r="365" spans="1:18" x14ac:dyDescent="0.2">
      <c r="A365" s="67" t="s">
        <v>3199</v>
      </c>
      <c r="B365" s="87" t="s">
        <v>3200</v>
      </c>
      <c r="C365" s="67"/>
      <c r="D365" s="67"/>
      <c r="E365" s="67"/>
      <c r="F365" s="67"/>
      <c r="G365" s="67"/>
      <c r="H365" s="67"/>
      <c r="I365" s="67"/>
      <c r="J365" s="11">
        <f>Info!$B$43</f>
        <v>0.5</v>
      </c>
      <c r="K365" s="67"/>
      <c r="L365" s="67"/>
      <c r="M365" s="67"/>
      <c r="N365" s="67"/>
      <c r="P365" s="72">
        <f t="shared" si="20"/>
        <v>7.1428571428571425E-2</v>
      </c>
      <c r="Q365" s="72">
        <f t="shared" si="18"/>
        <v>3.5714285714285712E-2</v>
      </c>
      <c r="R365" s="67">
        <f t="shared" si="19"/>
        <v>0</v>
      </c>
    </row>
    <row r="366" spans="1:18" x14ac:dyDescent="0.2">
      <c r="A366" s="67" t="s">
        <v>3201</v>
      </c>
      <c r="B366" s="87" t="s">
        <v>3202</v>
      </c>
      <c r="C366" s="67"/>
      <c r="D366" s="67"/>
      <c r="E366" s="67"/>
      <c r="F366" s="67"/>
      <c r="G366" s="67"/>
      <c r="H366" s="67"/>
      <c r="I366" s="67"/>
      <c r="J366" s="11">
        <f>Info!$B$43</f>
        <v>0.5</v>
      </c>
      <c r="K366" s="67"/>
      <c r="L366" s="67"/>
      <c r="M366" s="67"/>
      <c r="N366" s="67"/>
      <c r="P366" s="72">
        <f t="shared" si="20"/>
        <v>7.1428571428571425E-2</v>
      </c>
      <c r="Q366" s="72">
        <f t="shared" si="18"/>
        <v>3.5714285714285712E-2</v>
      </c>
      <c r="R366" s="67">
        <f t="shared" si="19"/>
        <v>0</v>
      </c>
    </row>
    <row r="367" spans="1:18" x14ac:dyDescent="0.2">
      <c r="A367" s="67" t="s">
        <v>3203</v>
      </c>
      <c r="B367" s="87" t="s">
        <v>3204</v>
      </c>
      <c r="C367" s="67"/>
      <c r="D367" s="67"/>
      <c r="E367" s="67"/>
      <c r="F367" s="67"/>
      <c r="G367" s="67"/>
      <c r="H367" s="67"/>
      <c r="I367" s="67"/>
      <c r="J367" s="11">
        <f>Info!$B$44</f>
        <v>0</v>
      </c>
      <c r="K367" s="67"/>
      <c r="L367" s="67"/>
      <c r="M367" s="67"/>
      <c r="N367" s="67"/>
      <c r="P367" s="72">
        <f t="shared" si="20"/>
        <v>0</v>
      </c>
      <c r="Q367" s="72">
        <f t="shared" si="18"/>
        <v>0</v>
      </c>
      <c r="R367" s="67">
        <f t="shared" si="19"/>
        <v>0</v>
      </c>
    </row>
    <row r="368" spans="1:18" x14ac:dyDescent="0.2">
      <c r="A368" s="67" t="s">
        <v>3205</v>
      </c>
      <c r="B368" s="87" t="s">
        <v>3206</v>
      </c>
      <c r="C368" s="67"/>
      <c r="D368" s="67"/>
      <c r="E368" s="67"/>
      <c r="F368" s="67"/>
      <c r="G368" s="67"/>
      <c r="H368" s="67"/>
      <c r="I368" s="67"/>
      <c r="J368" s="11">
        <f>Info!$B$42</f>
        <v>1</v>
      </c>
      <c r="K368" s="67"/>
      <c r="L368" s="67"/>
      <c r="M368" s="67"/>
      <c r="N368" s="67"/>
      <c r="P368" s="72">
        <f t="shared" si="20"/>
        <v>0.14285714285714285</v>
      </c>
      <c r="Q368" s="72">
        <f t="shared" si="18"/>
        <v>7.1428571428571425E-2</v>
      </c>
      <c r="R368" s="67">
        <f t="shared" si="19"/>
        <v>0</v>
      </c>
    </row>
    <row r="369" spans="1:18" x14ac:dyDescent="0.2">
      <c r="A369" s="67" t="s">
        <v>3207</v>
      </c>
      <c r="B369" s="87" t="s">
        <v>3208</v>
      </c>
      <c r="C369" s="67"/>
      <c r="D369" s="67"/>
      <c r="E369" s="67"/>
      <c r="F369" s="67"/>
      <c r="G369" s="67"/>
      <c r="H369" s="67"/>
      <c r="I369" s="67"/>
      <c r="J369" s="11">
        <f>Info!$B$44</f>
        <v>0</v>
      </c>
      <c r="K369" s="67"/>
      <c r="L369" s="67"/>
      <c r="M369" s="67"/>
      <c r="N369" s="67"/>
      <c r="P369" s="72">
        <f t="shared" si="20"/>
        <v>0</v>
      </c>
      <c r="Q369" s="72">
        <f t="shared" si="18"/>
        <v>0</v>
      </c>
      <c r="R369" s="67">
        <f t="shared" si="19"/>
        <v>0</v>
      </c>
    </row>
    <row r="370" spans="1:18" x14ac:dyDescent="0.2">
      <c r="A370" s="67" t="s">
        <v>1226</v>
      </c>
      <c r="B370" s="87" t="s">
        <v>3209</v>
      </c>
      <c r="C370" s="67"/>
      <c r="D370" s="67"/>
      <c r="E370" s="67"/>
      <c r="F370" s="67"/>
      <c r="G370" s="67"/>
      <c r="H370" s="67"/>
      <c r="I370" s="67"/>
      <c r="J370" s="11">
        <f>Info!$B$44</f>
        <v>0</v>
      </c>
      <c r="K370" s="67"/>
      <c r="L370" s="67"/>
      <c r="M370" s="67"/>
      <c r="N370" s="67"/>
      <c r="P370" s="72">
        <f t="shared" si="20"/>
        <v>0</v>
      </c>
      <c r="Q370" s="72">
        <f t="shared" si="18"/>
        <v>0</v>
      </c>
      <c r="R370" s="67">
        <f t="shared" si="19"/>
        <v>0</v>
      </c>
    </row>
    <row r="371" spans="1:18" x14ac:dyDescent="0.2">
      <c r="A371" s="67" t="s">
        <v>3210</v>
      </c>
      <c r="B371" s="87" t="s">
        <v>3211</v>
      </c>
      <c r="C371" s="67"/>
      <c r="D371" s="67"/>
      <c r="E371" s="67"/>
      <c r="F371" s="67"/>
      <c r="G371" s="67"/>
      <c r="H371" s="67"/>
      <c r="I371" s="67"/>
      <c r="J371" s="11">
        <f>Info!$B$42</f>
        <v>1</v>
      </c>
      <c r="K371" s="67"/>
      <c r="L371" s="67"/>
      <c r="M371" s="67"/>
      <c r="N371" s="67"/>
      <c r="P371" s="72">
        <f t="shared" si="20"/>
        <v>0.14285714285714285</v>
      </c>
      <c r="Q371" s="72">
        <f t="shared" ref="Q371:Q434" si="21">(O371+P371)/2</f>
        <v>7.1428571428571425E-2</v>
      </c>
      <c r="R371" s="67">
        <f t="shared" si="19"/>
        <v>0</v>
      </c>
    </row>
    <row r="372" spans="1:18" x14ac:dyDescent="0.2">
      <c r="A372" s="67" t="s">
        <v>405</v>
      </c>
      <c r="B372" s="87" t="s">
        <v>3212</v>
      </c>
      <c r="C372" s="67"/>
      <c r="D372" s="67"/>
      <c r="E372" s="67"/>
      <c r="F372" s="67"/>
      <c r="G372" s="67"/>
      <c r="H372" s="67"/>
      <c r="I372" s="67"/>
      <c r="J372" s="11">
        <f>Info!$B$42</f>
        <v>1</v>
      </c>
      <c r="K372" s="67"/>
      <c r="L372" s="67"/>
      <c r="M372" s="67"/>
      <c r="N372" s="67"/>
      <c r="P372" s="72">
        <f t="shared" si="20"/>
        <v>0.14285714285714285</v>
      </c>
      <c r="Q372" s="72">
        <f t="shared" si="21"/>
        <v>7.1428571428571425E-2</v>
      </c>
      <c r="R372" s="67">
        <f t="shared" si="19"/>
        <v>0</v>
      </c>
    </row>
    <row r="373" spans="1:18" x14ac:dyDescent="0.2">
      <c r="A373" s="67" t="s">
        <v>3213</v>
      </c>
      <c r="B373" s="87" t="s">
        <v>3214</v>
      </c>
      <c r="C373" s="67"/>
      <c r="D373" s="67"/>
      <c r="E373" s="67"/>
      <c r="F373" s="67"/>
      <c r="G373" s="67"/>
      <c r="H373" s="67"/>
      <c r="I373" s="67"/>
      <c r="J373" s="11">
        <f>Info!$B$43</f>
        <v>0.5</v>
      </c>
      <c r="K373" s="67"/>
      <c r="L373" s="67"/>
      <c r="M373" s="67"/>
      <c r="N373" s="67"/>
      <c r="P373" s="72">
        <f t="shared" si="20"/>
        <v>7.1428571428571425E-2</v>
      </c>
      <c r="Q373" s="72">
        <f t="shared" si="21"/>
        <v>3.5714285714285712E-2</v>
      </c>
      <c r="R373" s="67">
        <f t="shared" si="19"/>
        <v>0</v>
      </c>
    </row>
    <row r="374" spans="1:18" x14ac:dyDescent="0.2">
      <c r="A374" s="67" t="s">
        <v>3215</v>
      </c>
      <c r="B374" s="87" t="s">
        <v>3216</v>
      </c>
      <c r="C374" s="67"/>
      <c r="D374" s="67"/>
      <c r="E374" s="67"/>
      <c r="F374" s="67"/>
      <c r="G374" s="67"/>
      <c r="H374" s="67"/>
      <c r="I374" s="67"/>
      <c r="J374" s="11">
        <f>Info!$B$44</f>
        <v>0</v>
      </c>
      <c r="K374" s="67"/>
      <c r="L374" s="67"/>
      <c r="M374" s="67"/>
      <c r="N374" s="67"/>
      <c r="P374" s="72">
        <f t="shared" si="20"/>
        <v>0</v>
      </c>
      <c r="Q374" s="72">
        <f t="shared" si="21"/>
        <v>0</v>
      </c>
      <c r="R374" s="67">
        <f t="shared" si="19"/>
        <v>0</v>
      </c>
    </row>
    <row r="375" spans="1:18" x14ac:dyDescent="0.2">
      <c r="A375" s="67" t="s">
        <v>3217</v>
      </c>
      <c r="B375" s="87" t="s">
        <v>3218</v>
      </c>
      <c r="C375" s="67"/>
      <c r="D375" s="67"/>
      <c r="E375" s="67"/>
      <c r="F375" s="67"/>
      <c r="G375" s="67"/>
      <c r="H375" s="67"/>
      <c r="I375" s="67"/>
      <c r="J375" s="11">
        <f>Info!$B$44</f>
        <v>0</v>
      </c>
      <c r="K375" s="67"/>
      <c r="L375" s="67"/>
      <c r="M375" s="67"/>
      <c r="N375" s="67"/>
      <c r="P375" s="72">
        <f t="shared" si="20"/>
        <v>0</v>
      </c>
      <c r="Q375" s="72">
        <f t="shared" si="21"/>
        <v>0</v>
      </c>
      <c r="R375" s="67">
        <f t="shared" si="19"/>
        <v>0</v>
      </c>
    </row>
    <row r="376" spans="1:18" x14ac:dyDescent="0.2">
      <c r="A376" s="67" t="s">
        <v>3219</v>
      </c>
      <c r="B376" s="87" t="s">
        <v>3220</v>
      </c>
      <c r="C376" s="67"/>
      <c r="D376" s="67"/>
      <c r="E376" s="67"/>
      <c r="F376" s="67"/>
      <c r="G376" s="67"/>
      <c r="H376" s="67"/>
      <c r="I376" s="67"/>
      <c r="J376" s="11">
        <f>Info!$B$42</f>
        <v>1</v>
      </c>
      <c r="K376" s="67"/>
      <c r="L376" s="67"/>
      <c r="M376" s="67"/>
      <c r="N376" s="67"/>
      <c r="P376" s="72">
        <f t="shared" si="20"/>
        <v>0.14285714285714285</v>
      </c>
      <c r="Q376" s="72">
        <f t="shared" si="21"/>
        <v>7.1428571428571425E-2</v>
      </c>
      <c r="R376" s="67">
        <f t="shared" si="19"/>
        <v>0</v>
      </c>
    </row>
    <row r="377" spans="1:18" x14ac:dyDescent="0.2">
      <c r="A377" s="67" t="s">
        <v>522</v>
      </c>
      <c r="B377" s="87" t="s">
        <v>3221</v>
      </c>
      <c r="C377" s="67"/>
      <c r="D377" s="67"/>
      <c r="E377" s="67"/>
      <c r="F377" s="67"/>
      <c r="G377" s="67"/>
      <c r="H377" s="67"/>
      <c r="I377" s="67"/>
      <c r="J377" s="11">
        <f>Info!$B$43</f>
        <v>0.5</v>
      </c>
      <c r="K377" s="67"/>
      <c r="L377" s="67"/>
      <c r="M377" s="67"/>
      <c r="N377" s="67"/>
      <c r="P377" s="72">
        <f t="shared" si="20"/>
        <v>7.1428571428571425E-2</v>
      </c>
      <c r="Q377" s="72">
        <f t="shared" si="21"/>
        <v>3.5714285714285712E-2</v>
      </c>
      <c r="R377" s="67">
        <f t="shared" si="19"/>
        <v>0</v>
      </c>
    </row>
    <row r="378" spans="1:18" x14ac:dyDescent="0.2">
      <c r="A378" s="67" t="s">
        <v>3222</v>
      </c>
      <c r="B378" s="87" t="s">
        <v>3223</v>
      </c>
      <c r="C378" s="67"/>
      <c r="D378" s="67"/>
      <c r="E378" s="67"/>
      <c r="F378" s="67"/>
      <c r="G378" s="67"/>
      <c r="H378" s="67"/>
      <c r="I378" s="67"/>
      <c r="J378" s="11">
        <f>Info!$B$44</f>
        <v>0</v>
      </c>
      <c r="K378" s="67"/>
      <c r="L378" s="67"/>
      <c r="M378" s="67"/>
      <c r="N378" s="67"/>
      <c r="P378" s="72">
        <f t="shared" si="20"/>
        <v>0</v>
      </c>
      <c r="Q378" s="72">
        <f t="shared" si="21"/>
        <v>0</v>
      </c>
      <c r="R378" s="67">
        <f t="shared" si="19"/>
        <v>0</v>
      </c>
    </row>
    <row r="379" spans="1:18" x14ac:dyDescent="0.2">
      <c r="A379" s="67" t="s">
        <v>3224</v>
      </c>
      <c r="B379" s="87" t="s">
        <v>3225</v>
      </c>
      <c r="C379" s="67"/>
      <c r="D379" s="67"/>
      <c r="E379" s="67"/>
      <c r="F379" s="67"/>
      <c r="G379" s="67"/>
      <c r="H379" s="67"/>
      <c r="I379" s="67"/>
      <c r="J379" s="11">
        <f>Info!$B$44</f>
        <v>0</v>
      </c>
      <c r="K379" s="67"/>
      <c r="L379" s="67"/>
      <c r="M379" s="67"/>
      <c r="N379" s="67"/>
      <c r="P379" s="72">
        <f t="shared" si="20"/>
        <v>0</v>
      </c>
      <c r="Q379" s="72">
        <f t="shared" si="21"/>
        <v>0</v>
      </c>
      <c r="R379" s="67">
        <f t="shared" si="19"/>
        <v>0</v>
      </c>
    </row>
    <row r="380" spans="1:18" x14ac:dyDescent="0.2">
      <c r="A380" s="67" t="s">
        <v>810</v>
      </c>
      <c r="B380" s="87" t="s">
        <v>3226</v>
      </c>
      <c r="C380" s="67"/>
      <c r="D380" s="67"/>
      <c r="E380" s="67"/>
      <c r="F380" s="67"/>
      <c r="G380" s="67"/>
      <c r="H380" s="67"/>
      <c r="I380" s="67"/>
      <c r="J380" s="11">
        <f>Info!$B$44</f>
        <v>0</v>
      </c>
      <c r="K380" s="67"/>
      <c r="L380" s="67"/>
      <c r="M380" s="67"/>
      <c r="N380" s="67"/>
      <c r="P380" s="72">
        <f t="shared" si="20"/>
        <v>0</v>
      </c>
      <c r="Q380" s="72">
        <f t="shared" si="21"/>
        <v>0</v>
      </c>
      <c r="R380" s="67">
        <f t="shared" si="19"/>
        <v>0</v>
      </c>
    </row>
    <row r="381" spans="1:18" x14ac:dyDescent="0.2">
      <c r="A381" s="67" t="s">
        <v>3227</v>
      </c>
      <c r="B381" s="87" t="s">
        <v>3228</v>
      </c>
      <c r="C381" s="67"/>
      <c r="D381" s="67"/>
      <c r="E381" s="67"/>
      <c r="F381" s="67"/>
      <c r="G381" s="67"/>
      <c r="H381" s="67"/>
      <c r="I381" s="67"/>
      <c r="J381" s="11">
        <f>Info!$B$42</f>
        <v>1</v>
      </c>
      <c r="K381" s="67"/>
      <c r="L381" s="67"/>
      <c r="M381" s="67"/>
      <c r="N381" s="67"/>
      <c r="P381" s="72">
        <f t="shared" si="20"/>
        <v>0.14285714285714285</v>
      </c>
      <c r="Q381" s="72">
        <f t="shared" si="21"/>
        <v>7.1428571428571425E-2</v>
      </c>
      <c r="R381" s="67">
        <f t="shared" si="19"/>
        <v>0</v>
      </c>
    </row>
    <row r="382" spans="1:18" x14ac:dyDescent="0.2">
      <c r="A382" s="67" t="s">
        <v>3229</v>
      </c>
      <c r="B382" s="87" t="s">
        <v>3230</v>
      </c>
      <c r="C382" s="67"/>
      <c r="D382" s="67"/>
      <c r="E382" s="67"/>
      <c r="F382" s="67"/>
      <c r="G382" s="67"/>
      <c r="H382" s="67"/>
      <c r="I382" s="67"/>
      <c r="J382" s="11">
        <f>Info!$B$44</f>
        <v>0</v>
      </c>
      <c r="K382" s="67"/>
      <c r="L382" s="67"/>
      <c r="M382" s="67"/>
      <c r="N382" s="67"/>
      <c r="P382" s="72">
        <f t="shared" si="20"/>
        <v>0</v>
      </c>
      <c r="Q382" s="72">
        <f t="shared" si="21"/>
        <v>0</v>
      </c>
      <c r="R382" s="67">
        <f t="shared" si="19"/>
        <v>0</v>
      </c>
    </row>
    <row r="383" spans="1:18" x14ac:dyDescent="0.2">
      <c r="A383" s="67" t="s">
        <v>3231</v>
      </c>
      <c r="B383" s="87" t="s">
        <v>3232</v>
      </c>
      <c r="C383" s="67"/>
      <c r="D383" s="67"/>
      <c r="E383" s="67"/>
      <c r="F383" s="67"/>
      <c r="G383" s="67"/>
      <c r="H383" s="67"/>
      <c r="I383" s="67"/>
      <c r="J383" s="11">
        <f>Info!$B$44</f>
        <v>0</v>
      </c>
      <c r="K383" s="67"/>
      <c r="L383" s="67"/>
      <c r="M383" s="67"/>
      <c r="N383" s="67"/>
      <c r="P383" s="72">
        <f t="shared" si="20"/>
        <v>0</v>
      </c>
      <c r="Q383" s="72">
        <f t="shared" si="21"/>
        <v>0</v>
      </c>
      <c r="R383" s="67">
        <f t="shared" si="19"/>
        <v>0</v>
      </c>
    </row>
    <row r="384" spans="1:18" x14ac:dyDescent="0.2">
      <c r="A384" s="67" t="s">
        <v>3233</v>
      </c>
      <c r="B384" s="87" t="s">
        <v>3234</v>
      </c>
      <c r="C384" s="67"/>
      <c r="D384" s="67"/>
      <c r="E384" s="67"/>
      <c r="F384" s="67"/>
      <c r="G384" s="67"/>
      <c r="H384" s="67"/>
      <c r="I384" s="67"/>
      <c r="J384" s="11">
        <f>Info!$B$42</f>
        <v>1</v>
      </c>
      <c r="K384" s="67"/>
      <c r="L384" s="67"/>
      <c r="M384" s="67"/>
      <c r="N384" s="67"/>
      <c r="P384" s="72">
        <f t="shared" si="20"/>
        <v>0.14285714285714285</v>
      </c>
      <c r="Q384" s="72">
        <f t="shared" si="21"/>
        <v>7.1428571428571425E-2</v>
      </c>
      <c r="R384" s="67">
        <f t="shared" si="19"/>
        <v>0</v>
      </c>
    </row>
    <row r="385" spans="1:18" x14ac:dyDescent="0.2">
      <c r="A385" s="67" t="s">
        <v>947</v>
      </c>
      <c r="B385" s="87" t="s">
        <v>3235</v>
      </c>
      <c r="C385" s="67"/>
      <c r="D385" s="67"/>
      <c r="E385" s="67"/>
      <c r="F385" s="67"/>
      <c r="G385" s="67"/>
      <c r="H385" s="67"/>
      <c r="I385" s="67"/>
      <c r="J385" s="11">
        <f>Info!$B$42</f>
        <v>1</v>
      </c>
      <c r="K385" s="67"/>
      <c r="L385" s="67"/>
      <c r="M385" s="67"/>
      <c r="N385" s="67"/>
      <c r="P385" s="72">
        <f t="shared" si="20"/>
        <v>0.14285714285714285</v>
      </c>
      <c r="Q385" s="72">
        <f t="shared" si="21"/>
        <v>7.1428571428571425E-2</v>
      </c>
      <c r="R385" s="67">
        <f t="shared" si="19"/>
        <v>0</v>
      </c>
    </row>
    <row r="386" spans="1:18" x14ac:dyDescent="0.2">
      <c r="A386" s="67" t="s">
        <v>3236</v>
      </c>
      <c r="B386" s="87" t="s">
        <v>3237</v>
      </c>
      <c r="C386" s="67"/>
      <c r="D386" s="67"/>
      <c r="E386" s="67"/>
      <c r="F386" s="67"/>
      <c r="G386" s="67"/>
      <c r="H386" s="67"/>
      <c r="I386" s="67"/>
      <c r="J386" s="11">
        <f>Info!$B$44</f>
        <v>0</v>
      </c>
      <c r="K386" s="67"/>
      <c r="L386" s="67"/>
      <c r="M386" s="67"/>
      <c r="N386" s="67"/>
      <c r="P386" s="72">
        <f t="shared" si="20"/>
        <v>0</v>
      </c>
      <c r="Q386" s="72">
        <f t="shared" si="21"/>
        <v>0</v>
      </c>
      <c r="R386" s="67">
        <f t="shared" ref="R386:R449" si="22">IF(_xlfn.BITAND(P386&gt;0.4999, Q386&gt;0.4999)=1,1,0)</f>
        <v>0</v>
      </c>
    </row>
    <row r="387" spans="1:18" x14ac:dyDescent="0.2">
      <c r="A387" s="67" t="s">
        <v>897</v>
      </c>
      <c r="B387" s="87" t="s">
        <v>3238</v>
      </c>
      <c r="C387" s="67"/>
      <c r="D387" s="67"/>
      <c r="E387" s="67"/>
      <c r="F387" s="67"/>
      <c r="G387" s="67"/>
      <c r="H387" s="67"/>
      <c r="I387" s="67"/>
      <c r="J387" s="11">
        <f>Info!$B$44</f>
        <v>0</v>
      </c>
      <c r="K387" s="67"/>
      <c r="L387" s="67"/>
      <c r="M387" s="67"/>
      <c r="N387" s="67"/>
      <c r="P387" s="72">
        <f t="shared" si="20"/>
        <v>0</v>
      </c>
      <c r="Q387" s="72">
        <f t="shared" si="21"/>
        <v>0</v>
      </c>
      <c r="R387" s="67">
        <f t="shared" si="22"/>
        <v>0</v>
      </c>
    </row>
    <row r="388" spans="1:18" x14ac:dyDescent="0.2">
      <c r="A388" s="67" t="s">
        <v>3239</v>
      </c>
      <c r="B388" s="87" t="s">
        <v>3240</v>
      </c>
      <c r="C388" s="67"/>
      <c r="D388" s="67"/>
      <c r="E388" s="67"/>
      <c r="F388" s="67"/>
      <c r="G388" s="67"/>
      <c r="H388" s="67"/>
      <c r="I388" s="67"/>
      <c r="J388" s="11">
        <f>Info!$B$44</f>
        <v>0</v>
      </c>
      <c r="K388" s="67"/>
      <c r="L388" s="67"/>
      <c r="M388" s="67"/>
      <c r="N388" s="67"/>
      <c r="P388" s="72">
        <f t="shared" si="20"/>
        <v>0</v>
      </c>
      <c r="Q388" s="72">
        <f t="shared" si="21"/>
        <v>0</v>
      </c>
      <c r="R388" s="67">
        <f t="shared" si="22"/>
        <v>0</v>
      </c>
    </row>
    <row r="389" spans="1:18" x14ac:dyDescent="0.2">
      <c r="A389" s="67" t="s">
        <v>3241</v>
      </c>
      <c r="B389" s="87" t="s">
        <v>3242</v>
      </c>
      <c r="C389" s="67"/>
      <c r="D389" s="67"/>
      <c r="E389" s="67"/>
      <c r="F389" s="67"/>
      <c r="G389" s="67"/>
      <c r="H389" s="67"/>
      <c r="I389" s="67"/>
      <c r="J389" s="11">
        <f>Info!$B$43</f>
        <v>0.5</v>
      </c>
      <c r="K389" s="67"/>
      <c r="L389" s="67"/>
      <c r="M389" s="67"/>
      <c r="N389" s="67"/>
      <c r="P389" s="72">
        <f t="shared" si="20"/>
        <v>7.1428571428571425E-2</v>
      </c>
      <c r="Q389" s="72">
        <f t="shared" si="21"/>
        <v>3.5714285714285712E-2</v>
      </c>
      <c r="R389" s="67">
        <f t="shared" si="22"/>
        <v>0</v>
      </c>
    </row>
    <row r="390" spans="1:18" x14ac:dyDescent="0.2">
      <c r="A390" s="67" t="s">
        <v>3243</v>
      </c>
      <c r="B390" s="87" t="s">
        <v>3244</v>
      </c>
      <c r="C390" s="67"/>
      <c r="D390" s="67"/>
      <c r="E390" s="67"/>
      <c r="F390" s="67"/>
      <c r="G390" s="67"/>
      <c r="H390" s="67"/>
      <c r="I390" s="67"/>
      <c r="J390" s="11">
        <f>Info!$B$42</f>
        <v>1</v>
      </c>
      <c r="K390" s="67"/>
      <c r="L390" s="67"/>
      <c r="M390" s="67"/>
      <c r="N390" s="67"/>
      <c r="P390" s="72">
        <f t="shared" si="20"/>
        <v>0.14285714285714285</v>
      </c>
      <c r="Q390" s="72">
        <f t="shared" si="21"/>
        <v>7.1428571428571425E-2</v>
      </c>
      <c r="R390" s="67">
        <f t="shared" si="22"/>
        <v>0</v>
      </c>
    </row>
    <row r="391" spans="1:18" x14ac:dyDescent="0.2">
      <c r="A391" s="67" t="s">
        <v>3245</v>
      </c>
      <c r="B391" s="87" t="s">
        <v>3246</v>
      </c>
      <c r="C391" s="67"/>
      <c r="D391" s="67"/>
      <c r="E391" s="67"/>
      <c r="F391" s="67"/>
      <c r="G391" s="67"/>
      <c r="H391" s="67"/>
      <c r="I391" s="67"/>
      <c r="J391" s="11">
        <f>Info!$B$44</f>
        <v>0</v>
      </c>
      <c r="K391" s="67"/>
      <c r="L391" s="67"/>
      <c r="M391" s="67"/>
      <c r="N391" s="67"/>
      <c r="P391" s="72">
        <f t="shared" si="20"/>
        <v>0</v>
      </c>
      <c r="Q391" s="72">
        <f t="shared" si="21"/>
        <v>0</v>
      </c>
      <c r="R391" s="67">
        <f t="shared" si="22"/>
        <v>0</v>
      </c>
    </row>
    <row r="392" spans="1:18" x14ac:dyDescent="0.2">
      <c r="A392" s="67" t="s">
        <v>3247</v>
      </c>
      <c r="B392" s="87" t="s">
        <v>3248</v>
      </c>
      <c r="C392" s="67"/>
      <c r="D392" s="67"/>
      <c r="E392" s="67"/>
      <c r="F392" s="67"/>
      <c r="G392" s="67"/>
      <c r="H392" s="67"/>
      <c r="I392" s="67"/>
      <c r="J392" s="11">
        <f>Info!$B$44</f>
        <v>0</v>
      </c>
      <c r="K392" s="67"/>
      <c r="L392" s="67"/>
      <c r="M392" s="67"/>
      <c r="N392" s="67"/>
      <c r="P392" s="72">
        <f t="shared" si="20"/>
        <v>0</v>
      </c>
      <c r="Q392" s="72">
        <f t="shared" si="21"/>
        <v>0</v>
      </c>
      <c r="R392" s="67">
        <f t="shared" si="22"/>
        <v>0</v>
      </c>
    </row>
    <row r="393" spans="1:18" x14ac:dyDescent="0.2">
      <c r="A393" s="67" t="s">
        <v>3249</v>
      </c>
      <c r="B393" s="87" t="s">
        <v>3250</v>
      </c>
      <c r="C393" s="67"/>
      <c r="D393" s="67"/>
      <c r="E393" s="67"/>
      <c r="F393" s="67"/>
      <c r="G393" s="67"/>
      <c r="H393" s="67"/>
      <c r="I393" s="67"/>
      <c r="J393" s="11">
        <f>Info!$B$44</f>
        <v>0</v>
      </c>
      <c r="K393" s="67"/>
      <c r="L393" s="67"/>
      <c r="M393" s="67"/>
      <c r="N393" s="67"/>
      <c r="P393" s="72">
        <f t="shared" si="20"/>
        <v>0</v>
      </c>
      <c r="Q393" s="72">
        <f t="shared" si="21"/>
        <v>0</v>
      </c>
      <c r="R393" s="67">
        <f t="shared" si="22"/>
        <v>0</v>
      </c>
    </row>
    <row r="394" spans="1:18" x14ac:dyDescent="0.2">
      <c r="A394" s="67" t="s">
        <v>3251</v>
      </c>
      <c r="B394" s="87" t="s">
        <v>3252</v>
      </c>
      <c r="C394" s="67"/>
      <c r="D394" s="67"/>
      <c r="E394" s="67"/>
      <c r="F394" s="67"/>
      <c r="G394" s="67"/>
      <c r="H394" s="67"/>
      <c r="I394" s="67"/>
      <c r="J394" s="11">
        <f>Info!$B$43</f>
        <v>0.5</v>
      </c>
      <c r="K394" s="67"/>
      <c r="L394" s="67"/>
      <c r="M394" s="67"/>
      <c r="N394" s="67"/>
      <c r="P394" s="72">
        <f t="shared" si="20"/>
        <v>7.1428571428571425E-2</v>
      </c>
      <c r="Q394" s="72">
        <f t="shared" si="21"/>
        <v>3.5714285714285712E-2</v>
      </c>
      <c r="R394" s="67">
        <f t="shared" si="22"/>
        <v>0</v>
      </c>
    </row>
    <row r="395" spans="1:18" x14ac:dyDescent="0.2">
      <c r="A395" s="67" t="s">
        <v>3253</v>
      </c>
      <c r="B395" s="87" t="s">
        <v>3254</v>
      </c>
      <c r="C395" s="67"/>
      <c r="D395" s="67"/>
      <c r="E395" s="67"/>
      <c r="F395" s="67"/>
      <c r="G395" s="67"/>
      <c r="H395" s="67"/>
      <c r="I395" s="67"/>
      <c r="J395" s="11">
        <f>Info!$B$43</f>
        <v>0.5</v>
      </c>
      <c r="K395" s="67"/>
      <c r="L395" s="67"/>
      <c r="M395" s="67"/>
      <c r="N395" s="67"/>
      <c r="P395" s="72">
        <f t="shared" si="20"/>
        <v>7.1428571428571425E-2</v>
      </c>
      <c r="Q395" s="72">
        <f t="shared" si="21"/>
        <v>3.5714285714285712E-2</v>
      </c>
      <c r="R395" s="67">
        <f t="shared" si="22"/>
        <v>0</v>
      </c>
    </row>
    <row r="396" spans="1:18" x14ac:dyDescent="0.2">
      <c r="A396" s="67" t="s">
        <v>3255</v>
      </c>
      <c r="B396" s="87" t="s">
        <v>3256</v>
      </c>
      <c r="C396" s="67"/>
      <c r="D396" s="67"/>
      <c r="E396" s="67"/>
      <c r="F396" s="67"/>
      <c r="G396" s="67"/>
      <c r="H396" s="67"/>
      <c r="I396" s="67"/>
      <c r="J396" s="11">
        <f>Info!$B$43</f>
        <v>0.5</v>
      </c>
      <c r="K396" s="67"/>
      <c r="L396" s="67"/>
      <c r="M396" s="67"/>
      <c r="N396" s="67"/>
      <c r="P396" s="72">
        <f t="shared" si="20"/>
        <v>7.1428571428571425E-2</v>
      </c>
      <c r="Q396" s="72">
        <f t="shared" si="21"/>
        <v>3.5714285714285712E-2</v>
      </c>
      <c r="R396" s="67">
        <f t="shared" si="22"/>
        <v>0</v>
      </c>
    </row>
    <row r="397" spans="1:18" x14ac:dyDescent="0.2">
      <c r="A397" s="67" t="s">
        <v>190</v>
      </c>
      <c r="B397" s="87" t="s">
        <v>3257</v>
      </c>
      <c r="C397" s="67"/>
      <c r="D397" s="67"/>
      <c r="E397" s="67"/>
      <c r="F397" s="67"/>
      <c r="G397" s="67"/>
      <c r="H397" s="67"/>
      <c r="I397" s="67"/>
      <c r="J397" s="11">
        <f>Info!$B$44</f>
        <v>0</v>
      </c>
      <c r="K397" s="67"/>
      <c r="L397" s="67"/>
      <c r="M397" s="67"/>
      <c r="N397" s="67"/>
      <c r="P397" s="72">
        <f t="shared" si="20"/>
        <v>0</v>
      </c>
      <c r="Q397" s="72">
        <f t="shared" si="21"/>
        <v>0</v>
      </c>
      <c r="R397" s="67">
        <f t="shared" si="22"/>
        <v>0</v>
      </c>
    </row>
    <row r="398" spans="1:18" x14ac:dyDescent="0.2">
      <c r="A398" s="67" t="s">
        <v>3258</v>
      </c>
      <c r="B398" s="87" t="s">
        <v>3259</v>
      </c>
      <c r="C398" s="67"/>
      <c r="D398" s="67"/>
      <c r="E398" s="67"/>
      <c r="F398" s="67"/>
      <c r="G398" s="67"/>
      <c r="H398" s="67"/>
      <c r="I398" s="67"/>
      <c r="J398" s="11">
        <f>Info!$B$43</f>
        <v>0.5</v>
      </c>
      <c r="K398" s="67"/>
      <c r="L398" s="67"/>
      <c r="M398" s="67"/>
      <c r="N398" s="67"/>
      <c r="P398" s="72">
        <f t="shared" si="20"/>
        <v>7.1428571428571425E-2</v>
      </c>
      <c r="Q398" s="72">
        <f t="shared" si="21"/>
        <v>3.5714285714285712E-2</v>
      </c>
      <c r="R398" s="67">
        <f t="shared" si="22"/>
        <v>0</v>
      </c>
    </row>
    <row r="399" spans="1:18" x14ac:dyDescent="0.2">
      <c r="A399" s="67" t="s">
        <v>3260</v>
      </c>
      <c r="B399" s="87" t="s">
        <v>3261</v>
      </c>
      <c r="C399" s="67"/>
      <c r="D399" s="67"/>
      <c r="E399" s="67"/>
      <c r="F399" s="67"/>
      <c r="G399" s="67"/>
      <c r="H399" s="67"/>
      <c r="I399" s="67"/>
      <c r="J399" s="11">
        <f>Info!$B$44</f>
        <v>0</v>
      </c>
      <c r="K399" s="67"/>
      <c r="L399" s="67"/>
      <c r="M399" s="67"/>
      <c r="N399" s="67"/>
      <c r="P399" s="72">
        <f t="shared" si="20"/>
        <v>0</v>
      </c>
      <c r="Q399" s="72">
        <f t="shared" si="21"/>
        <v>0</v>
      </c>
      <c r="R399" s="67">
        <f t="shared" si="22"/>
        <v>0</v>
      </c>
    </row>
    <row r="400" spans="1:18" x14ac:dyDescent="0.2">
      <c r="A400" s="67" t="s">
        <v>153</v>
      </c>
      <c r="B400" s="87" t="s">
        <v>3265</v>
      </c>
      <c r="C400" s="67"/>
      <c r="D400" s="67"/>
      <c r="E400" s="67"/>
      <c r="F400" s="67"/>
      <c r="G400" s="67"/>
      <c r="H400" s="67"/>
      <c r="I400" s="67"/>
      <c r="J400" s="11">
        <f>Info!$B$43</f>
        <v>0.5</v>
      </c>
      <c r="K400" s="67"/>
      <c r="L400" s="67"/>
      <c r="M400" s="67"/>
      <c r="N400" s="67"/>
      <c r="P400" s="72">
        <f t="shared" si="20"/>
        <v>7.1428571428571425E-2</v>
      </c>
      <c r="Q400" s="72">
        <f t="shared" si="21"/>
        <v>3.5714285714285712E-2</v>
      </c>
      <c r="R400" s="67">
        <f t="shared" si="22"/>
        <v>0</v>
      </c>
    </row>
    <row r="401" spans="1:18" x14ac:dyDescent="0.2">
      <c r="A401" s="67" t="s">
        <v>3266</v>
      </c>
      <c r="B401" s="87" t="s">
        <v>3267</v>
      </c>
      <c r="C401" s="67"/>
      <c r="D401" s="67"/>
      <c r="E401" s="67"/>
      <c r="F401" s="67"/>
      <c r="G401" s="67"/>
      <c r="H401" s="67"/>
      <c r="I401" s="67"/>
      <c r="J401" s="11">
        <f>Info!$B$42</f>
        <v>1</v>
      </c>
      <c r="K401" s="67"/>
      <c r="L401" s="67"/>
      <c r="M401" s="67"/>
      <c r="N401" s="67"/>
      <c r="P401" s="72">
        <f t="shared" si="20"/>
        <v>0.14285714285714285</v>
      </c>
      <c r="Q401" s="72">
        <f t="shared" si="21"/>
        <v>7.1428571428571425E-2</v>
      </c>
      <c r="R401" s="67">
        <f t="shared" si="22"/>
        <v>0</v>
      </c>
    </row>
    <row r="402" spans="1:18" x14ac:dyDescent="0.2">
      <c r="A402" s="67" t="s">
        <v>3268</v>
      </c>
      <c r="B402" s="87" t="s">
        <v>3269</v>
      </c>
      <c r="C402" s="67"/>
      <c r="D402" s="67"/>
      <c r="E402" s="67"/>
      <c r="F402" s="67"/>
      <c r="G402" s="67"/>
      <c r="H402" s="67"/>
      <c r="I402" s="67"/>
      <c r="J402" s="11">
        <f>Info!$B$44</f>
        <v>0</v>
      </c>
      <c r="K402" s="67"/>
      <c r="L402" s="67"/>
      <c r="M402" s="67"/>
      <c r="N402" s="67"/>
      <c r="P402" s="72">
        <f t="shared" si="20"/>
        <v>0</v>
      </c>
      <c r="Q402" s="72">
        <f t="shared" si="21"/>
        <v>0</v>
      </c>
      <c r="R402" s="67">
        <f t="shared" si="22"/>
        <v>0</v>
      </c>
    </row>
    <row r="403" spans="1:18" x14ac:dyDescent="0.2">
      <c r="A403" s="67" t="s">
        <v>3270</v>
      </c>
      <c r="B403" s="87" t="s">
        <v>3271</v>
      </c>
      <c r="C403" s="67"/>
      <c r="D403" s="67"/>
      <c r="E403" s="67"/>
      <c r="F403" s="67"/>
      <c r="G403" s="67"/>
      <c r="H403" s="67"/>
      <c r="I403" s="67"/>
      <c r="J403" s="11"/>
      <c r="K403" s="67"/>
      <c r="L403" s="67"/>
      <c r="M403" s="67"/>
      <c r="N403" s="67"/>
      <c r="P403" s="72">
        <f t="shared" si="20"/>
        <v>0</v>
      </c>
      <c r="Q403" s="72">
        <f t="shared" si="21"/>
        <v>0</v>
      </c>
      <c r="R403" s="67">
        <f t="shared" si="22"/>
        <v>0</v>
      </c>
    </row>
    <row r="404" spans="1:18" x14ac:dyDescent="0.2">
      <c r="A404" s="67" t="s">
        <v>3272</v>
      </c>
      <c r="B404" s="87" t="s">
        <v>3273</v>
      </c>
      <c r="C404" s="67"/>
      <c r="D404" s="11"/>
      <c r="E404" s="11"/>
      <c r="F404" s="11"/>
      <c r="G404" s="11"/>
      <c r="H404" s="11"/>
      <c r="I404" s="11"/>
      <c r="J404" s="11"/>
      <c r="K404" s="67"/>
      <c r="L404" s="67"/>
      <c r="M404" s="67"/>
      <c r="N404" s="67"/>
      <c r="P404" s="72">
        <f t="shared" si="20"/>
        <v>0</v>
      </c>
      <c r="Q404" s="72">
        <f t="shared" si="21"/>
        <v>0</v>
      </c>
      <c r="R404" s="67">
        <f t="shared" si="22"/>
        <v>0</v>
      </c>
    </row>
    <row r="405" spans="1:18" x14ac:dyDescent="0.2">
      <c r="A405" s="67" t="s">
        <v>3274</v>
      </c>
      <c r="B405" s="87" t="s">
        <v>3275</v>
      </c>
      <c r="C405" s="67"/>
      <c r="D405" s="67"/>
      <c r="E405" s="67"/>
      <c r="F405" s="67"/>
      <c r="G405" s="67"/>
      <c r="H405" s="67"/>
      <c r="I405" s="67"/>
      <c r="J405" s="11">
        <f>Info!$B$44</f>
        <v>0</v>
      </c>
      <c r="K405" s="67"/>
      <c r="L405" s="67"/>
      <c r="M405" s="67"/>
      <c r="N405" s="67"/>
      <c r="P405" s="72">
        <f t="shared" si="20"/>
        <v>0</v>
      </c>
      <c r="Q405" s="72">
        <f t="shared" si="21"/>
        <v>0</v>
      </c>
      <c r="R405" s="67">
        <f t="shared" si="22"/>
        <v>0</v>
      </c>
    </row>
    <row r="406" spans="1:18" x14ac:dyDescent="0.2">
      <c r="A406" s="67" t="s">
        <v>3276</v>
      </c>
      <c r="B406" s="87" t="s">
        <v>3277</v>
      </c>
      <c r="C406" s="67"/>
      <c r="D406" s="67"/>
      <c r="E406" s="67"/>
      <c r="F406" s="67"/>
      <c r="G406" s="67"/>
      <c r="H406" s="67"/>
      <c r="I406" s="67"/>
      <c r="J406" s="11">
        <f>Info!$B$44</f>
        <v>0</v>
      </c>
      <c r="K406" s="67"/>
      <c r="L406" s="67"/>
      <c r="M406" s="67"/>
      <c r="N406" s="67"/>
      <c r="P406" s="72">
        <f t="shared" si="20"/>
        <v>0</v>
      </c>
      <c r="Q406" s="72">
        <f t="shared" si="21"/>
        <v>0</v>
      </c>
      <c r="R406" s="67">
        <f t="shared" si="22"/>
        <v>0</v>
      </c>
    </row>
    <row r="407" spans="1:18" x14ac:dyDescent="0.2">
      <c r="A407" s="67" t="s">
        <v>3278</v>
      </c>
      <c r="B407" s="87" t="s">
        <v>3279</v>
      </c>
      <c r="C407" s="67"/>
      <c r="D407" s="67"/>
      <c r="E407" s="67"/>
      <c r="F407" s="67"/>
      <c r="G407" s="67"/>
      <c r="H407" s="67"/>
      <c r="I407" s="67"/>
      <c r="J407" s="11">
        <f>Info!$B$44</f>
        <v>0</v>
      </c>
      <c r="K407" s="67"/>
      <c r="L407" s="67"/>
      <c r="M407" s="67"/>
      <c r="N407" s="67"/>
      <c r="P407" s="72">
        <f t="shared" si="20"/>
        <v>0</v>
      </c>
      <c r="Q407" s="72">
        <f t="shared" si="21"/>
        <v>0</v>
      </c>
      <c r="R407" s="67">
        <f t="shared" si="22"/>
        <v>0</v>
      </c>
    </row>
    <row r="408" spans="1:18" x14ac:dyDescent="0.2">
      <c r="A408" s="67" t="s">
        <v>3280</v>
      </c>
      <c r="B408" s="87" t="s">
        <v>3281</v>
      </c>
      <c r="C408" s="67"/>
      <c r="D408" s="67"/>
      <c r="E408" s="67"/>
      <c r="F408" s="67"/>
      <c r="G408" s="67"/>
      <c r="H408" s="67"/>
      <c r="I408" s="67"/>
      <c r="J408" s="11">
        <f>Info!$B$44</f>
        <v>0</v>
      </c>
      <c r="K408" s="67"/>
      <c r="L408" s="67"/>
      <c r="M408" s="67"/>
      <c r="N408" s="67"/>
      <c r="P408" s="72">
        <f t="shared" si="20"/>
        <v>0</v>
      </c>
      <c r="Q408" s="72">
        <f t="shared" si="21"/>
        <v>0</v>
      </c>
      <c r="R408" s="67">
        <f t="shared" si="22"/>
        <v>0</v>
      </c>
    </row>
    <row r="409" spans="1:18" x14ac:dyDescent="0.2">
      <c r="A409" s="67" t="s">
        <v>3282</v>
      </c>
      <c r="B409" s="87" t="s">
        <v>3283</v>
      </c>
      <c r="C409" s="67"/>
      <c r="D409" s="67"/>
      <c r="E409" s="67"/>
      <c r="F409" s="67"/>
      <c r="G409" s="67"/>
      <c r="H409" s="67"/>
      <c r="I409" s="67"/>
      <c r="J409" s="11">
        <f>Info!$B$42</f>
        <v>1</v>
      </c>
      <c r="K409" s="67"/>
      <c r="L409" s="67"/>
      <c r="M409" s="67"/>
      <c r="N409" s="67"/>
      <c r="P409" s="72">
        <f t="shared" si="20"/>
        <v>0.14285714285714285</v>
      </c>
      <c r="Q409" s="72">
        <f t="shared" si="21"/>
        <v>7.1428571428571425E-2</v>
      </c>
      <c r="R409" s="67">
        <f t="shared" si="22"/>
        <v>0</v>
      </c>
    </row>
    <row r="410" spans="1:18" x14ac:dyDescent="0.2">
      <c r="A410" s="67" t="s">
        <v>3284</v>
      </c>
      <c r="B410" s="87" t="s">
        <v>3285</v>
      </c>
      <c r="C410" s="67"/>
      <c r="D410" s="67"/>
      <c r="E410" s="67"/>
      <c r="F410" s="67"/>
      <c r="G410" s="67"/>
      <c r="H410" s="67"/>
      <c r="I410" s="67"/>
      <c r="J410" s="11">
        <f>Info!$B$44</f>
        <v>0</v>
      </c>
      <c r="K410" s="67"/>
      <c r="L410" s="67"/>
      <c r="M410" s="67"/>
      <c r="N410" s="67"/>
      <c r="P410" s="72">
        <f t="shared" si="20"/>
        <v>0</v>
      </c>
      <c r="Q410" s="72">
        <f t="shared" si="21"/>
        <v>0</v>
      </c>
      <c r="R410" s="67">
        <f t="shared" si="22"/>
        <v>0</v>
      </c>
    </row>
    <row r="411" spans="1:18" x14ac:dyDescent="0.2">
      <c r="A411" s="67" t="s">
        <v>514</v>
      </c>
      <c r="B411" s="87" t="s">
        <v>3286</v>
      </c>
      <c r="C411" s="67"/>
      <c r="D411" s="67"/>
      <c r="E411" s="67"/>
      <c r="F411" s="67"/>
      <c r="G411" s="67"/>
      <c r="H411" s="67"/>
      <c r="I411" s="67"/>
      <c r="J411" s="11">
        <f>Info!$B$43</f>
        <v>0.5</v>
      </c>
      <c r="K411" s="67"/>
      <c r="L411" s="67"/>
      <c r="M411" s="67"/>
      <c r="N411" s="67"/>
      <c r="P411" s="72">
        <f t="shared" ref="P411:P474" si="23">(D411+E411+F411+G411+H411+I411+J411)/7</f>
        <v>7.1428571428571425E-2</v>
      </c>
      <c r="Q411" s="72">
        <f t="shared" si="21"/>
        <v>3.5714285714285712E-2</v>
      </c>
      <c r="R411" s="67">
        <f t="shared" si="22"/>
        <v>0</v>
      </c>
    </row>
    <row r="412" spans="1:18" x14ac:dyDescent="0.2">
      <c r="A412" s="67" t="s">
        <v>3287</v>
      </c>
      <c r="B412" s="87" t="s">
        <v>3288</v>
      </c>
      <c r="C412" s="67"/>
      <c r="D412" s="67"/>
      <c r="E412" s="67"/>
      <c r="F412" s="67"/>
      <c r="G412" s="67"/>
      <c r="H412" s="67"/>
      <c r="I412" s="67"/>
      <c r="J412" s="11">
        <f>Info!$B$44</f>
        <v>0</v>
      </c>
      <c r="K412" s="67"/>
      <c r="L412" s="67"/>
      <c r="M412" s="67"/>
      <c r="N412" s="67"/>
      <c r="P412" s="72">
        <f t="shared" si="23"/>
        <v>0</v>
      </c>
      <c r="Q412" s="72">
        <f t="shared" si="21"/>
        <v>0</v>
      </c>
      <c r="R412" s="67">
        <f t="shared" si="22"/>
        <v>0</v>
      </c>
    </row>
    <row r="413" spans="1:18" x14ac:dyDescent="0.2">
      <c r="A413" s="67" t="s">
        <v>3289</v>
      </c>
      <c r="B413" s="87" t="s">
        <v>3290</v>
      </c>
      <c r="C413" s="67"/>
      <c r="D413" s="67"/>
      <c r="E413" s="67"/>
      <c r="F413" s="67"/>
      <c r="G413" s="67"/>
      <c r="H413" s="67"/>
      <c r="I413" s="67"/>
      <c r="J413" s="11">
        <f>Info!$B$44</f>
        <v>0</v>
      </c>
      <c r="K413" s="67"/>
      <c r="L413" s="67"/>
      <c r="M413" s="67"/>
      <c r="N413" s="67"/>
      <c r="P413" s="72">
        <f t="shared" si="23"/>
        <v>0</v>
      </c>
      <c r="Q413" s="72">
        <f t="shared" si="21"/>
        <v>0</v>
      </c>
      <c r="R413" s="67">
        <f t="shared" si="22"/>
        <v>0</v>
      </c>
    </row>
    <row r="414" spans="1:18" x14ac:dyDescent="0.2">
      <c r="A414" s="67" t="s">
        <v>3291</v>
      </c>
      <c r="B414" s="87" t="s">
        <v>3292</v>
      </c>
      <c r="C414" s="67"/>
      <c r="D414" s="67"/>
      <c r="E414" s="67"/>
      <c r="F414" s="67"/>
      <c r="G414" s="67"/>
      <c r="H414" s="67"/>
      <c r="I414" s="67"/>
      <c r="J414" s="11">
        <f>Info!$B$43</f>
        <v>0.5</v>
      </c>
      <c r="K414" s="67"/>
      <c r="L414" s="67"/>
      <c r="M414" s="67"/>
      <c r="N414" s="67"/>
      <c r="P414" s="72">
        <f t="shared" si="23"/>
        <v>7.1428571428571425E-2</v>
      </c>
      <c r="Q414" s="72">
        <f t="shared" si="21"/>
        <v>3.5714285714285712E-2</v>
      </c>
      <c r="R414" s="67">
        <f t="shared" si="22"/>
        <v>0</v>
      </c>
    </row>
    <row r="415" spans="1:18" x14ac:dyDescent="0.2">
      <c r="A415" s="67" t="s">
        <v>3293</v>
      </c>
      <c r="B415" s="87" t="s">
        <v>3294</v>
      </c>
      <c r="C415" s="67"/>
      <c r="D415" s="67"/>
      <c r="E415" s="67"/>
      <c r="F415" s="67"/>
      <c r="G415" s="67"/>
      <c r="H415" s="67"/>
      <c r="I415" s="67"/>
      <c r="J415" s="11">
        <f>Info!$B$42</f>
        <v>1</v>
      </c>
      <c r="K415" s="67"/>
      <c r="L415" s="67"/>
      <c r="M415" s="67"/>
      <c r="N415" s="67"/>
      <c r="P415" s="72">
        <f t="shared" si="23"/>
        <v>0.14285714285714285</v>
      </c>
      <c r="Q415" s="72">
        <f t="shared" si="21"/>
        <v>7.1428571428571425E-2</v>
      </c>
      <c r="R415" s="67">
        <f t="shared" si="22"/>
        <v>0</v>
      </c>
    </row>
    <row r="416" spans="1:18" x14ac:dyDescent="0.2">
      <c r="A416" s="67" t="s">
        <v>3295</v>
      </c>
      <c r="B416" s="87" t="s">
        <v>3296</v>
      </c>
      <c r="C416" s="67"/>
      <c r="D416" s="67"/>
      <c r="E416" s="67"/>
      <c r="F416" s="67"/>
      <c r="G416" s="67"/>
      <c r="H416" s="67"/>
      <c r="I416" s="67"/>
      <c r="J416" s="11">
        <f>Info!$B$43</f>
        <v>0.5</v>
      </c>
      <c r="K416" s="67"/>
      <c r="L416" s="67"/>
      <c r="M416" s="67"/>
      <c r="N416" s="67"/>
      <c r="P416" s="72">
        <f t="shared" si="23"/>
        <v>7.1428571428571425E-2</v>
      </c>
      <c r="Q416" s="72">
        <f t="shared" si="21"/>
        <v>3.5714285714285712E-2</v>
      </c>
      <c r="R416" s="67">
        <f t="shared" si="22"/>
        <v>0</v>
      </c>
    </row>
    <row r="417" spans="1:18" x14ac:dyDescent="0.2">
      <c r="A417" s="67" t="s">
        <v>3297</v>
      </c>
      <c r="B417" s="87" t="s">
        <v>3298</v>
      </c>
      <c r="C417" s="67"/>
      <c r="D417" s="67"/>
      <c r="E417" s="67"/>
      <c r="F417" s="67"/>
      <c r="G417" s="67"/>
      <c r="H417" s="67"/>
      <c r="I417" s="67"/>
      <c r="J417" s="11"/>
      <c r="K417" s="67"/>
      <c r="L417" s="67"/>
      <c r="M417" s="67"/>
      <c r="N417" s="67"/>
      <c r="P417" s="72">
        <f t="shared" si="23"/>
        <v>0</v>
      </c>
      <c r="Q417" s="72">
        <f t="shared" si="21"/>
        <v>0</v>
      </c>
      <c r="R417" s="67">
        <f t="shared" si="22"/>
        <v>0</v>
      </c>
    </row>
    <row r="418" spans="1:18" x14ac:dyDescent="0.2">
      <c r="A418" s="67" t="s">
        <v>72</v>
      </c>
      <c r="B418" s="87" t="s">
        <v>3299</v>
      </c>
      <c r="C418" s="67"/>
      <c r="D418" s="67"/>
      <c r="E418" s="67"/>
      <c r="F418" s="67"/>
      <c r="G418" s="67"/>
      <c r="H418" s="67"/>
      <c r="I418" s="67"/>
      <c r="J418" s="11">
        <f>Info!$B$42</f>
        <v>1</v>
      </c>
      <c r="K418" s="67"/>
      <c r="L418" s="67"/>
      <c r="M418" s="67"/>
      <c r="N418" s="67"/>
      <c r="P418" s="72">
        <f t="shared" si="23"/>
        <v>0.14285714285714285</v>
      </c>
      <c r="Q418" s="72">
        <f t="shared" si="21"/>
        <v>7.1428571428571425E-2</v>
      </c>
      <c r="R418" s="67">
        <f t="shared" si="22"/>
        <v>0</v>
      </c>
    </row>
    <row r="419" spans="1:18" x14ac:dyDescent="0.2">
      <c r="A419" s="67" t="s">
        <v>3300</v>
      </c>
      <c r="B419" s="87" t="s">
        <v>3301</v>
      </c>
      <c r="C419" s="67"/>
      <c r="D419" s="67"/>
      <c r="E419" s="67"/>
      <c r="F419" s="67"/>
      <c r="G419" s="67"/>
      <c r="H419" s="67"/>
      <c r="I419" s="67"/>
      <c r="J419" s="11">
        <f>Info!$B$44</f>
        <v>0</v>
      </c>
      <c r="K419" s="67"/>
      <c r="L419" s="67"/>
      <c r="M419" s="67"/>
      <c r="N419" s="67"/>
      <c r="P419" s="72">
        <f t="shared" si="23"/>
        <v>0</v>
      </c>
      <c r="Q419" s="72">
        <f t="shared" si="21"/>
        <v>0</v>
      </c>
      <c r="R419" s="67">
        <f t="shared" si="22"/>
        <v>0</v>
      </c>
    </row>
    <row r="420" spans="1:18" x14ac:dyDescent="0.2">
      <c r="A420" s="67" t="s">
        <v>3302</v>
      </c>
      <c r="B420" s="87" t="s">
        <v>3303</v>
      </c>
      <c r="C420" s="67"/>
      <c r="D420" s="67"/>
      <c r="E420" s="67"/>
      <c r="F420" s="67"/>
      <c r="G420" s="67"/>
      <c r="H420" s="67"/>
      <c r="I420" s="67"/>
      <c r="J420" s="11">
        <f>Info!$B$42</f>
        <v>1</v>
      </c>
      <c r="K420" s="67"/>
      <c r="L420" s="67"/>
      <c r="M420" s="67"/>
      <c r="N420" s="67"/>
      <c r="P420" s="72">
        <f t="shared" si="23"/>
        <v>0.14285714285714285</v>
      </c>
      <c r="Q420" s="72">
        <f t="shared" si="21"/>
        <v>7.1428571428571425E-2</v>
      </c>
      <c r="R420" s="67">
        <f t="shared" si="22"/>
        <v>0</v>
      </c>
    </row>
    <row r="421" spans="1:18" x14ac:dyDescent="0.2">
      <c r="A421" s="67" t="s">
        <v>3304</v>
      </c>
      <c r="B421" s="87" t="s">
        <v>3305</v>
      </c>
      <c r="C421" s="67"/>
      <c r="D421" s="11"/>
      <c r="E421" s="11"/>
      <c r="F421" s="11"/>
      <c r="G421" s="11"/>
      <c r="H421" s="11"/>
      <c r="I421" s="11"/>
      <c r="J421" s="11">
        <f>Info!$B$42</f>
        <v>1</v>
      </c>
      <c r="K421" s="67"/>
      <c r="L421" s="67"/>
      <c r="M421" s="67"/>
      <c r="N421" s="67"/>
      <c r="P421" s="72">
        <f t="shared" si="23"/>
        <v>0.14285714285714285</v>
      </c>
      <c r="Q421" s="72">
        <f t="shared" si="21"/>
        <v>7.1428571428571425E-2</v>
      </c>
      <c r="R421" s="67">
        <f t="shared" si="22"/>
        <v>0</v>
      </c>
    </row>
    <row r="422" spans="1:18" x14ac:dyDescent="0.2">
      <c r="A422" s="67" t="s">
        <v>3306</v>
      </c>
      <c r="B422" s="87" t="s">
        <v>3307</v>
      </c>
      <c r="C422" s="67"/>
      <c r="D422" s="67"/>
      <c r="E422" s="67"/>
      <c r="F422" s="67"/>
      <c r="G422" s="67"/>
      <c r="H422" s="67"/>
      <c r="I422" s="67"/>
      <c r="J422" s="11">
        <f>Info!$B$43</f>
        <v>0.5</v>
      </c>
      <c r="K422" s="67"/>
      <c r="L422" s="67"/>
      <c r="M422" s="67"/>
      <c r="N422" s="67"/>
      <c r="P422" s="72">
        <f t="shared" si="23"/>
        <v>7.1428571428571425E-2</v>
      </c>
      <c r="Q422" s="72">
        <f t="shared" si="21"/>
        <v>3.5714285714285712E-2</v>
      </c>
      <c r="R422" s="67">
        <f t="shared" si="22"/>
        <v>0</v>
      </c>
    </row>
    <row r="423" spans="1:18" x14ac:dyDescent="0.2">
      <c r="A423" s="67" t="s">
        <v>3308</v>
      </c>
      <c r="B423" s="87" t="s">
        <v>3309</v>
      </c>
      <c r="C423" s="67"/>
      <c r="D423" s="67"/>
      <c r="E423" s="67"/>
      <c r="F423" s="67"/>
      <c r="G423" s="67"/>
      <c r="H423" s="67"/>
      <c r="I423" s="67"/>
      <c r="J423" s="11">
        <f>Info!$B$42</f>
        <v>1</v>
      </c>
      <c r="K423" s="67"/>
      <c r="L423" s="67"/>
      <c r="M423" s="67"/>
      <c r="N423" s="67"/>
      <c r="P423" s="72">
        <f t="shared" si="23"/>
        <v>0.14285714285714285</v>
      </c>
      <c r="Q423" s="72">
        <f t="shared" si="21"/>
        <v>7.1428571428571425E-2</v>
      </c>
      <c r="R423" s="67">
        <f t="shared" si="22"/>
        <v>0</v>
      </c>
    </row>
    <row r="424" spans="1:18" x14ac:dyDescent="0.2">
      <c r="A424" s="67" t="s">
        <v>2380</v>
      </c>
      <c r="B424" s="87" t="s">
        <v>3310</v>
      </c>
      <c r="C424" s="67"/>
      <c r="D424" s="67"/>
      <c r="E424" s="67"/>
      <c r="F424" s="67"/>
      <c r="G424" s="67"/>
      <c r="H424" s="67"/>
      <c r="I424" s="67"/>
      <c r="J424" s="11">
        <f>Info!$B$44</f>
        <v>0</v>
      </c>
      <c r="K424" s="67"/>
      <c r="L424" s="67"/>
      <c r="M424" s="67"/>
      <c r="N424" s="67"/>
      <c r="P424" s="72">
        <f t="shared" si="23"/>
        <v>0</v>
      </c>
      <c r="Q424" s="72">
        <f t="shared" si="21"/>
        <v>0</v>
      </c>
      <c r="R424" s="67">
        <f t="shared" si="22"/>
        <v>0</v>
      </c>
    </row>
    <row r="425" spans="1:18" x14ac:dyDescent="0.2">
      <c r="A425" s="67" t="s">
        <v>3311</v>
      </c>
      <c r="B425" s="87" t="s">
        <v>3312</v>
      </c>
      <c r="C425" s="67"/>
      <c r="D425" s="67"/>
      <c r="E425" s="67"/>
      <c r="F425" s="67"/>
      <c r="G425" s="67"/>
      <c r="H425" s="67"/>
      <c r="I425" s="67"/>
      <c r="J425" s="11">
        <f>Info!$B$43</f>
        <v>0.5</v>
      </c>
      <c r="K425" s="67"/>
      <c r="L425" s="67"/>
      <c r="M425" s="67"/>
      <c r="N425" s="67"/>
      <c r="P425" s="72">
        <f t="shared" si="23"/>
        <v>7.1428571428571425E-2</v>
      </c>
      <c r="Q425" s="72">
        <f t="shared" si="21"/>
        <v>3.5714285714285712E-2</v>
      </c>
      <c r="R425" s="67">
        <f t="shared" si="22"/>
        <v>0</v>
      </c>
    </row>
    <row r="426" spans="1:18" x14ac:dyDescent="0.2">
      <c r="A426" s="67" t="s">
        <v>254</v>
      </c>
      <c r="B426" s="87" t="s">
        <v>3313</v>
      </c>
      <c r="C426" s="67"/>
      <c r="D426" s="67"/>
      <c r="E426" s="67"/>
      <c r="F426" s="67"/>
      <c r="G426" s="67"/>
      <c r="H426" s="67"/>
      <c r="I426" s="67"/>
      <c r="J426" s="11">
        <f>Info!$B$43</f>
        <v>0.5</v>
      </c>
      <c r="K426" s="67"/>
      <c r="L426" s="67"/>
      <c r="M426" s="67"/>
      <c r="N426" s="67"/>
      <c r="P426" s="72">
        <f t="shared" si="23"/>
        <v>7.1428571428571425E-2</v>
      </c>
      <c r="Q426" s="72">
        <f t="shared" si="21"/>
        <v>3.5714285714285712E-2</v>
      </c>
      <c r="R426" s="67">
        <f t="shared" si="22"/>
        <v>0</v>
      </c>
    </row>
    <row r="427" spans="1:18" x14ac:dyDescent="0.2">
      <c r="A427" s="67" t="s">
        <v>3314</v>
      </c>
      <c r="B427" s="87" t="s">
        <v>3315</v>
      </c>
      <c r="C427" s="67"/>
      <c r="D427" s="67"/>
      <c r="E427" s="67"/>
      <c r="F427" s="67"/>
      <c r="G427" s="67"/>
      <c r="H427" s="67"/>
      <c r="I427" s="67"/>
      <c r="J427" s="11">
        <f>Info!$B$43</f>
        <v>0.5</v>
      </c>
      <c r="K427" s="67"/>
      <c r="L427" s="67"/>
      <c r="M427" s="67"/>
      <c r="N427" s="67"/>
      <c r="P427" s="72">
        <f t="shared" si="23"/>
        <v>7.1428571428571425E-2</v>
      </c>
      <c r="Q427" s="72">
        <f t="shared" si="21"/>
        <v>3.5714285714285712E-2</v>
      </c>
      <c r="R427" s="67">
        <f t="shared" si="22"/>
        <v>0</v>
      </c>
    </row>
    <row r="428" spans="1:18" x14ac:dyDescent="0.2">
      <c r="A428" s="67" t="s">
        <v>3316</v>
      </c>
      <c r="B428" s="87" t="s">
        <v>3317</v>
      </c>
      <c r="C428" s="67"/>
      <c r="D428" s="67"/>
      <c r="E428" s="67"/>
      <c r="F428" s="67"/>
      <c r="G428" s="67"/>
      <c r="H428" s="67"/>
      <c r="I428" s="67"/>
      <c r="J428" s="11">
        <f>Info!$B$43</f>
        <v>0.5</v>
      </c>
      <c r="K428" s="67"/>
      <c r="L428" s="67"/>
      <c r="M428" s="67"/>
      <c r="N428" s="67"/>
      <c r="P428" s="72">
        <f t="shared" si="23"/>
        <v>7.1428571428571425E-2</v>
      </c>
      <c r="Q428" s="72">
        <f t="shared" si="21"/>
        <v>3.5714285714285712E-2</v>
      </c>
      <c r="R428" s="67">
        <f t="shared" si="22"/>
        <v>0</v>
      </c>
    </row>
    <row r="429" spans="1:18" x14ac:dyDescent="0.2">
      <c r="A429" s="67" t="s">
        <v>497</v>
      </c>
      <c r="B429" s="87" t="s">
        <v>3318</v>
      </c>
      <c r="C429" s="67"/>
      <c r="D429" s="67"/>
      <c r="E429" s="67"/>
      <c r="F429" s="67"/>
      <c r="G429" s="67"/>
      <c r="H429" s="67"/>
      <c r="I429" s="67"/>
      <c r="J429" s="11">
        <f>Info!$B$43</f>
        <v>0.5</v>
      </c>
      <c r="K429" s="67"/>
      <c r="L429" s="67"/>
      <c r="M429" s="67"/>
      <c r="N429" s="67"/>
      <c r="P429" s="72">
        <f t="shared" si="23"/>
        <v>7.1428571428571425E-2</v>
      </c>
      <c r="Q429" s="72">
        <f t="shared" si="21"/>
        <v>3.5714285714285712E-2</v>
      </c>
      <c r="R429" s="67">
        <f t="shared" si="22"/>
        <v>0</v>
      </c>
    </row>
    <row r="430" spans="1:18" x14ac:dyDescent="0.2">
      <c r="A430" s="67" t="s">
        <v>3319</v>
      </c>
      <c r="B430" s="87" t="s">
        <v>3320</v>
      </c>
      <c r="C430" s="67"/>
      <c r="D430" s="67"/>
      <c r="E430" s="67"/>
      <c r="F430" s="67"/>
      <c r="G430" s="67"/>
      <c r="H430" s="67"/>
      <c r="I430" s="67"/>
      <c r="J430" s="11">
        <f>Info!$B$43</f>
        <v>0.5</v>
      </c>
      <c r="K430" s="67"/>
      <c r="L430" s="67"/>
      <c r="M430" s="67"/>
      <c r="N430" s="67"/>
      <c r="P430" s="72">
        <f t="shared" si="23"/>
        <v>7.1428571428571425E-2</v>
      </c>
      <c r="Q430" s="72">
        <f t="shared" si="21"/>
        <v>3.5714285714285712E-2</v>
      </c>
      <c r="R430" s="67">
        <f t="shared" si="22"/>
        <v>0</v>
      </c>
    </row>
    <row r="431" spans="1:18" x14ac:dyDescent="0.2">
      <c r="A431" s="67" t="s">
        <v>3321</v>
      </c>
      <c r="B431" s="87" t="s">
        <v>3322</v>
      </c>
      <c r="C431" s="67"/>
      <c r="D431" s="67"/>
      <c r="E431" s="67"/>
      <c r="F431" s="67"/>
      <c r="G431" s="67"/>
      <c r="H431" s="67"/>
      <c r="I431" s="67"/>
      <c r="J431" s="11">
        <f>Info!$B$42</f>
        <v>1</v>
      </c>
      <c r="K431" s="67"/>
      <c r="L431" s="67"/>
      <c r="M431" s="67"/>
      <c r="N431" s="67"/>
      <c r="P431" s="72">
        <f t="shared" si="23"/>
        <v>0.14285714285714285</v>
      </c>
      <c r="Q431" s="72">
        <f t="shared" si="21"/>
        <v>7.1428571428571425E-2</v>
      </c>
      <c r="R431" s="67">
        <f t="shared" si="22"/>
        <v>0</v>
      </c>
    </row>
    <row r="432" spans="1:18" x14ac:dyDescent="0.2">
      <c r="A432" s="67" t="s">
        <v>3323</v>
      </c>
      <c r="B432" s="87" t="s">
        <v>3324</v>
      </c>
      <c r="C432" s="67"/>
      <c r="D432" s="67"/>
      <c r="E432" s="67"/>
      <c r="F432" s="67"/>
      <c r="G432" s="67"/>
      <c r="H432" s="67"/>
      <c r="I432" s="67"/>
      <c r="J432" s="11">
        <f>Info!$B$42</f>
        <v>1</v>
      </c>
      <c r="K432" s="67"/>
      <c r="L432" s="67"/>
      <c r="M432" s="67"/>
      <c r="N432" s="67"/>
      <c r="P432" s="72">
        <f t="shared" si="23"/>
        <v>0.14285714285714285</v>
      </c>
      <c r="Q432" s="72">
        <f t="shared" si="21"/>
        <v>7.1428571428571425E-2</v>
      </c>
      <c r="R432" s="67">
        <f t="shared" si="22"/>
        <v>0</v>
      </c>
    </row>
    <row r="433" spans="1:18" x14ac:dyDescent="0.2">
      <c r="A433" s="67" t="s">
        <v>3325</v>
      </c>
      <c r="B433" s="87" t="s">
        <v>3326</v>
      </c>
      <c r="C433" s="67"/>
      <c r="D433" s="67"/>
      <c r="E433" s="67"/>
      <c r="F433" s="67"/>
      <c r="G433" s="67"/>
      <c r="H433" s="67"/>
      <c r="I433" s="67"/>
      <c r="J433" s="11">
        <f>Info!$B$43</f>
        <v>0.5</v>
      </c>
      <c r="K433" s="67"/>
      <c r="L433" s="67"/>
      <c r="M433" s="67"/>
      <c r="N433" s="67"/>
      <c r="P433" s="72">
        <f t="shared" si="23"/>
        <v>7.1428571428571425E-2</v>
      </c>
      <c r="Q433" s="72">
        <f t="shared" si="21"/>
        <v>3.5714285714285712E-2</v>
      </c>
      <c r="R433" s="67">
        <f t="shared" si="22"/>
        <v>0</v>
      </c>
    </row>
    <row r="434" spans="1:18" x14ac:dyDescent="0.2">
      <c r="A434" s="67" t="s">
        <v>3327</v>
      </c>
      <c r="B434" s="87" t="s">
        <v>3328</v>
      </c>
      <c r="C434" s="67"/>
      <c r="D434" s="67"/>
      <c r="E434" s="67"/>
      <c r="F434" s="67"/>
      <c r="G434" s="67"/>
      <c r="H434" s="67"/>
      <c r="I434" s="67"/>
      <c r="J434" s="11">
        <f>Info!$B$42</f>
        <v>1</v>
      </c>
      <c r="K434" s="67"/>
      <c r="L434" s="67"/>
      <c r="M434" s="67"/>
      <c r="N434" s="67"/>
      <c r="P434" s="72">
        <f t="shared" si="23"/>
        <v>0.14285714285714285</v>
      </c>
      <c r="Q434" s="72">
        <f t="shared" si="21"/>
        <v>7.1428571428571425E-2</v>
      </c>
      <c r="R434" s="67">
        <f t="shared" si="22"/>
        <v>0</v>
      </c>
    </row>
    <row r="435" spans="1:18" x14ac:dyDescent="0.2">
      <c r="A435" s="67" t="s">
        <v>3329</v>
      </c>
      <c r="B435" s="87" t="s">
        <v>3330</v>
      </c>
      <c r="C435" s="67"/>
      <c r="D435" s="67"/>
      <c r="E435" s="67"/>
      <c r="F435" s="67"/>
      <c r="G435" s="67"/>
      <c r="H435" s="67"/>
      <c r="I435" s="67"/>
      <c r="J435" s="11">
        <f>Info!$B$42</f>
        <v>1</v>
      </c>
      <c r="K435" s="67"/>
      <c r="L435" s="67"/>
      <c r="M435" s="67"/>
      <c r="N435" s="67"/>
      <c r="P435" s="72">
        <f t="shared" si="23"/>
        <v>0.14285714285714285</v>
      </c>
      <c r="Q435" s="72">
        <f t="shared" ref="Q435:Q498" si="24">(O435+P435)/2</f>
        <v>7.1428571428571425E-2</v>
      </c>
      <c r="R435" s="67">
        <f t="shared" si="22"/>
        <v>0</v>
      </c>
    </row>
    <row r="436" spans="1:18" x14ac:dyDescent="0.2">
      <c r="A436" s="67" t="s">
        <v>3331</v>
      </c>
      <c r="B436" s="87" t="s">
        <v>3332</v>
      </c>
      <c r="C436" s="67"/>
      <c r="D436" s="67"/>
      <c r="E436" s="67"/>
      <c r="F436" s="67"/>
      <c r="G436" s="67"/>
      <c r="H436" s="67"/>
      <c r="I436" s="67"/>
      <c r="J436" s="11">
        <f>Info!$B$42</f>
        <v>1</v>
      </c>
      <c r="K436" s="67"/>
      <c r="L436" s="67"/>
      <c r="M436" s="67"/>
      <c r="N436" s="67"/>
      <c r="P436" s="72">
        <f t="shared" si="23"/>
        <v>0.14285714285714285</v>
      </c>
      <c r="Q436" s="72">
        <f t="shared" si="24"/>
        <v>7.1428571428571425E-2</v>
      </c>
      <c r="R436" s="67">
        <f t="shared" si="22"/>
        <v>0</v>
      </c>
    </row>
    <row r="437" spans="1:18" x14ac:dyDescent="0.2">
      <c r="A437" s="67" t="s">
        <v>3333</v>
      </c>
      <c r="B437" s="87" t="s">
        <v>3334</v>
      </c>
      <c r="C437" s="67"/>
      <c r="D437" s="67"/>
      <c r="E437" s="67"/>
      <c r="F437" s="67"/>
      <c r="G437" s="67"/>
      <c r="H437" s="67"/>
      <c r="I437" s="67"/>
      <c r="J437" s="11">
        <f>Info!$B$42</f>
        <v>1</v>
      </c>
      <c r="K437" s="67"/>
      <c r="L437" s="67"/>
      <c r="M437" s="67"/>
      <c r="N437" s="67"/>
      <c r="P437" s="72">
        <f t="shared" si="23"/>
        <v>0.14285714285714285</v>
      </c>
      <c r="Q437" s="72">
        <f t="shared" si="24"/>
        <v>7.1428571428571425E-2</v>
      </c>
      <c r="R437" s="67">
        <f t="shared" si="22"/>
        <v>0</v>
      </c>
    </row>
    <row r="438" spans="1:18" x14ac:dyDescent="0.2">
      <c r="A438" s="67" t="s">
        <v>3335</v>
      </c>
      <c r="B438" s="87" t="s">
        <v>3336</v>
      </c>
      <c r="C438" s="67"/>
      <c r="D438" s="67"/>
      <c r="E438" s="67"/>
      <c r="F438" s="67"/>
      <c r="G438" s="67"/>
      <c r="H438" s="67"/>
      <c r="I438" s="67"/>
      <c r="J438" s="11">
        <f>Info!$B$43</f>
        <v>0.5</v>
      </c>
      <c r="K438" s="67"/>
      <c r="L438" s="67"/>
      <c r="M438" s="67"/>
      <c r="N438" s="67"/>
      <c r="P438" s="72">
        <f t="shared" si="23"/>
        <v>7.1428571428571425E-2</v>
      </c>
      <c r="Q438" s="72">
        <f t="shared" si="24"/>
        <v>3.5714285714285712E-2</v>
      </c>
      <c r="R438" s="67">
        <f t="shared" si="22"/>
        <v>0</v>
      </c>
    </row>
    <row r="439" spans="1:18" x14ac:dyDescent="0.2">
      <c r="A439" s="67" t="s">
        <v>3337</v>
      </c>
      <c r="B439" s="87" t="s">
        <v>3338</v>
      </c>
      <c r="C439" s="67"/>
      <c r="D439" s="67"/>
      <c r="E439" s="67"/>
      <c r="F439" s="67"/>
      <c r="G439" s="67"/>
      <c r="H439" s="67"/>
      <c r="I439" s="67"/>
      <c r="J439" s="11">
        <f>Info!$B$42</f>
        <v>1</v>
      </c>
      <c r="K439" s="67"/>
      <c r="L439" s="67"/>
      <c r="M439" s="67"/>
      <c r="N439" s="67"/>
      <c r="P439" s="72">
        <f t="shared" si="23"/>
        <v>0.14285714285714285</v>
      </c>
      <c r="Q439" s="72">
        <f t="shared" si="24"/>
        <v>7.1428571428571425E-2</v>
      </c>
      <c r="R439" s="67">
        <f t="shared" si="22"/>
        <v>0</v>
      </c>
    </row>
    <row r="440" spans="1:18" x14ac:dyDescent="0.2">
      <c r="A440" s="67" t="s">
        <v>3339</v>
      </c>
      <c r="B440" s="87" t="s">
        <v>3340</v>
      </c>
      <c r="C440" s="67"/>
      <c r="D440" s="67"/>
      <c r="E440" s="67"/>
      <c r="F440" s="67"/>
      <c r="G440" s="67"/>
      <c r="H440" s="67"/>
      <c r="I440" s="67"/>
      <c r="J440" s="11">
        <f>Info!$B$44</f>
        <v>0</v>
      </c>
      <c r="K440" s="67"/>
      <c r="L440" s="67"/>
      <c r="M440" s="67"/>
      <c r="N440" s="67"/>
      <c r="P440" s="72">
        <f t="shared" si="23"/>
        <v>0</v>
      </c>
      <c r="Q440" s="72">
        <f t="shared" si="24"/>
        <v>0</v>
      </c>
      <c r="R440" s="67">
        <f t="shared" si="22"/>
        <v>0</v>
      </c>
    </row>
    <row r="441" spans="1:18" x14ac:dyDescent="0.2">
      <c r="A441" s="67" t="s">
        <v>3341</v>
      </c>
      <c r="B441" s="87" t="s">
        <v>3342</v>
      </c>
      <c r="C441" s="67"/>
      <c r="D441" s="67"/>
      <c r="E441" s="67"/>
      <c r="F441" s="67"/>
      <c r="G441" s="67"/>
      <c r="H441" s="67"/>
      <c r="I441" s="67"/>
      <c r="J441" s="11">
        <f>Info!$B$42</f>
        <v>1</v>
      </c>
      <c r="K441" s="67"/>
      <c r="L441" s="67"/>
      <c r="M441" s="67"/>
      <c r="N441" s="67"/>
      <c r="P441" s="72">
        <f t="shared" si="23"/>
        <v>0.14285714285714285</v>
      </c>
      <c r="Q441" s="72">
        <f t="shared" si="24"/>
        <v>7.1428571428571425E-2</v>
      </c>
      <c r="R441" s="67">
        <f t="shared" si="22"/>
        <v>0</v>
      </c>
    </row>
    <row r="442" spans="1:18" x14ac:dyDescent="0.2">
      <c r="A442" s="67" t="s">
        <v>3343</v>
      </c>
      <c r="B442" s="87" t="s">
        <v>3344</v>
      </c>
      <c r="C442" s="67"/>
      <c r="D442" s="67"/>
      <c r="E442" s="67"/>
      <c r="F442" s="67"/>
      <c r="G442" s="67"/>
      <c r="H442" s="67"/>
      <c r="I442" s="67"/>
      <c r="J442" s="11">
        <f>Info!$B$44</f>
        <v>0</v>
      </c>
      <c r="K442" s="67"/>
      <c r="L442" s="67"/>
      <c r="M442" s="67"/>
      <c r="N442" s="67"/>
      <c r="P442" s="72">
        <f t="shared" si="23"/>
        <v>0</v>
      </c>
      <c r="Q442" s="72">
        <f t="shared" si="24"/>
        <v>0</v>
      </c>
      <c r="R442" s="67">
        <f t="shared" si="22"/>
        <v>0</v>
      </c>
    </row>
    <row r="443" spans="1:18" x14ac:dyDescent="0.2">
      <c r="A443" s="67" t="s">
        <v>3346</v>
      </c>
      <c r="B443" s="87" t="s">
        <v>3347</v>
      </c>
      <c r="C443" s="67"/>
      <c r="D443" s="67"/>
      <c r="E443" s="67"/>
      <c r="F443" s="67"/>
      <c r="G443" s="67"/>
      <c r="H443" s="67"/>
      <c r="I443" s="67"/>
      <c r="J443" s="11">
        <f>Info!$B$42</f>
        <v>1</v>
      </c>
      <c r="K443" s="67"/>
      <c r="L443" s="67"/>
      <c r="M443" s="67"/>
      <c r="N443" s="67"/>
      <c r="P443" s="72">
        <f t="shared" si="23"/>
        <v>0.14285714285714285</v>
      </c>
      <c r="Q443" s="72">
        <f t="shared" si="24"/>
        <v>7.1428571428571425E-2</v>
      </c>
      <c r="R443" s="67">
        <f t="shared" si="22"/>
        <v>0</v>
      </c>
    </row>
    <row r="444" spans="1:18" x14ac:dyDescent="0.2">
      <c r="A444" s="67" t="s">
        <v>3348</v>
      </c>
      <c r="B444" s="87" t="s">
        <v>3349</v>
      </c>
      <c r="C444" s="67"/>
      <c r="D444" s="67"/>
      <c r="E444" s="67"/>
      <c r="F444" s="67"/>
      <c r="G444" s="67"/>
      <c r="H444" s="67"/>
      <c r="I444" s="67"/>
      <c r="J444" s="11">
        <f>Info!$B$43</f>
        <v>0.5</v>
      </c>
      <c r="K444" s="67"/>
      <c r="L444" s="67"/>
      <c r="M444" s="67"/>
      <c r="N444" s="67"/>
      <c r="P444" s="72">
        <f t="shared" si="23"/>
        <v>7.1428571428571425E-2</v>
      </c>
      <c r="Q444" s="72">
        <f t="shared" si="24"/>
        <v>3.5714285714285712E-2</v>
      </c>
      <c r="R444" s="67">
        <f t="shared" si="22"/>
        <v>0</v>
      </c>
    </row>
    <row r="445" spans="1:18" x14ac:dyDescent="0.2">
      <c r="A445" s="67" t="s">
        <v>507</v>
      </c>
      <c r="B445" s="87" t="s">
        <v>3350</v>
      </c>
      <c r="C445" s="67"/>
      <c r="D445" s="67"/>
      <c r="E445" s="67"/>
      <c r="F445" s="67"/>
      <c r="G445" s="67"/>
      <c r="H445" s="67"/>
      <c r="I445" s="67"/>
      <c r="J445" s="11">
        <f>Info!$B$43</f>
        <v>0.5</v>
      </c>
      <c r="K445" s="67"/>
      <c r="L445" s="67"/>
      <c r="M445" s="67"/>
      <c r="N445" s="67"/>
      <c r="P445" s="72">
        <f t="shared" si="23"/>
        <v>7.1428571428571425E-2</v>
      </c>
      <c r="Q445" s="72">
        <f t="shared" si="24"/>
        <v>3.5714285714285712E-2</v>
      </c>
      <c r="R445" s="67">
        <f t="shared" si="22"/>
        <v>0</v>
      </c>
    </row>
    <row r="446" spans="1:18" x14ac:dyDescent="0.2">
      <c r="A446" s="67" t="s">
        <v>46</v>
      </c>
      <c r="B446" s="87" t="s">
        <v>3351</v>
      </c>
      <c r="C446" s="67"/>
      <c r="D446" s="67"/>
      <c r="E446" s="67"/>
      <c r="F446" s="67"/>
      <c r="G446" s="67"/>
      <c r="H446" s="67"/>
      <c r="I446" s="67"/>
      <c r="J446" s="11">
        <f>Info!$B$42</f>
        <v>1</v>
      </c>
      <c r="K446" s="67"/>
      <c r="L446" s="67"/>
      <c r="M446" s="67"/>
      <c r="N446" s="67"/>
      <c r="P446" s="72">
        <f t="shared" si="23"/>
        <v>0.14285714285714285</v>
      </c>
      <c r="Q446" s="72">
        <f t="shared" si="24"/>
        <v>7.1428571428571425E-2</v>
      </c>
      <c r="R446" s="67">
        <f t="shared" si="22"/>
        <v>0</v>
      </c>
    </row>
    <row r="447" spans="1:18" x14ac:dyDescent="0.2">
      <c r="A447" s="67" t="s">
        <v>3352</v>
      </c>
      <c r="B447" s="87" t="s">
        <v>3353</v>
      </c>
      <c r="C447" s="67"/>
      <c r="D447" s="67"/>
      <c r="E447" s="67"/>
      <c r="F447" s="67"/>
      <c r="G447" s="67"/>
      <c r="H447" s="67"/>
      <c r="I447" s="67"/>
      <c r="J447" s="11">
        <f>Info!$B$42</f>
        <v>1</v>
      </c>
      <c r="K447" s="67"/>
      <c r="L447" s="67"/>
      <c r="M447" s="67"/>
      <c r="N447" s="67"/>
      <c r="P447" s="72">
        <f t="shared" si="23"/>
        <v>0.14285714285714285</v>
      </c>
      <c r="Q447" s="72">
        <f t="shared" si="24"/>
        <v>7.1428571428571425E-2</v>
      </c>
      <c r="R447" s="67">
        <f t="shared" si="22"/>
        <v>0</v>
      </c>
    </row>
    <row r="448" spans="1:18" x14ac:dyDescent="0.2">
      <c r="A448" s="67" t="s">
        <v>3354</v>
      </c>
      <c r="B448" s="87" t="s">
        <v>3355</v>
      </c>
      <c r="C448" s="67"/>
      <c r="D448" s="67"/>
      <c r="E448" s="67"/>
      <c r="F448" s="67"/>
      <c r="G448" s="67"/>
      <c r="H448" s="67"/>
      <c r="I448" s="67"/>
      <c r="J448" s="11">
        <f>Info!$B$44</f>
        <v>0</v>
      </c>
      <c r="K448" s="67"/>
      <c r="L448" s="67"/>
      <c r="M448" s="67"/>
      <c r="N448" s="67"/>
      <c r="P448" s="72">
        <f t="shared" si="23"/>
        <v>0</v>
      </c>
      <c r="Q448" s="72">
        <f t="shared" si="24"/>
        <v>0</v>
      </c>
      <c r="R448" s="67">
        <f t="shared" si="22"/>
        <v>0</v>
      </c>
    </row>
    <row r="449" spans="1:18" x14ac:dyDescent="0.2">
      <c r="A449" s="67" t="s">
        <v>3356</v>
      </c>
      <c r="B449" s="87" t="s">
        <v>3357</v>
      </c>
      <c r="C449" s="67"/>
      <c r="D449" s="67"/>
      <c r="E449" s="67"/>
      <c r="F449" s="67"/>
      <c r="G449" s="67"/>
      <c r="H449" s="67"/>
      <c r="I449" s="67"/>
      <c r="J449" s="11">
        <f>Info!$B$43</f>
        <v>0.5</v>
      </c>
      <c r="K449" s="67"/>
      <c r="L449" s="67"/>
      <c r="M449" s="67"/>
      <c r="N449" s="67"/>
      <c r="P449" s="72">
        <f t="shared" si="23"/>
        <v>7.1428571428571425E-2</v>
      </c>
      <c r="Q449" s="72">
        <f t="shared" si="24"/>
        <v>3.5714285714285712E-2</v>
      </c>
      <c r="R449" s="67">
        <f t="shared" si="22"/>
        <v>0</v>
      </c>
    </row>
    <row r="450" spans="1:18" x14ac:dyDescent="0.2">
      <c r="A450" s="67" t="s">
        <v>37</v>
      </c>
      <c r="B450" s="87" t="s">
        <v>3358</v>
      </c>
      <c r="C450" s="67"/>
      <c r="D450" s="67"/>
      <c r="E450" s="67"/>
      <c r="F450" s="67"/>
      <c r="G450" s="67"/>
      <c r="H450" s="67"/>
      <c r="I450" s="67"/>
      <c r="J450" s="11">
        <f>Info!$B$42</f>
        <v>1</v>
      </c>
      <c r="K450" s="67"/>
      <c r="L450" s="67"/>
      <c r="M450" s="67"/>
      <c r="N450" s="67"/>
      <c r="P450" s="72">
        <f t="shared" si="23"/>
        <v>0.14285714285714285</v>
      </c>
      <c r="Q450" s="72">
        <f t="shared" si="24"/>
        <v>7.1428571428571425E-2</v>
      </c>
      <c r="R450" s="67">
        <f t="shared" ref="R450:R513" si="25">IF(_xlfn.BITAND(P450&gt;0.4999, Q450&gt;0.4999)=1,1,0)</f>
        <v>0</v>
      </c>
    </row>
    <row r="451" spans="1:18" x14ac:dyDescent="0.2">
      <c r="A451" s="67" t="s">
        <v>223</v>
      </c>
      <c r="B451" s="87" t="s">
        <v>3359</v>
      </c>
      <c r="C451" s="67"/>
      <c r="D451" s="67"/>
      <c r="E451" s="67"/>
      <c r="F451" s="67"/>
      <c r="G451" s="67"/>
      <c r="H451" s="67"/>
      <c r="I451" s="67"/>
      <c r="J451" s="11">
        <f>Info!$B$42</f>
        <v>1</v>
      </c>
      <c r="K451" s="67"/>
      <c r="L451" s="67"/>
      <c r="M451" s="67"/>
      <c r="N451" s="67"/>
      <c r="P451" s="72">
        <f t="shared" si="23"/>
        <v>0.14285714285714285</v>
      </c>
      <c r="Q451" s="72">
        <f t="shared" si="24"/>
        <v>7.1428571428571425E-2</v>
      </c>
      <c r="R451" s="67">
        <f t="shared" si="25"/>
        <v>0</v>
      </c>
    </row>
    <row r="452" spans="1:18" x14ac:dyDescent="0.2">
      <c r="A452" s="67" t="s">
        <v>401</v>
      </c>
      <c r="B452" s="87" t="s">
        <v>3360</v>
      </c>
      <c r="C452" s="67"/>
      <c r="D452" s="67"/>
      <c r="E452" s="67"/>
      <c r="F452" s="67"/>
      <c r="G452" s="67"/>
      <c r="H452" s="67"/>
      <c r="I452" s="67"/>
      <c r="J452" s="11">
        <f>Info!$B$42</f>
        <v>1</v>
      </c>
      <c r="K452" s="67"/>
      <c r="L452" s="67"/>
      <c r="M452" s="67"/>
      <c r="N452" s="67"/>
      <c r="P452" s="72">
        <f t="shared" si="23"/>
        <v>0.14285714285714285</v>
      </c>
      <c r="Q452" s="72">
        <f t="shared" si="24"/>
        <v>7.1428571428571425E-2</v>
      </c>
      <c r="R452" s="67">
        <f t="shared" si="25"/>
        <v>0</v>
      </c>
    </row>
    <row r="453" spans="1:18" x14ac:dyDescent="0.2">
      <c r="A453" s="67" t="s">
        <v>3361</v>
      </c>
      <c r="B453" s="87" t="s">
        <v>3362</v>
      </c>
      <c r="C453" s="67"/>
      <c r="D453" s="67"/>
      <c r="E453" s="67"/>
      <c r="F453" s="67"/>
      <c r="G453" s="67"/>
      <c r="H453" s="67"/>
      <c r="I453" s="67"/>
      <c r="J453" s="11">
        <f>Info!$B$42</f>
        <v>1</v>
      </c>
      <c r="K453" s="67"/>
      <c r="L453" s="67"/>
      <c r="M453" s="67"/>
      <c r="N453" s="67"/>
      <c r="P453" s="72">
        <f t="shared" si="23"/>
        <v>0.14285714285714285</v>
      </c>
      <c r="Q453" s="72">
        <f t="shared" si="24"/>
        <v>7.1428571428571425E-2</v>
      </c>
      <c r="R453" s="67">
        <f t="shared" si="25"/>
        <v>0</v>
      </c>
    </row>
    <row r="454" spans="1:18" x14ac:dyDescent="0.2">
      <c r="A454" s="67" t="s">
        <v>142</v>
      </c>
      <c r="B454" s="87" t="s">
        <v>3363</v>
      </c>
      <c r="C454" s="67"/>
      <c r="D454" s="67"/>
      <c r="E454" s="67"/>
      <c r="F454" s="67"/>
      <c r="G454" s="67"/>
      <c r="H454" s="67"/>
      <c r="I454" s="67"/>
      <c r="J454" s="11">
        <f>Info!$B$42</f>
        <v>1</v>
      </c>
      <c r="K454" s="67"/>
      <c r="L454" s="67"/>
      <c r="M454" s="67"/>
      <c r="N454" s="67"/>
      <c r="P454" s="72">
        <f t="shared" si="23"/>
        <v>0.14285714285714285</v>
      </c>
      <c r="Q454" s="72">
        <f t="shared" si="24"/>
        <v>7.1428571428571425E-2</v>
      </c>
      <c r="R454" s="67">
        <f t="shared" si="25"/>
        <v>0</v>
      </c>
    </row>
    <row r="455" spans="1:18" x14ac:dyDescent="0.2">
      <c r="A455" s="67" t="s">
        <v>425</v>
      </c>
      <c r="B455" s="87" t="s">
        <v>3364</v>
      </c>
      <c r="C455" s="67"/>
      <c r="D455" s="67"/>
      <c r="E455" s="67"/>
      <c r="F455" s="67"/>
      <c r="G455" s="67"/>
      <c r="H455" s="67"/>
      <c r="I455" s="67"/>
      <c r="J455" s="11">
        <f>Info!$B$42</f>
        <v>1</v>
      </c>
      <c r="K455" s="67"/>
      <c r="L455" s="67"/>
      <c r="M455" s="67"/>
      <c r="N455" s="67"/>
      <c r="P455" s="72">
        <f t="shared" si="23"/>
        <v>0.14285714285714285</v>
      </c>
      <c r="Q455" s="72">
        <f t="shared" si="24"/>
        <v>7.1428571428571425E-2</v>
      </c>
      <c r="R455" s="67">
        <f t="shared" si="25"/>
        <v>0</v>
      </c>
    </row>
    <row r="456" spans="1:18" x14ac:dyDescent="0.2">
      <c r="A456" s="67" t="s">
        <v>3365</v>
      </c>
      <c r="B456" s="87" t="s">
        <v>3366</v>
      </c>
      <c r="C456" s="67"/>
      <c r="D456" s="67"/>
      <c r="E456" s="67"/>
      <c r="F456" s="67"/>
      <c r="G456" s="67"/>
      <c r="H456" s="67"/>
      <c r="I456" s="67"/>
      <c r="J456" s="11">
        <f>Info!$B$44</f>
        <v>0</v>
      </c>
      <c r="K456" s="67"/>
      <c r="L456" s="67"/>
      <c r="M456" s="67"/>
      <c r="N456" s="67"/>
      <c r="P456" s="72">
        <f t="shared" si="23"/>
        <v>0</v>
      </c>
      <c r="Q456" s="72">
        <f t="shared" si="24"/>
        <v>0</v>
      </c>
      <c r="R456" s="67">
        <f t="shared" si="25"/>
        <v>0</v>
      </c>
    </row>
    <row r="457" spans="1:18" x14ac:dyDescent="0.2">
      <c r="A457" s="67" t="s">
        <v>3367</v>
      </c>
      <c r="B457" s="87" t="s">
        <v>3368</v>
      </c>
      <c r="C457" s="67"/>
      <c r="D457" s="67"/>
      <c r="E457" s="67"/>
      <c r="F457" s="67"/>
      <c r="G457" s="67"/>
      <c r="H457" s="67"/>
      <c r="I457" s="67"/>
      <c r="J457" s="11">
        <f>Info!$B$43</f>
        <v>0.5</v>
      </c>
      <c r="K457" s="67"/>
      <c r="L457" s="67"/>
      <c r="M457" s="67"/>
      <c r="N457" s="67"/>
      <c r="P457" s="72">
        <f t="shared" si="23"/>
        <v>7.1428571428571425E-2</v>
      </c>
      <c r="Q457" s="72">
        <f t="shared" si="24"/>
        <v>3.5714285714285712E-2</v>
      </c>
      <c r="R457" s="67">
        <f t="shared" si="25"/>
        <v>0</v>
      </c>
    </row>
    <row r="458" spans="1:18" x14ac:dyDescent="0.2">
      <c r="A458" s="67" t="s">
        <v>3369</v>
      </c>
      <c r="B458" s="87" t="s">
        <v>3370</v>
      </c>
      <c r="C458" s="67"/>
      <c r="D458" s="67"/>
      <c r="E458" s="67"/>
      <c r="F458" s="67"/>
      <c r="G458" s="67"/>
      <c r="H458" s="67"/>
      <c r="I458" s="67"/>
      <c r="J458" s="11">
        <f>Info!$B$42</f>
        <v>1</v>
      </c>
      <c r="K458" s="67"/>
      <c r="L458" s="67"/>
      <c r="M458" s="67"/>
      <c r="N458" s="67"/>
      <c r="P458" s="72">
        <f t="shared" si="23"/>
        <v>0.14285714285714285</v>
      </c>
      <c r="Q458" s="72">
        <f t="shared" si="24"/>
        <v>7.1428571428571425E-2</v>
      </c>
      <c r="R458" s="67">
        <f t="shared" si="25"/>
        <v>0</v>
      </c>
    </row>
    <row r="459" spans="1:18" x14ac:dyDescent="0.2">
      <c r="A459" s="67" t="s">
        <v>3371</v>
      </c>
      <c r="B459" s="87" t="s">
        <v>3372</v>
      </c>
      <c r="C459" s="67"/>
      <c r="D459" s="67"/>
      <c r="E459" s="67"/>
      <c r="F459" s="67"/>
      <c r="G459" s="67"/>
      <c r="H459" s="67"/>
      <c r="I459" s="67"/>
      <c r="J459" s="11">
        <f>Info!$B$42</f>
        <v>1</v>
      </c>
      <c r="K459" s="67"/>
      <c r="L459" s="67"/>
      <c r="M459" s="67"/>
      <c r="N459" s="67"/>
      <c r="P459" s="72">
        <f t="shared" si="23"/>
        <v>0.14285714285714285</v>
      </c>
      <c r="Q459" s="72">
        <f t="shared" si="24"/>
        <v>7.1428571428571425E-2</v>
      </c>
      <c r="R459" s="67">
        <f t="shared" si="25"/>
        <v>0</v>
      </c>
    </row>
    <row r="460" spans="1:18" x14ac:dyDescent="0.2">
      <c r="A460" s="67" t="s">
        <v>796</v>
      </c>
      <c r="B460" s="87" t="s">
        <v>3373</v>
      </c>
      <c r="C460" s="67"/>
      <c r="D460" s="67"/>
      <c r="E460" s="67"/>
      <c r="F460" s="67"/>
      <c r="G460" s="67"/>
      <c r="H460" s="67"/>
      <c r="I460" s="67"/>
      <c r="J460" s="11">
        <f>Info!$B$44</f>
        <v>0</v>
      </c>
      <c r="K460" s="67"/>
      <c r="L460" s="67"/>
      <c r="M460" s="67"/>
      <c r="N460" s="67"/>
      <c r="P460" s="72">
        <f t="shared" si="23"/>
        <v>0</v>
      </c>
      <c r="Q460" s="72">
        <f t="shared" si="24"/>
        <v>0</v>
      </c>
      <c r="R460" s="67">
        <f t="shared" si="25"/>
        <v>0</v>
      </c>
    </row>
    <row r="461" spans="1:18" x14ac:dyDescent="0.2">
      <c r="A461" s="67" t="s">
        <v>3374</v>
      </c>
      <c r="B461" s="87" t="s">
        <v>3375</v>
      </c>
      <c r="C461" s="67"/>
      <c r="D461" s="67"/>
      <c r="E461" s="67"/>
      <c r="F461" s="67"/>
      <c r="G461" s="67"/>
      <c r="H461" s="67"/>
      <c r="I461" s="67"/>
      <c r="J461" s="11">
        <f>Info!$B$42</f>
        <v>1</v>
      </c>
      <c r="K461" s="67"/>
      <c r="L461" s="67"/>
      <c r="M461" s="67"/>
      <c r="N461" s="67"/>
      <c r="P461" s="72">
        <f t="shared" si="23"/>
        <v>0.14285714285714285</v>
      </c>
      <c r="Q461" s="72">
        <f t="shared" si="24"/>
        <v>7.1428571428571425E-2</v>
      </c>
      <c r="R461" s="67">
        <f t="shared" si="25"/>
        <v>0</v>
      </c>
    </row>
    <row r="462" spans="1:18" x14ac:dyDescent="0.2">
      <c r="A462" s="67" t="s">
        <v>3376</v>
      </c>
      <c r="B462" s="87" t="s">
        <v>3377</v>
      </c>
      <c r="C462" s="67"/>
      <c r="D462" s="67"/>
      <c r="E462" s="67"/>
      <c r="F462" s="67"/>
      <c r="G462" s="67"/>
      <c r="H462" s="67"/>
      <c r="I462" s="67"/>
      <c r="J462" s="11">
        <f>Info!$B$44</f>
        <v>0</v>
      </c>
      <c r="K462" s="67"/>
      <c r="L462" s="67"/>
      <c r="M462" s="67"/>
      <c r="N462" s="67"/>
      <c r="P462" s="72">
        <f t="shared" si="23"/>
        <v>0</v>
      </c>
      <c r="Q462" s="72">
        <f t="shared" si="24"/>
        <v>0</v>
      </c>
      <c r="R462" s="67">
        <f t="shared" si="25"/>
        <v>0</v>
      </c>
    </row>
    <row r="463" spans="1:18" x14ac:dyDescent="0.2">
      <c r="A463" s="67" t="s">
        <v>3378</v>
      </c>
      <c r="B463" s="87" t="s">
        <v>3379</v>
      </c>
      <c r="C463" s="67"/>
      <c r="D463" s="67"/>
      <c r="E463" s="67"/>
      <c r="F463" s="67"/>
      <c r="G463" s="67"/>
      <c r="H463" s="67"/>
      <c r="I463" s="67"/>
      <c r="J463" s="11">
        <f>Info!$B$42</f>
        <v>1</v>
      </c>
      <c r="K463" s="67"/>
      <c r="L463" s="67"/>
      <c r="M463" s="67"/>
      <c r="N463" s="67"/>
      <c r="P463" s="72">
        <f t="shared" si="23"/>
        <v>0.14285714285714285</v>
      </c>
      <c r="Q463" s="72">
        <f t="shared" si="24"/>
        <v>7.1428571428571425E-2</v>
      </c>
      <c r="R463" s="67">
        <f t="shared" si="25"/>
        <v>0</v>
      </c>
    </row>
    <row r="464" spans="1:18" x14ac:dyDescent="0.2">
      <c r="A464" s="67" t="s">
        <v>3380</v>
      </c>
      <c r="B464" s="87" t="s">
        <v>3381</v>
      </c>
      <c r="C464" s="67"/>
      <c r="D464" s="67"/>
      <c r="E464" s="67"/>
      <c r="F464" s="67"/>
      <c r="G464" s="67"/>
      <c r="H464" s="67"/>
      <c r="I464" s="67"/>
      <c r="J464" s="11">
        <f>Info!$B$42</f>
        <v>1</v>
      </c>
      <c r="K464" s="67"/>
      <c r="L464" s="67"/>
      <c r="M464" s="67"/>
      <c r="N464" s="67"/>
      <c r="P464" s="72">
        <f t="shared" si="23"/>
        <v>0.14285714285714285</v>
      </c>
      <c r="Q464" s="72">
        <f t="shared" si="24"/>
        <v>7.1428571428571425E-2</v>
      </c>
      <c r="R464" s="67">
        <f t="shared" si="25"/>
        <v>0</v>
      </c>
    </row>
    <row r="465" spans="1:18" x14ac:dyDescent="0.2">
      <c r="A465" s="67" t="s">
        <v>3382</v>
      </c>
      <c r="B465" s="87" t="s">
        <v>3383</v>
      </c>
      <c r="C465" s="67"/>
      <c r="D465" s="67"/>
      <c r="E465" s="67"/>
      <c r="F465" s="67"/>
      <c r="G465" s="67"/>
      <c r="H465" s="67"/>
      <c r="I465" s="67"/>
      <c r="J465" s="11">
        <f>Info!$B$44</f>
        <v>0</v>
      </c>
      <c r="K465" s="67"/>
      <c r="L465" s="67"/>
      <c r="M465" s="67"/>
      <c r="N465" s="67"/>
      <c r="P465" s="72">
        <f t="shared" si="23"/>
        <v>0</v>
      </c>
      <c r="Q465" s="72">
        <f t="shared" si="24"/>
        <v>0</v>
      </c>
      <c r="R465" s="67">
        <f t="shared" si="25"/>
        <v>0</v>
      </c>
    </row>
    <row r="466" spans="1:18" x14ac:dyDescent="0.2">
      <c r="A466" s="67" t="s">
        <v>3384</v>
      </c>
      <c r="B466" s="87" t="s">
        <v>3385</v>
      </c>
      <c r="C466" s="67"/>
      <c r="D466" s="67"/>
      <c r="E466" s="67"/>
      <c r="F466" s="67"/>
      <c r="G466" s="67"/>
      <c r="H466" s="67"/>
      <c r="I466" s="67"/>
      <c r="J466" s="11">
        <f>Info!$B$42</f>
        <v>1</v>
      </c>
      <c r="K466" s="67"/>
      <c r="L466" s="67"/>
      <c r="M466" s="67"/>
      <c r="N466" s="67"/>
      <c r="P466" s="72">
        <f t="shared" si="23"/>
        <v>0.14285714285714285</v>
      </c>
      <c r="Q466" s="72">
        <f t="shared" si="24"/>
        <v>7.1428571428571425E-2</v>
      </c>
      <c r="R466" s="67">
        <f t="shared" si="25"/>
        <v>0</v>
      </c>
    </row>
    <row r="467" spans="1:18" x14ac:dyDescent="0.2">
      <c r="A467" s="67" t="s">
        <v>3386</v>
      </c>
      <c r="B467" s="87" t="s">
        <v>3387</v>
      </c>
      <c r="C467" s="67"/>
      <c r="D467" s="67"/>
      <c r="E467" s="67"/>
      <c r="F467" s="67"/>
      <c r="G467" s="67"/>
      <c r="H467" s="67"/>
      <c r="I467" s="67"/>
      <c r="J467" s="11">
        <f>Info!$B$42</f>
        <v>1</v>
      </c>
      <c r="K467" s="67"/>
      <c r="L467" s="67"/>
      <c r="M467" s="67"/>
      <c r="N467" s="67"/>
      <c r="P467" s="72">
        <f t="shared" si="23"/>
        <v>0.14285714285714285</v>
      </c>
      <c r="Q467" s="72">
        <f t="shared" si="24"/>
        <v>7.1428571428571425E-2</v>
      </c>
      <c r="R467" s="67">
        <f t="shared" si="25"/>
        <v>0</v>
      </c>
    </row>
    <row r="468" spans="1:18" x14ac:dyDescent="0.2">
      <c r="A468" s="67" t="s">
        <v>3388</v>
      </c>
      <c r="B468" s="87" t="s">
        <v>3389</v>
      </c>
      <c r="C468" s="67"/>
      <c r="D468" s="67"/>
      <c r="E468" s="67"/>
      <c r="F468" s="67"/>
      <c r="G468" s="67"/>
      <c r="H468" s="67"/>
      <c r="I468" s="67"/>
      <c r="J468" s="11">
        <f>Info!$B$43</f>
        <v>0.5</v>
      </c>
      <c r="K468" s="67"/>
      <c r="L468" s="67"/>
      <c r="M468" s="67"/>
      <c r="N468" s="67"/>
      <c r="P468" s="72">
        <f t="shared" si="23"/>
        <v>7.1428571428571425E-2</v>
      </c>
      <c r="Q468" s="72">
        <f t="shared" si="24"/>
        <v>3.5714285714285712E-2</v>
      </c>
      <c r="R468" s="67">
        <f t="shared" si="25"/>
        <v>0</v>
      </c>
    </row>
    <row r="469" spans="1:18" x14ac:dyDescent="0.2">
      <c r="A469" s="67" t="s">
        <v>3390</v>
      </c>
      <c r="B469" s="87" t="s">
        <v>3391</v>
      </c>
      <c r="C469" s="67"/>
      <c r="D469" s="67"/>
      <c r="E469" s="67"/>
      <c r="F469" s="67"/>
      <c r="G469" s="67"/>
      <c r="H469" s="67"/>
      <c r="I469" s="67"/>
      <c r="J469" s="11">
        <f>Info!$B$44</f>
        <v>0</v>
      </c>
      <c r="K469" s="67"/>
      <c r="L469" s="67"/>
      <c r="M469" s="67"/>
      <c r="N469" s="67"/>
      <c r="P469" s="72">
        <f t="shared" si="23"/>
        <v>0</v>
      </c>
      <c r="Q469" s="72">
        <f t="shared" si="24"/>
        <v>0</v>
      </c>
      <c r="R469" s="67">
        <f t="shared" si="25"/>
        <v>0</v>
      </c>
    </row>
    <row r="470" spans="1:18" x14ac:dyDescent="0.2">
      <c r="A470" s="67" t="s">
        <v>3392</v>
      </c>
      <c r="B470" s="87" t="s">
        <v>3393</v>
      </c>
      <c r="C470" s="67"/>
      <c r="D470" s="67"/>
      <c r="E470" s="67"/>
      <c r="F470" s="67"/>
      <c r="G470" s="67"/>
      <c r="H470" s="67"/>
      <c r="I470" s="67"/>
      <c r="J470" s="11">
        <f>Info!$B$42</f>
        <v>1</v>
      </c>
      <c r="K470" s="67"/>
      <c r="L470" s="67"/>
      <c r="M470" s="67"/>
      <c r="N470" s="67"/>
      <c r="P470" s="72">
        <f t="shared" si="23"/>
        <v>0.14285714285714285</v>
      </c>
      <c r="Q470" s="72">
        <f t="shared" si="24"/>
        <v>7.1428571428571425E-2</v>
      </c>
      <c r="R470" s="67">
        <f t="shared" si="25"/>
        <v>0</v>
      </c>
    </row>
    <row r="471" spans="1:18" x14ac:dyDescent="0.2">
      <c r="A471" s="67" t="s">
        <v>3394</v>
      </c>
      <c r="B471" s="87" t="s">
        <v>3395</v>
      </c>
      <c r="C471" s="67"/>
      <c r="D471" s="67"/>
      <c r="E471" s="67"/>
      <c r="F471" s="67"/>
      <c r="G471" s="67"/>
      <c r="H471" s="67"/>
      <c r="I471" s="67"/>
      <c r="J471" s="11">
        <f>Info!$B$42</f>
        <v>1</v>
      </c>
      <c r="K471" s="67"/>
      <c r="L471" s="67"/>
      <c r="M471" s="67"/>
      <c r="N471" s="67"/>
      <c r="P471" s="72">
        <f t="shared" si="23"/>
        <v>0.14285714285714285</v>
      </c>
      <c r="Q471" s="72">
        <f t="shared" si="24"/>
        <v>7.1428571428571425E-2</v>
      </c>
      <c r="R471" s="67">
        <f t="shared" si="25"/>
        <v>0</v>
      </c>
    </row>
    <row r="472" spans="1:18" x14ac:dyDescent="0.2">
      <c r="A472" s="67" t="s">
        <v>3396</v>
      </c>
      <c r="B472" s="87" t="s">
        <v>3397</v>
      </c>
      <c r="C472" s="67"/>
      <c r="D472" s="67"/>
      <c r="E472" s="67"/>
      <c r="F472" s="67"/>
      <c r="G472" s="67"/>
      <c r="H472" s="67"/>
      <c r="I472" s="67"/>
      <c r="J472" s="11">
        <f>Info!$B$42</f>
        <v>1</v>
      </c>
      <c r="K472" s="67"/>
      <c r="L472" s="67"/>
      <c r="M472" s="67"/>
      <c r="N472" s="67"/>
      <c r="P472" s="72">
        <f t="shared" si="23"/>
        <v>0.14285714285714285</v>
      </c>
      <c r="Q472" s="72">
        <f t="shared" si="24"/>
        <v>7.1428571428571425E-2</v>
      </c>
      <c r="R472" s="67">
        <f t="shared" si="25"/>
        <v>0</v>
      </c>
    </row>
    <row r="473" spans="1:18" x14ac:dyDescent="0.2">
      <c r="A473" s="67" t="s">
        <v>3398</v>
      </c>
      <c r="B473" s="87" t="s">
        <v>3399</v>
      </c>
      <c r="C473" s="67"/>
      <c r="D473" s="67"/>
      <c r="E473" s="67"/>
      <c r="F473" s="67"/>
      <c r="G473" s="67"/>
      <c r="H473" s="67"/>
      <c r="I473" s="67"/>
      <c r="J473" s="11">
        <f>Info!$B$43</f>
        <v>0.5</v>
      </c>
      <c r="K473" s="67"/>
      <c r="L473" s="67"/>
      <c r="M473" s="67"/>
      <c r="N473" s="67"/>
      <c r="P473" s="72">
        <f t="shared" si="23"/>
        <v>7.1428571428571425E-2</v>
      </c>
      <c r="Q473" s="72">
        <f t="shared" si="24"/>
        <v>3.5714285714285712E-2</v>
      </c>
      <c r="R473" s="67">
        <f t="shared" si="25"/>
        <v>0</v>
      </c>
    </row>
    <row r="474" spans="1:18" x14ac:dyDescent="0.2">
      <c r="A474" s="67" t="s">
        <v>3400</v>
      </c>
      <c r="B474" s="87" t="s">
        <v>3401</v>
      </c>
      <c r="C474" s="67"/>
      <c r="D474" s="67"/>
      <c r="E474" s="67"/>
      <c r="F474" s="67"/>
      <c r="G474" s="67"/>
      <c r="H474" s="67"/>
      <c r="I474" s="67"/>
      <c r="J474" s="11">
        <f>Info!$B$44</f>
        <v>0</v>
      </c>
      <c r="K474" s="67"/>
      <c r="L474" s="67"/>
      <c r="M474" s="67"/>
      <c r="N474" s="67"/>
      <c r="P474" s="72">
        <f t="shared" si="23"/>
        <v>0</v>
      </c>
      <c r="Q474" s="72">
        <f t="shared" si="24"/>
        <v>0</v>
      </c>
      <c r="R474" s="67">
        <f t="shared" si="25"/>
        <v>0</v>
      </c>
    </row>
    <row r="475" spans="1:18" x14ac:dyDescent="0.2">
      <c r="A475" s="67" t="s">
        <v>3402</v>
      </c>
      <c r="B475" s="87" t="s">
        <v>3403</v>
      </c>
      <c r="C475" s="67"/>
      <c r="D475" s="67"/>
      <c r="E475" s="67"/>
      <c r="F475" s="67"/>
      <c r="G475" s="67"/>
      <c r="H475" s="67"/>
      <c r="I475" s="67"/>
      <c r="J475" s="11">
        <f>Info!$B$43</f>
        <v>0.5</v>
      </c>
      <c r="K475" s="67"/>
      <c r="L475" s="67"/>
      <c r="M475" s="67"/>
      <c r="N475" s="67"/>
      <c r="P475" s="72">
        <f t="shared" ref="P475:P538" si="26">(D475+E475+F475+G475+H475+I475+J475)/7</f>
        <v>7.1428571428571425E-2</v>
      </c>
      <c r="Q475" s="72">
        <f t="shared" si="24"/>
        <v>3.5714285714285712E-2</v>
      </c>
      <c r="R475" s="67">
        <f t="shared" si="25"/>
        <v>0</v>
      </c>
    </row>
    <row r="476" spans="1:18" x14ac:dyDescent="0.2">
      <c r="A476" s="67" t="s">
        <v>3404</v>
      </c>
      <c r="B476" s="87" t="s">
        <v>3405</v>
      </c>
      <c r="C476" s="67"/>
      <c r="D476" s="67"/>
      <c r="E476" s="67"/>
      <c r="F476" s="67"/>
      <c r="G476" s="67"/>
      <c r="H476" s="67"/>
      <c r="I476" s="67"/>
      <c r="J476" s="11">
        <f>Info!$B$43</f>
        <v>0.5</v>
      </c>
      <c r="K476" s="67"/>
      <c r="L476" s="67"/>
      <c r="M476" s="67"/>
      <c r="N476" s="67"/>
      <c r="P476" s="72">
        <f t="shared" si="26"/>
        <v>7.1428571428571425E-2</v>
      </c>
      <c r="Q476" s="72">
        <f t="shared" si="24"/>
        <v>3.5714285714285712E-2</v>
      </c>
      <c r="R476" s="67">
        <f t="shared" si="25"/>
        <v>0</v>
      </c>
    </row>
    <row r="477" spans="1:18" x14ac:dyDescent="0.2">
      <c r="A477" s="67" t="s">
        <v>3406</v>
      </c>
      <c r="B477" s="87" t="s">
        <v>3407</v>
      </c>
      <c r="C477" s="67"/>
      <c r="D477" s="67"/>
      <c r="E477" s="67"/>
      <c r="F477" s="67"/>
      <c r="G477" s="67"/>
      <c r="H477" s="67"/>
      <c r="I477" s="67"/>
      <c r="J477" s="11">
        <f>Info!$B$43</f>
        <v>0.5</v>
      </c>
      <c r="K477" s="67"/>
      <c r="L477" s="67"/>
      <c r="M477" s="67"/>
      <c r="N477" s="67"/>
      <c r="P477" s="72">
        <f t="shared" si="26"/>
        <v>7.1428571428571425E-2</v>
      </c>
      <c r="Q477" s="72">
        <f t="shared" si="24"/>
        <v>3.5714285714285712E-2</v>
      </c>
      <c r="R477" s="67">
        <f t="shared" si="25"/>
        <v>0</v>
      </c>
    </row>
    <row r="478" spans="1:18" x14ac:dyDescent="0.2">
      <c r="A478" s="67" t="s">
        <v>3408</v>
      </c>
      <c r="B478" s="87" t="s">
        <v>3409</v>
      </c>
      <c r="C478" s="67"/>
      <c r="D478" s="67"/>
      <c r="E478" s="67"/>
      <c r="F478" s="67"/>
      <c r="G478" s="67"/>
      <c r="H478" s="67"/>
      <c r="I478" s="67"/>
      <c r="J478" s="11">
        <f>Info!$B$44</f>
        <v>0</v>
      </c>
      <c r="K478" s="67"/>
      <c r="L478" s="67"/>
      <c r="M478" s="67"/>
      <c r="N478" s="67"/>
      <c r="P478" s="72">
        <f t="shared" si="26"/>
        <v>0</v>
      </c>
      <c r="Q478" s="72">
        <f t="shared" si="24"/>
        <v>0</v>
      </c>
      <c r="R478" s="67">
        <f t="shared" si="25"/>
        <v>0</v>
      </c>
    </row>
    <row r="479" spans="1:18" x14ac:dyDescent="0.2">
      <c r="A479" s="67" t="s">
        <v>3410</v>
      </c>
      <c r="B479" s="87" t="s">
        <v>3411</v>
      </c>
      <c r="C479" s="67"/>
      <c r="D479" s="67"/>
      <c r="E479" s="67"/>
      <c r="F479" s="67"/>
      <c r="G479" s="67"/>
      <c r="H479" s="67"/>
      <c r="I479" s="67"/>
      <c r="J479" s="11">
        <f>Info!$B$43</f>
        <v>0.5</v>
      </c>
      <c r="K479" s="67"/>
      <c r="L479" s="67"/>
      <c r="M479" s="67"/>
      <c r="N479" s="67"/>
      <c r="P479" s="72">
        <f t="shared" si="26"/>
        <v>7.1428571428571425E-2</v>
      </c>
      <c r="Q479" s="72">
        <f t="shared" si="24"/>
        <v>3.5714285714285712E-2</v>
      </c>
      <c r="R479" s="67">
        <f t="shared" si="25"/>
        <v>0</v>
      </c>
    </row>
    <row r="480" spans="1:18" x14ac:dyDescent="0.2">
      <c r="A480" s="67" t="s">
        <v>3412</v>
      </c>
      <c r="B480" s="87" t="s">
        <v>3413</v>
      </c>
      <c r="C480" s="67"/>
      <c r="D480" s="67"/>
      <c r="E480" s="67"/>
      <c r="F480" s="67"/>
      <c r="G480" s="67"/>
      <c r="H480" s="67"/>
      <c r="I480" s="67"/>
      <c r="J480" s="11">
        <f>Info!$B$42</f>
        <v>1</v>
      </c>
      <c r="K480" s="67"/>
      <c r="L480" s="67"/>
      <c r="M480" s="67"/>
      <c r="N480" s="67"/>
      <c r="P480" s="72">
        <f t="shared" si="26"/>
        <v>0.14285714285714285</v>
      </c>
      <c r="Q480" s="72">
        <f t="shared" si="24"/>
        <v>7.1428571428571425E-2</v>
      </c>
      <c r="R480" s="67">
        <f t="shared" si="25"/>
        <v>0</v>
      </c>
    </row>
    <row r="481" spans="1:18" x14ac:dyDescent="0.2">
      <c r="A481" s="67" t="s">
        <v>3414</v>
      </c>
      <c r="B481" s="87" t="s">
        <v>3415</v>
      </c>
      <c r="C481" s="67"/>
      <c r="D481" s="67"/>
      <c r="E481" s="67"/>
      <c r="F481" s="67"/>
      <c r="G481" s="67"/>
      <c r="H481" s="67"/>
      <c r="I481" s="67"/>
      <c r="J481" s="11">
        <f>Info!$B$42</f>
        <v>1</v>
      </c>
      <c r="K481" s="67"/>
      <c r="L481" s="67"/>
      <c r="M481" s="67"/>
      <c r="N481" s="67"/>
      <c r="P481" s="72">
        <f t="shared" si="26"/>
        <v>0.14285714285714285</v>
      </c>
      <c r="Q481" s="72">
        <f t="shared" si="24"/>
        <v>7.1428571428571425E-2</v>
      </c>
      <c r="R481" s="67">
        <f t="shared" si="25"/>
        <v>0</v>
      </c>
    </row>
    <row r="482" spans="1:18" x14ac:dyDescent="0.2">
      <c r="A482" s="67" t="s">
        <v>3416</v>
      </c>
      <c r="B482" s="87" t="s">
        <v>3417</v>
      </c>
      <c r="C482" s="67"/>
      <c r="D482" s="67"/>
      <c r="E482" s="67"/>
      <c r="F482" s="67"/>
      <c r="G482" s="67"/>
      <c r="H482" s="67"/>
      <c r="I482" s="67"/>
      <c r="J482" s="11">
        <f>Info!$B$44</f>
        <v>0</v>
      </c>
      <c r="K482" s="67"/>
      <c r="L482" s="67"/>
      <c r="M482" s="67"/>
      <c r="N482" s="67"/>
      <c r="P482" s="72">
        <f t="shared" si="26"/>
        <v>0</v>
      </c>
      <c r="Q482" s="72">
        <f t="shared" si="24"/>
        <v>0</v>
      </c>
      <c r="R482" s="67">
        <f t="shared" si="25"/>
        <v>0</v>
      </c>
    </row>
    <row r="483" spans="1:18" x14ac:dyDescent="0.2">
      <c r="A483" s="67" t="s">
        <v>3418</v>
      </c>
      <c r="B483" s="87" t="s">
        <v>3419</v>
      </c>
      <c r="C483" s="67"/>
      <c r="D483" s="67"/>
      <c r="E483" s="67"/>
      <c r="F483" s="67"/>
      <c r="G483" s="67"/>
      <c r="H483" s="67"/>
      <c r="I483" s="67"/>
      <c r="J483" s="11">
        <f>Info!$B$43</f>
        <v>0.5</v>
      </c>
      <c r="K483" s="67"/>
      <c r="L483" s="67"/>
      <c r="M483" s="67"/>
      <c r="N483" s="67"/>
      <c r="P483" s="72">
        <f t="shared" si="26"/>
        <v>7.1428571428571425E-2</v>
      </c>
      <c r="Q483" s="72">
        <f t="shared" si="24"/>
        <v>3.5714285714285712E-2</v>
      </c>
      <c r="R483" s="67">
        <f t="shared" si="25"/>
        <v>0</v>
      </c>
    </row>
    <row r="484" spans="1:18" x14ac:dyDescent="0.2">
      <c r="A484" s="67" t="s">
        <v>560</v>
      </c>
      <c r="B484" s="87" t="s">
        <v>3420</v>
      </c>
      <c r="C484" s="67"/>
      <c r="D484" s="67"/>
      <c r="E484" s="67"/>
      <c r="F484" s="67"/>
      <c r="G484" s="67"/>
      <c r="H484" s="67"/>
      <c r="I484" s="67"/>
      <c r="J484" s="11">
        <f>Info!$B$44</f>
        <v>0</v>
      </c>
      <c r="K484" s="67"/>
      <c r="L484" s="67"/>
      <c r="M484" s="67"/>
      <c r="N484" s="67"/>
      <c r="P484" s="72">
        <f t="shared" si="26"/>
        <v>0</v>
      </c>
      <c r="Q484" s="72">
        <f t="shared" si="24"/>
        <v>0</v>
      </c>
      <c r="R484" s="67">
        <f t="shared" si="25"/>
        <v>0</v>
      </c>
    </row>
    <row r="485" spans="1:18" x14ac:dyDescent="0.2">
      <c r="A485" s="67" t="s">
        <v>3421</v>
      </c>
      <c r="B485" s="87" t="s">
        <v>3422</v>
      </c>
      <c r="C485" s="67"/>
      <c r="D485" s="67"/>
      <c r="E485" s="67"/>
      <c r="F485" s="67"/>
      <c r="G485" s="67"/>
      <c r="H485" s="67"/>
      <c r="I485" s="67"/>
      <c r="J485" s="11">
        <f>Info!$B$44</f>
        <v>0</v>
      </c>
      <c r="K485" s="67"/>
      <c r="L485" s="67"/>
      <c r="M485" s="67"/>
      <c r="N485" s="67"/>
      <c r="P485" s="72">
        <f t="shared" si="26"/>
        <v>0</v>
      </c>
      <c r="Q485" s="72">
        <f t="shared" si="24"/>
        <v>0</v>
      </c>
      <c r="R485" s="67">
        <f t="shared" si="25"/>
        <v>0</v>
      </c>
    </row>
    <row r="486" spans="1:18" x14ac:dyDescent="0.2">
      <c r="A486" s="67" t="s">
        <v>3423</v>
      </c>
      <c r="B486" s="87" t="s">
        <v>3424</v>
      </c>
      <c r="C486" s="67"/>
      <c r="D486" s="67"/>
      <c r="E486" s="67"/>
      <c r="F486" s="67"/>
      <c r="G486" s="67"/>
      <c r="H486" s="67"/>
      <c r="I486" s="67"/>
      <c r="J486" s="11">
        <f>Info!$B$42</f>
        <v>1</v>
      </c>
      <c r="K486" s="67"/>
      <c r="L486" s="67"/>
      <c r="M486" s="67"/>
      <c r="N486" s="67"/>
      <c r="P486" s="72">
        <f t="shared" si="26"/>
        <v>0.14285714285714285</v>
      </c>
      <c r="Q486" s="72">
        <f t="shared" si="24"/>
        <v>7.1428571428571425E-2</v>
      </c>
      <c r="R486" s="67">
        <f t="shared" si="25"/>
        <v>0</v>
      </c>
    </row>
    <row r="487" spans="1:18" x14ac:dyDescent="0.2">
      <c r="A487" s="67" t="s">
        <v>3425</v>
      </c>
      <c r="B487" s="87" t="s">
        <v>3426</v>
      </c>
      <c r="C487" s="67"/>
      <c r="D487" s="67"/>
      <c r="E487" s="67"/>
      <c r="F487" s="67"/>
      <c r="G487" s="67"/>
      <c r="H487" s="67"/>
      <c r="I487" s="67"/>
      <c r="J487" s="11"/>
      <c r="K487" s="67"/>
      <c r="L487" s="67"/>
      <c r="M487" s="67"/>
      <c r="N487" s="67"/>
      <c r="P487" s="72">
        <f t="shared" si="26"/>
        <v>0</v>
      </c>
      <c r="Q487" s="72">
        <f t="shared" si="24"/>
        <v>0</v>
      </c>
      <c r="R487" s="67">
        <f t="shared" si="25"/>
        <v>0</v>
      </c>
    </row>
    <row r="488" spans="1:18" x14ac:dyDescent="0.2">
      <c r="A488" s="67" t="s">
        <v>3427</v>
      </c>
      <c r="B488" s="87" t="s">
        <v>3428</v>
      </c>
      <c r="C488" s="67"/>
      <c r="D488" s="67"/>
      <c r="E488" s="67"/>
      <c r="F488" s="67"/>
      <c r="G488" s="67"/>
      <c r="H488" s="67"/>
      <c r="I488" s="67"/>
      <c r="J488" s="11">
        <f>Info!$B$44</f>
        <v>0</v>
      </c>
      <c r="K488" s="67"/>
      <c r="L488" s="67"/>
      <c r="M488" s="67"/>
      <c r="N488" s="67"/>
      <c r="P488" s="72">
        <f t="shared" si="26"/>
        <v>0</v>
      </c>
      <c r="Q488" s="72">
        <f t="shared" si="24"/>
        <v>0</v>
      </c>
      <c r="R488" s="67">
        <f t="shared" si="25"/>
        <v>0</v>
      </c>
    </row>
    <row r="489" spans="1:18" x14ac:dyDescent="0.2">
      <c r="A489" s="67" t="s">
        <v>3429</v>
      </c>
      <c r="B489" s="87" t="s">
        <v>3430</v>
      </c>
      <c r="C489" s="67"/>
      <c r="D489" s="67"/>
      <c r="E489" s="67"/>
      <c r="F489" s="67"/>
      <c r="G489" s="67"/>
      <c r="H489" s="67"/>
      <c r="I489" s="67"/>
      <c r="J489" s="11">
        <f>Info!$B$44</f>
        <v>0</v>
      </c>
      <c r="K489" s="67"/>
      <c r="L489" s="67"/>
      <c r="M489" s="67"/>
      <c r="N489" s="67"/>
      <c r="P489" s="72">
        <f t="shared" si="26"/>
        <v>0</v>
      </c>
      <c r="Q489" s="72">
        <f t="shared" si="24"/>
        <v>0</v>
      </c>
      <c r="R489" s="67">
        <f t="shared" si="25"/>
        <v>0</v>
      </c>
    </row>
    <row r="490" spans="1:18" x14ac:dyDescent="0.2">
      <c r="A490" s="67" t="s">
        <v>3431</v>
      </c>
      <c r="B490" s="87" t="s">
        <v>3432</v>
      </c>
      <c r="C490" s="67"/>
      <c r="D490" s="67"/>
      <c r="E490" s="67"/>
      <c r="F490" s="67"/>
      <c r="G490" s="67"/>
      <c r="H490" s="67"/>
      <c r="I490" s="67"/>
      <c r="J490" s="11">
        <f>Info!$B$44</f>
        <v>0</v>
      </c>
      <c r="K490" s="67"/>
      <c r="L490" s="67"/>
      <c r="M490" s="67"/>
      <c r="N490" s="67"/>
      <c r="P490" s="72">
        <f t="shared" si="26"/>
        <v>0</v>
      </c>
      <c r="Q490" s="72">
        <f t="shared" si="24"/>
        <v>0</v>
      </c>
      <c r="R490" s="67">
        <f t="shared" si="25"/>
        <v>0</v>
      </c>
    </row>
    <row r="491" spans="1:18" x14ac:dyDescent="0.2">
      <c r="A491" s="67" t="s">
        <v>3433</v>
      </c>
      <c r="B491" s="87" t="s">
        <v>3434</v>
      </c>
      <c r="C491" s="67"/>
      <c r="D491" s="67"/>
      <c r="E491" s="67"/>
      <c r="F491" s="67"/>
      <c r="G491" s="67"/>
      <c r="H491" s="67"/>
      <c r="I491" s="67"/>
      <c r="J491" s="11">
        <f>Info!$B$43</f>
        <v>0.5</v>
      </c>
      <c r="K491" s="67"/>
      <c r="L491" s="67"/>
      <c r="M491" s="67"/>
      <c r="N491" s="67"/>
      <c r="P491" s="72">
        <f t="shared" si="26"/>
        <v>7.1428571428571425E-2</v>
      </c>
      <c r="Q491" s="72">
        <f t="shared" si="24"/>
        <v>3.5714285714285712E-2</v>
      </c>
      <c r="R491" s="67">
        <f t="shared" si="25"/>
        <v>0</v>
      </c>
    </row>
    <row r="492" spans="1:18" x14ac:dyDescent="0.2">
      <c r="A492" s="67" t="s">
        <v>3435</v>
      </c>
      <c r="B492" s="87" t="s">
        <v>3436</v>
      </c>
      <c r="C492" s="67"/>
      <c r="D492" s="11"/>
      <c r="E492" s="11"/>
      <c r="F492" s="11"/>
      <c r="G492" s="11"/>
      <c r="H492" s="11"/>
      <c r="I492" s="11"/>
      <c r="J492" s="11">
        <f>Info!$B$44</f>
        <v>0</v>
      </c>
      <c r="K492" s="67"/>
      <c r="L492" s="67"/>
      <c r="M492" s="67"/>
      <c r="N492" s="67"/>
      <c r="P492" s="72">
        <f t="shared" si="26"/>
        <v>0</v>
      </c>
      <c r="Q492" s="72">
        <f t="shared" si="24"/>
        <v>0</v>
      </c>
      <c r="R492" s="67">
        <f t="shared" si="25"/>
        <v>0</v>
      </c>
    </row>
    <row r="493" spans="1:18" x14ac:dyDescent="0.2">
      <c r="A493" s="67" t="s">
        <v>3437</v>
      </c>
      <c r="B493" s="87" t="s">
        <v>3438</v>
      </c>
      <c r="C493" s="67"/>
      <c r="D493" s="67"/>
      <c r="E493" s="67"/>
      <c r="F493" s="67"/>
      <c r="G493" s="67"/>
      <c r="H493" s="67"/>
      <c r="I493" s="67"/>
      <c r="J493" s="11">
        <f>Info!$B$44</f>
        <v>0</v>
      </c>
      <c r="K493" s="67"/>
      <c r="L493" s="67"/>
      <c r="M493" s="67"/>
      <c r="N493" s="67"/>
      <c r="P493" s="72">
        <f t="shared" si="26"/>
        <v>0</v>
      </c>
      <c r="Q493" s="72">
        <f t="shared" si="24"/>
        <v>0</v>
      </c>
      <c r="R493" s="67">
        <f t="shared" si="25"/>
        <v>0</v>
      </c>
    </row>
    <row r="494" spans="1:18" x14ac:dyDescent="0.2">
      <c r="A494" s="67" t="s">
        <v>3439</v>
      </c>
      <c r="B494" s="87" t="s">
        <v>3440</v>
      </c>
      <c r="C494" s="67"/>
      <c r="D494" s="67"/>
      <c r="E494" s="67"/>
      <c r="F494" s="67"/>
      <c r="G494" s="67"/>
      <c r="H494" s="67"/>
      <c r="I494" s="67"/>
      <c r="J494" s="11">
        <f>Info!$B$44</f>
        <v>0</v>
      </c>
      <c r="K494" s="67"/>
      <c r="L494" s="67"/>
      <c r="M494" s="67"/>
      <c r="N494" s="67"/>
      <c r="P494" s="72">
        <f t="shared" si="26"/>
        <v>0</v>
      </c>
      <c r="Q494" s="72">
        <f t="shared" si="24"/>
        <v>0</v>
      </c>
      <c r="R494" s="67">
        <f t="shared" si="25"/>
        <v>0</v>
      </c>
    </row>
    <row r="495" spans="1:18" x14ac:dyDescent="0.2">
      <c r="A495" s="67" t="s">
        <v>3441</v>
      </c>
      <c r="B495" s="87" t="s">
        <v>3442</v>
      </c>
      <c r="C495" s="67"/>
      <c r="D495" s="67"/>
      <c r="E495" s="67"/>
      <c r="F495" s="67"/>
      <c r="G495" s="67"/>
      <c r="H495" s="67"/>
      <c r="I495" s="67"/>
      <c r="J495" s="11">
        <f>Info!$B$44</f>
        <v>0</v>
      </c>
      <c r="K495" s="67"/>
      <c r="L495" s="67"/>
      <c r="M495" s="67"/>
      <c r="N495" s="67"/>
      <c r="P495" s="72">
        <f t="shared" si="26"/>
        <v>0</v>
      </c>
      <c r="Q495" s="72">
        <f t="shared" si="24"/>
        <v>0</v>
      </c>
      <c r="R495" s="67">
        <f t="shared" si="25"/>
        <v>0</v>
      </c>
    </row>
    <row r="496" spans="1:18" x14ac:dyDescent="0.2">
      <c r="A496" s="67" t="s">
        <v>3443</v>
      </c>
      <c r="B496" s="87" t="s">
        <v>3444</v>
      </c>
      <c r="C496" s="67"/>
      <c r="D496" s="67"/>
      <c r="E496" s="67"/>
      <c r="F496" s="67"/>
      <c r="G496" s="67"/>
      <c r="H496" s="67"/>
      <c r="I496" s="67"/>
      <c r="J496" s="11">
        <f>Info!$B$44</f>
        <v>0</v>
      </c>
      <c r="K496" s="67"/>
      <c r="L496" s="67"/>
      <c r="M496" s="67"/>
      <c r="N496" s="67"/>
      <c r="P496" s="72">
        <f t="shared" si="26"/>
        <v>0</v>
      </c>
      <c r="Q496" s="72">
        <f t="shared" si="24"/>
        <v>0</v>
      </c>
      <c r="R496" s="67">
        <f t="shared" si="25"/>
        <v>0</v>
      </c>
    </row>
    <row r="497" spans="1:18" x14ac:dyDescent="0.2">
      <c r="A497" s="67" t="s">
        <v>3445</v>
      </c>
      <c r="B497" s="87" t="s">
        <v>3446</v>
      </c>
      <c r="C497" s="67"/>
      <c r="D497" s="67"/>
      <c r="E497" s="67"/>
      <c r="F497" s="67"/>
      <c r="G497" s="67"/>
      <c r="H497" s="67"/>
      <c r="I497" s="67"/>
      <c r="J497" s="11">
        <f>Info!$B$44</f>
        <v>0</v>
      </c>
      <c r="K497" s="67"/>
      <c r="L497" s="67"/>
      <c r="M497" s="67"/>
      <c r="N497" s="67"/>
      <c r="P497" s="72">
        <f t="shared" si="26"/>
        <v>0</v>
      </c>
      <c r="Q497" s="72">
        <f t="shared" si="24"/>
        <v>0</v>
      </c>
      <c r="R497" s="67">
        <f t="shared" si="25"/>
        <v>0</v>
      </c>
    </row>
    <row r="498" spans="1:18" x14ac:dyDescent="0.2">
      <c r="A498" s="67" t="s">
        <v>3447</v>
      </c>
      <c r="B498" s="87" t="s">
        <v>3448</v>
      </c>
      <c r="C498" s="67"/>
      <c r="D498" s="67"/>
      <c r="E498" s="67"/>
      <c r="F498" s="67"/>
      <c r="G498" s="67"/>
      <c r="H498" s="67"/>
      <c r="I498" s="67"/>
      <c r="J498" s="11">
        <f>Info!$B$43</f>
        <v>0.5</v>
      </c>
      <c r="K498" s="67"/>
      <c r="L498" s="67"/>
      <c r="M498" s="67"/>
      <c r="N498" s="67"/>
      <c r="P498" s="72">
        <f t="shared" si="26"/>
        <v>7.1428571428571425E-2</v>
      </c>
      <c r="Q498" s="72">
        <f t="shared" si="24"/>
        <v>3.5714285714285712E-2</v>
      </c>
      <c r="R498" s="67">
        <f t="shared" si="25"/>
        <v>0</v>
      </c>
    </row>
    <row r="499" spans="1:18" x14ac:dyDescent="0.2">
      <c r="A499" s="67" t="s">
        <v>3449</v>
      </c>
      <c r="B499" s="87" t="s">
        <v>3450</v>
      </c>
      <c r="C499" s="67"/>
      <c r="D499" s="67"/>
      <c r="E499" s="67"/>
      <c r="F499" s="67"/>
      <c r="G499" s="67"/>
      <c r="H499" s="67"/>
      <c r="I499" s="67"/>
      <c r="J499" s="11">
        <f>Info!$B$44</f>
        <v>0</v>
      </c>
      <c r="K499" s="67"/>
      <c r="L499" s="67"/>
      <c r="M499" s="67"/>
      <c r="N499" s="67"/>
      <c r="P499" s="72">
        <f t="shared" si="26"/>
        <v>0</v>
      </c>
      <c r="Q499" s="72">
        <f t="shared" ref="Q499:Q553" si="27">(O499+P499)/2</f>
        <v>0</v>
      </c>
      <c r="R499" s="67">
        <f t="shared" si="25"/>
        <v>0</v>
      </c>
    </row>
    <row r="500" spans="1:18" x14ac:dyDescent="0.2">
      <c r="A500" s="67" t="s">
        <v>3451</v>
      </c>
      <c r="B500" s="87" t="s">
        <v>3452</v>
      </c>
      <c r="C500" s="67"/>
      <c r="D500" s="67"/>
      <c r="E500" s="67"/>
      <c r="F500" s="67"/>
      <c r="G500" s="67"/>
      <c r="H500" s="67"/>
      <c r="I500" s="67"/>
      <c r="J500" s="11"/>
      <c r="K500" s="67"/>
      <c r="L500" s="67"/>
      <c r="M500" s="67"/>
      <c r="N500" s="67"/>
      <c r="P500" s="72">
        <f t="shared" si="26"/>
        <v>0</v>
      </c>
      <c r="Q500" s="72">
        <f t="shared" si="27"/>
        <v>0</v>
      </c>
      <c r="R500" s="67">
        <f t="shared" si="25"/>
        <v>0</v>
      </c>
    </row>
    <row r="501" spans="1:18" x14ac:dyDescent="0.2">
      <c r="A501" s="67" t="s">
        <v>3453</v>
      </c>
      <c r="B501" s="87" t="s">
        <v>3454</v>
      </c>
      <c r="C501" s="67"/>
      <c r="D501" s="67"/>
      <c r="E501" s="67"/>
      <c r="F501" s="67"/>
      <c r="G501" s="67"/>
      <c r="H501" s="67"/>
      <c r="I501" s="67"/>
      <c r="J501" s="11">
        <f>Info!$B$44</f>
        <v>0</v>
      </c>
      <c r="K501" s="67"/>
      <c r="L501" s="67"/>
      <c r="M501" s="67"/>
      <c r="N501" s="67"/>
      <c r="P501" s="72">
        <f t="shared" si="26"/>
        <v>0</v>
      </c>
      <c r="Q501" s="72">
        <f t="shared" si="27"/>
        <v>0</v>
      </c>
      <c r="R501" s="67">
        <f t="shared" si="25"/>
        <v>0</v>
      </c>
    </row>
    <row r="502" spans="1:18" x14ac:dyDescent="0.2">
      <c r="A502" s="67" t="s">
        <v>3455</v>
      </c>
      <c r="B502" s="87" t="s">
        <v>3456</v>
      </c>
      <c r="C502" s="67"/>
      <c r="D502" s="67"/>
      <c r="E502" s="67"/>
      <c r="F502" s="67"/>
      <c r="G502" s="67"/>
      <c r="H502" s="67"/>
      <c r="I502" s="67"/>
      <c r="J502" s="11">
        <f>Info!$B$44</f>
        <v>0</v>
      </c>
      <c r="K502" s="67"/>
      <c r="L502" s="67"/>
      <c r="M502" s="67"/>
      <c r="N502" s="67"/>
      <c r="P502" s="72">
        <f t="shared" si="26"/>
        <v>0</v>
      </c>
      <c r="Q502" s="72">
        <f t="shared" si="27"/>
        <v>0</v>
      </c>
      <c r="R502" s="67">
        <f t="shared" si="25"/>
        <v>0</v>
      </c>
    </row>
    <row r="503" spans="1:18" x14ac:dyDescent="0.2">
      <c r="A503" s="67" t="s">
        <v>3457</v>
      </c>
      <c r="B503" s="87" t="s">
        <v>3458</v>
      </c>
      <c r="C503" s="67"/>
      <c r="D503" s="67"/>
      <c r="E503" s="67"/>
      <c r="F503" s="67"/>
      <c r="G503" s="67"/>
      <c r="H503" s="67"/>
      <c r="I503" s="67"/>
      <c r="J503" s="11">
        <f>Info!$B$43</f>
        <v>0.5</v>
      </c>
      <c r="K503" s="67"/>
      <c r="L503" s="67"/>
      <c r="M503" s="67"/>
      <c r="N503" s="67"/>
      <c r="P503" s="72">
        <f t="shared" si="26"/>
        <v>7.1428571428571425E-2</v>
      </c>
      <c r="Q503" s="72">
        <f t="shared" si="27"/>
        <v>3.5714285714285712E-2</v>
      </c>
      <c r="R503" s="67">
        <f t="shared" si="25"/>
        <v>0</v>
      </c>
    </row>
    <row r="504" spans="1:18" x14ac:dyDescent="0.2">
      <c r="A504" s="67" t="s">
        <v>3459</v>
      </c>
      <c r="B504" s="87" t="s">
        <v>3460</v>
      </c>
      <c r="C504" s="67"/>
      <c r="D504" s="67"/>
      <c r="E504" s="67"/>
      <c r="F504" s="67"/>
      <c r="G504" s="67"/>
      <c r="H504" s="67"/>
      <c r="I504" s="67"/>
      <c r="J504" s="11">
        <f>Info!$B$44</f>
        <v>0</v>
      </c>
      <c r="K504" s="67"/>
      <c r="L504" s="67"/>
      <c r="M504" s="67"/>
      <c r="N504" s="67"/>
      <c r="P504" s="72">
        <f t="shared" si="26"/>
        <v>0</v>
      </c>
      <c r="Q504" s="72">
        <f t="shared" si="27"/>
        <v>0</v>
      </c>
      <c r="R504" s="67">
        <f t="shared" si="25"/>
        <v>0</v>
      </c>
    </row>
    <row r="505" spans="1:18" x14ac:dyDescent="0.2">
      <c r="A505" s="67" t="s">
        <v>3461</v>
      </c>
      <c r="B505" s="87" t="s">
        <v>3462</v>
      </c>
      <c r="C505" s="67"/>
      <c r="D505" s="67"/>
      <c r="E505" s="67"/>
      <c r="F505" s="67"/>
      <c r="G505" s="67"/>
      <c r="H505" s="67"/>
      <c r="I505" s="67"/>
      <c r="J505" s="11">
        <f>Info!$B$43</f>
        <v>0.5</v>
      </c>
      <c r="K505" s="67"/>
      <c r="L505" s="67"/>
      <c r="M505" s="67"/>
      <c r="N505" s="67"/>
      <c r="P505" s="72">
        <f t="shared" si="26"/>
        <v>7.1428571428571425E-2</v>
      </c>
      <c r="Q505" s="72">
        <f t="shared" si="27"/>
        <v>3.5714285714285712E-2</v>
      </c>
      <c r="R505" s="67">
        <f t="shared" si="25"/>
        <v>0</v>
      </c>
    </row>
    <row r="506" spans="1:18" x14ac:dyDescent="0.2">
      <c r="A506" s="67" t="s">
        <v>3463</v>
      </c>
      <c r="B506" s="87" t="s">
        <v>3464</v>
      </c>
      <c r="C506" s="67"/>
      <c r="D506" s="67"/>
      <c r="E506" s="67"/>
      <c r="F506" s="67"/>
      <c r="G506" s="67"/>
      <c r="H506" s="67"/>
      <c r="I506" s="67"/>
      <c r="J506" s="11">
        <f>Info!$B$42</f>
        <v>1</v>
      </c>
      <c r="K506" s="67"/>
      <c r="L506" s="67"/>
      <c r="M506" s="67"/>
      <c r="N506" s="67"/>
      <c r="P506" s="72">
        <f t="shared" si="26"/>
        <v>0.14285714285714285</v>
      </c>
      <c r="Q506" s="72">
        <f t="shared" si="27"/>
        <v>7.1428571428571425E-2</v>
      </c>
      <c r="R506" s="67">
        <f t="shared" si="25"/>
        <v>0</v>
      </c>
    </row>
    <row r="507" spans="1:18" x14ac:dyDescent="0.2">
      <c r="A507" s="67" t="s">
        <v>3465</v>
      </c>
      <c r="B507" s="87" t="s">
        <v>3466</v>
      </c>
      <c r="C507" s="67"/>
      <c r="D507" s="67"/>
      <c r="E507" s="67"/>
      <c r="F507" s="67"/>
      <c r="G507" s="67"/>
      <c r="H507" s="67"/>
      <c r="I507" s="67"/>
      <c r="J507" s="11">
        <f>Info!$B$42</f>
        <v>1</v>
      </c>
      <c r="K507" s="67"/>
      <c r="L507" s="67"/>
      <c r="M507" s="67"/>
      <c r="N507" s="67"/>
      <c r="P507" s="72">
        <f t="shared" si="26"/>
        <v>0.14285714285714285</v>
      </c>
      <c r="Q507" s="72">
        <f t="shared" si="27"/>
        <v>7.1428571428571425E-2</v>
      </c>
      <c r="R507" s="67">
        <f t="shared" si="25"/>
        <v>0</v>
      </c>
    </row>
    <row r="508" spans="1:18" x14ac:dyDescent="0.2">
      <c r="A508" s="67" t="s">
        <v>3467</v>
      </c>
      <c r="B508" s="87" t="s">
        <v>3468</v>
      </c>
      <c r="C508" s="67"/>
      <c r="D508" s="67"/>
      <c r="E508" s="67"/>
      <c r="F508" s="67"/>
      <c r="G508" s="67"/>
      <c r="H508" s="67"/>
      <c r="I508" s="67"/>
      <c r="J508" s="11">
        <f>Info!$B$44</f>
        <v>0</v>
      </c>
      <c r="K508" s="67"/>
      <c r="L508" s="67"/>
      <c r="M508" s="67"/>
      <c r="N508" s="67"/>
      <c r="P508" s="72">
        <f t="shared" si="26"/>
        <v>0</v>
      </c>
      <c r="Q508" s="72">
        <f t="shared" si="27"/>
        <v>0</v>
      </c>
      <c r="R508" s="67">
        <f t="shared" si="25"/>
        <v>0</v>
      </c>
    </row>
    <row r="509" spans="1:18" x14ac:dyDescent="0.2">
      <c r="A509" s="67" t="s">
        <v>3469</v>
      </c>
      <c r="B509" s="87" t="s">
        <v>3470</v>
      </c>
      <c r="C509" s="67"/>
      <c r="D509" s="67"/>
      <c r="E509" s="67"/>
      <c r="F509" s="67"/>
      <c r="G509" s="67"/>
      <c r="H509" s="67"/>
      <c r="I509" s="67"/>
      <c r="J509" s="11">
        <f>Info!$B$44</f>
        <v>0</v>
      </c>
      <c r="K509" s="67"/>
      <c r="L509" s="67"/>
      <c r="M509" s="67"/>
      <c r="N509" s="67"/>
      <c r="P509" s="72">
        <f t="shared" si="26"/>
        <v>0</v>
      </c>
      <c r="Q509" s="72">
        <f t="shared" si="27"/>
        <v>0</v>
      </c>
      <c r="R509" s="67">
        <f t="shared" si="25"/>
        <v>0</v>
      </c>
    </row>
    <row r="510" spans="1:18" x14ac:dyDescent="0.2">
      <c r="A510" s="67" t="s">
        <v>3471</v>
      </c>
      <c r="B510" s="87" t="s">
        <v>3472</v>
      </c>
      <c r="C510" s="67"/>
      <c r="D510" s="67"/>
      <c r="E510" s="67"/>
      <c r="F510" s="67"/>
      <c r="G510" s="67"/>
      <c r="H510" s="67"/>
      <c r="I510" s="67"/>
      <c r="J510" s="11">
        <f>Info!$B$44</f>
        <v>0</v>
      </c>
      <c r="K510" s="67"/>
      <c r="L510" s="67"/>
      <c r="M510" s="67"/>
      <c r="N510" s="67"/>
      <c r="P510" s="72">
        <f t="shared" si="26"/>
        <v>0</v>
      </c>
      <c r="Q510" s="72">
        <f t="shared" si="27"/>
        <v>0</v>
      </c>
      <c r="R510" s="67">
        <f t="shared" si="25"/>
        <v>0</v>
      </c>
    </row>
    <row r="511" spans="1:18" x14ac:dyDescent="0.2">
      <c r="A511" s="67" t="s">
        <v>639</v>
      </c>
      <c r="B511" s="87" t="s">
        <v>3473</v>
      </c>
      <c r="C511" s="67"/>
      <c r="D511" s="67"/>
      <c r="E511" s="67"/>
      <c r="F511" s="67"/>
      <c r="G511" s="67"/>
      <c r="H511" s="67"/>
      <c r="I511" s="67"/>
      <c r="J511" s="11">
        <f>Info!$B$44</f>
        <v>0</v>
      </c>
      <c r="K511" s="67"/>
      <c r="L511" s="67"/>
      <c r="M511" s="67"/>
      <c r="N511" s="67"/>
      <c r="P511" s="72">
        <f t="shared" si="26"/>
        <v>0</v>
      </c>
      <c r="Q511" s="72">
        <f t="shared" si="27"/>
        <v>0</v>
      </c>
      <c r="R511" s="67">
        <f t="shared" si="25"/>
        <v>0</v>
      </c>
    </row>
    <row r="512" spans="1:18" x14ac:dyDescent="0.2">
      <c r="A512" s="67" t="s">
        <v>3474</v>
      </c>
      <c r="B512" s="87" t="s">
        <v>3475</v>
      </c>
      <c r="C512" s="67"/>
      <c r="D512" s="67"/>
      <c r="E512" s="67"/>
      <c r="F512" s="67"/>
      <c r="G512" s="67"/>
      <c r="H512" s="67"/>
      <c r="I512" s="67"/>
      <c r="J512" s="11">
        <f>Info!$B$43</f>
        <v>0.5</v>
      </c>
      <c r="K512" s="67"/>
      <c r="L512" s="67"/>
      <c r="M512" s="67"/>
      <c r="N512" s="67"/>
      <c r="P512" s="72">
        <f t="shared" si="26"/>
        <v>7.1428571428571425E-2</v>
      </c>
      <c r="Q512" s="72">
        <f t="shared" si="27"/>
        <v>3.5714285714285712E-2</v>
      </c>
      <c r="R512" s="67">
        <f t="shared" si="25"/>
        <v>0</v>
      </c>
    </row>
    <row r="513" spans="1:19" x14ac:dyDescent="0.2">
      <c r="A513" s="67" t="s">
        <v>3476</v>
      </c>
      <c r="B513" s="87" t="s">
        <v>3477</v>
      </c>
      <c r="C513" s="67"/>
      <c r="D513" s="67"/>
      <c r="E513" s="67"/>
      <c r="F513" s="67"/>
      <c r="G513" s="67"/>
      <c r="H513" s="67"/>
      <c r="I513" s="67"/>
      <c r="J513" s="11">
        <f>Info!$B$42</f>
        <v>1</v>
      </c>
      <c r="K513" s="67"/>
      <c r="L513" s="67"/>
      <c r="M513" s="67"/>
      <c r="N513" s="67"/>
      <c r="P513" s="72">
        <f t="shared" si="26"/>
        <v>0.14285714285714285</v>
      </c>
      <c r="Q513" s="72">
        <f t="shared" si="27"/>
        <v>7.1428571428571425E-2</v>
      </c>
      <c r="R513" s="67">
        <f t="shared" si="25"/>
        <v>0</v>
      </c>
    </row>
    <row r="514" spans="1:19" x14ac:dyDescent="0.2">
      <c r="A514" s="67" t="s">
        <v>3478</v>
      </c>
      <c r="B514" s="87" t="s">
        <v>3479</v>
      </c>
      <c r="C514" s="67"/>
      <c r="D514" s="67"/>
      <c r="E514" s="67"/>
      <c r="F514" s="67"/>
      <c r="G514" s="67"/>
      <c r="H514" s="67"/>
      <c r="I514" s="67"/>
      <c r="J514" s="11">
        <f>Info!$B$43</f>
        <v>0.5</v>
      </c>
      <c r="K514" s="67"/>
      <c r="L514" s="67"/>
      <c r="M514" s="67"/>
      <c r="N514" s="67"/>
      <c r="P514" s="72">
        <f t="shared" si="26"/>
        <v>7.1428571428571425E-2</v>
      </c>
      <c r="Q514" s="72">
        <f t="shared" si="27"/>
        <v>3.5714285714285712E-2</v>
      </c>
      <c r="R514" s="67">
        <f t="shared" ref="R514:R577" si="28">IF(_xlfn.BITAND(P514&gt;0.4999, Q514&gt;0.4999)=1,1,0)</f>
        <v>0</v>
      </c>
    </row>
    <row r="515" spans="1:19" x14ac:dyDescent="0.2">
      <c r="A515" s="67" t="s">
        <v>3480</v>
      </c>
      <c r="B515" s="87" t="s">
        <v>3481</v>
      </c>
      <c r="C515" s="67"/>
      <c r="D515" s="67"/>
      <c r="E515" s="67"/>
      <c r="F515" s="67"/>
      <c r="G515" s="67"/>
      <c r="H515" s="67"/>
      <c r="I515" s="67"/>
      <c r="J515" s="11">
        <f>Info!$B$43</f>
        <v>0.5</v>
      </c>
      <c r="K515" s="67"/>
      <c r="L515" s="67"/>
      <c r="M515" s="67"/>
      <c r="N515" s="67"/>
      <c r="P515" s="72">
        <f t="shared" si="26"/>
        <v>7.1428571428571425E-2</v>
      </c>
      <c r="Q515" s="72">
        <f t="shared" si="27"/>
        <v>3.5714285714285712E-2</v>
      </c>
      <c r="R515" s="67">
        <f t="shared" si="28"/>
        <v>0</v>
      </c>
    </row>
    <row r="516" spans="1:19" x14ac:dyDescent="0.2">
      <c r="A516" s="67" t="s">
        <v>3482</v>
      </c>
      <c r="B516" s="87" t="s">
        <v>3483</v>
      </c>
      <c r="C516" s="67"/>
      <c r="D516" s="67"/>
      <c r="E516" s="67"/>
      <c r="F516" s="67"/>
      <c r="G516" s="67"/>
      <c r="H516" s="67"/>
      <c r="I516" s="67"/>
      <c r="J516" s="11">
        <f>Info!$B$42</f>
        <v>1</v>
      </c>
      <c r="K516" s="67"/>
      <c r="L516" s="67"/>
      <c r="M516" s="67"/>
      <c r="N516" s="67"/>
      <c r="P516" s="72">
        <f t="shared" si="26"/>
        <v>0.14285714285714285</v>
      </c>
      <c r="Q516" s="72">
        <f t="shared" si="27"/>
        <v>7.1428571428571425E-2</v>
      </c>
      <c r="R516" s="67">
        <f t="shared" si="28"/>
        <v>0</v>
      </c>
    </row>
    <row r="517" spans="1:19" x14ac:dyDescent="0.2">
      <c r="A517" s="67" t="s">
        <v>3484</v>
      </c>
      <c r="B517" s="87" t="s">
        <v>3485</v>
      </c>
      <c r="C517" s="67"/>
      <c r="D517" s="67"/>
      <c r="E517" s="67"/>
      <c r="F517" s="67"/>
      <c r="G517" s="67"/>
      <c r="H517" s="67"/>
      <c r="I517" s="67"/>
      <c r="J517" s="11">
        <f>Info!$B$44</f>
        <v>0</v>
      </c>
      <c r="K517" s="67"/>
      <c r="L517" s="67"/>
      <c r="M517" s="67"/>
      <c r="N517" s="67"/>
      <c r="P517" s="72">
        <f t="shared" si="26"/>
        <v>0</v>
      </c>
      <c r="Q517" s="72">
        <f t="shared" si="27"/>
        <v>0</v>
      </c>
      <c r="R517" s="67">
        <f t="shared" si="28"/>
        <v>0</v>
      </c>
    </row>
    <row r="518" spans="1:19" x14ac:dyDescent="0.2">
      <c r="A518" s="67" t="s">
        <v>3486</v>
      </c>
      <c r="B518" s="87" t="s">
        <v>3487</v>
      </c>
      <c r="C518" s="67"/>
      <c r="D518" s="67"/>
      <c r="E518" s="67"/>
      <c r="F518" s="67"/>
      <c r="G518" s="67"/>
      <c r="H518" s="67"/>
      <c r="I518" s="67"/>
      <c r="J518" s="11">
        <f>Info!$B$44</f>
        <v>0</v>
      </c>
      <c r="K518" s="67"/>
      <c r="L518" s="67"/>
      <c r="M518" s="67"/>
      <c r="N518" s="67"/>
      <c r="P518" s="72">
        <f t="shared" si="26"/>
        <v>0</v>
      </c>
      <c r="Q518" s="72">
        <f t="shared" si="27"/>
        <v>0</v>
      </c>
      <c r="R518" s="67">
        <f t="shared" si="28"/>
        <v>0</v>
      </c>
    </row>
    <row r="519" spans="1:19" x14ac:dyDescent="0.2">
      <c r="A519" s="67" t="s">
        <v>3488</v>
      </c>
      <c r="B519" s="87" t="s">
        <v>3489</v>
      </c>
      <c r="C519" s="67"/>
      <c r="D519" s="67"/>
      <c r="E519" s="67"/>
      <c r="F519" s="67"/>
      <c r="G519" s="67"/>
      <c r="H519" s="67"/>
      <c r="I519" s="67"/>
      <c r="J519" s="11">
        <f>Info!$B$43</f>
        <v>0.5</v>
      </c>
      <c r="K519" s="67"/>
      <c r="L519" s="67"/>
      <c r="M519" s="67"/>
      <c r="N519" s="67"/>
      <c r="P519" s="72">
        <f t="shared" si="26"/>
        <v>7.1428571428571425E-2</v>
      </c>
      <c r="Q519" s="72">
        <f t="shared" si="27"/>
        <v>3.5714285714285712E-2</v>
      </c>
      <c r="R519" s="67">
        <f t="shared" si="28"/>
        <v>0</v>
      </c>
    </row>
    <row r="520" spans="1:19" x14ac:dyDescent="0.2">
      <c r="A520" s="67" t="s">
        <v>3490</v>
      </c>
      <c r="B520" s="87" t="s">
        <v>3491</v>
      </c>
      <c r="C520" s="67"/>
      <c r="D520" s="67"/>
      <c r="E520" s="67"/>
      <c r="F520" s="67"/>
      <c r="G520" s="67"/>
      <c r="H520" s="67"/>
      <c r="I520" s="67"/>
      <c r="J520" s="11">
        <f>Info!$B$42</f>
        <v>1</v>
      </c>
      <c r="K520" s="67"/>
      <c r="L520" s="67"/>
      <c r="M520" s="67"/>
      <c r="N520" s="67"/>
      <c r="P520" s="72">
        <f t="shared" si="26"/>
        <v>0.14285714285714285</v>
      </c>
      <c r="Q520" s="72">
        <f t="shared" si="27"/>
        <v>7.1428571428571425E-2</v>
      </c>
      <c r="R520" s="67">
        <f t="shared" si="28"/>
        <v>0</v>
      </c>
    </row>
    <row r="521" spans="1:19" x14ac:dyDescent="0.2">
      <c r="A521" s="67" t="s">
        <v>3492</v>
      </c>
      <c r="B521" s="87" t="s">
        <v>3493</v>
      </c>
      <c r="C521" s="67"/>
      <c r="D521" s="67"/>
      <c r="E521" s="67"/>
      <c r="F521" s="67"/>
      <c r="G521" s="67"/>
      <c r="H521" s="67"/>
      <c r="I521" s="67"/>
      <c r="J521" s="11">
        <f>Info!$B$43</f>
        <v>0.5</v>
      </c>
      <c r="K521" s="67"/>
      <c r="L521" s="67"/>
      <c r="M521" s="67"/>
      <c r="N521" s="67"/>
      <c r="P521" s="72">
        <f t="shared" si="26"/>
        <v>7.1428571428571425E-2</v>
      </c>
      <c r="Q521" s="72">
        <f t="shared" si="27"/>
        <v>3.5714285714285712E-2</v>
      </c>
      <c r="R521" s="67">
        <f t="shared" si="28"/>
        <v>0</v>
      </c>
    </row>
    <row r="522" spans="1:19" x14ac:dyDescent="0.2">
      <c r="A522" s="67" t="s">
        <v>3494</v>
      </c>
      <c r="B522" s="87" t="s">
        <v>3495</v>
      </c>
      <c r="C522" s="67"/>
      <c r="D522" s="67"/>
      <c r="E522" s="67"/>
      <c r="F522" s="67"/>
      <c r="G522" s="67"/>
      <c r="H522" s="67"/>
      <c r="I522" s="67"/>
      <c r="J522" s="11">
        <f>Info!$B$43</f>
        <v>0.5</v>
      </c>
      <c r="K522" s="67"/>
      <c r="L522" s="67"/>
      <c r="M522" s="67"/>
      <c r="N522" s="67"/>
      <c r="P522" s="72">
        <f t="shared" si="26"/>
        <v>7.1428571428571425E-2</v>
      </c>
      <c r="Q522" s="72">
        <f t="shared" si="27"/>
        <v>3.5714285714285712E-2</v>
      </c>
      <c r="R522" s="67">
        <f t="shared" si="28"/>
        <v>0</v>
      </c>
    </row>
    <row r="523" spans="1:19" ht="16" x14ac:dyDescent="0.2">
      <c r="A523" s="67" t="s">
        <v>3496</v>
      </c>
      <c r="B523" s="87" t="s">
        <v>3497</v>
      </c>
      <c r="C523" s="67"/>
      <c r="D523" s="67"/>
      <c r="E523" s="67"/>
      <c r="F523" s="67"/>
      <c r="G523" s="67"/>
      <c r="H523" s="67"/>
      <c r="I523" s="67"/>
      <c r="J523" s="11">
        <f>Info!$B$43</f>
        <v>0.5</v>
      </c>
      <c r="K523" s="67"/>
      <c r="L523" s="67"/>
      <c r="M523" s="67"/>
      <c r="N523" s="67"/>
      <c r="P523" s="72">
        <f t="shared" si="26"/>
        <v>7.1428571428571425E-2</v>
      </c>
      <c r="Q523" s="72">
        <f t="shared" si="27"/>
        <v>3.5714285714285712E-2</v>
      </c>
      <c r="R523" s="67">
        <f t="shared" si="28"/>
        <v>0</v>
      </c>
      <c r="S523" s="76">
        <v>2024</v>
      </c>
    </row>
    <row r="524" spans="1:19" ht="16" x14ac:dyDescent="0.2">
      <c r="A524" s="67" t="s">
        <v>3498</v>
      </c>
      <c r="B524" s="87" t="s">
        <v>3499</v>
      </c>
      <c r="C524" s="67"/>
      <c r="D524" s="67"/>
      <c r="E524" s="67"/>
      <c r="F524" s="67"/>
      <c r="G524" s="67"/>
      <c r="H524" s="67"/>
      <c r="I524" s="67"/>
      <c r="J524" s="11">
        <f>Info!$B$42</f>
        <v>1</v>
      </c>
      <c r="K524" s="67"/>
      <c r="L524" s="67"/>
      <c r="M524" s="67"/>
      <c r="N524" s="67"/>
      <c r="P524" s="72">
        <f t="shared" si="26"/>
        <v>0.14285714285714285</v>
      </c>
      <c r="Q524" s="72">
        <f t="shared" si="27"/>
        <v>7.1428571428571425E-2</v>
      </c>
      <c r="R524" s="67">
        <f t="shared" si="28"/>
        <v>0</v>
      </c>
      <c r="S524" s="76">
        <v>2024</v>
      </c>
    </row>
    <row r="525" spans="1:19" ht="16" x14ac:dyDescent="0.2">
      <c r="A525" s="67" t="s">
        <v>3500</v>
      </c>
      <c r="B525" s="87" t="s">
        <v>3501</v>
      </c>
      <c r="C525" s="67"/>
      <c r="D525" s="67"/>
      <c r="E525" s="67"/>
      <c r="F525" s="67"/>
      <c r="G525" s="67"/>
      <c r="H525" s="67"/>
      <c r="I525" s="67"/>
      <c r="J525" s="11">
        <f>Info!$B$43</f>
        <v>0.5</v>
      </c>
      <c r="K525" s="67"/>
      <c r="L525" s="67"/>
      <c r="M525" s="67"/>
      <c r="N525" s="67"/>
      <c r="P525" s="72">
        <f t="shared" si="26"/>
        <v>7.1428571428571425E-2</v>
      </c>
      <c r="Q525" s="72">
        <f t="shared" si="27"/>
        <v>3.5714285714285712E-2</v>
      </c>
      <c r="R525" s="67">
        <f t="shared" si="28"/>
        <v>0</v>
      </c>
      <c r="S525" s="76">
        <v>2024</v>
      </c>
    </row>
    <row r="526" spans="1:19" ht="16" x14ac:dyDescent="0.2">
      <c r="A526" s="67" t="s">
        <v>3502</v>
      </c>
      <c r="B526" s="87" t="s">
        <v>3503</v>
      </c>
      <c r="C526" s="67"/>
      <c r="D526" s="67"/>
      <c r="E526" s="67"/>
      <c r="F526" s="67"/>
      <c r="G526" s="67"/>
      <c r="H526" s="67"/>
      <c r="I526" s="67"/>
      <c r="J526" s="11">
        <f>Info!$B$43</f>
        <v>0.5</v>
      </c>
      <c r="K526" s="67"/>
      <c r="L526" s="67"/>
      <c r="M526" s="67"/>
      <c r="N526" s="67"/>
      <c r="P526" s="72">
        <f t="shared" si="26"/>
        <v>7.1428571428571425E-2</v>
      </c>
      <c r="Q526" s="72">
        <f t="shared" si="27"/>
        <v>3.5714285714285712E-2</v>
      </c>
      <c r="R526" s="67">
        <f t="shared" si="28"/>
        <v>0</v>
      </c>
      <c r="S526" s="76">
        <v>2024</v>
      </c>
    </row>
    <row r="527" spans="1:19" ht="16" x14ac:dyDescent="0.2">
      <c r="A527" s="67" t="s">
        <v>3504</v>
      </c>
      <c r="B527" s="87" t="s">
        <v>3505</v>
      </c>
      <c r="C527" s="67"/>
      <c r="D527" s="67"/>
      <c r="E527" s="67"/>
      <c r="F527" s="67"/>
      <c r="G527" s="67"/>
      <c r="H527" s="67"/>
      <c r="I527" s="67"/>
      <c r="J527" s="11">
        <f>Info!$B$43</f>
        <v>0.5</v>
      </c>
      <c r="K527" s="67"/>
      <c r="L527" s="67"/>
      <c r="M527" s="67"/>
      <c r="N527" s="67"/>
      <c r="P527" s="72">
        <f t="shared" si="26"/>
        <v>7.1428571428571425E-2</v>
      </c>
      <c r="Q527" s="72">
        <f t="shared" si="27"/>
        <v>3.5714285714285712E-2</v>
      </c>
      <c r="R527" s="67">
        <f t="shared" si="28"/>
        <v>0</v>
      </c>
      <c r="S527" s="76">
        <v>2024</v>
      </c>
    </row>
    <row r="528" spans="1:19" ht="16" x14ac:dyDescent="0.2">
      <c r="A528" s="67" t="s">
        <v>3506</v>
      </c>
      <c r="B528" s="87" t="s">
        <v>3507</v>
      </c>
      <c r="C528" s="67"/>
      <c r="D528" s="67"/>
      <c r="E528" s="67"/>
      <c r="F528" s="67"/>
      <c r="G528" s="67"/>
      <c r="H528" s="67"/>
      <c r="I528" s="67"/>
      <c r="J528" s="11">
        <f>Info!$B$43</f>
        <v>0.5</v>
      </c>
      <c r="K528" s="67"/>
      <c r="L528" s="67"/>
      <c r="M528" s="67"/>
      <c r="N528" s="67"/>
      <c r="P528" s="72">
        <f t="shared" si="26"/>
        <v>7.1428571428571425E-2</v>
      </c>
      <c r="Q528" s="72">
        <f t="shared" si="27"/>
        <v>3.5714285714285712E-2</v>
      </c>
      <c r="R528" s="67">
        <f t="shared" si="28"/>
        <v>0</v>
      </c>
      <c r="S528" s="76">
        <v>2024</v>
      </c>
    </row>
    <row r="529" spans="1:19" ht="16" x14ac:dyDescent="0.2">
      <c r="A529" s="67" t="s">
        <v>3508</v>
      </c>
      <c r="B529" s="87" t="s">
        <v>3509</v>
      </c>
      <c r="C529" s="67"/>
      <c r="D529" s="67"/>
      <c r="E529" s="67"/>
      <c r="F529" s="67"/>
      <c r="G529" s="67"/>
      <c r="H529" s="67"/>
      <c r="I529" s="67"/>
      <c r="J529" s="11">
        <f>Info!$B$42</f>
        <v>1</v>
      </c>
      <c r="K529" s="67"/>
      <c r="L529" s="67"/>
      <c r="M529" s="67"/>
      <c r="N529" s="67"/>
      <c r="P529" s="72">
        <f t="shared" si="26"/>
        <v>0.14285714285714285</v>
      </c>
      <c r="Q529" s="72">
        <f t="shared" si="27"/>
        <v>7.1428571428571425E-2</v>
      </c>
      <c r="R529" s="67">
        <f t="shared" si="28"/>
        <v>0</v>
      </c>
      <c r="S529" s="76">
        <v>2024</v>
      </c>
    </row>
    <row r="530" spans="1:19" ht="16" x14ac:dyDescent="0.2">
      <c r="A530" s="67" t="s">
        <v>670</v>
      </c>
      <c r="B530" s="87" t="s">
        <v>3510</v>
      </c>
      <c r="C530" s="67"/>
      <c r="D530" s="67"/>
      <c r="E530" s="67"/>
      <c r="F530" s="67"/>
      <c r="G530" s="67"/>
      <c r="H530" s="67"/>
      <c r="I530" s="67"/>
      <c r="J530" s="11">
        <f>Info!$B$44</f>
        <v>0</v>
      </c>
      <c r="K530" s="67"/>
      <c r="L530" s="67"/>
      <c r="M530" s="67"/>
      <c r="N530" s="67"/>
      <c r="P530" s="72">
        <f t="shared" si="26"/>
        <v>0</v>
      </c>
      <c r="Q530" s="72">
        <f t="shared" si="27"/>
        <v>0</v>
      </c>
      <c r="R530" s="67">
        <f t="shared" si="28"/>
        <v>0</v>
      </c>
      <c r="S530" s="76">
        <v>2025</v>
      </c>
    </row>
    <row r="531" spans="1:19" ht="16" x14ac:dyDescent="0.2">
      <c r="A531" s="67" t="s">
        <v>3511</v>
      </c>
      <c r="B531" s="87" t="s">
        <v>3512</v>
      </c>
      <c r="C531" s="67"/>
      <c r="D531" s="67"/>
      <c r="E531" s="67"/>
      <c r="F531" s="67"/>
      <c r="G531" s="67"/>
      <c r="H531" s="67"/>
      <c r="I531" s="67"/>
      <c r="J531" s="11">
        <f>Info!$B$43</f>
        <v>0.5</v>
      </c>
      <c r="K531" s="67"/>
      <c r="L531" s="67"/>
      <c r="M531" s="67"/>
      <c r="N531" s="67"/>
      <c r="P531" s="72">
        <f t="shared" si="26"/>
        <v>7.1428571428571425E-2</v>
      </c>
      <c r="Q531" s="72">
        <f t="shared" si="27"/>
        <v>3.5714285714285712E-2</v>
      </c>
      <c r="R531" s="67">
        <f t="shared" si="28"/>
        <v>0</v>
      </c>
      <c r="S531" s="76">
        <v>2024</v>
      </c>
    </row>
    <row r="532" spans="1:19" ht="16" x14ac:dyDescent="0.2">
      <c r="A532" s="67" t="s">
        <v>1247</v>
      </c>
      <c r="B532" s="87" t="s">
        <v>3513</v>
      </c>
      <c r="C532" s="67"/>
      <c r="D532" s="67"/>
      <c r="E532" s="67"/>
      <c r="F532" s="67"/>
      <c r="G532" s="67"/>
      <c r="H532" s="67"/>
      <c r="I532" s="67"/>
      <c r="J532" s="11">
        <f>Info!$B$43</f>
        <v>0.5</v>
      </c>
      <c r="K532" s="67"/>
      <c r="L532" s="67"/>
      <c r="M532" s="67"/>
      <c r="N532" s="67"/>
      <c r="P532" s="72">
        <f t="shared" si="26"/>
        <v>7.1428571428571425E-2</v>
      </c>
      <c r="Q532" s="72">
        <f t="shared" si="27"/>
        <v>3.5714285714285712E-2</v>
      </c>
      <c r="R532" s="67">
        <f t="shared" si="28"/>
        <v>0</v>
      </c>
      <c r="S532" s="76">
        <v>2025</v>
      </c>
    </row>
    <row r="533" spans="1:19" ht="16" x14ac:dyDescent="0.2">
      <c r="A533" s="67" t="s">
        <v>3514</v>
      </c>
      <c r="B533" s="87" t="s">
        <v>3515</v>
      </c>
      <c r="C533" s="67"/>
      <c r="D533" s="67"/>
      <c r="E533" s="67"/>
      <c r="F533" s="67"/>
      <c r="G533" s="67"/>
      <c r="H533" s="67"/>
      <c r="I533" s="67"/>
      <c r="J533" s="11">
        <f>Info!$B$43</f>
        <v>0.5</v>
      </c>
      <c r="K533" s="67"/>
      <c r="L533" s="67"/>
      <c r="M533" s="67"/>
      <c r="N533" s="67"/>
      <c r="P533" s="72">
        <f t="shared" si="26"/>
        <v>7.1428571428571425E-2</v>
      </c>
      <c r="Q533" s="72">
        <f t="shared" si="27"/>
        <v>3.5714285714285712E-2</v>
      </c>
      <c r="R533" s="67">
        <f t="shared" si="28"/>
        <v>0</v>
      </c>
      <c r="S533" s="76">
        <v>2025</v>
      </c>
    </row>
    <row r="534" spans="1:19" ht="16" x14ac:dyDescent="0.2">
      <c r="A534" s="67" t="s">
        <v>3516</v>
      </c>
      <c r="B534" s="87" t="s">
        <v>3517</v>
      </c>
      <c r="C534" s="67"/>
      <c r="D534" s="67"/>
      <c r="E534" s="67"/>
      <c r="F534" s="67"/>
      <c r="G534" s="67"/>
      <c r="H534" s="67"/>
      <c r="I534" s="67"/>
      <c r="J534" s="11">
        <f>Info!$B$43</f>
        <v>0.5</v>
      </c>
      <c r="K534" s="67"/>
      <c r="L534" s="67"/>
      <c r="M534" s="67"/>
      <c r="N534" s="67"/>
      <c r="P534" s="72">
        <f t="shared" si="26"/>
        <v>7.1428571428571425E-2</v>
      </c>
      <c r="Q534" s="72">
        <f t="shared" si="27"/>
        <v>3.5714285714285712E-2</v>
      </c>
      <c r="R534" s="67">
        <f t="shared" si="28"/>
        <v>0</v>
      </c>
      <c r="S534" s="76">
        <v>2025</v>
      </c>
    </row>
    <row r="535" spans="1:19" ht="16" x14ac:dyDescent="0.2">
      <c r="A535" s="76" t="s">
        <v>5608</v>
      </c>
      <c r="B535" s="69" t="s">
        <v>6274</v>
      </c>
      <c r="C535" s="76"/>
      <c r="D535" s="76"/>
      <c r="E535" s="76"/>
      <c r="F535" s="76"/>
      <c r="G535" s="76"/>
      <c r="H535" s="76"/>
      <c r="I535" s="76"/>
      <c r="J535" s="76"/>
      <c r="K535" s="76">
        <v>1</v>
      </c>
      <c r="M535" s="77"/>
      <c r="N535" s="76" t="s">
        <v>6275</v>
      </c>
      <c r="O535" s="76"/>
      <c r="P535" s="72">
        <f t="shared" si="26"/>
        <v>0</v>
      </c>
      <c r="Q535" s="72">
        <f t="shared" si="27"/>
        <v>0</v>
      </c>
      <c r="R535" s="67">
        <f t="shared" si="28"/>
        <v>0</v>
      </c>
      <c r="S535" s="76">
        <v>2024</v>
      </c>
    </row>
    <row r="536" spans="1:19" ht="16" x14ac:dyDescent="0.2">
      <c r="A536" s="76" t="s">
        <v>6276</v>
      </c>
      <c r="B536" s="69" t="s">
        <v>6277</v>
      </c>
      <c r="C536" s="76"/>
      <c r="D536" s="76"/>
      <c r="E536" s="76"/>
      <c r="F536" s="76"/>
      <c r="G536" s="76"/>
      <c r="H536" s="76"/>
      <c r="I536" s="76"/>
      <c r="J536" s="76"/>
      <c r="K536" s="76"/>
      <c r="M536" s="77"/>
      <c r="N536" s="76" t="s">
        <v>6278</v>
      </c>
      <c r="O536" s="76"/>
      <c r="P536" s="72">
        <f t="shared" si="26"/>
        <v>0</v>
      </c>
      <c r="Q536" s="72">
        <f t="shared" si="27"/>
        <v>0</v>
      </c>
      <c r="R536" s="67">
        <f t="shared" si="28"/>
        <v>0</v>
      </c>
      <c r="S536" s="76">
        <v>2024</v>
      </c>
    </row>
    <row r="537" spans="1:19" ht="16" x14ac:dyDescent="0.2">
      <c r="A537" s="76" t="s">
        <v>6279</v>
      </c>
      <c r="B537" s="69" t="s">
        <v>6280</v>
      </c>
      <c r="C537" s="76"/>
      <c r="D537" s="76"/>
      <c r="E537" s="76"/>
      <c r="F537" s="76"/>
      <c r="G537" s="76"/>
      <c r="H537" s="76"/>
      <c r="I537" s="76"/>
      <c r="J537" s="76"/>
      <c r="K537" s="76"/>
      <c r="M537" s="77"/>
      <c r="N537" s="76"/>
      <c r="O537" s="78"/>
      <c r="P537" s="72">
        <f t="shared" si="26"/>
        <v>0</v>
      </c>
      <c r="Q537" s="72">
        <f t="shared" si="27"/>
        <v>0</v>
      </c>
      <c r="R537" s="67">
        <f t="shared" si="28"/>
        <v>0</v>
      </c>
      <c r="S537" s="76">
        <v>2024</v>
      </c>
    </row>
    <row r="538" spans="1:19" ht="16" x14ac:dyDescent="0.2">
      <c r="A538" s="76" t="s">
        <v>6281</v>
      </c>
      <c r="B538" s="69" t="s">
        <v>6282</v>
      </c>
      <c r="C538" s="76"/>
      <c r="D538" s="76"/>
      <c r="E538" s="76"/>
      <c r="F538" s="76"/>
      <c r="G538" s="76"/>
      <c r="H538" s="76"/>
      <c r="I538" s="76"/>
      <c r="J538" s="76"/>
      <c r="K538" s="76"/>
      <c r="M538" s="77"/>
      <c r="N538" s="76"/>
      <c r="O538" s="78"/>
      <c r="P538" s="72">
        <f t="shared" si="26"/>
        <v>0</v>
      </c>
      <c r="Q538" s="72">
        <f t="shared" si="27"/>
        <v>0</v>
      </c>
      <c r="R538" s="67">
        <f t="shared" si="28"/>
        <v>0</v>
      </c>
      <c r="S538" s="76">
        <v>2024</v>
      </c>
    </row>
    <row r="539" spans="1:19" ht="16" x14ac:dyDescent="0.2">
      <c r="A539" s="76" t="s">
        <v>6283</v>
      </c>
      <c r="B539" s="69" t="s">
        <v>6284</v>
      </c>
      <c r="C539" s="76"/>
      <c r="D539" s="76"/>
      <c r="E539" s="76"/>
      <c r="F539" s="76"/>
      <c r="G539" s="76"/>
      <c r="H539" s="76"/>
      <c r="I539" s="76"/>
      <c r="J539" s="76"/>
      <c r="K539" s="76"/>
      <c r="M539" s="77"/>
      <c r="N539" s="76"/>
      <c r="O539" s="78"/>
      <c r="P539" s="72">
        <f t="shared" ref="P539:P553" si="29">(D539+E539+F539+G539+H539+I539+J539)/7</f>
        <v>0</v>
      </c>
      <c r="Q539" s="72">
        <f t="shared" si="27"/>
        <v>0</v>
      </c>
      <c r="R539" s="67">
        <f t="shared" si="28"/>
        <v>0</v>
      </c>
      <c r="S539" s="76">
        <v>2024</v>
      </c>
    </row>
    <row r="540" spans="1:19" ht="16" x14ac:dyDescent="0.2">
      <c r="A540" s="76" t="s">
        <v>6285</v>
      </c>
      <c r="B540" s="69" t="s">
        <v>6286</v>
      </c>
      <c r="C540" s="76"/>
      <c r="D540" s="76"/>
      <c r="E540" s="76"/>
      <c r="F540" s="76"/>
      <c r="G540" s="76"/>
      <c r="H540" s="76"/>
      <c r="I540" s="76"/>
      <c r="J540" s="76"/>
      <c r="K540" s="76"/>
      <c r="M540" s="77"/>
      <c r="N540" s="76" t="s">
        <v>6287</v>
      </c>
      <c r="O540" s="78">
        <v>1</v>
      </c>
      <c r="P540" s="72">
        <f t="shared" si="29"/>
        <v>0</v>
      </c>
      <c r="Q540" s="72">
        <f t="shared" si="27"/>
        <v>0.5</v>
      </c>
      <c r="R540" s="67">
        <f t="shared" si="28"/>
        <v>0</v>
      </c>
      <c r="S540" s="76">
        <v>2024</v>
      </c>
    </row>
    <row r="541" spans="1:19" ht="16" x14ac:dyDescent="0.2">
      <c r="A541" s="76" t="s">
        <v>2888</v>
      </c>
      <c r="B541" s="69" t="s">
        <v>2889</v>
      </c>
      <c r="C541" s="76"/>
      <c r="D541" s="76"/>
      <c r="E541" s="76"/>
      <c r="F541" s="76"/>
      <c r="G541" s="76"/>
      <c r="H541" s="76"/>
      <c r="I541" s="76"/>
      <c r="J541" s="76"/>
      <c r="K541" s="76"/>
      <c r="M541" s="77"/>
      <c r="N541" s="76" t="s">
        <v>6288</v>
      </c>
      <c r="O541" s="76"/>
      <c r="P541" s="72">
        <f t="shared" si="29"/>
        <v>0</v>
      </c>
      <c r="Q541" s="72">
        <f t="shared" si="27"/>
        <v>0</v>
      </c>
      <c r="R541" s="67">
        <f t="shared" si="28"/>
        <v>0</v>
      </c>
      <c r="S541" s="76">
        <v>2024</v>
      </c>
    </row>
    <row r="542" spans="1:19" ht="16" x14ac:dyDescent="0.2">
      <c r="A542" s="76" t="s">
        <v>3663</v>
      </c>
      <c r="B542" s="69" t="s">
        <v>6289</v>
      </c>
      <c r="C542" s="76" t="s">
        <v>201</v>
      </c>
      <c r="D542" s="76"/>
      <c r="E542" s="76"/>
      <c r="F542" s="76"/>
      <c r="G542" s="76"/>
      <c r="H542" s="76"/>
      <c r="I542" s="76"/>
      <c r="J542" s="76"/>
      <c r="K542" s="76"/>
      <c r="M542" s="77"/>
      <c r="N542" s="76" t="s">
        <v>6290</v>
      </c>
      <c r="O542" s="76"/>
      <c r="P542" s="72">
        <f t="shared" si="29"/>
        <v>0</v>
      </c>
      <c r="Q542" s="72">
        <f t="shared" si="27"/>
        <v>0</v>
      </c>
      <c r="R542" s="67">
        <f t="shared" si="28"/>
        <v>0</v>
      </c>
      <c r="S542" s="76">
        <v>2025</v>
      </c>
    </row>
    <row r="543" spans="1:19" ht="16" x14ac:dyDescent="0.2">
      <c r="A543" s="76" t="s">
        <v>6244</v>
      </c>
      <c r="B543" s="69" t="s">
        <v>6291</v>
      </c>
      <c r="C543" s="76" t="s">
        <v>184</v>
      </c>
      <c r="D543" s="76"/>
      <c r="E543" s="76"/>
      <c r="F543" s="76"/>
      <c r="G543" s="76"/>
      <c r="H543" s="76"/>
      <c r="I543" s="76"/>
      <c r="J543" s="76"/>
      <c r="K543" s="76"/>
      <c r="M543" s="77" t="s">
        <v>21</v>
      </c>
      <c r="N543" s="76" t="s">
        <v>6292</v>
      </c>
      <c r="O543" s="76"/>
      <c r="P543" s="72">
        <f t="shared" si="29"/>
        <v>0</v>
      </c>
      <c r="Q543" s="72">
        <f t="shared" si="27"/>
        <v>0</v>
      </c>
      <c r="R543" s="67">
        <f t="shared" si="28"/>
        <v>0</v>
      </c>
      <c r="S543" s="76">
        <v>2024</v>
      </c>
    </row>
    <row r="544" spans="1:19" ht="16" x14ac:dyDescent="0.2">
      <c r="A544" s="76" t="s">
        <v>6293</v>
      </c>
      <c r="B544" s="69" t="s">
        <v>6294</v>
      </c>
      <c r="C544" s="76"/>
      <c r="D544" s="76"/>
      <c r="E544" s="76"/>
      <c r="F544" s="76"/>
      <c r="G544" s="76"/>
      <c r="H544" s="76"/>
      <c r="I544" s="76"/>
      <c r="J544" s="76"/>
      <c r="K544" s="76"/>
      <c r="M544" s="77"/>
      <c r="N544" s="76" t="s">
        <v>6295</v>
      </c>
      <c r="O544" s="78">
        <v>1</v>
      </c>
      <c r="P544" s="72">
        <f t="shared" si="29"/>
        <v>0</v>
      </c>
      <c r="Q544" s="72">
        <f t="shared" si="27"/>
        <v>0.5</v>
      </c>
      <c r="R544" s="67">
        <f t="shared" si="28"/>
        <v>0</v>
      </c>
      <c r="S544" s="76">
        <v>2024</v>
      </c>
    </row>
    <row r="545" spans="1:19" ht="16" x14ac:dyDescent="0.2">
      <c r="A545" s="76" t="s">
        <v>6296</v>
      </c>
      <c r="B545" s="69" t="s">
        <v>6297</v>
      </c>
      <c r="C545" s="76" t="s">
        <v>201</v>
      </c>
      <c r="D545" s="76"/>
      <c r="E545" s="76"/>
      <c r="F545" s="76"/>
      <c r="G545" s="76"/>
      <c r="H545" s="76"/>
      <c r="I545" s="76"/>
      <c r="J545" s="76"/>
      <c r="K545" s="76"/>
      <c r="M545" s="77"/>
      <c r="N545" s="76" t="s">
        <v>6298</v>
      </c>
      <c r="O545" s="76"/>
      <c r="P545" s="72">
        <f t="shared" si="29"/>
        <v>0</v>
      </c>
      <c r="Q545" s="72">
        <f t="shared" si="27"/>
        <v>0</v>
      </c>
      <c r="R545" s="67">
        <f t="shared" si="28"/>
        <v>0</v>
      </c>
      <c r="S545" s="76">
        <v>2024</v>
      </c>
    </row>
    <row r="546" spans="1:19" ht="16" x14ac:dyDescent="0.2">
      <c r="A546" s="76" t="s">
        <v>6259</v>
      </c>
      <c r="B546" s="69" t="s">
        <v>6299</v>
      </c>
      <c r="C546" s="76" t="s">
        <v>20</v>
      </c>
      <c r="D546" s="76"/>
      <c r="E546" s="76"/>
      <c r="F546" s="76"/>
      <c r="G546" s="76"/>
      <c r="H546" s="76"/>
      <c r="I546" s="76"/>
      <c r="J546" s="76"/>
      <c r="K546" s="76"/>
      <c r="M546" s="77"/>
      <c r="N546" s="76" t="s">
        <v>6300</v>
      </c>
      <c r="O546" s="76"/>
      <c r="P546" s="72">
        <f t="shared" si="29"/>
        <v>0</v>
      </c>
      <c r="Q546" s="72">
        <f t="shared" si="27"/>
        <v>0</v>
      </c>
      <c r="R546" s="67">
        <f t="shared" si="28"/>
        <v>0</v>
      </c>
      <c r="S546" s="76">
        <v>2024</v>
      </c>
    </row>
    <row r="547" spans="1:19" ht="16" x14ac:dyDescent="0.2">
      <c r="A547" s="76" t="s">
        <v>3852</v>
      </c>
      <c r="B547" s="69" t="s">
        <v>6301</v>
      </c>
      <c r="C547" s="76"/>
      <c r="D547" s="76"/>
      <c r="E547" s="76"/>
      <c r="F547" s="76"/>
      <c r="G547" s="76"/>
      <c r="H547" s="76"/>
      <c r="I547" s="76"/>
      <c r="J547" s="76"/>
      <c r="K547" s="76"/>
      <c r="M547" s="77"/>
      <c r="N547" s="76" t="s">
        <v>6302</v>
      </c>
      <c r="O547" s="78">
        <v>1</v>
      </c>
      <c r="P547" s="72">
        <f t="shared" si="29"/>
        <v>0</v>
      </c>
      <c r="Q547" s="72">
        <f t="shared" si="27"/>
        <v>0.5</v>
      </c>
      <c r="R547" s="67">
        <f t="shared" si="28"/>
        <v>0</v>
      </c>
      <c r="S547" s="76">
        <v>2024</v>
      </c>
    </row>
    <row r="548" spans="1:19" ht="16" x14ac:dyDescent="0.2">
      <c r="A548" s="76" t="s">
        <v>3756</v>
      </c>
      <c r="B548" s="69" t="s">
        <v>6303</v>
      </c>
      <c r="C548" s="76"/>
      <c r="D548" s="76"/>
      <c r="E548" s="76"/>
      <c r="F548" s="76"/>
      <c r="G548" s="76"/>
      <c r="H548" s="76"/>
      <c r="I548" s="76"/>
      <c r="J548" s="76"/>
      <c r="K548" s="76"/>
      <c r="M548" s="77" t="s">
        <v>4079</v>
      </c>
      <c r="N548" s="76" t="s">
        <v>6304</v>
      </c>
      <c r="O548" s="78">
        <v>1</v>
      </c>
      <c r="P548" s="72">
        <f t="shared" si="29"/>
        <v>0</v>
      </c>
      <c r="Q548" s="72">
        <f t="shared" si="27"/>
        <v>0.5</v>
      </c>
      <c r="R548" s="67">
        <f t="shared" si="28"/>
        <v>0</v>
      </c>
      <c r="S548" s="76">
        <v>2024</v>
      </c>
    </row>
    <row r="549" spans="1:19" ht="16" x14ac:dyDescent="0.2">
      <c r="A549" s="76" t="s">
        <v>3897</v>
      </c>
      <c r="B549" s="69" t="s">
        <v>6305</v>
      </c>
      <c r="C549" s="76"/>
      <c r="D549" s="76"/>
      <c r="E549" s="76"/>
      <c r="F549" s="76"/>
      <c r="G549" s="76"/>
      <c r="H549" s="76"/>
      <c r="I549" s="76"/>
      <c r="J549" s="76"/>
      <c r="K549" s="76"/>
      <c r="M549" s="77"/>
      <c r="N549" s="76" t="s">
        <v>6306</v>
      </c>
      <c r="O549" s="78">
        <v>1</v>
      </c>
      <c r="P549" s="72">
        <f t="shared" si="29"/>
        <v>0</v>
      </c>
      <c r="Q549" s="72">
        <f t="shared" si="27"/>
        <v>0.5</v>
      </c>
      <c r="R549" s="67">
        <f t="shared" si="28"/>
        <v>0</v>
      </c>
      <c r="S549" s="76">
        <v>2024</v>
      </c>
    </row>
    <row r="550" spans="1:19" ht="16" x14ac:dyDescent="0.2">
      <c r="A550" s="76" t="s">
        <v>2778</v>
      </c>
      <c r="B550" s="69" t="s">
        <v>6307</v>
      </c>
      <c r="C550" s="76"/>
      <c r="D550" s="76"/>
      <c r="E550" s="76"/>
      <c r="F550" s="76"/>
      <c r="G550" s="76"/>
      <c r="H550" s="76"/>
      <c r="I550" s="76"/>
      <c r="J550" s="76"/>
      <c r="K550" s="76"/>
      <c r="M550" s="77"/>
      <c r="N550" s="76" t="s">
        <v>6308</v>
      </c>
      <c r="O550" s="76"/>
      <c r="P550" s="72">
        <f t="shared" si="29"/>
        <v>0</v>
      </c>
      <c r="Q550" s="72">
        <f t="shared" si="27"/>
        <v>0</v>
      </c>
      <c r="R550" s="67">
        <f t="shared" si="28"/>
        <v>0</v>
      </c>
      <c r="S550" s="76">
        <v>2024</v>
      </c>
    </row>
    <row r="551" spans="1:19" ht="16" x14ac:dyDescent="0.2">
      <c r="A551" s="76" t="s">
        <v>6309</v>
      </c>
      <c r="B551" s="69" t="s">
        <v>6310</v>
      </c>
      <c r="C551" s="76"/>
      <c r="D551" s="76"/>
      <c r="E551" s="76"/>
      <c r="F551" s="76"/>
      <c r="G551" s="76"/>
      <c r="H551" s="76"/>
      <c r="I551" s="76"/>
      <c r="J551" s="76"/>
      <c r="K551" s="76"/>
      <c r="M551" s="77"/>
      <c r="N551" s="76" t="s">
        <v>6311</v>
      </c>
      <c r="O551" s="76"/>
      <c r="P551" s="72">
        <f t="shared" si="29"/>
        <v>0</v>
      </c>
      <c r="Q551" s="72">
        <f t="shared" si="27"/>
        <v>0</v>
      </c>
      <c r="R551" s="67">
        <f t="shared" si="28"/>
        <v>0</v>
      </c>
      <c r="S551" s="76">
        <v>2024</v>
      </c>
    </row>
    <row r="552" spans="1:19" ht="16" x14ac:dyDescent="0.2">
      <c r="A552" s="76" t="s">
        <v>6226</v>
      </c>
      <c r="B552" s="69" t="s">
        <v>6312</v>
      </c>
      <c r="C552" s="76"/>
      <c r="D552" s="76"/>
      <c r="E552" s="76"/>
      <c r="F552" s="76"/>
      <c r="G552" s="76"/>
      <c r="H552" s="76"/>
      <c r="I552" s="76"/>
      <c r="J552" s="76"/>
      <c r="K552" s="76"/>
      <c r="M552" s="77"/>
      <c r="N552" s="76" t="s">
        <v>6313</v>
      </c>
      <c r="O552" s="76"/>
      <c r="P552" s="72">
        <f t="shared" si="29"/>
        <v>0</v>
      </c>
      <c r="Q552" s="72">
        <f t="shared" si="27"/>
        <v>0</v>
      </c>
      <c r="R552" s="67">
        <f t="shared" si="28"/>
        <v>0</v>
      </c>
      <c r="S552" s="76">
        <v>2024</v>
      </c>
    </row>
    <row r="553" spans="1:19" ht="16" x14ac:dyDescent="0.2">
      <c r="A553" s="76" t="s">
        <v>2722</v>
      </c>
      <c r="B553" s="69" t="s">
        <v>2723</v>
      </c>
      <c r="C553" s="76" t="s">
        <v>201</v>
      </c>
      <c r="D553" s="76"/>
      <c r="E553" s="76"/>
      <c r="F553" s="76"/>
      <c r="G553" s="76"/>
      <c r="H553" s="76"/>
      <c r="I553" s="76"/>
      <c r="J553" s="76"/>
      <c r="K553" s="76"/>
      <c r="M553" s="77" t="s">
        <v>21</v>
      </c>
      <c r="N553" s="76" t="s">
        <v>6314</v>
      </c>
      <c r="O553" s="78">
        <v>1</v>
      </c>
      <c r="P553" s="72">
        <f t="shared" si="29"/>
        <v>0</v>
      </c>
      <c r="Q553" s="72">
        <f t="shared" si="27"/>
        <v>0.5</v>
      </c>
      <c r="R553" s="67">
        <f t="shared" si="28"/>
        <v>0</v>
      </c>
      <c r="S553" s="76">
        <v>2024</v>
      </c>
    </row>
    <row r="554" spans="1:19" ht="16" x14ac:dyDescent="0.2">
      <c r="A554" s="76" t="s">
        <v>6315</v>
      </c>
      <c r="B554" s="69" t="s">
        <v>6316</v>
      </c>
      <c r="C554" s="76"/>
      <c r="D554" s="76"/>
      <c r="E554" s="76"/>
      <c r="F554" s="76"/>
      <c r="G554" s="76"/>
      <c r="H554" s="76"/>
      <c r="I554" s="76"/>
      <c r="J554" s="76"/>
      <c r="K554" s="76"/>
      <c r="M554" s="77"/>
      <c r="N554" s="76" t="s">
        <v>6317</v>
      </c>
      <c r="O554" s="76"/>
      <c r="P554" s="76"/>
      <c r="Q554" s="76"/>
      <c r="R554" s="67">
        <f t="shared" si="28"/>
        <v>0</v>
      </c>
      <c r="S554" s="76">
        <v>2024</v>
      </c>
    </row>
    <row r="555" spans="1:19" ht="16" x14ac:dyDescent="0.2">
      <c r="A555" s="76" t="s">
        <v>6318</v>
      </c>
      <c r="B555" s="69" t="s">
        <v>6319</v>
      </c>
      <c r="C555" s="76"/>
      <c r="D555" s="76"/>
      <c r="E555" s="76"/>
      <c r="F555" s="76"/>
      <c r="G555" s="76"/>
      <c r="H555" s="76"/>
      <c r="I555" s="76"/>
      <c r="J555" s="76"/>
      <c r="K555" s="76"/>
      <c r="M555" s="77" t="s">
        <v>21</v>
      </c>
      <c r="N555" s="76" t="s">
        <v>6320</v>
      </c>
      <c r="O555" s="76"/>
      <c r="P555" s="76"/>
      <c r="Q555" s="76"/>
      <c r="R555" s="67">
        <f t="shared" si="28"/>
        <v>0</v>
      </c>
      <c r="S555" s="76">
        <v>2024</v>
      </c>
    </row>
    <row r="556" spans="1:19" ht="16" x14ac:dyDescent="0.2">
      <c r="A556" s="76" t="s">
        <v>1311</v>
      </c>
      <c r="B556" s="69" t="s">
        <v>2793</v>
      </c>
      <c r="C556" s="76"/>
      <c r="D556" s="76"/>
      <c r="E556" s="76"/>
      <c r="F556" s="76"/>
      <c r="G556" s="76"/>
      <c r="H556" s="76"/>
      <c r="I556" s="76"/>
      <c r="J556" s="76"/>
      <c r="K556" s="76"/>
      <c r="M556" s="77"/>
      <c r="N556" s="76" t="s">
        <v>6321</v>
      </c>
      <c r="O556" s="76"/>
      <c r="P556" s="76"/>
      <c r="Q556" s="76"/>
      <c r="R556" s="67">
        <f t="shared" si="28"/>
        <v>0</v>
      </c>
      <c r="S556" s="76">
        <v>2024</v>
      </c>
    </row>
    <row r="557" spans="1:19" ht="16" x14ac:dyDescent="0.2">
      <c r="A557" s="76" t="s">
        <v>6322</v>
      </c>
      <c r="B557" s="69" t="s">
        <v>6323</v>
      </c>
      <c r="C557" s="76"/>
      <c r="D557" s="76"/>
      <c r="E557" s="76"/>
      <c r="F557" s="76"/>
      <c r="G557" s="76"/>
      <c r="H557" s="76"/>
      <c r="I557" s="76"/>
      <c r="J557" s="76"/>
      <c r="K557" s="76"/>
      <c r="M557" s="77"/>
      <c r="N557" s="76" t="s">
        <v>6324</v>
      </c>
      <c r="O557" s="78">
        <v>1</v>
      </c>
      <c r="P557" s="76"/>
      <c r="Q557" s="76"/>
      <c r="R557" s="67">
        <f t="shared" si="28"/>
        <v>0</v>
      </c>
      <c r="S557" s="76">
        <v>2024</v>
      </c>
    </row>
    <row r="558" spans="1:19" ht="16" x14ac:dyDescent="0.2">
      <c r="A558" s="76" t="s">
        <v>6325</v>
      </c>
      <c r="B558" s="69" t="s">
        <v>6326</v>
      </c>
      <c r="C558" s="76"/>
      <c r="D558" s="76"/>
      <c r="E558" s="76"/>
      <c r="F558" s="76"/>
      <c r="G558" s="76"/>
      <c r="H558" s="76"/>
      <c r="I558" s="76"/>
      <c r="J558" s="76"/>
      <c r="K558" s="76"/>
      <c r="M558" s="77" t="s">
        <v>21</v>
      </c>
      <c r="N558" s="76" t="s">
        <v>6327</v>
      </c>
      <c r="O558" s="76"/>
      <c r="P558" s="76"/>
      <c r="Q558" s="76"/>
      <c r="R558" s="67">
        <f t="shared" si="28"/>
        <v>0</v>
      </c>
      <c r="S558" s="76">
        <v>2025</v>
      </c>
    </row>
    <row r="559" spans="1:19" ht="16" x14ac:dyDescent="0.2">
      <c r="A559" s="76" t="s">
        <v>3854</v>
      </c>
      <c r="B559" s="69" t="s">
        <v>6328</v>
      </c>
      <c r="C559" s="76"/>
      <c r="D559" s="76"/>
      <c r="E559" s="76"/>
      <c r="F559" s="76"/>
      <c r="G559" s="76"/>
      <c r="H559" s="76"/>
      <c r="I559" s="76"/>
      <c r="J559" s="76"/>
      <c r="K559" s="76"/>
      <c r="M559" s="77"/>
      <c r="N559" s="76" t="s">
        <v>6329</v>
      </c>
      <c r="O559" s="78">
        <v>1</v>
      </c>
      <c r="P559" s="76"/>
      <c r="Q559" s="76"/>
      <c r="R559" s="67">
        <f t="shared" si="28"/>
        <v>0</v>
      </c>
      <c r="S559" s="76">
        <v>2024</v>
      </c>
    </row>
    <row r="560" spans="1:19" ht="16" x14ac:dyDescent="0.2">
      <c r="A560" s="76" t="s">
        <v>6108</v>
      </c>
      <c r="B560" s="69" t="s">
        <v>6330</v>
      </c>
      <c r="C560" s="76"/>
      <c r="D560" s="76"/>
      <c r="E560" s="76"/>
      <c r="F560" s="76"/>
      <c r="G560" s="76"/>
      <c r="H560" s="76"/>
      <c r="I560" s="76"/>
      <c r="J560" s="76"/>
      <c r="K560" s="76"/>
      <c r="M560" s="77"/>
      <c r="N560" s="76" t="s">
        <v>6331</v>
      </c>
      <c r="O560" s="76"/>
      <c r="P560" s="76"/>
      <c r="Q560" s="76"/>
      <c r="R560" s="67">
        <f t="shared" si="28"/>
        <v>0</v>
      </c>
      <c r="S560" s="76">
        <v>2025</v>
      </c>
    </row>
    <row r="561" spans="1:19" ht="16" x14ac:dyDescent="0.2">
      <c r="A561" s="76" t="s">
        <v>6332</v>
      </c>
      <c r="B561" s="69" t="s">
        <v>6333</v>
      </c>
      <c r="C561" s="76"/>
      <c r="D561" s="76"/>
      <c r="E561" s="76"/>
      <c r="F561" s="76"/>
      <c r="G561" s="76"/>
      <c r="H561" s="76"/>
      <c r="I561" s="76"/>
      <c r="J561" s="76"/>
      <c r="K561" s="76"/>
      <c r="M561" s="77"/>
      <c r="N561" s="76" t="s">
        <v>6334</v>
      </c>
      <c r="O561" s="78">
        <v>1</v>
      </c>
      <c r="P561" s="76"/>
      <c r="Q561" s="76"/>
      <c r="R561" s="67">
        <f t="shared" si="28"/>
        <v>0</v>
      </c>
      <c r="S561" s="76">
        <v>2025</v>
      </c>
    </row>
    <row r="562" spans="1:19" ht="16" x14ac:dyDescent="0.2">
      <c r="A562" s="76" t="s">
        <v>4084</v>
      </c>
      <c r="B562" s="69" t="s">
        <v>6335</v>
      </c>
      <c r="C562" s="76" t="s">
        <v>201</v>
      </c>
      <c r="D562" s="76"/>
      <c r="E562" s="76"/>
      <c r="F562" s="76"/>
      <c r="G562" s="76"/>
      <c r="H562" s="76"/>
      <c r="I562" s="76"/>
      <c r="J562" s="76"/>
      <c r="K562" s="76"/>
      <c r="M562" s="77"/>
      <c r="N562" s="76" t="s">
        <v>6287</v>
      </c>
      <c r="O562" s="78">
        <v>1</v>
      </c>
      <c r="P562" s="76"/>
      <c r="Q562" s="76"/>
      <c r="R562" s="67">
        <f t="shared" si="28"/>
        <v>0</v>
      </c>
      <c r="S562" s="76">
        <v>2024</v>
      </c>
    </row>
    <row r="563" spans="1:19" ht="16" x14ac:dyDescent="0.2">
      <c r="A563" s="76" t="s">
        <v>6089</v>
      </c>
      <c r="B563" s="69" t="s">
        <v>6336</v>
      </c>
      <c r="C563" s="76"/>
      <c r="D563" s="76"/>
      <c r="E563" s="76"/>
      <c r="F563" s="76"/>
      <c r="G563" s="76"/>
      <c r="H563" s="76"/>
      <c r="I563" s="76"/>
      <c r="J563" s="76"/>
      <c r="K563" s="76"/>
      <c r="M563" s="77" t="s">
        <v>21</v>
      </c>
      <c r="N563" s="76" t="s">
        <v>6337</v>
      </c>
      <c r="O563" s="78">
        <v>1</v>
      </c>
      <c r="P563" s="76"/>
      <c r="Q563" s="76"/>
      <c r="R563" s="67">
        <f t="shared" si="28"/>
        <v>0</v>
      </c>
      <c r="S563" s="76">
        <v>2024</v>
      </c>
    </row>
    <row r="564" spans="1:19" ht="16" x14ac:dyDescent="0.2">
      <c r="A564" s="76" t="s">
        <v>89</v>
      </c>
      <c r="B564" s="69" t="s">
        <v>2846</v>
      </c>
      <c r="C564" s="76"/>
      <c r="D564" s="76"/>
      <c r="E564" s="76"/>
      <c r="F564" s="76"/>
      <c r="G564" s="76"/>
      <c r="H564" s="76"/>
      <c r="I564" s="76"/>
      <c r="J564" s="76"/>
      <c r="K564" s="76"/>
      <c r="M564" s="77"/>
      <c r="N564" s="76" t="s">
        <v>6338</v>
      </c>
      <c r="O564" s="78">
        <v>1</v>
      </c>
      <c r="P564" s="76"/>
      <c r="Q564" s="76"/>
      <c r="R564" s="67">
        <f t="shared" si="28"/>
        <v>0</v>
      </c>
      <c r="S564" s="76">
        <v>2024</v>
      </c>
    </row>
    <row r="565" spans="1:19" ht="16" x14ac:dyDescent="0.2">
      <c r="A565" s="76" t="s">
        <v>3753</v>
      </c>
      <c r="B565" s="69" t="s">
        <v>6339</v>
      </c>
      <c r="C565" s="76"/>
      <c r="D565" s="76"/>
      <c r="E565" s="76"/>
      <c r="F565" s="76"/>
      <c r="G565" s="76"/>
      <c r="H565" s="76"/>
      <c r="I565" s="76"/>
      <c r="J565" s="76"/>
      <c r="K565" s="76"/>
      <c r="M565" s="77" t="s">
        <v>4079</v>
      </c>
      <c r="N565" s="76" t="s">
        <v>6340</v>
      </c>
      <c r="O565" s="78">
        <v>1</v>
      </c>
      <c r="P565" s="76"/>
      <c r="Q565" s="76"/>
      <c r="R565" s="67">
        <f t="shared" si="28"/>
        <v>0</v>
      </c>
      <c r="S565" s="76">
        <v>2024</v>
      </c>
    </row>
    <row r="566" spans="1:19" ht="16" x14ac:dyDescent="0.2">
      <c r="A566" s="76" t="s">
        <v>6176</v>
      </c>
      <c r="B566" s="69" t="s">
        <v>6341</v>
      </c>
      <c r="C566" s="76"/>
      <c r="D566" s="76"/>
      <c r="E566" s="76"/>
      <c r="F566" s="76"/>
      <c r="G566" s="76"/>
      <c r="H566" s="76"/>
      <c r="I566" s="76"/>
      <c r="J566" s="76"/>
      <c r="K566" s="76"/>
      <c r="M566" s="77"/>
      <c r="N566" s="76" t="s">
        <v>6342</v>
      </c>
      <c r="O566" s="76"/>
      <c r="P566" s="76"/>
      <c r="Q566" s="76"/>
      <c r="R566" s="67">
        <f t="shared" si="28"/>
        <v>0</v>
      </c>
      <c r="S566" s="76">
        <v>2024</v>
      </c>
    </row>
    <row r="567" spans="1:19" ht="16" x14ac:dyDescent="0.2">
      <c r="A567" s="76" t="s">
        <v>4092</v>
      </c>
      <c r="B567" s="69" t="s">
        <v>6343</v>
      </c>
      <c r="C567" s="76" t="s">
        <v>201</v>
      </c>
      <c r="D567" s="76"/>
      <c r="E567" s="76"/>
      <c r="F567" s="76"/>
      <c r="G567" s="76"/>
      <c r="H567" s="76"/>
      <c r="I567" s="76"/>
      <c r="J567" s="76"/>
      <c r="K567" s="76"/>
      <c r="M567" s="77"/>
      <c r="N567" s="76" t="s">
        <v>6344</v>
      </c>
      <c r="O567" s="78">
        <v>1</v>
      </c>
      <c r="P567" s="76"/>
      <c r="Q567" s="76">
        <v>0.5</v>
      </c>
      <c r="R567" s="67">
        <f t="shared" si="28"/>
        <v>0</v>
      </c>
      <c r="S567" s="76">
        <v>2024</v>
      </c>
    </row>
    <row r="568" spans="1:19" ht="16" x14ac:dyDescent="0.2">
      <c r="A568" s="76" t="s">
        <v>6345</v>
      </c>
      <c r="B568" s="69" t="s">
        <v>6346</v>
      </c>
      <c r="C568" s="76"/>
      <c r="D568" s="76"/>
      <c r="E568" s="76"/>
      <c r="F568" s="76"/>
      <c r="G568" s="76"/>
      <c r="H568" s="76"/>
      <c r="I568" s="76"/>
      <c r="J568" s="76"/>
      <c r="K568" s="76"/>
      <c r="M568" s="77"/>
      <c r="N568" s="76" t="s">
        <v>6347</v>
      </c>
      <c r="O568" s="76"/>
      <c r="P568" s="76"/>
      <c r="Q568" s="76"/>
      <c r="R568" s="67">
        <f t="shared" si="28"/>
        <v>0</v>
      </c>
      <c r="S568" s="76">
        <v>2024</v>
      </c>
    </row>
    <row r="569" spans="1:19" ht="16" x14ac:dyDescent="0.2">
      <c r="A569" s="76" t="s">
        <v>6142</v>
      </c>
      <c r="B569" s="69" t="s">
        <v>6349</v>
      </c>
      <c r="C569" s="76"/>
      <c r="D569" s="76"/>
      <c r="E569" s="76"/>
      <c r="F569" s="76"/>
      <c r="G569" s="76"/>
      <c r="H569" s="76"/>
      <c r="I569" s="76"/>
      <c r="J569" s="76"/>
      <c r="K569" s="76"/>
      <c r="M569" s="77"/>
      <c r="N569" s="76" t="s">
        <v>6350</v>
      </c>
      <c r="O569" s="76"/>
      <c r="P569" s="76"/>
      <c r="Q569" s="76"/>
      <c r="R569" s="67">
        <f t="shared" si="28"/>
        <v>0</v>
      </c>
      <c r="S569" s="76">
        <v>2024</v>
      </c>
    </row>
    <row r="570" spans="1:19" ht="16" x14ac:dyDescent="0.2">
      <c r="A570" s="76" t="s">
        <v>6276</v>
      </c>
      <c r="B570" s="69" t="s">
        <v>6351</v>
      </c>
      <c r="C570" s="76"/>
      <c r="D570" s="76"/>
      <c r="E570" s="76"/>
      <c r="F570" s="76"/>
      <c r="G570" s="76"/>
      <c r="H570" s="76"/>
      <c r="I570" s="76"/>
      <c r="J570" s="76"/>
      <c r="K570" s="76"/>
      <c r="M570" s="77"/>
      <c r="N570" s="76"/>
      <c r="O570" s="78"/>
      <c r="P570" s="76"/>
      <c r="Q570" s="76"/>
      <c r="R570" s="67">
        <f t="shared" si="28"/>
        <v>0</v>
      </c>
      <c r="S570" s="76">
        <v>2025</v>
      </c>
    </row>
    <row r="571" spans="1:19" ht="16" x14ac:dyDescent="0.2">
      <c r="A571" s="76" t="s">
        <v>6178</v>
      </c>
      <c r="B571" s="69" t="s">
        <v>6352</v>
      </c>
      <c r="C571" s="76"/>
      <c r="D571" s="76"/>
      <c r="E571" s="76"/>
      <c r="F571" s="76"/>
      <c r="G571" s="76"/>
      <c r="H571" s="76"/>
      <c r="I571" s="76"/>
      <c r="J571" s="76"/>
      <c r="K571" s="76"/>
      <c r="M571" s="77"/>
      <c r="N571" s="76" t="s">
        <v>6353</v>
      </c>
      <c r="O571" s="76"/>
      <c r="P571" s="76"/>
      <c r="Q571" s="76"/>
      <c r="R571" s="67">
        <f t="shared" si="28"/>
        <v>0</v>
      </c>
      <c r="S571" s="76">
        <v>2024</v>
      </c>
    </row>
    <row r="572" spans="1:19" ht="16" x14ac:dyDescent="0.2">
      <c r="A572" s="76" t="s">
        <v>6354</v>
      </c>
      <c r="B572" s="69" t="s">
        <v>6355</v>
      </c>
      <c r="C572" s="76"/>
      <c r="D572" s="76"/>
      <c r="E572" s="76"/>
      <c r="F572" s="76"/>
      <c r="G572" s="76"/>
      <c r="H572" s="76"/>
      <c r="I572" s="76"/>
      <c r="J572" s="76"/>
      <c r="K572" s="76"/>
      <c r="M572" s="77"/>
      <c r="N572" s="76" t="s">
        <v>6356</v>
      </c>
      <c r="O572" s="76"/>
      <c r="P572" s="76"/>
      <c r="Q572" s="76"/>
      <c r="R572" s="67">
        <f t="shared" si="28"/>
        <v>0</v>
      </c>
      <c r="S572" s="76">
        <v>2025</v>
      </c>
    </row>
    <row r="573" spans="1:19" ht="16" x14ac:dyDescent="0.2">
      <c r="A573" s="76" t="s">
        <v>6357</v>
      </c>
      <c r="B573" s="69" t="s">
        <v>6358</v>
      </c>
      <c r="C573" s="76" t="s">
        <v>20</v>
      </c>
      <c r="D573" s="76"/>
      <c r="E573" s="76"/>
      <c r="F573" s="76"/>
      <c r="G573" s="76"/>
      <c r="H573" s="76"/>
      <c r="I573" s="76"/>
      <c r="J573" s="76"/>
      <c r="K573" s="76"/>
      <c r="M573" s="77"/>
      <c r="N573" s="76" t="s">
        <v>6359</v>
      </c>
      <c r="O573" s="78">
        <v>1</v>
      </c>
      <c r="P573" s="76"/>
      <c r="Q573" s="76"/>
      <c r="R573" s="67">
        <f t="shared" si="28"/>
        <v>0</v>
      </c>
      <c r="S573" s="76">
        <v>2024</v>
      </c>
    </row>
    <row r="574" spans="1:19" ht="16" x14ac:dyDescent="0.2">
      <c r="A574" s="76" t="s">
        <v>2705</v>
      </c>
      <c r="B574" s="69" t="s">
        <v>6360</v>
      </c>
      <c r="C574" s="76"/>
      <c r="D574" s="76"/>
      <c r="E574" s="76"/>
      <c r="F574" s="76"/>
      <c r="G574" s="76"/>
      <c r="H574" s="76"/>
      <c r="I574" s="76"/>
      <c r="J574" s="76"/>
      <c r="K574" s="76"/>
      <c r="M574" s="77"/>
      <c r="N574" s="76" t="s">
        <v>6361</v>
      </c>
      <c r="O574" s="76"/>
      <c r="P574" s="76"/>
      <c r="Q574" s="76"/>
      <c r="R574" s="67">
        <f t="shared" si="28"/>
        <v>0</v>
      </c>
      <c r="S574" s="76">
        <v>2024</v>
      </c>
    </row>
    <row r="575" spans="1:19" ht="16" x14ac:dyDescent="0.2">
      <c r="A575" s="76" t="s">
        <v>6362</v>
      </c>
      <c r="B575" s="69" t="s">
        <v>6363</v>
      </c>
      <c r="C575" s="76"/>
      <c r="D575" s="76"/>
      <c r="E575" s="76"/>
      <c r="F575" s="76"/>
      <c r="G575" s="76"/>
      <c r="H575" s="76"/>
      <c r="I575" s="76"/>
      <c r="J575" s="76"/>
      <c r="K575" s="76"/>
      <c r="M575" s="77"/>
      <c r="N575" s="76" t="s">
        <v>6364</v>
      </c>
      <c r="O575" s="78">
        <v>1</v>
      </c>
      <c r="P575" s="76"/>
      <c r="Q575" s="76"/>
      <c r="R575" s="67">
        <f t="shared" si="28"/>
        <v>0</v>
      </c>
      <c r="S575" s="76">
        <v>2024</v>
      </c>
    </row>
    <row r="576" spans="1:19" ht="16" x14ac:dyDescent="0.2">
      <c r="A576" s="76" t="s">
        <v>6251</v>
      </c>
      <c r="B576" s="69" t="s">
        <v>6365</v>
      </c>
      <c r="C576" s="76"/>
      <c r="D576" s="76"/>
      <c r="E576" s="76"/>
      <c r="F576" s="76"/>
      <c r="G576" s="76"/>
      <c r="H576" s="76"/>
      <c r="I576" s="76"/>
      <c r="J576" s="76"/>
      <c r="K576" s="76"/>
      <c r="M576" s="77"/>
      <c r="N576" s="76" t="s">
        <v>6366</v>
      </c>
      <c r="O576" s="76"/>
      <c r="P576" s="76"/>
      <c r="Q576" s="76"/>
      <c r="R576" s="67">
        <f t="shared" si="28"/>
        <v>0</v>
      </c>
      <c r="S576" s="76">
        <v>2024</v>
      </c>
    </row>
    <row r="577" spans="1:19" ht="16" x14ac:dyDescent="0.2">
      <c r="A577" s="76" t="s">
        <v>3784</v>
      </c>
      <c r="B577" s="69" t="s">
        <v>6369</v>
      </c>
      <c r="C577" s="76"/>
      <c r="D577" s="76"/>
      <c r="E577" s="76"/>
      <c r="F577" s="76"/>
      <c r="G577" s="76"/>
      <c r="H577" s="76"/>
      <c r="I577" s="76"/>
      <c r="J577" s="76"/>
      <c r="K577" s="76"/>
      <c r="M577" s="77"/>
      <c r="N577" s="76" t="s">
        <v>6370</v>
      </c>
      <c r="O577" s="78">
        <v>1</v>
      </c>
      <c r="P577" s="76"/>
      <c r="Q577" s="76"/>
      <c r="R577" s="67">
        <f t="shared" si="28"/>
        <v>0</v>
      </c>
      <c r="S577" s="76">
        <v>2025</v>
      </c>
    </row>
    <row r="578" spans="1:19" ht="16" x14ac:dyDescent="0.2">
      <c r="A578" s="76" t="s">
        <v>58</v>
      </c>
      <c r="B578" s="69" t="s">
        <v>2844</v>
      </c>
      <c r="C578" s="76"/>
      <c r="D578" s="76"/>
      <c r="E578" s="76"/>
      <c r="F578" s="76"/>
      <c r="G578" s="76"/>
      <c r="H578" s="76"/>
      <c r="I578" s="76"/>
      <c r="J578" s="76"/>
      <c r="K578" s="76"/>
      <c r="M578" s="77" t="s">
        <v>21</v>
      </c>
      <c r="N578" s="76" t="s">
        <v>6371</v>
      </c>
      <c r="O578" s="76"/>
      <c r="P578" s="76"/>
      <c r="Q578" s="76"/>
      <c r="R578" s="67">
        <f t="shared" ref="R578:R641" si="30">IF(_xlfn.BITAND(P578&gt;0.4999, Q578&gt;0.4999)=1,1,0)</f>
        <v>0</v>
      </c>
      <c r="S578" s="76">
        <v>2024</v>
      </c>
    </row>
    <row r="579" spans="1:19" ht="16" x14ac:dyDescent="0.2">
      <c r="A579" s="76" t="s">
        <v>2587</v>
      </c>
      <c r="B579" s="69" t="s">
        <v>6372</v>
      </c>
      <c r="C579" s="76"/>
      <c r="D579" s="76"/>
      <c r="E579" s="76"/>
      <c r="F579" s="76"/>
      <c r="G579" s="76"/>
      <c r="H579" s="76"/>
      <c r="I579" s="76"/>
      <c r="J579" s="76"/>
      <c r="K579" s="76"/>
      <c r="M579" s="77" t="s">
        <v>21</v>
      </c>
      <c r="N579" s="76" t="s">
        <v>6373</v>
      </c>
      <c r="O579" s="76"/>
      <c r="P579" s="76"/>
      <c r="Q579" s="76"/>
      <c r="R579" s="67">
        <f t="shared" si="30"/>
        <v>0</v>
      </c>
      <c r="S579" s="76">
        <v>2024</v>
      </c>
    </row>
    <row r="580" spans="1:19" ht="16" x14ac:dyDescent="0.2">
      <c r="A580" s="76" t="s">
        <v>4119</v>
      </c>
      <c r="B580" s="69" t="s">
        <v>6374</v>
      </c>
      <c r="C580" s="76"/>
      <c r="D580" s="76"/>
      <c r="E580" s="76"/>
      <c r="F580" s="76"/>
      <c r="G580" s="76"/>
      <c r="H580" s="76"/>
      <c r="I580" s="76"/>
      <c r="J580" s="76"/>
      <c r="K580" s="76"/>
      <c r="M580" s="77"/>
      <c r="N580" s="76" t="s">
        <v>6375</v>
      </c>
      <c r="O580" s="78">
        <v>1</v>
      </c>
      <c r="P580" s="76"/>
      <c r="Q580" s="76"/>
      <c r="R580" s="67">
        <f t="shared" si="30"/>
        <v>0</v>
      </c>
      <c r="S580" s="76">
        <v>2024</v>
      </c>
    </row>
    <row r="581" spans="1:19" ht="16" x14ac:dyDescent="0.2">
      <c r="A581" s="76" t="s">
        <v>4470</v>
      </c>
      <c r="B581" s="69" t="s">
        <v>6376</v>
      </c>
      <c r="C581" s="76"/>
      <c r="D581" s="76"/>
      <c r="E581" s="76"/>
      <c r="F581" s="76"/>
      <c r="G581" s="76"/>
      <c r="H581" s="76"/>
      <c r="I581" s="76"/>
      <c r="J581" s="76"/>
      <c r="K581" s="76"/>
      <c r="M581" s="77"/>
      <c r="N581" s="76" t="s">
        <v>6377</v>
      </c>
      <c r="O581" s="78">
        <v>1</v>
      </c>
      <c r="P581" s="76"/>
      <c r="Q581" s="76"/>
      <c r="R581" s="67">
        <f t="shared" si="30"/>
        <v>0</v>
      </c>
      <c r="S581" s="76">
        <v>2024</v>
      </c>
    </row>
    <row r="582" spans="1:19" ht="16" x14ac:dyDescent="0.2">
      <c r="A582" s="76" t="s">
        <v>6230</v>
      </c>
      <c r="B582" s="69" t="s">
        <v>6378</v>
      </c>
      <c r="C582" s="76"/>
      <c r="D582" s="76"/>
      <c r="E582" s="76"/>
      <c r="F582" s="76"/>
      <c r="G582" s="76"/>
      <c r="H582" s="76"/>
      <c r="I582" s="76"/>
      <c r="J582" s="76"/>
      <c r="K582" s="76"/>
      <c r="M582" s="77" t="s">
        <v>21</v>
      </c>
      <c r="N582" s="76" t="s">
        <v>6379</v>
      </c>
      <c r="O582" s="76"/>
      <c r="P582" s="76"/>
      <c r="Q582" s="76"/>
      <c r="R582" s="67">
        <f t="shared" si="30"/>
        <v>0</v>
      </c>
      <c r="S582" s="76">
        <v>2024</v>
      </c>
    </row>
    <row r="583" spans="1:19" ht="16" x14ac:dyDescent="0.2">
      <c r="A583" s="76" t="s">
        <v>212</v>
      </c>
      <c r="B583" s="69" t="s">
        <v>6383</v>
      </c>
      <c r="C583" s="76" t="s">
        <v>201</v>
      </c>
      <c r="D583" s="76"/>
      <c r="E583" s="76"/>
      <c r="F583" s="76"/>
      <c r="G583" s="76"/>
      <c r="H583" s="76"/>
      <c r="I583" s="76"/>
      <c r="J583" s="76"/>
      <c r="K583" s="76"/>
      <c r="M583" s="77"/>
      <c r="N583" s="76" t="s">
        <v>6384</v>
      </c>
      <c r="O583" s="76"/>
      <c r="P583" s="76"/>
      <c r="Q583" s="76"/>
      <c r="R583" s="67">
        <f t="shared" si="30"/>
        <v>0</v>
      </c>
      <c r="S583" s="76">
        <v>2024</v>
      </c>
    </row>
    <row r="584" spans="1:19" ht="16" x14ac:dyDescent="0.2">
      <c r="A584" s="76" t="s">
        <v>4957</v>
      </c>
      <c r="B584" s="69" t="s">
        <v>6388</v>
      </c>
      <c r="C584" s="76"/>
      <c r="D584" s="76"/>
      <c r="E584" s="76"/>
      <c r="F584" s="76"/>
      <c r="G584" s="76"/>
      <c r="H584" s="76"/>
      <c r="I584" s="76"/>
      <c r="J584" s="76"/>
      <c r="K584" s="76"/>
      <c r="M584" s="77"/>
      <c r="N584" s="76" t="s">
        <v>6389</v>
      </c>
      <c r="O584" s="78">
        <v>1</v>
      </c>
      <c r="P584" s="76"/>
      <c r="Q584" s="76"/>
      <c r="R584" s="67">
        <f t="shared" si="30"/>
        <v>0</v>
      </c>
      <c r="S584" s="76">
        <v>2024</v>
      </c>
    </row>
    <row r="585" spans="1:19" ht="16" x14ac:dyDescent="0.2">
      <c r="A585" s="76" t="s">
        <v>3794</v>
      </c>
      <c r="B585" s="69" t="s">
        <v>6390</v>
      </c>
      <c r="C585" s="76"/>
      <c r="D585" s="76"/>
      <c r="E585" s="76"/>
      <c r="F585" s="76"/>
      <c r="G585" s="76"/>
      <c r="H585" s="76"/>
      <c r="I585" s="76"/>
      <c r="J585" s="76"/>
      <c r="K585" s="76"/>
      <c r="M585" s="77"/>
      <c r="N585" s="76" t="s">
        <v>6391</v>
      </c>
      <c r="O585" s="78">
        <v>1</v>
      </c>
      <c r="P585" s="76"/>
      <c r="Q585" s="76"/>
      <c r="R585" s="67">
        <f t="shared" si="30"/>
        <v>0</v>
      </c>
      <c r="S585" s="76">
        <v>2024</v>
      </c>
    </row>
    <row r="586" spans="1:19" ht="16" x14ac:dyDescent="0.2">
      <c r="A586" s="76" t="s">
        <v>6101</v>
      </c>
      <c r="B586" s="69" t="s">
        <v>6392</v>
      </c>
      <c r="C586" s="76"/>
      <c r="D586" s="76"/>
      <c r="E586" s="76"/>
      <c r="F586" s="76"/>
      <c r="G586" s="76"/>
      <c r="H586" s="76"/>
      <c r="I586" s="76"/>
      <c r="J586" s="76"/>
      <c r="K586" s="76"/>
      <c r="M586" s="77"/>
      <c r="N586" s="76" t="s">
        <v>6393</v>
      </c>
      <c r="O586" s="76"/>
      <c r="P586" s="76"/>
      <c r="Q586" s="76"/>
      <c r="R586" s="67">
        <f t="shared" si="30"/>
        <v>0</v>
      </c>
      <c r="S586" s="76">
        <v>2024</v>
      </c>
    </row>
    <row r="587" spans="1:19" ht="16" x14ac:dyDescent="0.2">
      <c r="A587" s="76" t="s">
        <v>4747</v>
      </c>
      <c r="B587" s="69" t="s">
        <v>6394</v>
      </c>
      <c r="C587" s="76"/>
      <c r="D587" s="76"/>
      <c r="E587" s="76"/>
      <c r="F587" s="76"/>
      <c r="G587" s="76"/>
      <c r="H587" s="76"/>
      <c r="I587" s="76"/>
      <c r="J587" s="76"/>
      <c r="K587" s="76"/>
      <c r="M587" s="77"/>
      <c r="N587" s="76" t="s">
        <v>6395</v>
      </c>
      <c r="O587" s="78">
        <v>1</v>
      </c>
      <c r="P587" s="76"/>
      <c r="Q587" s="76"/>
      <c r="R587" s="67">
        <f t="shared" si="30"/>
        <v>0</v>
      </c>
      <c r="S587" s="76">
        <v>2024</v>
      </c>
    </row>
    <row r="588" spans="1:19" ht="16" x14ac:dyDescent="0.2">
      <c r="A588" s="76" t="s">
        <v>2590</v>
      </c>
      <c r="B588" s="69" t="s">
        <v>6398</v>
      </c>
      <c r="C588" s="76"/>
      <c r="D588" s="76"/>
      <c r="E588" s="76"/>
      <c r="F588" s="76"/>
      <c r="G588" s="76"/>
      <c r="H588" s="76"/>
      <c r="I588" s="76"/>
      <c r="J588" s="76"/>
      <c r="K588" s="76"/>
      <c r="M588" s="77" t="s">
        <v>21</v>
      </c>
      <c r="N588" s="76" t="s">
        <v>6399</v>
      </c>
      <c r="O588" s="76"/>
      <c r="P588" s="76"/>
      <c r="Q588" s="76"/>
      <c r="R588" s="67">
        <f t="shared" si="30"/>
        <v>0</v>
      </c>
      <c r="S588" s="76">
        <v>2024</v>
      </c>
    </row>
    <row r="589" spans="1:19" ht="16" x14ac:dyDescent="0.2">
      <c r="A589" s="76" t="s">
        <v>2685</v>
      </c>
      <c r="B589" s="69" t="s">
        <v>2686</v>
      </c>
      <c r="C589" s="76"/>
      <c r="D589" s="76"/>
      <c r="E589" s="76"/>
      <c r="F589" s="76"/>
      <c r="G589" s="76"/>
      <c r="H589" s="76"/>
      <c r="I589" s="76"/>
      <c r="J589" s="76"/>
      <c r="K589" s="76"/>
      <c r="M589" s="77"/>
      <c r="N589" s="76" t="s">
        <v>6400</v>
      </c>
      <c r="O589" s="78">
        <v>1</v>
      </c>
      <c r="P589" s="76"/>
      <c r="Q589" s="76"/>
      <c r="R589" s="67">
        <f t="shared" si="30"/>
        <v>0</v>
      </c>
      <c r="S589" s="76">
        <v>2024</v>
      </c>
    </row>
    <row r="590" spans="1:19" ht="16" x14ac:dyDescent="0.2">
      <c r="A590" s="76" t="s">
        <v>6401</v>
      </c>
      <c r="B590" s="69" t="s">
        <v>6402</v>
      </c>
      <c r="C590" s="76" t="s">
        <v>201</v>
      </c>
      <c r="D590" s="76"/>
      <c r="E590" s="76"/>
      <c r="F590" s="76"/>
      <c r="G590" s="76"/>
      <c r="H590" s="76"/>
      <c r="I590" s="76"/>
      <c r="J590" s="76"/>
      <c r="K590" s="76"/>
      <c r="M590" s="77"/>
      <c r="N590" s="76" t="s">
        <v>6403</v>
      </c>
      <c r="O590" s="78">
        <v>1</v>
      </c>
      <c r="P590" s="76"/>
      <c r="Q590" s="76"/>
      <c r="R590" s="67">
        <f t="shared" si="30"/>
        <v>0</v>
      </c>
      <c r="S590" s="76">
        <v>2024</v>
      </c>
    </row>
    <row r="591" spans="1:19" ht="16" x14ac:dyDescent="0.2">
      <c r="A591" s="76" t="s">
        <v>18</v>
      </c>
      <c r="B591" s="69" t="s">
        <v>6404</v>
      </c>
      <c r="C591" s="76"/>
      <c r="D591" s="76"/>
      <c r="E591" s="76"/>
      <c r="F591" s="76"/>
      <c r="G591" s="76"/>
      <c r="H591" s="76"/>
      <c r="I591" s="76"/>
      <c r="J591" s="76"/>
      <c r="K591" s="76"/>
      <c r="M591" s="77"/>
      <c r="N591" s="76" t="s">
        <v>6405</v>
      </c>
      <c r="O591" s="76"/>
      <c r="P591" s="76"/>
      <c r="Q591" s="76"/>
      <c r="R591" s="67">
        <f t="shared" si="30"/>
        <v>0</v>
      </c>
      <c r="S591" s="76">
        <v>2024</v>
      </c>
    </row>
    <row r="592" spans="1:19" ht="16" x14ac:dyDescent="0.2">
      <c r="A592" s="76" t="s">
        <v>6103</v>
      </c>
      <c r="B592" s="69" t="s">
        <v>6406</v>
      </c>
      <c r="C592" s="76"/>
      <c r="D592" s="76"/>
      <c r="E592" s="76"/>
      <c r="F592" s="76"/>
      <c r="G592" s="76"/>
      <c r="H592" s="76"/>
      <c r="I592" s="76"/>
      <c r="J592" s="76"/>
      <c r="K592" s="76"/>
      <c r="M592" s="77"/>
      <c r="N592" s="76" t="s">
        <v>6407</v>
      </c>
      <c r="O592" s="78">
        <v>1</v>
      </c>
      <c r="P592" s="76"/>
      <c r="Q592" s="76"/>
      <c r="R592" s="67">
        <f t="shared" si="30"/>
        <v>0</v>
      </c>
      <c r="S592" s="76">
        <v>2024</v>
      </c>
    </row>
    <row r="593" spans="1:19" ht="16" x14ac:dyDescent="0.2">
      <c r="A593" s="76" t="s">
        <v>3752</v>
      </c>
      <c r="B593" s="69" t="s">
        <v>6408</v>
      </c>
      <c r="C593" s="76"/>
      <c r="D593" s="76"/>
      <c r="E593" s="76"/>
      <c r="F593" s="76"/>
      <c r="G593" s="76"/>
      <c r="H593" s="76"/>
      <c r="I593" s="76"/>
      <c r="J593" s="76"/>
      <c r="K593" s="76"/>
      <c r="M593" s="77" t="s">
        <v>4079</v>
      </c>
      <c r="N593" s="76" t="s">
        <v>6340</v>
      </c>
      <c r="O593" s="78">
        <v>1</v>
      </c>
      <c r="P593" s="76"/>
      <c r="Q593" s="76"/>
      <c r="R593" s="67">
        <f t="shared" si="30"/>
        <v>0</v>
      </c>
      <c r="S593" s="76">
        <v>2024</v>
      </c>
    </row>
    <row r="594" spans="1:19" ht="16" x14ac:dyDescent="0.2">
      <c r="A594" s="76" t="s">
        <v>4651</v>
      </c>
      <c r="B594" s="69" t="s">
        <v>6409</v>
      </c>
      <c r="C594" s="76"/>
      <c r="D594" s="76"/>
      <c r="E594" s="76"/>
      <c r="F594" s="76"/>
      <c r="G594" s="76"/>
      <c r="H594" s="76"/>
      <c r="I594" s="76"/>
      <c r="J594" s="76"/>
      <c r="K594" s="76"/>
      <c r="M594" s="77"/>
      <c r="N594" s="76" t="s">
        <v>6410</v>
      </c>
      <c r="O594" s="76"/>
      <c r="P594" s="76"/>
      <c r="Q594" s="76"/>
      <c r="R594" s="67">
        <f t="shared" si="30"/>
        <v>0</v>
      </c>
      <c r="S594" s="76">
        <v>2024</v>
      </c>
    </row>
    <row r="595" spans="1:19" ht="16" x14ac:dyDescent="0.2">
      <c r="A595" s="76" t="s">
        <v>3980</v>
      </c>
      <c r="B595" s="69" t="s">
        <v>6411</v>
      </c>
      <c r="C595" s="76"/>
      <c r="D595" s="76"/>
      <c r="E595" s="76"/>
      <c r="F595" s="76"/>
      <c r="G595" s="76"/>
      <c r="H595" s="76"/>
      <c r="I595" s="76"/>
      <c r="J595" s="76"/>
      <c r="K595" s="76"/>
      <c r="M595" s="77"/>
      <c r="N595" s="76" t="s">
        <v>6412</v>
      </c>
      <c r="O595" s="76"/>
      <c r="P595" s="76"/>
      <c r="Q595" s="76"/>
      <c r="R595" s="67">
        <f t="shared" si="30"/>
        <v>0</v>
      </c>
      <c r="S595" s="76">
        <v>2025</v>
      </c>
    </row>
    <row r="596" spans="1:19" ht="16" x14ac:dyDescent="0.2">
      <c r="A596" s="76" t="s">
        <v>861</v>
      </c>
      <c r="B596" s="69" t="s">
        <v>6413</v>
      </c>
      <c r="C596" s="76"/>
      <c r="D596" s="76"/>
      <c r="E596" s="76"/>
      <c r="F596" s="76"/>
      <c r="G596" s="76"/>
      <c r="H596" s="76"/>
      <c r="I596" s="76"/>
      <c r="J596" s="76"/>
      <c r="K596" s="76"/>
      <c r="M596" s="77"/>
      <c r="N596" s="76" t="s">
        <v>6414</v>
      </c>
      <c r="O596" s="76"/>
      <c r="P596" s="76"/>
      <c r="Q596" s="76"/>
      <c r="R596" s="67">
        <f t="shared" si="30"/>
        <v>0</v>
      </c>
      <c r="S596" s="76">
        <v>2024</v>
      </c>
    </row>
    <row r="597" spans="1:19" ht="16" x14ac:dyDescent="0.2">
      <c r="A597" s="76" t="s">
        <v>6208</v>
      </c>
      <c r="B597" s="69" t="s">
        <v>6415</v>
      </c>
      <c r="C597" s="76"/>
      <c r="D597" s="76"/>
      <c r="E597" s="76"/>
      <c r="F597" s="76"/>
      <c r="G597" s="76"/>
      <c r="H597" s="76"/>
      <c r="I597" s="76"/>
      <c r="J597" s="76"/>
      <c r="K597" s="76"/>
      <c r="M597" s="77"/>
      <c r="N597" s="76" t="s">
        <v>6416</v>
      </c>
      <c r="O597" s="76"/>
      <c r="P597" s="76"/>
      <c r="Q597" s="76"/>
      <c r="R597" s="67">
        <f t="shared" si="30"/>
        <v>0</v>
      </c>
      <c r="S597" s="76">
        <v>2024</v>
      </c>
    </row>
    <row r="598" spans="1:19" ht="16" x14ac:dyDescent="0.2">
      <c r="A598" s="76" t="s">
        <v>6099</v>
      </c>
      <c r="B598" s="69" t="s">
        <v>6417</v>
      </c>
      <c r="C598" s="76"/>
      <c r="D598" s="76"/>
      <c r="E598" s="76"/>
      <c r="F598" s="76"/>
      <c r="G598" s="76"/>
      <c r="H598" s="76"/>
      <c r="I598" s="76"/>
      <c r="J598" s="76"/>
      <c r="K598" s="76"/>
      <c r="M598" s="77"/>
      <c r="N598" s="76" t="s">
        <v>6418</v>
      </c>
      <c r="O598" s="76"/>
      <c r="P598" s="76"/>
      <c r="Q598" s="76"/>
      <c r="R598" s="67">
        <f t="shared" si="30"/>
        <v>0</v>
      </c>
      <c r="S598" s="76">
        <v>2024</v>
      </c>
    </row>
    <row r="599" spans="1:19" ht="16" x14ac:dyDescent="0.2">
      <c r="A599" s="76" t="s">
        <v>3750</v>
      </c>
      <c r="B599" s="69" t="s">
        <v>6419</v>
      </c>
      <c r="C599" s="76"/>
      <c r="D599" s="76"/>
      <c r="E599" s="76"/>
      <c r="F599" s="76"/>
      <c r="G599" s="76"/>
      <c r="H599" s="76"/>
      <c r="I599" s="76"/>
      <c r="J599" s="76"/>
      <c r="K599" s="76"/>
      <c r="M599" s="77" t="s">
        <v>4079</v>
      </c>
      <c r="N599" s="76" t="s">
        <v>6420</v>
      </c>
      <c r="O599" s="78">
        <v>1</v>
      </c>
      <c r="P599" s="76"/>
      <c r="Q599" s="76"/>
      <c r="R599" s="67">
        <f t="shared" si="30"/>
        <v>0</v>
      </c>
      <c r="S599" s="76">
        <v>2025</v>
      </c>
    </row>
    <row r="600" spans="1:19" ht="16" x14ac:dyDescent="0.2">
      <c r="A600" s="76" t="s">
        <v>6421</v>
      </c>
      <c r="B600" s="69" t="s">
        <v>6422</v>
      </c>
      <c r="C600" s="76"/>
      <c r="D600" s="76"/>
      <c r="E600" s="76"/>
      <c r="F600" s="76"/>
      <c r="G600" s="76"/>
      <c r="H600" s="76"/>
      <c r="I600" s="76"/>
      <c r="J600" s="76"/>
      <c r="K600" s="76"/>
      <c r="M600" s="77"/>
      <c r="N600" s="76" t="s">
        <v>6423</v>
      </c>
      <c r="O600" s="78">
        <v>1</v>
      </c>
      <c r="P600" s="76"/>
      <c r="Q600" s="76"/>
      <c r="R600" s="67">
        <f t="shared" si="30"/>
        <v>0</v>
      </c>
      <c r="S600" s="76">
        <v>2024</v>
      </c>
    </row>
    <row r="601" spans="1:19" ht="16" x14ac:dyDescent="0.2">
      <c r="A601" s="76" t="s">
        <v>3758</v>
      </c>
      <c r="B601" s="69" t="s">
        <v>6424</v>
      </c>
      <c r="C601" s="76"/>
      <c r="D601" s="76"/>
      <c r="E601" s="76"/>
      <c r="F601" s="76"/>
      <c r="G601" s="76"/>
      <c r="H601" s="76"/>
      <c r="I601" s="76"/>
      <c r="J601" s="76"/>
      <c r="K601" s="76"/>
      <c r="M601" s="77" t="s">
        <v>4079</v>
      </c>
      <c r="N601" s="76" t="s">
        <v>6425</v>
      </c>
      <c r="O601" s="78">
        <v>1</v>
      </c>
      <c r="P601" s="76"/>
      <c r="Q601" s="76"/>
      <c r="R601" s="67">
        <f t="shared" si="30"/>
        <v>0</v>
      </c>
      <c r="S601" s="76">
        <v>2024</v>
      </c>
    </row>
    <row r="602" spans="1:19" ht="16" x14ac:dyDescent="0.2">
      <c r="A602" s="76" t="s">
        <v>6426</v>
      </c>
      <c r="B602" s="69" t="s">
        <v>6427</v>
      </c>
      <c r="C602" s="76"/>
      <c r="D602" s="76"/>
      <c r="E602" s="76"/>
      <c r="F602" s="76"/>
      <c r="G602" s="76"/>
      <c r="H602" s="76"/>
      <c r="I602" s="76"/>
      <c r="J602" s="76"/>
      <c r="K602" s="76"/>
      <c r="M602" s="77"/>
      <c r="N602" s="76" t="s">
        <v>6428</v>
      </c>
      <c r="O602" s="78">
        <v>1</v>
      </c>
      <c r="P602" s="76"/>
      <c r="Q602" s="76"/>
      <c r="R602" s="67">
        <f t="shared" si="30"/>
        <v>0</v>
      </c>
      <c r="S602" s="76">
        <v>2024</v>
      </c>
    </row>
    <row r="603" spans="1:19" ht="16" x14ac:dyDescent="0.2">
      <c r="A603" s="76" t="s">
        <v>337</v>
      </c>
      <c r="B603" s="69" t="s">
        <v>6429</v>
      </c>
      <c r="C603" s="76"/>
      <c r="D603" s="76"/>
      <c r="E603" s="76"/>
      <c r="F603" s="76"/>
      <c r="G603" s="76"/>
      <c r="H603" s="76"/>
      <c r="I603" s="76"/>
      <c r="J603" s="76"/>
      <c r="K603" s="76"/>
      <c r="M603" s="77" t="s">
        <v>21</v>
      </c>
      <c r="N603" s="76" t="s">
        <v>6430</v>
      </c>
      <c r="O603" s="76"/>
      <c r="P603" s="76"/>
      <c r="Q603" s="76"/>
      <c r="R603" s="67">
        <f t="shared" si="30"/>
        <v>0</v>
      </c>
      <c r="S603" s="76">
        <v>2024</v>
      </c>
    </row>
    <row r="604" spans="1:19" ht="16" x14ac:dyDescent="0.2">
      <c r="A604" s="76" t="s">
        <v>1361</v>
      </c>
      <c r="B604" s="69" t="s">
        <v>2891</v>
      </c>
      <c r="C604" s="76"/>
      <c r="D604" s="76"/>
      <c r="E604" s="76"/>
      <c r="F604" s="76"/>
      <c r="G604" s="76"/>
      <c r="H604" s="76"/>
      <c r="I604" s="76"/>
      <c r="J604" s="76"/>
      <c r="K604" s="76">
        <v>1</v>
      </c>
      <c r="M604" s="77"/>
      <c r="N604" s="76" t="s">
        <v>6431</v>
      </c>
      <c r="O604" s="76"/>
      <c r="P604" s="76"/>
      <c r="Q604" s="76"/>
      <c r="R604" s="67">
        <f t="shared" si="30"/>
        <v>0</v>
      </c>
      <c r="S604" s="76">
        <v>2024</v>
      </c>
    </row>
    <row r="605" spans="1:19" ht="16" x14ac:dyDescent="0.2">
      <c r="A605" s="76" t="s">
        <v>6432</v>
      </c>
      <c r="B605" s="69" t="s">
        <v>6433</v>
      </c>
      <c r="C605" s="76"/>
      <c r="D605" s="76"/>
      <c r="E605" s="76"/>
      <c r="F605" s="76"/>
      <c r="G605" s="76"/>
      <c r="H605" s="76"/>
      <c r="I605" s="76"/>
      <c r="J605" s="76"/>
      <c r="K605" s="76"/>
      <c r="M605" s="77"/>
      <c r="N605" s="76" t="s">
        <v>6434</v>
      </c>
      <c r="O605" s="76"/>
      <c r="P605" s="76"/>
      <c r="Q605" s="76"/>
      <c r="R605" s="67">
        <f t="shared" si="30"/>
        <v>0</v>
      </c>
      <c r="S605" s="76">
        <v>2024</v>
      </c>
    </row>
    <row r="606" spans="1:19" ht="16" x14ac:dyDescent="0.2">
      <c r="A606" s="76" t="s">
        <v>5809</v>
      </c>
      <c r="B606" s="69" t="s">
        <v>6435</v>
      </c>
      <c r="C606" s="76"/>
      <c r="D606" s="76"/>
      <c r="E606" s="76"/>
      <c r="F606" s="76"/>
      <c r="G606" s="76"/>
      <c r="H606" s="76"/>
      <c r="I606" s="76"/>
      <c r="J606" s="76"/>
      <c r="K606" s="76"/>
      <c r="M606" s="77"/>
      <c r="N606" s="76" t="s">
        <v>6436</v>
      </c>
      <c r="O606" s="76"/>
      <c r="P606" s="76"/>
      <c r="Q606" s="76"/>
      <c r="R606" s="67">
        <f t="shared" si="30"/>
        <v>0</v>
      </c>
      <c r="S606" s="76">
        <v>2024</v>
      </c>
    </row>
    <row r="607" spans="1:19" ht="16" x14ac:dyDescent="0.2">
      <c r="A607" s="76" t="s">
        <v>2995</v>
      </c>
      <c r="B607" s="69" t="s">
        <v>2996</v>
      </c>
      <c r="C607" s="76"/>
      <c r="D607" s="76"/>
      <c r="E607" s="76"/>
      <c r="F607" s="76"/>
      <c r="G607" s="76"/>
      <c r="H607" s="76"/>
      <c r="I607" s="76"/>
      <c r="J607" s="76"/>
      <c r="K607" s="76"/>
      <c r="M607" s="77"/>
      <c r="N607" s="76" t="s">
        <v>6437</v>
      </c>
      <c r="O607" s="78">
        <v>1</v>
      </c>
      <c r="P607" s="76"/>
      <c r="Q607" s="76"/>
      <c r="R607" s="67">
        <f t="shared" si="30"/>
        <v>0</v>
      </c>
      <c r="S607" s="76">
        <v>2024</v>
      </c>
    </row>
    <row r="608" spans="1:19" ht="16" x14ac:dyDescent="0.2">
      <c r="A608" s="76" t="s">
        <v>6438</v>
      </c>
      <c r="B608" s="69" t="s">
        <v>6439</v>
      </c>
      <c r="C608" s="76"/>
      <c r="D608" s="76"/>
      <c r="E608" s="76"/>
      <c r="F608" s="76"/>
      <c r="G608" s="76"/>
      <c r="H608" s="76"/>
      <c r="I608" s="76"/>
      <c r="J608" s="76"/>
      <c r="K608" s="76"/>
      <c r="M608" s="77"/>
      <c r="N608" s="76" t="s">
        <v>6440</v>
      </c>
      <c r="O608" s="76"/>
      <c r="P608" s="76"/>
      <c r="Q608" s="76"/>
      <c r="R608" s="67">
        <f t="shared" si="30"/>
        <v>0</v>
      </c>
      <c r="S608" s="76">
        <v>2024</v>
      </c>
    </row>
    <row r="609" spans="1:19" ht="16" x14ac:dyDescent="0.2">
      <c r="A609" s="76" t="s">
        <v>6441</v>
      </c>
      <c r="B609" s="69" t="s">
        <v>6442</v>
      </c>
      <c r="C609" s="76"/>
      <c r="D609" s="76"/>
      <c r="E609" s="76"/>
      <c r="F609" s="76"/>
      <c r="G609" s="76"/>
      <c r="H609" s="76"/>
      <c r="I609" s="76"/>
      <c r="J609" s="76"/>
      <c r="K609" s="76">
        <v>1</v>
      </c>
      <c r="M609" s="77"/>
      <c r="N609" s="76" t="s">
        <v>6443</v>
      </c>
      <c r="O609" s="78">
        <v>1</v>
      </c>
      <c r="P609" s="76"/>
      <c r="Q609" s="76"/>
      <c r="R609" s="67">
        <f t="shared" si="30"/>
        <v>0</v>
      </c>
      <c r="S609" s="76">
        <v>2024</v>
      </c>
    </row>
    <row r="610" spans="1:19" ht="16" x14ac:dyDescent="0.2">
      <c r="A610" s="76" t="s">
        <v>6258</v>
      </c>
      <c r="B610" s="69" t="s">
        <v>6444</v>
      </c>
      <c r="C610" s="76"/>
      <c r="D610" s="76"/>
      <c r="E610" s="76"/>
      <c r="F610" s="76"/>
      <c r="G610" s="76"/>
      <c r="H610" s="76"/>
      <c r="I610" s="76"/>
      <c r="J610" s="76"/>
      <c r="K610" s="76"/>
      <c r="M610" s="77"/>
      <c r="N610" s="76" t="s">
        <v>6445</v>
      </c>
      <c r="O610" s="76"/>
      <c r="P610" s="76"/>
      <c r="Q610" s="76"/>
      <c r="R610" s="67">
        <f t="shared" si="30"/>
        <v>0</v>
      </c>
      <c r="S610" s="76">
        <v>2024</v>
      </c>
    </row>
    <row r="611" spans="1:19" ht="16" x14ac:dyDescent="0.2">
      <c r="A611" s="76" t="s">
        <v>3856</v>
      </c>
      <c r="B611" s="69" t="s">
        <v>6446</v>
      </c>
      <c r="C611" s="76"/>
      <c r="D611" s="76"/>
      <c r="E611" s="76"/>
      <c r="F611" s="76"/>
      <c r="G611" s="76"/>
      <c r="H611" s="76"/>
      <c r="I611" s="76"/>
      <c r="J611" s="76"/>
      <c r="K611" s="76"/>
      <c r="M611" s="77" t="s">
        <v>21</v>
      </c>
      <c r="N611" s="76" t="s">
        <v>6447</v>
      </c>
      <c r="O611" s="76"/>
      <c r="P611" s="76"/>
      <c r="Q611" s="76"/>
      <c r="R611" s="67">
        <f t="shared" si="30"/>
        <v>0</v>
      </c>
      <c r="S611" s="76">
        <v>2024</v>
      </c>
    </row>
    <row r="612" spans="1:19" ht="16" x14ac:dyDescent="0.2">
      <c r="A612" s="76" t="s">
        <v>3129</v>
      </c>
      <c r="B612" s="69" t="s">
        <v>6448</v>
      </c>
      <c r="C612" s="76"/>
      <c r="D612" s="76"/>
      <c r="E612" s="76"/>
      <c r="F612" s="76"/>
      <c r="G612" s="76"/>
      <c r="H612" s="76"/>
      <c r="I612" s="76"/>
      <c r="J612" s="76"/>
      <c r="K612" s="76">
        <v>1</v>
      </c>
      <c r="M612" s="77" t="s">
        <v>21</v>
      </c>
      <c r="N612" s="76" t="s">
        <v>6449</v>
      </c>
      <c r="O612" s="78">
        <v>1</v>
      </c>
      <c r="P612" s="76"/>
      <c r="Q612" s="76"/>
      <c r="R612" s="67">
        <f t="shared" si="30"/>
        <v>0</v>
      </c>
      <c r="S612" s="76">
        <v>2024</v>
      </c>
    </row>
    <row r="613" spans="1:19" ht="16" x14ac:dyDescent="0.2">
      <c r="A613" s="76" t="s">
        <v>6198</v>
      </c>
      <c r="B613" s="69" t="s">
        <v>6450</v>
      </c>
      <c r="C613" s="76"/>
      <c r="D613" s="76"/>
      <c r="E613" s="76"/>
      <c r="F613" s="76"/>
      <c r="G613" s="76"/>
      <c r="H613" s="76"/>
      <c r="I613" s="76"/>
      <c r="J613" s="76"/>
      <c r="K613" s="76"/>
      <c r="M613" s="77"/>
      <c r="N613" s="76" t="s">
        <v>6451</v>
      </c>
      <c r="O613" s="78">
        <v>1</v>
      </c>
      <c r="P613" s="76"/>
      <c r="Q613" s="76"/>
      <c r="R613" s="67">
        <f t="shared" si="30"/>
        <v>0</v>
      </c>
      <c r="S613" s="76">
        <v>2024</v>
      </c>
    </row>
    <row r="614" spans="1:19" ht="16" x14ac:dyDescent="0.2">
      <c r="A614" s="76" t="s">
        <v>6452</v>
      </c>
      <c r="B614" s="69" t="s">
        <v>6453</v>
      </c>
      <c r="C614" s="76"/>
      <c r="D614" s="76"/>
      <c r="E614" s="76"/>
      <c r="F614" s="76"/>
      <c r="G614" s="76"/>
      <c r="H614" s="76"/>
      <c r="I614" s="76"/>
      <c r="J614" s="76"/>
      <c r="K614" s="76"/>
      <c r="M614" s="77"/>
      <c r="N614" s="76" t="s">
        <v>6454</v>
      </c>
      <c r="O614" s="76"/>
      <c r="P614" s="76"/>
      <c r="Q614" s="76"/>
      <c r="R614" s="67">
        <f t="shared" si="30"/>
        <v>0</v>
      </c>
      <c r="S614" s="76">
        <v>2024</v>
      </c>
    </row>
    <row r="615" spans="1:19" ht="16" x14ac:dyDescent="0.2">
      <c r="A615" s="76" t="s">
        <v>3308</v>
      </c>
      <c r="B615" s="69" t="s">
        <v>6455</v>
      </c>
      <c r="C615" s="76"/>
      <c r="D615" s="76"/>
      <c r="E615" s="76"/>
      <c r="F615" s="76"/>
      <c r="G615" s="76"/>
      <c r="H615" s="76"/>
      <c r="I615" s="76"/>
      <c r="J615" s="76"/>
      <c r="K615" s="76"/>
      <c r="M615" s="77"/>
      <c r="N615" s="76" t="s">
        <v>6456</v>
      </c>
      <c r="O615" s="76"/>
      <c r="P615" s="76"/>
      <c r="Q615" s="76"/>
      <c r="R615" s="67">
        <f t="shared" si="30"/>
        <v>0</v>
      </c>
      <c r="S615" s="76">
        <v>2024</v>
      </c>
    </row>
    <row r="616" spans="1:19" ht="16" x14ac:dyDescent="0.2">
      <c r="A616" s="76" t="s">
        <v>6457</v>
      </c>
      <c r="B616" s="69" t="s">
        <v>6458</v>
      </c>
      <c r="C616" s="76"/>
      <c r="D616" s="76"/>
      <c r="E616" s="76"/>
      <c r="F616" s="76"/>
      <c r="G616" s="76"/>
      <c r="H616" s="76"/>
      <c r="I616" s="76"/>
      <c r="J616" s="76"/>
      <c r="K616" s="76"/>
      <c r="M616" s="77"/>
      <c r="N616" s="76" t="s">
        <v>6459</v>
      </c>
      <c r="O616" s="76"/>
      <c r="P616" s="76"/>
      <c r="Q616" s="76"/>
      <c r="R616" s="67">
        <f t="shared" si="30"/>
        <v>0</v>
      </c>
      <c r="S616" s="76">
        <v>2024</v>
      </c>
    </row>
    <row r="617" spans="1:19" ht="16" x14ac:dyDescent="0.2">
      <c r="A617" s="76" t="s">
        <v>2949</v>
      </c>
      <c r="B617" s="69" t="s">
        <v>2950</v>
      </c>
      <c r="C617" s="76"/>
      <c r="D617" s="76"/>
      <c r="E617" s="76"/>
      <c r="F617" s="76"/>
      <c r="G617" s="76"/>
      <c r="H617" s="76"/>
      <c r="I617" s="76"/>
      <c r="J617" s="76"/>
      <c r="K617" s="76"/>
      <c r="M617" s="77"/>
      <c r="N617" s="76" t="s">
        <v>6460</v>
      </c>
      <c r="O617" s="78">
        <v>1</v>
      </c>
      <c r="P617" s="76"/>
      <c r="Q617" s="76"/>
      <c r="R617" s="67">
        <f t="shared" si="30"/>
        <v>0</v>
      </c>
      <c r="S617" s="76">
        <v>2024</v>
      </c>
    </row>
    <row r="618" spans="1:19" ht="16" x14ac:dyDescent="0.2">
      <c r="A618" s="76" t="s">
        <v>4312</v>
      </c>
      <c r="B618" s="69" t="s">
        <v>6461</v>
      </c>
      <c r="C618" s="76"/>
      <c r="D618" s="76"/>
      <c r="E618" s="76"/>
      <c r="F618" s="76"/>
      <c r="G618" s="76"/>
      <c r="H618" s="76"/>
      <c r="I618" s="76"/>
      <c r="J618" s="76"/>
      <c r="K618" s="76"/>
      <c r="M618" s="77"/>
      <c r="N618" s="76" t="s">
        <v>6462</v>
      </c>
      <c r="O618" s="76"/>
      <c r="P618" s="76"/>
      <c r="Q618" s="76"/>
      <c r="R618" s="67">
        <f t="shared" si="30"/>
        <v>0</v>
      </c>
      <c r="S618" s="76">
        <v>2024</v>
      </c>
    </row>
    <row r="619" spans="1:19" ht="16" x14ac:dyDescent="0.2">
      <c r="A619" s="76" t="s">
        <v>6463</v>
      </c>
      <c r="B619" s="69" t="s">
        <v>6464</v>
      </c>
      <c r="C619" s="76"/>
      <c r="D619" s="76"/>
      <c r="E619" s="76"/>
      <c r="F619" s="76"/>
      <c r="G619" s="76"/>
      <c r="H619" s="76"/>
      <c r="I619" s="76"/>
      <c r="J619" s="76"/>
      <c r="K619" s="76"/>
      <c r="M619" s="77"/>
      <c r="N619" s="76" t="s">
        <v>6465</v>
      </c>
      <c r="O619" s="76"/>
      <c r="P619" s="76"/>
      <c r="Q619" s="76"/>
      <c r="R619" s="67">
        <f t="shared" si="30"/>
        <v>0</v>
      </c>
      <c r="S619" s="76">
        <v>2024</v>
      </c>
    </row>
    <row r="620" spans="1:19" ht="16" x14ac:dyDescent="0.2">
      <c r="A620" s="76" t="s">
        <v>3705</v>
      </c>
      <c r="B620" s="69" t="s">
        <v>6467</v>
      </c>
      <c r="C620" s="76"/>
      <c r="D620" s="76"/>
      <c r="E620" s="76"/>
      <c r="F620" s="76"/>
      <c r="G620" s="76"/>
      <c r="H620" s="76"/>
      <c r="I620" s="76"/>
      <c r="J620" s="76"/>
      <c r="K620" s="76"/>
      <c r="M620" s="77"/>
      <c r="N620" s="76" t="s">
        <v>6468</v>
      </c>
      <c r="O620" s="78">
        <v>1</v>
      </c>
      <c r="P620" s="76"/>
      <c r="Q620" s="76"/>
      <c r="R620" s="67">
        <f t="shared" si="30"/>
        <v>0</v>
      </c>
      <c r="S620" s="76">
        <v>2024</v>
      </c>
    </row>
    <row r="621" spans="1:19" ht="16" x14ac:dyDescent="0.2">
      <c r="A621" s="76" t="s">
        <v>6469</v>
      </c>
      <c r="B621" s="69" t="s">
        <v>6470</v>
      </c>
      <c r="C621" s="76" t="s">
        <v>184</v>
      </c>
      <c r="D621" s="76"/>
      <c r="E621" s="76"/>
      <c r="F621" s="76"/>
      <c r="G621" s="76"/>
      <c r="H621" s="76"/>
      <c r="I621" s="76"/>
      <c r="J621" s="76"/>
      <c r="K621" s="76"/>
      <c r="M621" s="77"/>
      <c r="N621" s="76" t="s">
        <v>6471</v>
      </c>
      <c r="O621" s="76"/>
      <c r="P621" s="76"/>
      <c r="Q621" s="76"/>
      <c r="R621" s="67">
        <f t="shared" si="30"/>
        <v>0</v>
      </c>
      <c r="S621" s="76">
        <v>2024</v>
      </c>
    </row>
    <row r="622" spans="1:19" ht="16" x14ac:dyDescent="0.2">
      <c r="A622" s="76" t="s">
        <v>4146</v>
      </c>
      <c r="B622" s="69" t="s">
        <v>6472</v>
      </c>
      <c r="C622" s="76"/>
      <c r="D622" s="76"/>
      <c r="E622" s="76"/>
      <c r="F622" s="76"/>
      <c r="G622" s="76"/>
      <c r="H622" s="76"/>
      <c r="I622" s="76"/>
      <c r="J622" s="76"/>
      <c r="K622" s="76"/>
      <c r="M622" s="77"/>
      <c r="N622" s="76" t="s">
        <v>6473</v>
      </c>
      <c r="O622" s="76"/>
      <c r="P622" s="76"/>
      <c r="Q622" s="76"/>
      <c r="R622" s="67">
        <f t="shared" si="30"/>
        <v>0</v>
      </c>
      <c r="S622" s="76">
        <v>2024</v>
      </c>
    </row>
    <row r="623" spans="1:19" ht="16" x14ac:dyDescent="0.2">
      <c r="A623" s="76" t="s">
        <v>4348</v>
      </c>
      <c r="B623" s="69" t="s">
        <v>6474</v>
      </c>
      <c r="C623" s="76"/>
      <c r="D623" s="76"/>
      <c r="E623" s="76"/>
      <c r="F623" s="76"/>
      <c r="G623" s="76"/>
      <c r="H623" s="76"/>
      <c r="I623" s="76"/>
      <c r="J623" s="76"/>
      <c r="K623" s="76"/>
      <c r="M623" s="77"/>
      <c r="N623" s="76" t="s">
        <v>6475</v>
      </c>
      <c r="O623" s="76"/>
      <c r="P623" s="76"/>
      <c r="Q623" s="76"/>
      <c r="R623" s="67">
        <f t="shared" si="30"/>
        <v>0</v>
      </c>
      <c r="S623" s="76">
        <v>2024</v>
      </c>
    </row>
    <row r="624" spans="1:19" ht="16" x14ac:dyDescent="0.2">
      <c r="A624" s="76" t="s">
        <v>3763</v>
      </c>
      <c r="B624" s="69" t="s">
        <v>6476</v>
      </c>
      <c r="C624" s="76"/>
      <c r="D624" s="76"/>
      <c r="E624" s="76"/>
      <c r="F624" s="76"/>
      <c r="G624" s="76"/>
      <c r="H624" s="76"/>
      <c r="I624" s="76"/>
      <c r="J624" s="76"/>
      <c r="K624" s="76"/>
      <c r="M624" s="77" t="s">
        <v>4079</v>
      </c>
      <c r="N624" s="76" t="s">
        <v>6477</v>
      </c>
      <c r="O624" s="78">
        <v>1</v>
      </c>
      <c r="P624" s="76"/>
      <c r="Q624" s="76"/>
      <c r="R624" s="67">
        <f t="shared" si="30"/>
        <v>0</v>
      </c>
      <c r="S624" s="76">
        <v>2024</v>
      </c>
    </row>
    <row r="625" spans="1:19" ht="16" x14ac:dyDescent="0.2">
      <c r="A625" s="76" t="s">
        <v>6478</v>
      </c>
      <c r="B625" s="69" t="s">
        <v>6479</v>
      </c>
      <c r="C625" s="76"/>
      <c r="D625" s="76"/>
      <c r="E625" s="76"/>
      <c r="F625" s="76"/>
      <c r="G625" s="76"/>
      <c r="H625" s="76"/>
      <c r="I625" s="76"/>
      <c r="J625" s="76"/>
      <c r="K625" s="76"/>
      <c r="M625" s="77" t="s">
        <v>21</v>
      </c>
      <c r="N625" s="76" t="s">
        <v>6480</v>
      </c>
      <c r="O625" s="76"/>
      <c r="P625" s="76"/>
      <c r="Q625" s="76"/>
      <c r="R625" s="67">
        <f t="shared" si="30"/>
        <v>0</v>
      </c>
      <c r="S625" s="76">
        <v>2024</v>
      </c>
    </row>
    <row r="626" spans="1:19" ht="16" x14ac:dyDescent="0.2">
      <c r="A626" s="76" t="s">
        <v>6481</v>
      </c>
      <c r="B626" s="69" t="s">
        <v>6482</v>
      </c>
      <c r="C626" s="76"/>
      <c r="D626" s="76"/>
      <c r="E626" s="76"/>
      <c r="F626" s="76"/>
      <c r="G626" s="76"/>
      <c r="H626" s="76"/>
      <c r="I626" s="76"/>
      <c r="J626" s="76"/>
      <c r="K626" s="76"/>
      <c r="M626" s="77"/>
      <c r="N626" s="76" t="s">
        <v>6483</v>
      </c>
      <c r="O626" s="76"/>
      <c r="P626" s="76"/>
      <c r="Q626" s="76"/>
      <c r="R626" s="67">
        <f t="shared" si="30"/>
        <v>0</v>
      </c>
      <c r="S626" s="76">
        <v>2024</v>
      </c>
    </row>
    <row r="627" spans="1:19" ht="16" x14ac:dyDescent="0.2">
      <c r="A627" s="76" t="s">
        <v>2601</v>
      </c>
      <c r="B627" s="69" t="s">
        <v>6484</v>
      </c>
      <c r="C627" s="76"/>
      <c r="D627" s="76"/>
      <c r="E627" s="76"/>
      <c r="F627" s="76"/>
      <c r="G627" s="76"/>
      <c r="H627" s="76"/>
      <c r="I627" s="76"/>
      <c r="J627" s="76"/>
      <c r="K627" s="76"/>
      <c r="M627" s="77" t="s">
        <v>21</v>
      </c>
      <c r="N627" s="76" t="s">
        <v>6485</v>
      </c>
      <c r="O627" s="76"/>
      <c r="P627" s="76"/>
      <c r="Q627" s="76"/>
      <c r="R627" s="67">
        <f t="shared" si="30"/>
        <v>0</v>
      </c>
      <c r="S627" s="76">
        <v>2024</v>
      </c>
    </row>
    <row r="628" spans="1:19" ht="16" x14ac:dyDescent="0.2">
      <c r="A628" s="76" t="s">
        <v>6486</v>
      </c>
      <c r="B628" s="69" t="s">
        <v>6487</v>
      </c>
      <c r="C628" s="76"/>
      <c r="D628" s="76"/>
      <c r="E628" s="76"/>
      <c r="F628" s="76"/>
      <c r="G628" s="76"/>
      <c r="H628" s="76"/>
      <c r="I628" s="76"/>
      <c r="J628" s="76"/>
      <c r="K628" s="76">
        <v>1</v>
      </c>
      <c r="M628" s="77" t="s">
        <v>21</v>
      </c>
      <c r="N628" s="76" t="s">
        <v>6488</v>
      </c>
      <c r="O628" s="76"/>
      <c r="P628" s="76"/>
      <c r="Q628" s="76"/>
      <c r="R628" s="67">
        <f t="shared" si="30"/>
        <v>0</v>
      </c>
      <c r="S628" s="76">
        <v>2024</v>
      </c>
    </row>
    <row r="629" spans="1:19" ht="16" x14ac:dyDescent="0.2">
      <c r="A629" s="76" t="s">
        <v>6489</v>
      </c>
      <c r="B629" s="69" t="s">
        <v>6490</v>
      </c>
      <c r="C629" s="76"/>
      <c r="D629" s="76"/>
      <c r="E629" s="76"/>
      <c r="F629" s="76"/>
      <c r="G629" s="76"/>
      <c r="H629" s="76"/>
      <c r="I629" s="76"/>
      <c r="J629" s="76"/>
      <c r="K629" s="76"/>
      <c r="M629" s="77"/>
      <c r="N629" s="76" t="s">
        <v>6491</v>
      </c>
      <c r="O629" s="76"/>
      <c r="P629" s="76"/>
      <c r="Q629" s="76"/>
      <c r="R629" s="67">
        <f t="shared" si="30"/>
        <v>0</v>
      </c>
      <c r="S629" s="76">
        <v>2024</v>
      </c>
    </row>
    <row r="630" spans="1:19" ht="16" x14ac:dyDescent="0.2">
      <c r="A630" s="76" t="s">
        <v>6492</v>
      </c>
      <c r="B630" s="69" t="s">
        <v>6493</v>
      </c>
      <c r="C630" s="76"/>
      <c r="D630" s="76"/>
      <c r="E630" s="76"/>
      <c r="F630" s="76"/>
      <c r="G630" s="76"/>
      <c r="H630" s="76"/>
      <c r="I630" s="76"/>
      <c r="J630" s="76"/>
      <c r="K630" s="76"/>
      <c r="M630" s="77"/>
      <c r="N630" s="76" t="s">
        <v>6494</v>
      </c>
      <c r="O630" s="76"/>
      <c r="P630" s="76"/>
      <c r="Q630" s="76"/>
      <c r="R630" s="67">
        <f t="shared" si="30"/>
        <v>0</v>
      </c>
      <c r="S630" s="76">
        <v>2024</v>
      </c>
    </row>
    <row r="631" spans="1:19" ht="16" x14ac:dyDescent="0.2">
      <c r="A631" s="76" t="s">
        <v>6495</v>
      </c>
      <c r="B631" s="69" t="s">
        <v>6496</v>
      </c>
      <c r="C631" s="76"/>
      <c r="D631" s="76"/>
      <c r="E631" s="76"/>
      <c r="F631" s="76"/>
      <c r="G631" s="76"/>
      <c r="H631" s="76"/>
      <c r="I631" s="76"/>
      <c r="J631" s="76"/>
      <c r="K631" s="76"/>
      <c r="M631" s="77" t="s">
        <v>21</v>
      </c>
      <c r="N631" s="76" t="s">
        <v>6497</v>
      </c>
      <c r="O631" s="76"/>
      <c r="P631" s="76"/>
      <c r="Q631" s="76"/>
      <c r="R631" s="67">
        <f t="shared" si="30"/>
        <v>0</v>
      </c>
      <c r="S631" s="76">
        <v>2024</v>
      </c>
    </row>
    <row r="632" spans="1:19" ht="16" x14ac:dyDescent="0.2">
      <c r="A632" s="76" t="s">
        <v>318</v>
      </c>
      <c r="B632" s="69" t="s">
        <v>6501</v>
      </c>
      <c r="C632" s="76"/>
      <c r="D632" s="76"/>
      <c r="E632" s="76"/>
      <c r="F632" s="76"/>
      <c r="G632" s="76"/>
      <c r="H632" s="76"/>
      <c r="I632" s="76"/>
      <c r="J632" s="76"/>
      <c r="K632" s="76"/>
      <c r="M632" s="77" t="s">
        <v>4079</v>
      </c>
      <c r="N632" s="76" t="s">
        <v>6340</v>
      </c>
      <c r="O632" s="78">
        <v>1</v>
      </c>
      <c r="P632" s="76"/>
      <c r="Q632" s="76"/>
      <c r="R632" s="67">
        <f t="shared" si="30"/>
        <v>0</v>
      </c>
      <c r="S632" s="76">
        <v>2024</v>
      </c>
    </row>
    <row r="633" spans="1:19" ht="16" x14ac:dyDescent="0.2">
      <c r="A633" s="76" t="s">
        <v>6502</v>
      </c>
      <c r="B633" s="69" t="s">
        <v>6503</v>
      </c>
      <c r="C633" s="76"/>
      <c r="D633" s="76"/>
      <c r="E633" s="76"/>
      <c r="F633" s="76"/>
      <c r="G633" s="76"/>
      <c r="H633" s="76"/>
      <c r="I633" s="76"/>
      <c r="J633" s="76"/>
      <c r="K633" s="76"/>
      <c r="M633" s="77"/>
      <c r="N633" s="76" t="s">
        <v>6504</v>
      </c>
      <c r="O633" s="76"/>
      <c r="P633" s="76"/>
      <c r="Q633" s="76"/>
      <c r="R633" s="67">
        <f t="shared" si="30"/>
        <v>0</v>
      </c>
      <c r="S633" s="76">
        <v>2024</v>
      </c>
    </row>
    <row r="634" spans="1:19" ht="16" x14ac:dyDescent="0.2">
      <c r="A634" s="76" t="s">
        <v>3192</v>
      </c>
      <c r="B634" s="69" t="s">
        <v>3193</v>
      </c>
      <c r="C634" s="76"/>
      <c r="D634" s="76"/>
      <c r="E634" s="76"/>
      <c r="F634" s="76"/>
      <c r="G634" s="76"/>
      <c r="H634" s="76"/>
      <c r="I634" s="76"/>
      <c r="J634" s="76"/>
      <c r="K634" s="76"/>
      <c r="M634" s="77" t="s">
        <v>21</v>
      </c>
      <c r="N634" s="76" t="s">
        <v>6505</v>
      </c>
      <c r="O634" s="78">
        <v>1</v>
      </c>
      <c r="P634" s="76"/>
      <c r="Q634" s="76"/>
      <c r="R634" s="67">
        <f t="shared" si="30"/>
        <v>0</v>
      </c>
      <c r="S634" s="76">
        <v>2024</v>
      </c>
    </row>
    <row r="635" spans="1:19" ht="16" x14ac:dyDescent="0.2">
      <c r="A635" s="76" t="s">
        <v>6506</v>
      </c>
      <c r="B635" s="69" t="s">
        <v>6507</v>
      </c>
      <c r="C635" s="76"/>
      <c r="D635" s="76"/>
      <c r="E635" s="76"/>
      <c r="F635" s="76"/>
      <c r="G635" s="76"/>
      <c r="H635" s="76"/>
      <c r="I635" s="76"/>
      <c r="J635" s="76"/>
      <c r="K635" s="76"/>
      <c r="M635" s="77"/>
      <c r="N635" s="76" t="s">
        <v>6508</v>
      </c>
      <c r="O635" s="76"/>
      <c r="P635" s="76"/>
      <c r="Q635" s="76"/>
      <c r="R635" s="67">
        <f t="shared" si="30"/>
        <v>0</v>
      </c>
      <c r="S635" s="76">
        <v>2024</v>
      </c>
    </row>
    <row r="636" spans="1:19" ht="16" x14ac:dyDescent="0.2">
      <c r="A636" s="76" t="s">
        <v>3323</v>
      </c>
      <c r="B636" s="69" t="s">
        <v>3324</v>
      </c>
      <c r="C636" s="76"/>
      <c r="D636" s="76"/>
      <c r="E636" s="76"/>
      <c r="F636" s="76"/>
      <c r="G636" s="76"/>
      <c r="H636" s="76"/>
      <c r="I636" s="76"/>
      <c r="J636" s="76"/>
      <c r="K636" s="76"/>
      <c r="M636" s="77"/>
      <c r="N636" s="76" t="s">
        <v>6509</v>
      </c>
      <c r="O636" s="76"/>
      <c r="P636" s="76"/>
      <c r="Q636" s="76"/>
      <c r="R636" s="67">
        <f t="shared" si="30"/>
        <v>0</v>
      </c>
      <c r="S636" s="76">
        <v>2024</v>
      </c>
    </row>
    <row r="637" spans="1:19" ht="16" x14ac:dyDescent="0.2">
      <c r="A637" s="76" t="s">
        <v>4186</v>
      </c>
      <c r="B637" s="69" t="s">
        <v>6510</v>
      </c>
      <c r="C637" s="76"/>
      <c r="D637" s="76"/>
      <c r="E637" s="76"/>
      <c r="F637" s="76"/>
      <c r="G637" s="76"/>
      <c r="H637" s="76"/>
      <c r="I637" s="76"/>
      <c r="J637" s="76"/>
      <c r="K637" s="76"/>
      <c r="M637" s="77"/>
      <c r="N637" s="76" t="s">
        <v>6511</v>
      </c>
      <c r="O637" s="78">
        <v>1</v>
      </c>
      <c r="P637" s="76"/>
      <c r="Q637" s="76"/>
      <c r="R637" s="67">
        <f t="shared" si="30"/>
        <v>0</v>
      </c>
      <c r="S637" s="76">
        <v>2024</v>
      </c>
    </row>
    <row r="638" spans="1:19" ht="16" x14ac:dyDescent="0.2">
      <c r="A638" s="76" t="s">
        <v>3760</v>
      </c>
      <c r="B638" s="69" t="s">
        <v>6512</v>
      </c>
      <c r="C638" s="76"/>
      <c r="D638" s="76"/>
      <c r="E638" s="76"/>
      <c r="F638" s="76"/>
      <c r="G638" s="76"/>
      <c r="H638" s="76"/>
      <c r="I638" s="76"/>
      <c r="J638" s="76"/>
      <c r="K638" s="76"/>
      <c r="M638" s="77" t="s">
        <v>4079</v>
      </c>
      <c r="N638" s="76" t="s">
        <v>6513</v>
      </c>
      <c r="O638" s="78">
        <v>1</v>
      </c>
      <c r="P638" s="76"/>
      <c r="Q638" s="76"/>
      <c r="R638" s="67">
        <f t="shared" si="30"/>
        <v>0</v>
      </c>
      <c r="S638" s="76">
        <v>2025</v>
      </c>
    </row>
    <row r="639" spans="1:19" ht="16" x14ac:dyDescent="0.2">
      <c r="A639" s="76" t="s">
        <v>3958</v>
      </c>
      <c r="B639" s="69" t="s">
        <v>6514</v>
      </c>
      <c r="C639" s="76"/>
      <c r="D639" s="76"/>
      <c r="E639" s="76"/>
      <c r="F639" s="76"/>
      <c r="G639" s="76"/>
      <c r="H639" s="76"/>
      <c r="I639" s="76"/>
      <c r="J639" s="76"/>
      <c r="K639" s="76"/>
      <c r="M639" s="77"/>
      <c r="N639" s="76" t="s">
        <v>6515</v>
      </c>
      <c r="O639" s="76"/>
      <c r="P639" s="76"/>
      <c r="Q639" s="76"/>
      <c r="R639" s="67">
        <f t="shared" si="30"/>
        <v>0</v>
      </c>
      <c r="S639" s="76">
        <v>2024</v>
      </c>
    </row>
    <row r="640" spans="1:19" ht="16" x14ac:dyDescent="0.2">
      <c r="A640" s="76" t="s">
        <v>3755</v>
      </c>
      <c r="B640" s="69" t="s">
        <v>6516</v>
      </c>
      <c r="C640" s="76"/>
      <c r="D640" s="76"/>
      <c r="E640" s="76"/>
      <c r="F640" s="76"/>
      <c r="G640" s="76"/>
      <c r="H640" s="76"/>
      <c r="I640" s="76"/>
      <c r="J640" s="76"/>
      <c r="K640" s="76"/>
      <c r="M640" s="77" t="s">
        <v>4079</v>
      </c>
      <c r="N640" s="76" t="s">
        <v>6304</v>
      </c>
      <c r="O640" s="78">
        <v>1</v>
      </c>
      <c r="P640" s="76"/>
      <c r="Q640" s="76"/>
      <c r="R640" s="67">
        <f t="shared" si="30"/>
        <v>0</v>
      </c>
      <c r="S640" s="76">
        <v>2024</v>
      </c>
    </row>
    <row r="641" spans="1:19" ht="16" x14ac:dyDescent="0.2">
      <c r="A641" s="76" t="s">
        <v>3762</v>
      </c>
      <c r="B641" s="69" t="s">
        <v>6517</v>
      </c>
      <c r="C641" s="76"/>
      <c r="D641" s="76"/>
      <c r="E641" s="76"/>
      <c r="F641" s="76"/>
      <c r="G641" s="76"/>
      <c r="H641" s="76"/>
      <c r="I641" s="76"/>
      <c r="J641" s="76"/>
      <c r="K641" s="76"/>
      <c r="M641" s="77" t="s">
        <v>4079</v>
      </c>
      <c r="N641" s="76" t="s">
        <v>6518</v>
      </c>
      <c r="O641" s="78">
        <v>1</v>
      </c>
      <c r="P641" s="76"/>
      <c r="Q641" s="76"/>
      <c r="R641" s="67">
        <f t="shared" si="30"/>
        <v>0</v>
      </c>
      <c r="S641" s="76">
        <v>2025</v>
      </c>
    </row>
    <row r="642" spans="1:19" ht="16" x14ac:dyDescent="0.2">
      <c r="A642" s="76" t="s">
        <v>6519</v>
      </c>
      <c r="B642" s="69" t="s">
        <v>6520</v>
      </c>
      <c r="C642" s="76"/>
      <c r="D642" s="76"/>
      <c r="E642" s="76"/>
      <c r="F642" s="76"/>
      <c r="G642" s="76"/>
      <c r="H642" s="76"/>
      <c r="I642" s="76"/>
      <c r="J642" s="76"/>
      <c r="K642" s="76"/>
      <c r="M642" s="77"/>
      <c r="N642" s="76" t="s">
        <v>6521</v>
      </c>
      <c r="O642" s="76"/>
      <c r="P642" s="76"/>
      <c r="Q642" s="76"/>
      <c r="R642" s="67">
        <f t="shared" ref="R642:R705" si="31">IF(_xlfn.BITAND(P642&gt;0.4999, Q642&gt;0.4999)=1,1,0)</f>
        <v>0</v>
      </c>
      <c r="S642" s="76">
        <v>2024</v>
      </c>
    </row>
    <row r="643" spans="1:19" ht="16" x14ac:dyDescent="0.2">
      <c r="A643" s="76" t="s">
        <v>4234</v>
      </c>
      <c r="B643" s="69" t="s">
        <v>6522</v>
      </c>
      <c r="C643" s="76" t="s">
        <v>184</v>
      </c>
      <c r="D643" s="76"/>
      <c r="E643" s="76"/>
      <c r="F643" s="76"/>
      <c r="G643" s="76"/>
      <c r="H643" s="76"/>
      <c r="I643" s="76"/>
      <c r="J643" s="76"/>
      <c r="K643" s="76"/>
      <c r="M643" s="77"/>
      <c r="N643" s="76" t="s">
        <v>6523</v>
      </c>
      <c r="O643" s="78">
        <v>1</v>
      </c>
      <c r="P643" s="76"/>
      <c r="Q643" s="76"/>
      <c r="R643" s="67">
        <f t="shared" si="31"/>
        <v>0</v>
      </c>
      <c r="S643" s="76">
        <v>2024</v>
      </c>
    </row>
    <row r="644" spans="1:19" ht="16" x14ac:dyDescent="0.2">
      <c r="A644" s="76" t="s">
        <v>6524</v>
      </c>
      <c r="B644" s="69" t="s">
        <v>6525</v>
      </c>
      <c r="C644" s="76"/>
      <c r="D644" s="76"/>
      <c r="E644" s="76"/>
      <c r="F644" s="76"/>
      <c r="G644" s="76"/>
      <c r="H644" s="76"/>
      <c r="I644" s="76"/>
      <c r="J644" s="76"/>
      <c r="K644" s="76">
        <v>1</v>
      </c>
      <c r="M644" s="77"/>
      <c r="N644" s="76" t="s">
        <v>6526</v>
      </c>
      <c r="O644" s="76"/>
      <c r="P644" s="76"/>
      <c r="Q644" s="76"/>
      <c r="R644" s="67">
        <f t="shared" si="31"/>
        <v>0</v>
      </c>
      <c r="S644" s="76">
        <v>2024</v>
      </c>
    </row>
    <row r="645" spans="1:19" ht="16" x14ac:dyDescent="0.2">
      <c r="A645" s="76" t="s">
        <v>6527</v>
      </c>
      <c r="B645" s="69" t="s">
        <v>6528</v>
      </c>
      <c r="C645" s="76"/>
      <c r="D645" s="76"/>
      <c r="E645" s="76"/>
      <c r="F645" s="76"/>
      <c r="G645" s="76"/>
      <c r="H645" s="76"/>
      <c r="I645" s="76"/>
      <c r="J645" s="76"/>
      <c r="K645" s="76"/>
      <c r="M645" s="77"/>
      <c r="N645" s="76" t="s">
        <v>6529</v>
      </c>
      <c r="O645" s="76"/>
      <c r="P645" s="76"/>
      <c r="Q645" s="76"/>
      <c r="R645" s="67">
        <f t="shared" si="31"/>
        <v>0</v>
      </c>
      <c r="S645" s="76">
        <v>2024</v>
      </c>
    </row>
    <row r="646" spans="1:19" ht="16" x14ac:dyDescent="0.2">
      <c r="A646" s="76" t="s">
        <v>4176</v>
      </c>
      <c r="B646" s="69" t="s">
        <v>6530</v>
      </c>
      <c r="C646" s="76"/>
      <c r="D646" s="76"/>
      <c r="E646" s="76"/>
      <c r="F646" s="76"/>
      <c r="G646" s="76"/>
      <c r="H646" s="76"/>
      <c r="I646" s="76"/>
      <c r="J646" s="76"/>
      <c r="K646" s="76"/>
      <c r="M646" s="77"/>
      <c r="N646" s="76" t="s">
        <v>6531</v>
      </c>
      <c r="O646" s="78">
        <v>1</v>
      </c>
      <c r="P646" s="76"/>
      <c r="Q646" s="76"/>
      <c r="R646" s="67">
        <f t="shared" si="31"/>
        <v>0</v>
      </c>
      <c r="S646" s="76">
        <v>2025</v>
      </c>
    </row>
    <row r="647" spans="1:19" ht="16" x14ac:dyDescent="0.2">
      <c r="A647" s="76" t="s">
        <v>3761</v>
      </c>
      <c r="B647" s="69" t="s">
        <v>6532</v>
      </c>
      <c r="C647" s="76"/>
      <c r="D647" s="76"/>
      <c r="E647" s="76"/>
      <c r="F647" s="76"/>
      <c r="G647" s="76"/>
      <c r="H647" s="76"/>
      <c r="I647" s="76"/>
      <c r="J647" s="76"/>
      <c r="K647" s="76"/>
      <c r="M647" s="77" t="s">
        <v>4079</v>
      </c>
      <c r="N647" s="76" t="s">
        <v>6533</v>
      </c>
      <c r="O647" s="78">
        <v>1</v>
      </c>
      <c r="P647" s="76"/>
      <c r="Q647" s="76"/>
      <c r="R647" s="67">
        <f t="shared" si="31"/>
        <v>0</v>
      </c>
      <c r="S647" s="76">
        <v>2025</v>
      </c>
    </row>
    <row r="648" spans="1:19" ht="16" x14ac:dyDescent="0.2">
      <c r="A648" s="76" t="s">
        <v>885</v>
      </c>
      <c r="B648" s="69" t="s">
        <v>3035</v>
      </c>
      <c r="C648" s="76"/>
      <c r="D648" s="76"/>
      <c r="E648" s="76"/>
      <c r="F648" s="76"/>
      <c r="G648" s="76"/>
      <c r="H648" s="76"/>
      <c r="I648" s="76"/>
      <c r="J648" s="76"/>
      <c r="K648" s="76"/>
      <c r="M648" s="77" t="s">
        <v>21</v>
      </c>
      <c r="N648" s="76" t="s">
        <v>6534</v>
      </c>
      <c r="O648" s="76"/>
      <c r="P648" s="76"/>
      <c r="Q648" s="76"/>
      <c r="R648" s="67">
        <f t="shared" si="31"/>
        <v>0</v>
      </c>
      <c r="S648" s="76">
        <v>2024</v>
      </c>
    </row>
    <row r="649" spans="1:19" ht="16" x14ac:dyDescent="0.2">
      <c r="A649" s="76" t="s">
        <v>3764</v>
      </c>
      <c r="B649" s="69" t="s">
        <v>6535</v>
      </c>
      <c r="C649" s="76"/>
      <c r="D649" s="76"/>
      <c r="E649" s="76"/>
      <c r="F649" s="76"/>
      <c r="G649" s="76"/>
      <c r="H649" s="76"/>
      <c r="I649" s="76"/>
      <c r="J649" s="76"/>
      <c r="K649" s="76"/>
      <c r="M649" s="77" t="s">
        <v>4079</v>
      </c>
      <c r="N649" s="76" t="s">
        <v>6536</v>
      </c>
      <c r="O649" s="78">
        <v>1</v>
      </c>
      <c r="P649" s="76"/>
      <c r="Q649" s="76"/>
      <c r="R649" s="67">
        <f t="shared" si="31"/>
        <v>0</v>
      </c>
      <c r="S649" s="76">
        <v>2025</v>
      </c>
    </row>
    <row r="650" spans="1:19" ht="16" x14ac:dyDescent="0.2">
      <c r="A650" s="76" t="s">
        <v>4240</v>
      </c>
      <c r="B650" s="69" t="s">
        <v>6537</v>
      </c>
      <c r="C650" s="76"/>
      <c r="D650" s="76"/>
      <c r="E650" s="76"/>
      <c r="F650" s="76"/>
      <c r="G650" s="76"/>
      <c r="H650" s="76"/>
      <c r="I650" s="76"/>
      <c r="J650" s="76"/>
      <c r="K650" s="76"/>
      <c r="M650" s="77" t="s">
        <v>4079</v>
      </c>
      <c r="N650" s="76" t="s">
        <v>6538</v>
      </c>
      <c r="O650" s="76"/>
      <c r="P650" s="76"/>
      <c r="Q650" s="76"/>
      <c r="R650" s="67">
        <f t="shared" si="31"/>
        <v>0</v>
      </c>
      <c r="S650" s="76">
        <v>2024</v>
      </c>
    </row>
    <row r="651" spans="1:19" ht="16" x14ac:dyDescent="0.2">
      <c r="A651" s="76" t="s">
        <v>6539</v>
      </c>
      <c r="B651" s="69" t="s">
        <v>6540</v>
      </c>
      <c r="C651" s="76"/>
      <c r="D651" s="76"/>
      <c r="E651" s="76"/>
      <c r="F651" s="76"/>
      <c r="G651" s="76"/>
      <c r="H651" s="76"/>
      <c r="I651" s="76"/>
      <c r="J651" s="76"/>
      <c r="K651" s="76">
        <v>1</v>
      </c>
      <c r="M651" s="77" t="s">
        <v>21</v>
      </c>
      <c r="N651" s="76" t="s">
        <v>6541</v>
      </c>
      <c r="O651" s="76"/>
      <c r="P651" s="76"/>
      <c r="Q651" s="76"/>
      <c r="R651" s="67">
        <f t="shared" si="31"/>
        <v>0</v>
      </c>
      <c r="S651" s="76">
        <v>2024</v>
      </c>
    </row>
    <row r="652" spans="1:19" ht="16" x14ac:dyDescent="0.2">
      <c r="A652" s="76" t="s">
        <v>6542</v>
      </c>
      <c r="B652" s="69" t="s">
        <v>6543</v>
      </c>
      <c r="C652" s="76"/>
      <c r="D652" s="76"/>
      <c r="E652" s="76"/>
      <c r="F652" s="76"/>
      <c r="G652" s="76"/>
      <c r="H652" s="76"/>
      <c r="I652" s="76"/>
      <c r="J652" s="76"/>
      <c r="K652" s="76"/>
      <c r="M652" s="77"/>
      <c r="N652" s="76" t="s">
        <v>6544</v>
      </c>
      <c r="O652" s="78">
        <v>1</v>
      </c>
      <c r="P652" s="76"/>
      <c r="Q652" s="76"/>
      <c r="R652" s="67">
        <f t="shared" si="31"/>
        <v>0</v>
      </c>
      <c r="S652" s="76">
        <v>2025</v>
      </c>
    </row>
    <row r="653" spans="1:19" ht="16" x14ac:dyDescent="0.2">
      <c r="A653" s="76" t="s">
        <v>6545</v>
      </c>
      <c r="B653" s="69" t="s">
        <v>6546</v>
      </c>
      <c r="C653" s="76"/>
      <c r="D653" s="76"/>
      <c r="E653" s="76"/>
      <c r="F653" s="76"/>
      <c r="G653" s="76"/>
      <c r="H653" s="76"/>
      <c r="I653" s="76"/>
      <c r="J653" s="76"/>
      <c r="K653" s="76"/>
      <c r="M653" s="77"/>
      <c r="N653" s="76" t="s">
        <v>6547</v>
      </c>
      <c r="O653" s="76"/>
      <c r="P653" s="76"/>
      <c r="Q653" s="76"/>
      <c r="R653" s="67">
        <f t="shared" si="31"/>
        <v>0</v>
      </c>
      <c r="S653" s="76">
        <v>2025</v>
      </c>
    </row>
    <row r="654" spans="1:19" ht="16" x14ac:dyDescent="0.2">
      <c r="A654" s="76" t="s">
        <v>6548</v>
      </c>
      <c r="B654" s="69" t="s">
        <v>6549</v>
      </c>
      <c r="C654" s="76"/>
      <c r="D654" s="76"/>
      <c r="E654" s="76"/>
      <c r="F654" s="76"/>
      <c r="G654" s="76"/>
      <c r="H654" s="76"/>
      <c r="I654" s="76"/>
      <c r="J654" s="76"/>
      <c r="K654" s="76"/>
      <c r="M654" s="77" t="s">
        <v>21</v>
      </c>
      <c r="N654" s="76" t="s">
        <v>6550</v>
      </c>
      <c r="O654" s="76"/>
      <c r="P654" s="76"/>
      <c r="Q654" s="76"/>
      <c r="R654" s="67">
        <f t="shared" si="31"/>
        <v>0</v>
      </c>
      <c r="S654" s="76">
        <v>2025</v>
      </c>
    </row>
    <row r="655" spans="1:19" ht="16" x14ac:dyDescent="0.2">
      <c r="A655" s="76" t="s">
        <v>4110</v>
      </c>
      <c r="B655" s="69" t="s">
        <v>6551</v>
      </c>
      <c r="C655" s="76"/>
      <c r="D655" s="76"/>
      <c r="E655" s="76"/>
      <c r="F655" s="76"/>
      <c r="G655" s="76"/>
      <c r="H655" s="76"/>
      <c r="I655" s="76"/>
      <c r="J655" s="76"/>
      <c r="K655" s="76"/>
      <c r="M655" s="77" t="s">
        <v>4079</v>
      </c>
      <c r="N655" s="76" t="s">
        <v>6552</v>
      </c>
      <c r="O655" s="76"/>
      <c r="P655" s="76"/>
      <c r="Q655" s="76"/>
      <c r="R655" s="67">
        <f t="shared" si="31"/>
        <v>0</v>
      </c>
      <c r="S655" s="76">
        <v>2025</v>
      </c>
    </row>
    <row r="656" spans="1:19" ht="16" x14ac:dyDescent="0.2">
      <c r="A656" s="76" t="s">
        <v>6553</v>
      </c>
      <c r="B656" s="69" t="s">
        <v>6554</v>
      </c>
      <c r="C656" s="76"/>
      <c r="D656" s="76"/>
      <c r="E656" s="76"/>
      <c r="F656" s="76"/>
      <c r="G656" s="76"/>
      <c r="H656" s="76"/>
      <c r="I656" s="76"/>
      <c r="J656" s="76"/>
      <c r="K656" s="76"/>
      <c r="M656" s="77" t="s">
        <v>4079</v>
      </c>
      <c r="N656" s="76" t="s">
        <v>6555</v>
      </c>
      <c r="O656" s="76"/>
      <c r="P656" s="76"/>
      <c r="Q656" s="76"/>
      <c r="R656" s="67">
        <f t="shared" si="31"/>
        <v>0</v>
      </c>
      <c r="S656" s="76">
        <v>2024</v>
      </c>
    </row>
    <row r="657" spans="1:19" ht="16" x14ac:dyDescent="0.2">
      <c r="A657" s="76" t="s">
        <v>6556</v>
      </c>
      <c r="B657" s="69" t="s">
        <v>6557</v>
      </c>
      <c r="C657" s="76"/>
      <c r="D657" s="76"/>
      <c r="E657" s="76"/>
      <c r="F657" s="76"/>
      <c r="G657" s="76"/>
      <c r="H657" s="76"/>
      <c r="I657" s="76"/>
      <c r="J657" s="76"/>
      <c r="K657" s="76"/>
      <c r="M657" s="77" t="s">
        <v>21</v>
      </c>
      <c r="N657" s="76" t="s">
        <v>6558</v>
      </c>
      <c r="O657" s="76"/>
      <c r="P657" s="76"/>
      <c r="Q657" s="76"/>
      <c r="R657" s="67">
        <f t="shared" si="31"/>
        <v>0</v>
      </c>
      <c r="S657" s="76">
        <v>2024</v>
      </c>
    </row>
    <row r="658" spans="1:19" ht="16" x14ac:dyDescent="0.2">
      <c r="A658" s="76" t="s">
        <v>6559</v>
      </c>
      <c r="B658" s="69" t="s">
        <v>6560</v>
      </c>
      <c r="C658" s="76"/>
      <c r="D658" s="76"/>
      <c r="E658" s="76"/>
      <c r="F658" s="76"/>
      <c r="G658" s="76"/>
      <c r="H658" s="76"/>
      <c r="I658" s="76"/>
      <c r="J658" s="76"/>
      <c r="K658" s="76"/>
      <c r="M658" s="77" t="s">
        <v>21</v>
      </c>
      <c r="N658" s="76" t="s">
        <v>6561</v>
      </c>
      <c r="O658" s="76"/>
      <c r="P658" s="76"/>
      <c r="Q658" s="76"/>
      <c r="R658" s="67">
        <f t="shared" si="31"/>
        <v>0</v>
      </c>
      <c r="S658" s="76">
        <v>2024</v>
      </c>
    </row>
    <row r="659" spans="1:19" ht="16" x14ac:dyDescent="0.2">
      <c r="A659" s="76" t="s">
        <v>6159</v>
      </c>
      <c r="B659" s="69" t="s">
        <v>6562</v>
      </c>
      <c r="C659" s="76"/>
      <c r="D659" s="76"/>
      <c r="E659" s="76"/>
      <c r="F659" s="76"/>
      <c r="G659" s="76"/>
      <c r="H659" s="76"/>
      <c r="I659" s="76"/>
      <c r="J659" s="76"/>
      <c r="K659" s="76"/>
      <c r="M659" s="77"/>
      <c r="N659" s="76" t="s">
        <v>6563</v>
      </c>
      <c r="O659" s="76"/>
      <c r="P659" s="76"/>
      <c r="Q659" s="76"/>
      <c r="R659" s="67">
        <f t="shared" si="31"/>
        <v>0</v>
      </c>
      <c r="S659" s="76">
        <v>2024</v>
      </c>
    </row>
    <row r="660" spans="1:19" ht="16" x14ac:dyDescent="0.2">
      <c r="A660" s="76" t="s">
        <v>6564</v>
      </c>
      <c r="B660" s="69" t="s">
        <v>6565</v>
      </c>
      <c r="C660" s="76"/>
      <c r="D660" s="76"/>
      <c r="E660" s="76"/>
      <c r="F660" s="76"/>
      <c r="G660" s="76"/>
      <c r="H660" s="76"/>
      <c r="I660" s="76"/>
      <c r="J660" s="76"/>
      <c r="K660" s="76"/>
      <c r="M660" s="77"/>
      <c r="N660" s="76" t="s">
        <v>6566</v>
      </c>
      <c r="O660" s="78">
        <v>1</v>
      </c>
      <c r="P660" s="76"/>
      <c r="Q660" s="76"/>
      <c r="R660" s="67">
        <f t="shared" si="31"/>
        <v>0</v>
      </c>
      <c r="S660" s="76">
        <v>2024</v>
      </c>
    </row>
    <row r="661" spans="1:19" ht="16" x14ac:dyDescent="0.2">
      <c r="A661" s="76" t="s">
        <v>3754</v>
      </c>
      <c r="B661" s="69" t="s">
        <v>6567</v>
      </c>
      <c r="C661" s="76"/>
      <c r="D661" s="76"/>
      <c r="E661" s="76"/>
      <c r="F661" s="76"/>
      <c r="G661" s="76"/>
      <c r="H661" s="76"/>
      <c r="I661" s="76"/>
      <c r="J661" s="76"/>
      <c r="K661" s="76"/>
      <c r="M661" s="77" t="s">
        <v>4079</v>
      </c>
      <c r="N661" s="76" t="s">
        <v>6340</v>
      </c>
      <c r="O661" s="78">
        <v>1</v>
      </c>
      <c r="P661" s="76"/>
      <c r="Q661" s="76"/>
      <c r="R661" s="67">
        <f t="shared" si="31"/>
        <v>0</v>
      </c>
      <c r="S661" s="76">
        <v>2024</v>
      </c>
    </row>
    <row r="662" spans="1:19" ht="16" x14ac:dyDescent="0.2">
      <c r="A662" s="76" t="s">
        <v>6568</v>
      </c>
      <c r="B662" s="69" t="s">
        <v>6569</v>
      </c>
      <c r="C662" s="76" t="s">
        <v>201</v>
      </c>
      <c r="D662" s="76"/>
      <c r="E662" s="76"/>
      <c r="F662" s="76"/>
      <c r="G662" s="76"/>
      <c r="H662" s="76"/>
      <c r="I662" s="76"/>
      <c r="J662" s="76"/>
      <c r="K662" s="76"/>
      <c r="M662" s="77"/>
      <c r="N662" s="76" t="s">
        <v>6570</v>
      </c>
      <c r="O662" s="76"/>
      <c r="P662" s="76"/>
      <c r="Q662" s="76"/>
      <c r="R662" s="67">
        <f t="shared" si="31"/>
        <v>0</v>
      </c>
      <c r="S662" s="76">
        <v>2025</v>
      </c>
    </row>
    <row r="663" spans="1:19" ht="16" x14ac:dyDescent="0.2">
      <c r="A663" s="76" t="s">
        <v>3838</v>
      </c>
      <c r="B663" s="69" t="s">
        <v>6574</v>
      </c>
      <c r="C663" s="76"/>
      <c r="D663" s="76"/>
      <c r="E663" s="76"/>
      <c r="F663" s="76"/>
      <c r="G663" s="76"/>
      <c r="H663" s="76"/>
      <c r="I663" s="76"/>
      <c r="J663" s="76"/>
      <c r="K663" s="76"/>
      <c r="M663" s="77" t="s">
        <v>4079</v>
      </c>
      <c r="N663" s="76" t="s">
        <v>6304</v>
      </c>
      <c r="O663" s="78">
        <v>1</v>
      </c>
      <c r="P663" s="76"/>
      <c r="Q663" s="76"/>
      <c r="R663" s="67">
        <f t="shared" si="31"/>
        <v>0</v>
      </c>
      <c r="S663" s="76">
        <v>2024</v>
      </c>
    </row>
    <row r="664" spans="1:19" ht="16" x14ac:dyDescent="0.2">
      <c r="A664" s="76" t="s">
        <v>6575</v>
      </c>
      <c r="B664" s="69" t="s">
        <v>6576</v>
      </c>
      <c r="C664" s="76"/>
      <c r="D664" s="76"/>
      <c r="E664" s="76"/>
      <c r="F664" s="76"/>
      <c r="G664" s="76"/>
      <c r="H664" s="76"/>
      <c r="I664" s="76"/>
      <c r="J664" s="76"/>
      <c r="K664" s="76">
        <v>1</v>
      </c>
      <c r="M664" s="77" t="s">
        <v>21</v>
      </c>
      <c r="N664" s="76" t="s">
        <v>6577</v>
      </c>
      <c r="O664" s="76"/>
      <c r="P664" s="76"/>
      <c r="Q664" s="76"/>
      <c r="R664" s="67">
        <f t="shared" si="31"/>
        <v>0</v>
      </c>
      <c r="S664" s="76">
        <v>2024</v>
      </c>
    </row>
    <row r="665" spans="1:19" ht="16" x14ac:dyDescent="0.2">
      <c r="A665" s="76" t="s">
        <v>943</v>
      </c>
      <c r="B665" s="69" t="s">
        <v>3053</v>
      </c>
      <c r="C665" s="76"/>
      <c r="D665" s="76"/>
      <c r="E665" s="76"/>
      <c r="F665" s="76"/>
      <c r="G665" s="76"/>
      <c r="H665" s="76"/>
      <c r="I665" s="76"/>
      <c r="J665" s="76"/>
      <c r="K665" s="76"/>
      <c r="M665" s="77" t="s">
        <v>21</v>
      </c>
      <c r="N665" s="76" t="s">
        <v>6578</v>
      </c>
      <c r="O665" s="76"/>
      <c r="P665" s="76"/>
      <c r="Q665" s="76"/>
      <c r="R665" s="67">
        <f t="shared" si="31"/>
        <v>0</v>
      </c>
      <c r="S665" s="76">
        <v>2024</v>
      </c>
    </row>
    <row r="666" spans="1:19" ht="16" x14ac:dyDescent="0.2">
      <c r="A666" s="76" t="s">
        <v>6579</v>
      </c>
      <c r="B666" s="69" t="s">
        <v>6580</v>
      </c>
      <c r="C666" s="76"/>
      <c r="D666" s="76"/>
      <c r="E666" s="76"/>
      <c r="F666" s="76"/>
      <c r="G666" s="76"/>
      <c r="H666" s="76"/>
      <c r="I666" s="76"/>
      <c r="J666" s="76"/>
      <c r="K666" s="76"/>
      <c r="M666" s="77" t="s">
        <v>21</v>
      </c>
      <c r="N666" s="76" t="s">
        <v>6581</v>
      </c>
      <c r="O666" s="78">
        <v>1</v>
      </c>
      <c r="P666" s="76"/>
      <c r="Q666" s="76"/>
      <c r="R666" s="67">
        <f t="shared" si="31"/>
        <v>0</v>
      </c>
      <c r="S666" s="76">
        <v>2024</v>
      </c>
    </row>
    <row r="667" spans="1:19" ht="16" x14ac:dyDescent="0.2">
      <c r="A667" s="76" t="s">
        <v>6139</v>
      </c>
      <c r="B667" s="69" t="s">
        <v>6582</v>
      </c>
      <c r="C667" s="76"/>
      <c r="D667" s="76"/>
      <c r="E667" s="76"/>
      <c r="F667" s="76"/>
      <c r="G667" s="76"/>
      <c r="H667" s="76"/>
      <c r="I667" s="76"/>
      <c r="J667" s="76"/>
      <c r="K667" s="76"/>
      <c r="M667" s="77"/>
      <c r="N667" s="76" t="s">
        <v>6583</v>
      </c>
      <c r="O667" s="76"/>
      <c r="P667" s="76"/>
      <c r="Q667" s="76"/>
      <c r="R667" s="67">
        <f t="shared" si="31"/>
        <v>0</v>
      </c>
      <c r="S667" s="76">
        <v>2024</v>
      </c>
    </row>
    <row r="668" spans="1:19" ht="16" x14ac:dyDescent="0.2">
      <c r="A668" s="76" t="s">
        <v>6584</v>
      </c>
      <c r="B668" s="69" t="s">
        <v>6585</v>
      </c>
      <c r="C668" s="76"/>
      <c r="D668" s="76"/>
      <c r="E668" s="76"/>
      <c r="F668" s="76"/>
      <c r="G668" s="76"/>
      <c r="H668" s="76"/>
      <c r="I668" s="76"/>
      <c r="J668" s="76"/>
      <c r="K668" s="76"/>
      <c r="M668" s="77" t="s">
        <v>21</v>
      </c>
      <c r="N668" s="76" t="s">
        <v>6586</v>
      </c>
      <c r="O668" s="78">
        <v>1</v>
      </c>
      <c r="P668" s="76"/>
      <c r="Q668" s="76"/>
      <c r="R668" s="67">
        <f t="shared" si="31"/>
        <v>0</v>
      </c>
      <c r="S668" s="76">
        <v>2024</v>
      </c>
    </row>
    <row r="669" spans="1:19" ht="16" x14ac:dyDescent="0.2">
      <c r="A669" s="76" t="s">
        <v>6587</v>
      </c>
      <c r="B669" s="69" t="s">
        <v>6588</v>
      </c>
      <c r="C669" s="76"/>
      <c r="D669" s="76"/>
      <c r="E669" s="76"/>
      <c r="F669" s="76"/>
      <c r="G669" s="76"/>
      <c r="H669" s="76"/>
      <c r="I669" s="76"/>
      <c r="J669" s="76"/>
      <c r="K669" s="76"/>
      <c r="M669" s="77"/>
      <c r="N669" s="76" t="s">
        <v>6589</v>
      </c>
      <c r="O669" s="76"/>
      <c r="P669" s="76"/>
      <c r="Q669" s="76"/>
      <c r="R669" s="67">
        <f t="shared" si="31"/>
        <v>0</v>
      </c>
      <c r="S669" s="76">
        <v>2025</v>
      </c>
    </row>
    <row r="670" spans="1:19" ht="16" x14ac:dyDescent="0.2">
      <c r="A670" s="76" t="s">
        <v>4852</v>
      </c>
      <c r="B670" s="69" t="s">
        <v>6590</v>
      </c>
      <c r="C670" s="76"/>
      <c r="D670" s="76"/>
      <c r="E670" s="76"/>
      <c r="F670" s="76"/>
      <c r="G670" s="76"/>
      <c r="H670" s="76"/>
      <c r="I670" s="76"/>
      <c r="J670" s="76"/>
      <c r="K670" s="76"/>
      <c r="M670" s="77"/>
      <c r="N670" s="76" t="s">
        <v>6591</v>
      </c>
      <c r="O670" s="78">
        <v>1</v>
      </c>
      <c r="P670" s="76"/>
      <c r="Q670" s="76"/>
      <c r="R670" s="67">
        <f t="shared" si="31"/>
        <v>0</v>
      </c>
      <c r="S670" s="76">
        <v>2024</v>
      </c>
    </row>
    <row r="671" spans="1:19" ht="16" x14ac:dyDescent="0.2">
      <c r="A671" s="76" t="s">
        <v>3948</v>
      </c>
      <c r="B671" s="69" t="s">
        <v>6592</v>
      </c>
      <c r="C671" s="76"/>
      <c r="D671" s="76"/>
      <c r="E671" s="76"/>
      <c r="F671" s="76"/>
      <c r="G671" s="76"/>
      <c r="H671" s="76"/>
      <c r="I671" s="76"/>
      <c r="J671" s="76"/>
      <c r="K671" s="76"/>
      <c r="M671" s="77"/>
      <c r="N671" s="76" t="s">
        <v>6593</v>
      </c>
      <c r="O671" s="76"/>
      <c r="P671" s="76"/>
      <c r="Q671" s="76"/>
      <c r="R671" s="67">
        <f t="shared" si="31"/>
        <v>0</v>
      </c>
      <c r="S671" s="76">
        <v>2024</v>
      </c>
    </row>
    <row r="672" spans="1:19" ht="16" x14ac:dyDescent="0.2">
      <c r="A672" s="76" t="s">
        <v>6594</v>
      </c>
      <c r="B672" s="69" t="s">
        <v>6595</v>
      </c>
      <c r="C672" s="76"/>
      <c r="D672" s="76"/>
      <c r="E672" s="76"/>
      <c r="F672" s="76"/>
      <c r="G672" s="76"/>
      <c r="H672" s="76"/>
      <c r="I672" s="76"/>
      <c r="J672" s="76"/>
      <c r="K672" s="76"/>
      <c r="M672" s="77" t="s">
        <v>21</v>
      </c>
      <c r="N672" s="76" t="s">
        <v>6596</v>
      </c>
      <c r="O672" s="76"/>
      <c r="P672" s="76"/>
      <c r="Q672" s="76"/>
      <c r="R672" s="67">
        <f t="shared" si="31"/>
        <v>0</v>
      </c>
      <c r="S672" s="76">
        <v>2024</v>
      </c>
    </row>
    <row r="673" spans="1:19" ht="16" x14ac:dyDescent="0.2">
      <c r="A673" s="76" t="s">
        <v>6597</v>
      </c>
      <c r="B673" s="69" t="s">
        <v>6598</v>
      </c>
      <c r="C673" s="76"/>
      <c r="D673" s="76"/>
      <c r="E673" s="76"/>
      <c r="F673" s="76"/>
      <c r="G673" s="76"/>
      <c r="H673" s="76"/>
      <c r="I673" s="76"/>
      <c r="J673" s="76"/>
      <c r="K673" s="76"/>
      <c r="M673" s="77" t="s">
        <v>21</v>
      </c>
      <c r="N673" s="76" t="s">
        <v>6599</v>
      </c>
      <c r="O673" s="76"/>
      <c r="P673" s="76"/>
      <c r="Q673" s="76"/>
      <c r="R673" s="67">
        <f t="shared" si="31"/>
        <v>0</v>
      </c>
      <c r="S673" s="76">
        <v>2024</v>
      </c>
    </row>
    <row r="674" spans="1:19" ht="16" x14ac:dyDescent="0.2">
      <c r="A674" s="76" t="s">
        <v>6600</v>
      </c>
      <c r="B674" s="69" t="s">
        <v>6601</v>
      </c>
      <c r="C674" s="76"/>
      <c r="D674" s="76"/>
      <c r="E674" s="76"/>
      <c r="F674" s="76"/>
      <c r="G674" s="76"/>
      <c r="H674" s="76"/>
      <c r="I674" s="76"/>
      <c r="J674" s="76"/>
      <c r="K674" s="76"/>
      <c r="M674" s="77"/>
      <c r="N674" s="76" t="s">
        <v>6602</v>
      </c>
      <c r="O674" s="76"/>
      <c r="P674" s="76"/>
      <c r="Q674" s="76"/>
      <c r="R674" s="67">
        <f t="shared" si="31"/>
        <v>0</v>
      </c>
      <c r="S674" s="76">
        <v>2025</v>
      </c>
    </row>
    <row r="675" spans="1:19" ht="16" x14ac:dyDescent="0.2">
      <c r="A675" s="76" t="s">
        <v>6603</v>
      </c>
      <c r="B675" s="69" t="s">
        <v>6604</v>
      </c>
      <c r="C675" s="76"/>
      <c r="D675" s="76"/>
      <c r="E675" s="76"/>
      <c r="F675" s="76"/>
      <c r="G675" s="76"/>
      <c r="H675" s="76"/>
      <c r="I675" s="76"/>
      <c r="J675" s="76"/>
      <c r="K675" s="76"/>
      <c r="M675" s="77"/>
      <c r="N675" s="76" t="s">
        <v>6605</v>
      </c>
      <c r="O675" s="76"/>
      <c r="P675" s="76"/>
      <c r="Q675" s="76"/>
      <c r="R675" s="67">
        <f t="shared" si="31"/>
        <v>0</v>
      </c>
      <c r="S675" s="76">
        <v>2024</v>
      </c>
    </row>
    <row r="676" spans="1:19" ht="16" x14ac:dyDescent="0.2">
      <c r="A676" s="76" t="s">
        <v>6606</v>
      </c>
      <c r="B676" s="69" t="s">
        <v>6607</v>
      </c>
      <c r="C676" s="76"/>
      <c r="D676" s="76"/>
      <c r="E676" s="76"/>
      <c r="F676" s="76"/>
      <c r="G676" s="76"/>
      <c r="H676" s="76"/>
      <c r="I676" s="76"/>
      <c r="J676" s="76"/>
      <c r="K676" s="76">
        <v>1</v>
      </c>
      <c r="M676" s="77" t="s">
        <v>21</v>
      </c>
      <c r="N676" s="76" t="s">
        <v>6608</v>
      </c>
      <c r="O676" s="78">
        <v>1</v>
      </c>
      <c r="P676" s="76"/>
      <c r="Q676" s="76"/>
      <c r="R676" s="67">
        <f t="shared" si="31"/>
        <v>0</v>
      </c>
      <c r="S676" s="76">
        <v>2024</v>
      </c>
    </row>
    <row r="677" spans="1:19" ht="16" x14ac:dyDescent="0.2">
      <c r="A677" s="76" t="s">
        <v>4513</v>
      </c>
      <c r="B677" s="69" t="s">
        <v>6609</v>
      </c>
      <c r="C677" s="76"/>
      <c r="D677" s="76"/>
      <c r="E677" s="76"/>
      <c r="F677" s="76"/>
      <c r="G677" s="76"/>
      <c r="H677" s="76"/>
      <c r="I677" s="76"/>
      <c r="J677" s="76"/>
      <c r="K677" s="76"/>
      <c r="M677" s="77"/>
      <c r="N677" s="76" t="s">
        <v>6610</v>
      </c>
      <c r="O677" s="78">
        <v>1</v>
      </c>
      <c r="P677" s="76"/>
      <c r="Q677" s="76"/>
      <c r="R677" s="67">
        <f t="shared" si="31"/>
        <v>0</v>
      </c>
      <c r="S677" s="76">
        <v>2024</v>
      </c>
    </row>
    <row r="678" spans="1:19" ht="16" x14ac:dyDescent="0.2">
      <c r="A678" s="76" t="s">
        <v>6611</v>
      </c>
      <c r="B678" s="69" t="s">
        <v>6612</v>
      </c>
      <c r="C678" s="76"/>
      <c r="D678" s="76"/>
      <c r="E678" s="76"/>
      <c r="F678" s="76"/>
      <c r="G678" s="76"/>
      <c r="H678" s="76"/>
      <c r="I678" s="76"/>
      <c r="J678" s="76"/>
      <c r="K678" s="76">
        <v>1</v>
      </c>
      <c r="M678" s="77"/>
      <c r="N678" s="76" t="s">
        <v>6613</v>
      </c>
      <c r="O678" s="76"/>
      <c r="P678" s="76"/>
      <c r="Q678" s="76"/>
      <c r="R678" s="67">
        <f t="shared" si="31"/>
        <v>0</v>
      </c>
      <c r="S678" s="76">
        <v>2024</v>
      </c>
    </row>
    <row r="679" spans="1:19" ht="16" x14ac:dyDescent="0.2">
      <c r="A679" s="76" t="s">
        <v>4171</v>
      </c>
      <c r="B679" s="69" t="s">
        <v>6614</v>
      </c>
      <c r="C679" s="76"/>
      <c r="D679" s="76"/>
      <c r="E679" s="76"/>
      <c r="F679" s="76"/>
      <c r="G679" s="76"/>
      <c r="H679" s="76"/>
      <c r="I679" s="76"/>
      <c r="J679" s="76"/>
      <c r="K679" s="76"/>
      <c r="M679" s="77" t="s">
        <v>4079</v>
      </c>
      <c r="N679" s="76" t="s">
        <v>6615</v>
      </c>
      <c r="O679" s="76"/>
      <c r="P679" s="76"/>
      <c r="Q679" s="76"/>
      <c r="R679" s="67">
        <f t="shared" si="31"/>
        <v>0</v>
      </c>
      <c r="S679" s="76">
        <v>2024</v>
      </c>
    </row>
    <row r="680" spans="1:19" ht="16" x14ac:dyDescent="0.2">
      <c r="A680" s="76" t="s">
        <v>6616</v>
      </c>
      <c r="B680" s="69" t="s">
        <v>6617</v>
      </c>
      <c r="C680" s="76"/>
      <c r="D680" s="76"/>
      <c r="E680" s="76"/>
      <c r="F680" s="76"/>
      <c r="G680" s="76"/>
      <c r="H680" s="76"/>
      <c r="I680" s="76"/>
      <c r="J680" s="76"/>
      <c r="K680" s="76"/>
      <c r="M680" s="77"/>
      <c r="N680" s="76" t="s">
        <v>6618</v>
      </c>
      <c r="O680" s="76"/>
      <c r="P680" s="76"/>
      <c r="Q680" s="76"/>
      <c r="R680" s="67">
        <f t="shared" si="31"/>
        <v>0</v>
      </c>
      <c r="S680" s="76">
        <v>2024</v>
      </c>
    </row>
    <row r="681" spans="1:19" ht="16" x14ac:dyDescent="0.2">
      <c r="A681" s="76" t="s">
        <v>6619</v>
      </c>
      <c r="B681" s="69" t="s">
        <v>6620</v>
      </c>
      <c r="C681" s="76"/>
      <c r="D681" s="76"/>
      <c r="E681" s="76"/>
      <c r="F681" s="76"/>
      <c r="G681" s="76"/>
      <c r="H681" s="76"/>
      <c r="I681" s="76"/>
      <c r="J681" s="76"/>
      <c r="K681" s="76"/>
      <c r="M681" s="77"/>
      <c r="N681" s="76" t="s">
        <v>6621</v>
      </c>
      <c r="O681" s="78">
        <v>1</v>
      </c>
      <c r="P681" s="76"/>
      <c r="Q681" s="76"/>
      <c r="R681" s="67">
        <f t="shared" si="31"/>
        <v>0</v>
      </c>
      <c r="S681" s="76">
        <v>2024</v>
      </c>
    </row>
    <row r="682" spans="1:19" ht="16" x14ac:dyDescent="0.2">
      <c r="A682" s="76" t="s">
        <v>6622</v>
      </c>
      <c r="B682" s="69" t="s">
        <v>6623</v>
      </c>
      <c r="C682" s="76"/>
      <c r="D682" s="76"/>
      <c r="E682" s="76"/>
      <c r="F682" s="76"/>
      <c r="G682" s="76"/>
      <c r="H682" s="76"/>
      <c r="I682" s="76"/>
      <c r="J682" s="76"/>
      <c r="K682" s="76">
        <v>1</v>
      </c>
      <c r="M682" s="77"/>
      <c r="N682" s="76" t="s">
        <v>6624</v>
      </c>
      <c r="O682" s="78">
        <v>1</v>
      </c>
      <c r="P682" s="76"/>
      <c r="Q682" s="76"/>
      <c r="R682" s="67">
        <f t="shared" si="31"/>
        <v>0</v>
      </c>
      <c r="S682" s="76">
        <v>2024</v>
      </c>
    </row>
    <row r="683" spans="1:19" ht="16" x14ac:dyDescent="0.2">
      <c r="A683" s="76" t="s">
        <v>6625</v>
      </c>
      <c r="B683" s="69" t="s">
        <v>6626</v>
      </c>
      <c r="C683" s="76"/>
      <c r="D683" s="76"/>
      <c r="E683" s="76"/>
      <c r="F683" s="76"/>
      <c r="G683" s="76"/>
      <c r="H683" s="76"/>
      <c r="I683" s="76"/>
      <c r="J683" s="76"/>
      <c r="K683" s="76"/>
      <c r="M683" s="77"/>
      <c r="N683" s="76" t="s">
        <v>6627</v>
      </c>
      <c r="O683" s="78">
        <v>1</v>
      </c>
      <c r="P683" s="76"/>
      <c r="Q683" s="76"/>
      <c r="R683" s="67">
        <f t="shared" si="31"/>
        <v>0</v>
      </c>
      <c r="S683" s="76">
        <v>2024</v>
      </c>
    </row>
    <row r="684" spans="1:19" ht="16" x14ac:dyDescent="0.2">
      <c r="A684" s="76" t="s">
        <v>5724</v>
      </c>
      <c r="B684" s="69" t="s">
        <v>6628</v>
      </c>
      <c r="C684" s="76"/>
      <c r="D684" s="76"/>
      <c r="E684" s="76"/>
      <c r="F684" s="76"/>
      <c r="G684" s="76"/>
      <c r="H684" s="76"/>
      <c r="I684" s="76"/>
      <c r="J684" s="76"/>
      <c r="K684" s="76"/>
      <c r="M684" s="77" t="s">
        <v>21</v>
      </c>
      <c r="N684" s="76" t="s">
        <v>6629</v>
      </c>
      <c r="O684" s="76"/>
      <c r="P684" s="76"/>
      <c r="Q684" s="76"/>
      <c r="R684" s="67">
        <f t="shared" si="31"/>
        <v>0</v>
      </c>
      <c r="S684" s="76">
        <v>2024</v>
      </c>
    </row>
    <row r="685" spans="1:19" ht="16" x14ac:dyDescent="0.2">
      <c r="A685" s="76" t="s">
        <v>6630</v>
      </c>
      <c r="B685" s="69" t="s">
        <v>6631</v>
      </c>
      <c r="C685" s="76"/>
      <c r="D685" s="76"/>
      <c r="E685" s="76"/>
      <c r="F685" s="76"/>
      <c r="G685" s="76"/>
      <c r="H685" s="76"/>
      <c r="I685" s="76"/>
      <c r="J685" s="76"/>
      <c r="K685" s="76">
        <v>1</v>
      </c>
      <c r="M685" s="77"/>
      <c r="N685" s="76" t="s">
        <v>6632</v>
      </c>
      <c r="O685" s="78">
        <v>1</v>
      </c>
      <c r="P685" s="76"/>
      <c r="Q685" s="76"/>
      <c r="R685" s="67">
        <f t="shared" si="31"/>
        <v>0</v>
      </c>
      <c r="S685" s="76">
        <v>2024</v>
      </c>
    </row>
    <row r="686" spans="1:19" ht="16" x14ac:dyDescent="0.2">
      <c r="A686" s="76" t="s">
        <v>6633</v>
      </c>
      <c r="B686" s="69" t="s">
        <v>6634</v>
      </c>
      <c r="C686" s="76"/>
      <c r="D686" s="76"/>
      <c r="E686" s="76"/>
      <c r="F686" s="76"/>
      <c r="G686" s="76"/>
      <c r="H686" s="76"/>
      <c r="I686" s="76"/>
      <c r="J686" s="76"/>
      <c r="K686" s="76"/>
      <c r="M686" s="77"/>
      <c r="N686" s="76" t="s">
        <v>6635</v>
      </c>
      <c r="O686" s="76"/>
      <c r="P686" s="76"/>
      <c r="Q686" s="76"/>
      <c r="R686" s="67">
        <f t="shared" si="31"/>
        <v>0</v>
      </c>
      <c r="S686" s="76">
        <v>2024</v>
      </c>
    </row>
    <row r="687" spans="1:19" ht="16" x14ac:dyDescent="0.2">
      <c r="A687" s="76" t="s">
        <v>161</v>
      </c>
      <c r="B687" s="69" t="s">
        <v>6636</v>
      </c>
      <c r="C687" s="76"/>
      <c r="D687" s="76"/>
      <c r="E687" s="76"/>
      <c r="F687" s="76"/>
      <c r="G687" s="76"/>
      <c r="H687" s="76"/>
      <c r="I687" s="76"/>
      <c r="J687" s="76"/>
      <c r="K687" s="76"/>
      <c r="M687" s="77"/>
      <c r="N687" s="76" t="s">
        <v>6637</v>
      </c>
      <c r="O687" s="76"/>
      <c r="P687" s="76"/>
      <c r="Q687" s="76"/>
      <c r="R687" s="67">
        <f t="shared" si="31"/>
        <v>0</v>
      </c>
      <c r="S687" s="76">
        <v>2024</v>
      </c>
    </row>
    <row r="688" spans="1:19" ht="16" x14ac:dyDescent="0.2">
      <c r="A688" s="76" t="s">
        <v>3759</v>
      </c>
      <c r="B688" s="69" t="s">
        <v>6638</v>
      </c>
      <c r="C688" s="76"/>
      <c r="D688" s="76"/>
      <c r="E688" s="76"/>
      <c r="F688" s="76"/>
      <c r="G688" s="76"/>
      <c r="H688" s="76"/>
      <c r="I688" s="76"/>
      <c r="J688" s="76"/>
      <c r="K688" s="76"/>
      <c r="M688" s="77" t="s">
        <v>4079</v>
      </c>
      <c r="N688" s="76" t="s">
        <v>6639</v>
      </c>
      <c r="O688" s="78">
        <v>1</v>
      </c>
      <c r="P688" s="76"/>
      <c r="Q688" s="76"/>
      <c r="R688" s="67">
        <f t="shared" si="31"/>
        <v>0</v>
      </c>
      <c r="S688" s="76">
        <v>2024</v>
      </c>
    </row>
    <row r="689" spans="1:19" ht="16" x14ac:dyDescent="0.2">
      <c r="A689" s="76" t="s">
        <v>4267</v>
      </c>
      <c r="B689" s="69" t="s">
        <v>6640</v>
      </c>
      <c r="C689" s="76"/>
      <c r="D689" s="76"/>
      <c r="E689" s="76"/>
      <c r="F689" s="76"/>
      <c r="G689" s="76"/>
      <c r="H689" s="76"/>
      <c r="I689" s="76"/>
      <c r="J689" s="76"/>
      <c r="K689" s="76"/>
      <c r="M689" s="77" t="s">
        <v>4079</v>
      </c>
      <c r="N689" s="76" t="s">
        <v>6641</v>
      </c>
      <c r="O689" s="76"/>
      <c r="P689" s="76"/>
      <c r="Q689" s="76"/>
      <c r="R689" s="67">
        <f t="shared" si="31"/>
        <v>0</v>
      </c>
      <c r="S689" s="76">
        <v>2024</v>
      </c>
    </row>
    <row r="690" spans="1:19" ht="16" x14ac:dyDescent="0.2">
      <c r="A690" s="76" t="s">
        <v>6642</v>
      </c>
      <c r="B690" s="69" t="s">
        <v>6643</v>
      </c>
      <c r="C690" s="76"/>
      <c r="D690" s="76"/>
      <c r="E690" s="76"/>
      <c r="F690" s="76"/>
      <c r="G690" s="76"/>
      <c r="H690" s="76"/>
      <c r="I690" s="76"/>
      <c r="J690" s="76"/>
      <c r="K690" s="76"/>
      <c r="M690" s="77"/>
      <c r="N690" s="76" t="s">
        <v>6644</v>
      </c>
      <c r="O690" s="76"/>
      <c r="P690" s="76"/>
      <c r="Q690" s="76"/>
      <c r="R690" s="67">
        <f t="shared" si="31"/>
        <v>0</v>
      </c>
      <c r="S690" s="76">
        <v>2024</v>
      </c>
    </row>
    <row r="691" spans="1:19" ht="16" x14ac:dyDescent="0.2">
      <c r="A691" s="76" t="s">
        <v>6645</v>
      </c>
      <c r="B691" s="69" t="s">
        <v>6646</v>
      </c>
      <c r="C691" s="76"/>
      <c r="D691" s="76"/>
      <c r="E691" s="76"/>
      <c r="F691" s="76"/>
      <c r="G691" s="76"/>
      <c r="H691" s="76"/>
      <c r="I691" s="76"/>
      <c r="J691" s="76"/>
      <c r="K691" s="76"/>
      <c r="M691" s="77"/>
      <c r="N691" s="76" t="s">
        <v>6647</v>
      </c>
      <c r="O691" s="76"/>
      <c r="P691" s="76"/>
      <c r="Q691" s="76"/>
      <c r="R691" s="67">
        <f t="shared" si="31"/>
        <v>0</v>
      </c>
      <c r="S691" s="76">
        <v>2024</v>
      </c>
    </row>
    <row r="692" spans="1:19" ht="16" x14ac:dyDescent="0.2">
      <c r="A692" s="76" t="s">
        <v>6648</v>
      </c>
      <c r="B692" s="69" t="s">
        <v>6649</v>
      </c>
      <c r="C692" s="76"/>
      <c r="D692" s="76"/>
      <c r="E692" s="76"/>
      <c r="F692" s="76"/>
      <c r="G692" s="76"/>
      <c r="H692" s="76"/>
      <c r="I692" s="76"/>
      <c r="J692" s="76"/>
      <c r="K692" s="76"/>
      <c r="M692" s="77"/>
      <c r="N692" s="76" t="s">
        <v>6650</v>
      </c>
      <c r="O692" s="76"/>
      <c r="P692" s="76"/>
      <c r="Q692" s="76"/>
      <c r="R692" s="67">
        <f t="shared" si="31"/>
        <v>0</v>
      </c>
      <c r="S692" s="76">
        <v>2024</v>
      </c>
    </row>
    <row r="693" spans="1:19" ht="16" x14ac:dyDescent="0.2">
      <c r="A693" s="76" t="s">
        <v>6651</v>
      </c>
      <c r="B693" s="69" t="s">
        <v>6652</v>
      </c>
      <c r="C693" s="76"/>
      <c r="D693" s="76"/>
      <c r="E693" s="76"/>
      <c r="F693" s="76"/>
      <c r="G693" s="76"/>
      <c r="H693" s="76"/>
      <c r="I693" s="76"/>
      <c r="J693" s="76"/>
      <c r="K693" s="76"/>
      <c r="M693" s="77"/>
      <c r="N693" s="76" t="s">
        <v>6653</v>
      </c>
      <c r="O693" s="76"/>
      <c r="P693" s="76"/>
      <c r="Q693" s="76"/>
      <c r="R693" s="67">
        <f t="shared" si="31"/>
        <v>0</v>
      </c>
      <c r="S693" s="76">
        <v>2024</v>
      </c>
    </row>
    <row r="694" spans="1:19" ht="16" x14ac:dyDescent="0.2">
      <c r="A694" s="76" t="s">
        <v>6654</v>
      </c>
      <c r="B694" s="69" t="s">
        <v>6655</v>
      </c>
      <c r="C694" s="76"/>
      <c r="D694" s="76"/>
      <c r="E694" s="76"/>
      <c r="F694" s="76"/>
      <c r="G694" s="76"/>
      <c r="H694" s="76"/>
      <c r="I694" s="76"/>
      <c r="J694" s="76"/>
      <c r="K694" s="76"/>
      <c r="M694" s="77"/>
      <c r="N694" s="76" t="s">
        <v>6656</v>
      </c>
      <c r="O694" s="76"/>
      <c r="P694" s="76"/>
      <c r="Q694" s="76"/>
      <c r="R694" s="67">
        <f t="shared" si="31"/>
        <v>0</v>
      </c>
      <c r="S694" s="76">
        <v>2024</v>
      </c>
    </row>
    <row r="695" spans="1:19" ht="16" x14ac:dyDescent="0.2">
      <c r="A695" s="76" t="s">
        <v>6657</v>
      </c>
      <c r="B695" s="69" t="s">
        <v>6658</v>
      </c>
      <c r="C695" s="76"/>
      <c r="D695" s="76"/>
      <c r="E695" s="76"/>
      <c r="F695" s="76"/>
      <c r="G695" s="76"/>
      <c r="H695" s="76"/>
      <c r="I695" s="76"/>
      <c r="J695" s="76"/>
      <c r="K695" s="76"/>
      <c r="M695" s="77"/>
      <c r="N695" s="76" t="s">
        <v>6659</v>
      </c>
      <c r="O695" s="76"/>
      <c r="P695" s="76"/>
      <c r="Q695" s="76"/>
      <c r="R695" s="67">
        <f t="shared" si="31"/>
        <v>0</v>
      </c>
      <c r="S695" s="76">
        <v>2024</v>
      </c>
    </row>
    <row r="696" spans="1:19" ht="16" x14ac:dyDescent="0.2">
      <c r="A696" s="76" t="s">
        <v>6660</v>
      </c>
      <c r="B696" s="69" t="s">
        <v>6661</v>
      </c>
      <c r="C696" s="76"/>
      <c r="D696" s="76"/>
      <c r="E696" s="76"/>
      <c r="F696" s="76"/>
      <c r="G696" s="76"/>
      <c r="H696" s="76"/>
      <c r="I696" s="76"/>
      <c r="J696" s="76"/>
      <c r="K696" s="76"/>
      <c r="M696" s="77"/>
      <c r="N696" s="76" t="s">
        <v>6662</v>
      </c>
      <c r="O696" s="76"/>
      <c r="P696" s="76"/>
      <c r="Q696" s="76"/>
      <c r="R696" s="67">
        <f t="shared" si="31"/>
        <v>0</v>
      </c>
      <c r="S696" s="76">
        <v>2024</v>
      </c>
    </row>
    <row r="697" spans="1:19" ht="16" x14ac:dyDescent="0.2">
      <c r="A697" s="76" t="s">
        <v>6663</v>
      </c>
      <c r="B697" s="69" t="s">
        <v>6664</v>
      </c>
      <c r="C697" s="76"/>
      <c r="D697" s="76"/>
      <c r="E697" s="76"/>
      <c r="F697" s="76"/>
      <c r="G697" s="76"/>
      <c r="H697" s="76"/>
      <c r="I697" s="76"/>
      <c r="J697" s="76"/>
      <c r="K697" s="76">
        <v>1</v>
      </c>
      <c r="M697" s="77" t="s">
        <v>21</v>
      </c>
      <c r="N697" s="76" t="s">
        <v>6665</v>
      </c>
      <c r="O697" s="78">
        <v>1</v>
      </c>
      <c r="P697" s="76"/>
      <c r="Q697" s="76"/>
      <c r="R697" s="67">
        <f t="shared" si="31"/>
        <v>0</v>
      </c>
      <c r="S697" s="76">
        <v>2024</v>
      </c>
    </row>
    <row r="698" spans="1:19" ht="16" x14ac:dyDescent="0.2">
      <c r="A698" s="76" t="s">
        <v>6146</v>
      </c>
      <c r="B698" s="69" t="s">
        <v>6666</v>
      </c>
      <c r="C698" s="76"/>
      <c r="D698" s="76"/>
      <c r="E698" s="76"/>
      <c r="F698" s="76"/>
      <c r="G698" s="76"/>
      <c r="H698" s="76"/>
      <c r="I698" s="76"/>
      <c r="J698" s="76"/>
      <c r="K698" s="76"/>
      <c r="M698" s="77" t="s">
        <v>21</v>
      </c>
      <c r="N698" s="76" t="s">
        <v>6667</v>
      </c>
      <c r="O698" s="78">
        <v>1</v>
      </c>
      <c r="P698" s="76"/>
      <c r="Q698" s="76"/>
      <c r="R698" s="67">
        <f t="shared" si="31"/>
        <v>0</v>
      </c>
      <c r="S698" s="76">
        <v>2024</v>
      </c>
    </row>
    <row r="699" spans="1:19" ht="16" x14ac:dyDescent="0.2">
      <c r="A699" s="76" t="s">
        <v>6668</v>
      </c>
      <c r="B699" s="69" t="s">
        <v>6669</v>
      </c>
      <c r="C699" s="76"/>
      <c r="D699" s="76"/>
      <c r="E699" s="76"/>
      <c r="F699" s="76"/>
      <c r="G699" s="76"/>
      <c r="H699" s="76"/>
      <c r="I699" s="76"/>
      <c r="J699" s="76"/>
      <c r="K699" s="76"/>
      <c r="M699" s="77"/>
      <c r="N699" s="76" t="s">
        <v>6670</v>
      </c>
      <c r="O699" s="76"/>
      <c r="P699" s="76"/>
      <c r="Q699" s="76"/>
      <c r="R699" s="67">
        <f t="shared" si="31"/>
        <v>0</v>
      </c>
      <c r="S699" s="76">
        <v>2025</v>
      </c>
    </row>
    <row r="700" spans="1:19" ht="16" x14ac:dyDescent="0.2">
      <c r="A700" s="76" t="s">
        <v>6671</v>
      </c>
      <c r="B700" s="69" t="s">
        <v>6672</v>
      </c>
      <c r="C700" s="76"/>
      <c r="D700" s="76"/>
      <c r="E700" s="76"/>
      <c r="F700" s="76"/>
      <c r="G700" s="76"/>
      <c r="H700" s="76"/>
      <c r="I700" s="76"/>
      <c r="J700" s="76"/>
      <c r="K700" s="76"/>
      <c r="M700" s="77"/>
      <c r="N700" s="76" t="s">
        <v>6673</v>
      </c>
      <c r="O700" s="76"/>
      <c r="P700" s="76"/>
      <c r="Q700" s="76"/>
      <c r="R700" s="67">
        <f t="shared" si="31"/>
        <v>0</v>
      </c>
      <c r="S700" s="76">
        <v>2024</v>
      </c>
    </row>
    <row r="701" spans="1:19" ht="16" x14ac:dyDescent="0.2">
      <c r="A701" s="76" t="s">
        <v>6674</v>
      </c>
      <c r="B701" s="69" t="s">
        <v>6675</v>
      </c>
      <c r="C701" s="76"/>
      <c r="D701" s="76"/>
      <c r="E701" s="76"/>
      <c r="F701" s="76"/>
      <c r="G701" s="76"/>
      <c r="H701" s="76"/>
      <c r="I701" s="76"/>
      <c r="J701" s="76"/>
      <c r="K701" s="76"/>
      <c r="M701" s="77"/>
      <c r="N701" s="76" t="s">
        <v>6676</v>
      </c>
      <c r="O701" s="76"/>
      <c r="P701" s="76"/>
      <c r="Q701" s="76"/>
      <c r="R701" s="67">
        <f t="shared" si="31"/>
        <v>0</v>
      </c>
      <c r="S701" s="76">
        <v>2024</v>
      </c>
    </row>
    <row r="702" spans="1:19" ht="16" x14ac:dyDescent="0.2">
      <c r="A702" s="76" t="s">
        <v>3751</v>
      </c>
      <c r="B702" s="69" t="s">
        <v>6677</v>
      </c>
      <c r="C702" s="76"/>
      <c r="D702" s="76"/>
      <c r="E702" s="76"/>
      <c r="F702" s="76"/>
      <c r="G702" s="76"/>
      <c r="H702" s="76"/>
      <c r="I702" s="76"/>
      <c r="J702" s="76"/>
      <c r="K702" s="76"/>
      <c r="M702" s="77" t="s">
        <v>4079</v>
      </c>
      <c r="N702" s="76" t="s">
        <v>6340</v>
      </c>
      <c r="O702" s="78">
        <v>1</v>
      </c>
      <c r="P702" s="76"/>
      <c r="Q702" s="76"/>
      <c r="R702" s="67">
        <f t="shared" si="31"/>
        <v>0</v>
      </c>
      <c r="S702" s="76">
        <v>2024</v>
      </c>
    </row>
    <row r="703" spans="1:19" ht="16" x14ac:dyDescent="0.2">
      <c r="A703" s="76" t="s">
        <v>6678</v>
      </c>
      <c r="B703" s="69" t="s">
        <v>6679</v>
      </c>
      <c r="C703" s="76"/>
      <c r="D703" s="76"/>
      <c r="E703" s="76"/>
      <c r="F703" s="76"/>
      <c r="G703" s="76"/>
      <c r="H703" s="76"/>
      <c r="I703" s="76"/>
      <c r="J703" s="76"/>
      <c r="K703" s="76"/>
      <c r="M703" s="77"/>
      <c r="N703" s="76" t="s">
        <v>6680</v>
      </c>
      <c r="O703" s="76"/>
      <c r="P703" s="76"/>
      <c r="Q703" s="76"/>
      <c r="R703" s="67">
        <f t="shared" si="31"/>
        <v>0</v>
      </c>
      <c r="S703" s="76">
        <v>2024</v>
      </c>
    </row>
    <row r="704" spans="1:19" ht="16" x14ac:dyDescent="0.2">
      <c r="A704" s="76" t="s">
        <v>6684</v>
      </c>
      <c r="B704" s="69" t="s">
        <v>6685</v>
      </c>
      <c r="C704" s="76"/>
      <c r="D704" s="76"/>
      <c r="E704" s="76"/>
      <c r="F704" s="76"/>
      <c r="G704" s="76"/>
      <c r="H704" s="76"/>
      <c r="I704" s="76"/>
      <c r="J704" s="76"/>
      <c r="K704" s="76">
        <v>1</v>
      </c>
      <c r="M704" s="77" t="s">
        <v>21</v>
      </c>
      <c r="N704" s="76" t="s">
        <v>6686</v>
      </c>
      <c r="O704" s="76"/>
      <c r="P704" s="76"/>
      <c r="Q704" s="76"/>
      <c r="R704" s="67">
        <f t="shared" si="31"/>
        <v>0</v>
      </c>
      <c r="S704" s="76">
        <v>2024</v>
      </c>
    </row>
    <row r="705" spans="1:19" ht="16" x14ac:dyDescent="0.2">
      <c r="A705" s="76" t="s">
        <v>6687</v>
      </c>
      <c r="B705" s="69" t="s">
        <v>6688</v>
      </c>
      <c r="C705" s="76"/>
      <c r="D705" s="76"/>
      <c r="E705" s="76"/>
      <c r="F705" s="76"/>
      <c r="G705" s="76"/>
      <c r="H705" s="76"/>
      <c r="I705" s="76"/>
      <c r="J705" s="76"/>
      <c r="K705" s="76"/>
      <c r="M705" s="77"/>
      <c r="N705" s="76" t="s">
        <v>6689</v>
      </c>
      <c r="O705" s="78">
        <v>1</v>
      </c>
      <c r="P705" s="76"/>
      <c r="Q705" s="76"/>
      <c r="R705" s="67">
        <f t="shared" si="31"/>
        <v>0</v>
      </c>
      <c r="S705" s="76">
        <v>2024</v>
      </c>
    </row>
    <row r="706" spans="1:19" ht="16" x14ac:dyDescent="0.2">
      <c r="A706" s="76" t="s">
        <v>4017</v>
      </c>
      <c r="B706" s="69" t="s">
        <v>6690</v>
      </c>
      <c r="C706" s="76"/>
      <c r="D706" s="76"/>
      <c r="E706" s="76"/>
      <c r="F706" s="76"/>
      <c r="G706" s="76"/>
      <c r="H706" s="76"/>
      <c r="I706" s="76"/>
      <c r="J706" s="76"/>
      <c r="K706" s="76"/>
      <c r="M706" s="77"/>
      <c r="N706" s="76" t="s">
        <v>6691</v>
      </c>
      <c r="O706" s="76"/>
      <c r="P706" s="76"/>
      <c r="Q706" s="76"/>
      <c r="R706" s="67">
        <f t="shared" ref="R706:R769" si="32">IF(_xlfn.BITAND(P706&gt;0.4999, Q706&gt;0.4999)=1,1,0)</f>
        <v>0</v>
      </c>
      <c r="S706" s="76">
        <v>2024</v>
      </c>
    </row>
    <row r="707" spans="1:19" ht="16" x14ac:dyDescent="0.2">
      <c r="A707" s="76" t="s">
        <v>6692</v>
      </c>
      <c r="B707" s="69" t="s">
        <v>6693</v>
      </c>
      <c r="C707" s="76"/>
      <c r="D707" s="76"/>
      <c r="E707" s="76"/>
      <c r="F707" s="76"/>
      <c r="G707" s="76"/>
      <c r="H707" s="76"/>
      <c r="I707" s="76"/>
      <c r="J707" s="76"/>
      <c r="K707" s="76"/>
      <c r="M707" s="77"/>
      <c r="N707" s="76" t="s">
        <v>6694</v>
      </c>
      <c r="O707" s="76"/>
      <c r="P707" s="76"/>
      <c r="Q707" s="76"/>
      <c r="R707" s="67">
        <f t="shared" si="32"/>
        <v>0</v>
      </c>
      <c r="S707" s="76">
        <v>2024</v>
      </c>
    </row>
    <row r="708" spans="1:19" ht="16" x14ac:dyDescent="0.2">
      <c r="A708" s="76" t="s">
        <v>6695</v>
      </c>
      <c r="B708" s="69" t="s">
        <v>6696</v>
      </c>
      <c r="C708" s="76"/>
      <c r="D708" s="76"/>
      <c r="E708" s="76"/>
      <c r="F708" s="76"/>
      <c r="G708" s="76"/>
      <c r="H708" s="76"/>
      <c r="I708" s="76"/>
      <c r="J708" s="76"/>
      <c r="K708" s="76"/>
      <c r="M708" s="77"/>
      <c r="N708" s="76" t="s">
        <v>6697</v>
      </c>
      <c r="O708" s="76"/>
      <c r="P708" s="76"/>
      <c r="Q708" s="76"/>
      <c r="R708" s="67">
        <f t="shared" si="32"/>
        <v>0</v>
      </c>
      <c r="S708" s="76">
        <v>2024</v>
      </c>
    </row>
    <row r="709" spans="1:19" ht="16" x14ac:dyDescent="0.2">
      <c r="A709" s="76" t="s">
        <v>6698</v>
      </c>
      <c r="B709" s="69" t="s">
        <v>6699</v>
      </c>
      <c r="C709" s="76"/>
      <c r="D709" s="76"/>
      <c r="E709" s="76"/>
      <c r="F709" s="76"/>
      <c r="G709" s="76"/>
      <c r="H709" s="76"/>
      <c r="I709" s="76"/>
      <c r="J709" s="76"/>
      <c r="K709" s="76"/>
      <c r="M709" s="77"/>
      <c r="N709" s="76" t="s">
        <v>6700</v>
      </c>
      <c r="O709" s="76"/>
      <c r="P709" s="76"/>
      <c r="Q709" s="76"/>
      <c r="R709" s="67">
        <f t="shared" si="32"/>
        <v>0</v>
      </c>
      <c r="S709" s="76">
        <v>2024</v>
      </c>
    </row>
    <row r="710" spans="1:19" ht="16" x14ac:dyDescent="0.2">
      <c r="A710" s="76" t="s">
        <v>6701</v>
      </c>
      <c r="B710" s="69" t="s">
        <v>6702</v>
      </c>
      <c r="C710" s="76"/>
      <c r="D710" s="76"/>
      <c r="E710" s="76"/>
      <c r="F710" s="76"/>
      <c r="G710" s="76"/>
      <c r="H710" s="76"/>
      <c r="I710" s="76"/>
      <c r="J710" s="76"/>
      <c r="K710" s="76"/>
      <c r="M710" s="77"/>
      <c r="N710" s="76" t="s">
        <v>6703</v>
      </c>
      <c r="O710" s="76"/>
      <c r="P710" s="76"/>
      <c r="Q710" s="76"/>
      <c r="R710" s="67">
        <f t="shared" si="32"/>
        <v>0</v>
      </c>
      <c r="S710" s="76">
        <v>2024</v>
      </c>
    </row>
    <row r="711" spans="1:19" ht="16" x14ac:dyDescent="0.2">
      <c r="A711" s="76" t="s">
        <v>6704</v>
      </c>
      <c r="B711" s="69" t="s">
        <v>6705</v>
      </c>
      <c r="C711" s="76"/>
      <c r="D711" s="76"/>
      <c r="E711" s="76"/>
      <c r="F711" s="76"/>
      <c r="G711" s="76"/>
      <c r="H711" s="76"/>
      <c r="I711" s="76"/>
      <c r="J711" s="76"/>
      <c r="K711" s="76"/>
      <c r="M711" s="77"/>
      <c r="N711" s="76" t="s">
        <v>6706</v>
      </c>
      <c r="O711" s="78">
        <v>1</v>
      </c>
      <c r="P711" s="76"/>
      <c r="Q711" s="76"/>
      <c r="R711" s="67">
        <f t="shared" si="32"/>
        <v>0</v>
      </c>
      <c r="S711" s="76">
        <v>2024</v>
      </c>
    </row>
    <row r="712" spans="1:19" ht="16" x14ac:dyDescent="0.2">
      <c r="A712" s="76" t="s">
        <v>6707</v>
      </c>
      <c r="B712" s="69" t="s">
        <v>6708</v>
      </c>
      <c r="C712" s="76"/>
      <c r="D712" s="76"/>
      <c r="E712" s="76"/>
      <c r="F712" s="76"/>
      <c r="G712" s="76"/>
      <c r="H712" s="76"/>
      <c r="I712" s="76"/>
      <c r="J712" s="76"/>
      <c r="K712" s="76">
        <v>1</v>
      </c>
      <c r="M712" s="77"/>
      <c r="N712" s="76" t="s">
        <v>6709</v>
      </c>
      <c r="O712" s="76"/>
      <c r="P712" s="76"/>
      <c r="Q712" s="76"/>
      <c r="R712" s="67">
        <f t="shared" si="32"/>
        <v>0</v>
      </c>
      <c r="S712" s="76">
        <v>2024</v>
      </c>
    </row>
    <row r="713" spans="1:19" ht="16" x14ac:dyDescent="0.2">
      <c r="A713" s="76" t="s">
        <v>6710</v>
      </c>
      <c r="B713" s="69" t="s">
        <v>6711</v>
      </c>
      <c r="C713" s="76"/>
      <c r="D713" s="76"/>
      <c r="E713" s="76"/>
      <c r="F713" s="76"/>
      <c r="G713" s="76"/>
      <c r="H713" s="76"/>
      <c r="I713" s="76"/>
      <c r="J713" s="76"/>
      <c r="K713" s="76"/>
      <c r="M713" s="77"/>
      <c r="N713" s="76" t="s">
        <v>6712</v>
      </c>
      <c r="O713" s="76"/>
      <c r="P713" s="76"/>
      <c r="Q713" s="76"/>
      <c r="R713" s="67">
        <f t="shared" si="32"/>
        <v>0</v>
      </c>
      <c r="S713" s="76">
        <v>2024</v>
      </c>
    </row>
    <row r="714" spans="1:19" ht="16" x14ac:dyDescent="0.2">
      <c r="A714" s="76" t="s">
        <v>3384</v>
      </c>
      <c r="B714" s="69" t="s">
        <v>3385</v>
      </c>
      <c r="C714" s="76"/>
      <c r="D714" s="76"/>
      <c r="E714" s="76"/>
      <c r="F714" s="76"/>
      <c r="G714" s="76"/>
      <c r="H714" s="76"/>
      <c r="I714" s="76"/>
      <c r="J714" s="76"/>
      <c r="K714" s="76"/>
      <c r="M714" s="77"/>
      <c r="N714" s="76" t="s">
        <v>6713</v>
      </c>
      <c r="O714" s="76"/>
      <c r="P714" s="76"/>
      <c r="Q714" s="76"/>
      <c r="R714" s="67">
        <f t="shared" si="32"/>
        <v>0</v>
      </c>
      <c r="S714" s="76">
        <v>2024</v>
      </c>
    </row>
    <row r="715" spans="1:19" ht="16" x14ac:dyDescent="0.2">
      <c r="A715" s="76" t="s">
        <v>6714</v>
      </c>
      <c r="B715" s="69" t="s">
        <v>6715</v>
      </c>
      <c r="C715" s="76" t="s">
        <v>184</v>
      </c>
      <c r="D715" s="76"/>
      <c r="E715" s="76"/>
      <c r="F715" s="76"/>
      <c r="G715" s="76"/>
      <c r="H715" s="76"/>
      <c r="I715" s="76"/>
      <c r="J715" s="76"/>
      <c r="K715" s="76"/>
      <c r="M715" s="77"/>
      <c r="N715" s="76" t="s">
        <v>6716</v>
      </c>
      <c r="O715" s="76"/>
      <c r="P715" s="76"/>
      <c r="Q715" s="76"/>
      <c r="R715" s="67">
        <f t="shared" si="32"/>
        <v>0</v>
      </c>
      <c r="S715" s="76">
        <v>2024</v>
      </c>
    </row>
    <row r="716" spans="1:19" ht="16" x14ac:dyDescent="0.2">
      <c r="A716" s="76" t="s">
        <v>6717</v>
      </c>
      <c r="B716" s="69" t="s">
        <v>6718</v>
      </c>
      <c r="C716" s="76"/>
      <c r="D716" s="76"/>
      <c r="E716" s="76"/>
      <c r="F716" s="76"/>
      <c r="G716" s="76"/>
      <c r="H716" s="76"/>
      <c r="I716" s="76"/>
      <c r="J716" s="76"/>
      <c r="K716" s="76"/>
      <c r="M716" s="77" t="s">
        <v>21</v>
      </c>
      <c r="N716" s="76" t="s">
        <v>6719</v>
      </c>
      <c r="O716" s="76"/>
      <c r="P716" s="76"/>
      <c r="Q716" s="76"/>
      <c r="R716" s="67">
        <f t="shared" si="32"/>
        <v>0</v>
      </c>
      <c r="S716" s="76">
        <v>2024</v>
      </c>
    </row>
    <row r="717" spans="1:19" ht="16" x14ac:dyDescent="0.2">
      <c r="A717" s="76" t="s">
        <v>6720</v>
      </c>
      <c r="B717" s="69" t="s">
        <v>6721</v>
      </c>
      <c r="C717" s="76"/>
      <c r="D717" s="76"/>
      <c r="E717" s="76"/>
      <c r="F717" s="76"/>
      <c r="G717" s="76"/>
      <c r="H717" s="76"/>
      <c r="I717" s="76"/>
      <c r="J717" s="76"/>
      <c r="K717" s="76"/>
      <c r="M717" s="77"/>
      <c r="N717" s="76" t="s">
        <v>6722</v>
      </c>
      <c r="O717" s="76"/>
      <c r="P717" s="76"/>
      <c r="Q717" s="76"/>
      <c r="R717" s="67">
        <f t="shared" si="32"/>
        <v>0</v>
      </c>
      <c r="S717" s="76">
        <v>2024</v>
      </c>
    </row>
    <row r="718" spans="1:19" ht="16" x14ac:dyDescent="0.2">
      <c r="A718" s="76" t="s">
        <v>6723</v>
      </c>
      <c r="B718" s="69" t="s">
        <v>6724</v>
      </c>
      <c r="C718" s="76"/>
      <c r="D718" s="76"/>
      <c r="E718" s="76"/>
      <c r="F718" s="76"/>
      <c r="G718" s="76"/>
      <c r="H718" s="76"/>
      <c r="I718" s="76"/>
      <c r="J718" s="76"/>
      <c r="K718" s="76"/>
      <c r="M718" s="77"/>
      <c r="N718" s="76" t="s">
        <v>6725</v>
      </c>
      <c r="O718" s="76"/>
      <c r="P718" s="76"/>
      <c r="Q718" s="76"/>
      <c r="R718" s="67">
        <f t="shared" si="32"/>
        <v>0</v>
      </c>
      <c r="S718" s="76">
        <v>2024</v>
      </c>
    </row>
    <row r="719" spans="1:19" ht="16" x14ac:dyDescent="0.2">
      <c r="A719" s="76" t="s">
        <v>6726</v>
      </c>
      <c r="B719" s="69" t="s">
        <v>6727</v>
      </c>
      <c r="C719" s="76"/>
      <c r="D719" s="76"/>
      <c r="E719" s="76"/>
      <c r="F719" s="76"/>
      <c r="G719" s="76"/>
      <c r="H719" s="76"/>
      <c r="I719" s="76"/>
      <c r="J719" s="76"/>
      <c r="K719" s="76"/>
      <c r="M719" s="77"/>
      <c r="N719" s="76" t="s">
        <v>6728</v>
      </c>
      <c r="O719" s="76"/>
      <c r="P719" s="76"/>
      <c r="Q719" s="76"/>
      <c r="R719" s="67">
        <f t="shared" si="32"/>
        <v>0</v>
      </c>
      <c r="S719" s="76">
        <v>2025</v>
      </c>
    </row>
    <row r="720" spans="1:19" ht="16" x14ac:dyDescent="0.2">
      <c r="A720" s="76" t="s">
        <v>6729</v>
      </c>
      <c r="B720" s="69" t="s">
        <v>6730</v>
      </c>
      <c r="C720" s="76"/>
      <c r="D720" s="76"/>
      <c r="E720" s="76"/>
      <c r="F720" s="76"/>
      <c r="G720" s="76"/>
      <c r="H720" s="76"/>
      <c r="I720" s="76"/>
      <c r="J720" s="76"/>
      <c r="K720" s="76"/>
      <c r="M720" s="77"/>
      <c r="N720" s="76" t="s">
        <v>6731</v>
      </c>
      <c r="O720" s="76"/>
      <c r="P720" s="76"/>
      <c r="Q720" s="76"/>
      <c r="R720" s="67">
        <f t="shared" si="32"/>
        <v>0</v>
      </c>
      <c r="S720" s="76">
        <v>2024</v>
      </c>
    </row>
    <row r="721" spans="1:19" ht="16" x14ac:dyDescent="0.2">
      <c r="A721" s="76" t="s">
        <v>6732</v>
      </c>
      <c r="B721" s="69" t="s">
        <v>6733</v>
      </c>
      <c r="C721" s="76"/>
      <c r="D721" s="76"/>
      <c r="E721" s="76"/>
      <c r="F721" s="76"/>
      <c r="G721" s="76"/>
      <c r="H721" s="76"/>
      <c r="I721" s="76"/>
      <c r="J721" s="76"/>
      <c r="K721" s="76"/>
      <c r="M721" s="77"/>
      <c r="N721" s="76" t="s">
        <v>6734</v>
      </c>
      <c r="O721" s="76"/>
      <c r="P721" s="76"/>
      <c r="Q721" s="76"/>
      <c r="R721" s="67">
        <f t="shared" si="32"/>
        <v>0</v>
      </c>
      <c r="S721" s="76">
        <v>2024</v>
      </c>
    </row>
    <row r="722" spans="1:19" ht="16" x14ac:dyDescent="0.2">
      <c r="A722" s="76" t="s">
        <v>6735</v>
      </c>
      <c r="B722" s="69" t="s">
        <v>6736</v>
      </c>
      <c r="C722" s="76"/>
      <c r="D722" s="76"/>
      <c r="E722" s="76"/>
      <c r="F722" s="76"/>
      <c r="G722" s="76"/>
      <c r="H722" s="76"/>
      <c r="I722" s="76"/>
      <c r="J722" s="76"/>
      <c r="K722" s="76"/>
      <c r="M722" s="77"/>
      <c r="N722" s="76" t="s">
        <v>6737</v>
      </c>
      <c r="O722" s="76"/>
      <c r="P722" s="76"/>
      <c r="Q722" s="76"/>
      <c r="R722" s="67">
        <f t="shared" si="32"/>
        <v>0</v>
      </c>
      <c r="S722" s="76">
        <v>2024</v>
      </c>
    </row>
    <row r="723" spans="1:19" ht="16" x14ac:dyDescent="0.2">
      <c r="A723" s="76" t="s">
        <v>6738</v>
      </c>
      <c r="B723" s="69" t="s">
        <v>6739</v>
      </c>
      <c r="C723" s="76"/>
      <c r="D723" s="76"/>
      <c r="E723" s="76"/>
      <c r="F723" s="76"/>
      <c r="G723" s="76"/>
      <c r="H723" s="76"/>
      <c r="I723" s="76"/>
      <c r="J723" s="76"/>
      <c r="K723" s="76"/>
      <c r="M723" s="77"/>
      <c r="N723" s="76" t="s">
        <v>6740</v>
      </c>
      <c r="O723" s="76"/>
      <c r="P723" s="76"/>
      <c r="Q723" s="76"/>
      <c r="R723" s="67">
        <f t="shared" si="32"/>
        <v>0</v>
      </c>
      <c r="S723" s="76">
        <v>2025</v>
      </c>
    </row>
    <row r="724" spans="1:19" ht="16" x14ac:dyDescent="0.2">
      <c r="A724" s="76" t="s">
        <v>6741</v>
      </c>
      <c r="B724" s="69" t="s">
        <v>6742</v>
      </c>
      <c r="C724" s="76"/>
      <c r="D724" s="76"/>
      <c r="E724" s="76"/>
      <c r="F724" s="76"/>
      <c r="G724" s="76"/>
      <c r="H724" s="76"/>
      <c r="I724" s="76"/>
      <c r="J724" s="76"/>
      <c r="K724" s="76">
        <v>1</v>
      </c>
      <c r="M724" s="77"/>
      <c r="N724" s="76" t="s">
        <v>6743</v>
      </c>
      <c r="O724" s="76"/>
      <c r="P724" s="76"/>
      <c r="Q724" s="76"/>
      <c r="R724" s="67">
        <f t="shared" si="32"/>
        <v>0</v>
      </c>
      <c r="S724" s="76">
        <v>2024</v>
      </c>
    </row>
    <row r="725" spans="1:19" ht="16" x14ac:dyDescent="0.2">
      <c r="A725" s="76" t="s">
        <v>6744</v>
      </c>
      <c r="B725" s="69" t="s">
        <v>6745</v>
      </c>
      <c r="C725" s="76"/>
      <c r="D725" s="76"/>
      <c r="E725" s="76"/>
      <c r="F725" s="76"/>
      <c r="G725" s="76"/>
      <c r="H725" s="76"/>
      <c r="I725" s="76"/>
      <c r="J725" s="76"/>
      <c r="K725" s="76"/>
      <c r="M725" s="77"/>
      <c r="N725" s="76" t="s">
        <v>6746</v>
      </c>
      <c r="O725" s="76"/>
      <c r="P725" s="76"/>
      <c r="Q725" s="76"/>
      <c r="R725" s="67">
        <f t="shared" si="32"/>
        <v>0</v>
      </c>
      <c r="S725" s="76">
        <v>2024</v>
      </c>
    </row>
    <row r="726" spans="1:19" ht="16" x14ac:dyDescent="0.2">
      <c r="A726" s="76" t="s">
        <v>6747</v>
      </c>
      <c r="B726" s="69" t="s">
        <v>6748</v>
      </c>
      <c r="C726" s="76"/>
      <c r="D726" s="76"/>
      <c r="E726" s="76"/>
      <c r="F726" s="76"/>
      <c r="G726" s="76"/>
      <c r="H726" s="76"/>
      <c r="I726" s="76"/>
      <c r="J726" s="76"/>
      <c r="K726" s="76"/>
      <c r="M726" s="77"/>
      <c r="N726" s="76" t="s">
        <v>6749</v>
      </c>
      <c r="O726" s="76"/>
      <c r="P726" s="76"/>
      <c r="Q726" s="76"/>
      <c r="R726" s="67">
        <f t="shared" si="32"/>
        <v>0</v>
      </c>
      <c r="S726" s="76">
        <v>2024</v>
      </c>
    </row>
    <row r="727" spans="1:19" ht="16" x14ac:dyDescent="0.2">
      <c r="A727" s="76" t="s">
        <v>6750</v>
      </c>
      <c r="B727" s="69" t="s">
        <v>6751</v>
      </c>
      <c r="C727" s="76"/>
      <c r="D727" s="76"/>
      <c r="E727" s="76"/>
      <c r="F727" s="76"/>
      <c r="G727" s="76"/>
      <c r="H727" s="76"/>
      <c r="I727" s="76"/>
      <c r="J727" s="76"/>
      <c r="K727" s="76"/>
      <c r="M727" s="77"/>
      <c r="N727" s="76" t="s">
        <v>6752</v>
      </c>
      <c r="O727" s="76"/>
      <c r="P727" s="76"/>
      <c r="Q727" s="76"/>
      <c r="R727" s="67">
        <f t="shared" si="32"/>
        <v>0</v>
      </c>
      <c r="S727" s="76">
        <v>2024</v>
      </c>
    </row>
    <row r="728" spans="1:19" ht="16" x14ac:dyDescent="0.2">
      <c r="A728" s="76" t="s">
        <v>6753</v>
      </c>
      <c r="B728" s="69" t="s">
        <v>6754</v>
      </c>
      <c r="C728" s="76"/>
      <c r="D728" s="76"/>
      <c r="E728" s="76"/>
      <c r="F728" s="76"/>
      <c r="G728" s="76"/>
      <c r="H728" s="76"/>
      <c r="I728" s="76"/>
      <c r="J728" s="76"/>
      <c r="K728" s="76"/>
      <c r="M728" s="77"/>
      <c r="N728" s="76" t="s">
        <v>6755</v>
      </c>
      <c r="O728" s="76"/>
      <c r="P728" s="76"/>
      <c r="Q728" s="76"/>
      <c r="R728" s="67">
        <f t="shared" si="32"/>
        <v>0</v>
      </c>
      <c r="S728" s="76">
        <v>2024</v>
      </c>
    </row>
    <row r="729" spans="1:19" ht="16" x14ac:dyDescent="0.2">
      <c r="A729" s="76" t="s">
        <v>6756</v>
      </c>
      <c r="B729" s="69" t="s">
        <v>6757</v>
      </c>
      <c r="C729" s="76"/>
      <c r="D729" s="76"/>
      <c r="E729" s="76"/>
      <c r="F729" s="76"/>
      <c r="G729" s="76"/>
      <c r="H729" s="76"/>
      <c r="I729" s="76"/>
      <c r="J729" s="76"/>
      <c r="K729" s="76"/>
      <c r="M729" s="77"/>
      <c r="N729" s="76" t="s">
        <v>6758</v>
      </c>
      <c r="O729" s="76"/>
      <c r="P729" s="76"/>
      <c r="Q729" s="76"/>
      <c r="R729" s="67">
        <f t="shared" si="32"/>
        <v>0</v>
      </c>
      <c r="S729" s="76">
        <v>2024</v>
      </c>
    </row>
    <row r="730" spans="1:19" ht="16" x14ac:dyDescent="0.2">
      <c r="A730" s="76" t="s">
        <v>6759</v>
      </c>
      <c r="B730" s="69" t="s">
        <v>6760</v>
      </c>
      <c r="C730" s="76"/>
      <c r="D730" s="76"/>
      <c r="E730" s="76"/>
      <c r="F730" s="76"/>
      <c r="G730" s="76"/>
      <c r="H730" s="76"/>
      <c r="I730" s="76"/>
      <c r="J730" s="76"/>
      <c r="K730" s="76"/>
      <c r="M730" s="77"/>
      <c r="N730" s="76" t="s">
        <v>6761</v>
      </c>
      <c r="O730" s="76"/>
      <c r="P730" s="76"/>
      <c r="Q730" s="76"/>
      <c r="R730" s="67">
        <f t="shared" si="32"/>
        <v>0</v>
      </c>
      <c r="S730" s="76">
        <v>2024</v>
      </c>
    </row>
    <row r="731" spans="1:19" ht="16" x14ac:dyDescent="0.2">
      <c r="A731" s="76" t="s">
        <v>6762</v>
      </c>
      <c r="B731" s="69" t="s">
        <v>6763</v>
      </c>
      <c r="C731" s="76"/>
      <c r="D731" s="76"/>
      <c r="E731" s="76"/>
      <c r="F731" s="76"/>
      <c r="G731" s="76"/>
      <c r="H731" s="76"/>
      <c r="I731" s="76"/>
      <c r="J731" s="76"/>
      <c r="K731" s="76"/>
      <c r="M731" s="77"/>
      <c r="N731" s="76" t="s">
        <v>6764</v>
      </c>
      <c r="O731" s="76"/>
      <c r="P731" s="76"/>
      <c r="Q731" s="76"/>
      <c r="R731" s="67">
        <f t="shared" si="32"/>
        <v>0</v>
      </c>
      <c r="S731" s="76">
        <v>2024</v>
      </c>
    </row>
    <row r="732" spans="1:19" ht="16" x14ac:dyDescent="0.2">
      <c r="A732" s="76" t="s">
        <v>6765</v>
      </c>
      <c r="B732" s="69" t="s">
        <v>6766</v>
      </c>
      <c r="C732" s="76"/>
      <c r="D732" s="76"/>
      <c r="E732" s="76"/>
      <c r="F732" s="76"/>
      <c r="G732" s="76"/>
      <c r="H732" s="76"/>
      <c r="I732" s="76"/>
      <c r="J732" s="76"/>
      <c r="K732" s="76"/>
      <c r="M732" s="77"/>
      <c r="N732" s="76" t="s">
        <v>6767</v>
      </c>
      <c r="O732" s="76"/>
      <c r="P732" s="76"/>
      <c r="Q732" s="76"/>
      <c r="R732" s="67">
        <f t="shared" si="32"/>
        <v>0</v>
      </c>
      <c r="S732" s="76">
        <v>2024</v>
      </c>
    </row>
    <row r="733" spans="1:19" ht="16" x14ac:dyDescent="0.2">
      <c r="A733" s="76" t="s">
        <v>6768</v>
      </c>
      <c r="B733" s="69" t="s">
        <v>6769</v>
      </c>
      <c r="C733" s="76"/>
      <c r="D733" s="76"/>
      <c r="E733" s="76"/>
      <c r="F733" s="76"/>
      <c r="G733" s="76"/>
      <c r="H733" s="76"/>
      <c r="I733" s="76"/>
      <c r="J733" s="76"/>
      <c r="K733" s="76"/>
      <c r="M733" s="77"/>
      <c r="N733" s="76" t="s">
        <v>6770</v>
      </c>
      <c r="O733" s="76"/>
      <c r="P733" s="76"/>
      <c r="Q733" s="76"/>
      <c r="R733" s="67">
        <f t="shared" si="32"/>
        <v>0</v>
      </c>
      <c r="S733" s="76">
        <v>2024</v>
      </c>
    </row>
    <row r="734" spans="1:19" ht="16" x14ac:dyDescent="0.2">
      <c r="A734" s="76" t="s">
        <v>3282</v>
      </c>
      <c r="B734" s="69" t="s">
        <v>6771</v>
      </c>
      <c r="C734" s="76"/>
      <c r="D734" s="76"/>
      <c r="E734" s="76"/>
      <c r="F734" s="76"/>
      <c r="G734" s="76"/>
      <c r="H734" s="76"/>
      <c r="I734" s="76"/>
      <c r="J734" s="76"/>
      <c r="K734" s="76"/>
      <c r="M734" s="77"/>
      <c r="N734" s="76" t="s">
        <v>6772</v>
      </c>
      <c r="O734" s="76"/>
      <c r="P734" s="76"/>
      <c r="Q734" s="76"/>
      <c r="R734" s="67">
        <f t="shared" si="32"/>
        <v>0</v>
      </c>
      <c r="S734" s="76">
        <v>2024</v>
      </c>
    </row>
    <row r="735" spans="1:19" ht="16" x14ac:dyDescent="0.2">
      <c r="A735" s="76" t="s">
        <v>6773</v>
      </c>
      <c r="B735" s="69" t="s">
        <v>6774</v>
      </c>
      <c r="C735" s="76"/>
      <c r="D735" s="76"/>
      <c r="E735" s="76"/>
      <c r="F735" s="76"/>
      <c r="G735" s="76"/>
      <c r="H735" s="76"/>
      <c r="I735" s="76"/>
      <c r="J735" s="76"/>
      <c r="K735" s="76"/>
      <c r="M735" s="77"/>
      <c r="N735" s="76" t="s">
        <v>6775</v>
      </c>
      <c r="O735" s="76"/>
      <c r="P735" s="76"/>
      <c r="Q735" s="76"/>
      <c r="R735" s="67">
        <f t="shared" si="32"/>
        <v>0</v>
      </c>
      <c r="S735" s="76">
        <v>2024</v>
      </c>
    </row>
    <row r="736" spans="1:19" ht="16" x14ac:dyDescent="0.2">
      <c r="A736" s="76" t="s">
        <v>6776</v>
      </c>
      <c r="B736" s="69" t="s">
        <v>6777</v>
      </c>
      <c r="C736" s="76"/>
      <c r="D736" s="76"/>
      <c r="E736" s="76"/>
      <c r="F736" s="76"/>
      <c r="G736" s="76"/>
      <c r="H736" s="76"/>
      <c r="I736" s="76"/>
      <c r="J736" s="76"/>
      <c r="K736" s="76"/>
      <c r="M736" s="77"/>
      <c r="N736" s="76" t="s">
        <v>6778</v>
      </c>
      <c r="O736" s="76"/>
      <c r="P736" s="76"/>
      <c r="Q736" s="76"/>
      <c r="R736" s="67">
        <f t="shared" si="32"/>
        <v>0</v>
      </c>
      <c r="S736" s="76">
        <v>2024</v>
      </c>
    </row>
    <row r="737" spans="1:19" ht="16" x14ac:dyDescent="0.2">
      <c r="A737" s="76" t="s">
        <v>6779</v>
      </c>
      <c r="B737" s="69" t="s">
        <v>6780</v>
      </c>
      <c r="C737" s="76"/>
      <c r="D737" s="76"/>
      <c r="E737" s="76"/>
      <c r="F737" s="76"/>
      <c r="G737" s="76"/>
      <c r="H737" s="76"/>
      <c r="I737" s="76"/>
      <c r="J737" s="76"/>
      <c r="K737" s="76"/>
      <c r="M737" s="77"/>
      <c r="N737" s="76" t="s">
        <v>6781</v>
      </c>
      <c r="O737" s="76"/>
      <c r="P737" s="76"/>
      <c r="Q737" s="76"/>
      <c r="R737" s="67">
        <f t="shared" si="32"/>
        <v>0</v>
      </c>
      <c r="S737" s="76">
        <v>2024</v>
      </c>
    </row>
    <row r="738" spans="1:19" ht="16" x14ac:dyDescent="0.2">
      <c r="A738" s="76" t="s">
        <v>6782</v>
      </c>
      <c r="B738" s="69" t="s">
        <v>6783</v>
      </c>
      <c r="C738" s="76" t="s">
        <v>201</v>
      </c>
      <c r="D738" s="76"/>
      <c r="E738" s="76"/>
      <c r="F738" s="76"/>
      <c r="G738" s="76"/>
      <c r="H738" s="76"/>
      <c r="I738" s="76"/>
      <c r="J738" s="76"/>
      <c r="K738" s="76"/>
      <c r="M738" s="77" t="s">
        <v>21</v>
      </c>
      <c r="N738" s="76" t="s">
        <v>6784</v>
      </c>
      <c r="O738" s="76"/>
      <c r="P738" s="76"/>
      <c r="Q738" s="76"/>
      <c r="R738" s="67">
        <f t="shared" si="32"/>
        <v>0</v>
      </c>
      <c r="S738" s="76">
        <v>2024</v>
      </c>
    </row>
    <row r="739" spans="1:19" ht="16" x14ac:dyDescent="0.2">
      <c r="A739" s="76" t="s">
        <v>6785</v>
      </c>
      <c r="B739" s="69" t="s">
        <v>6786</v>
      </c>
      <c r="C739" s="76"/>
      <c r="D739" s="76"/>
      <c r="E739" s="76"/>
      <c r="F739" s="76"/>
      <c r="G739" s="76"/>
      <c r="H739" s="76"/>
      <c r="I739" s="76"/>
      <c r="J739" s="76"/>
      <c r="K739" s="76"/>
      <c r="M739" s="77"/>
      <c r="N739" s="76" t="s">
        <v>6787</v>
      </c>
      <c r="O739" s="76"/>
      <c r="P739" s="76"/>
      <c r="Q739" s="76"/>
      <c r="R739" s="67">
        <f t="shared" si="32"/>
        <v>0</v>
      </c>
      <c r="S739" s="76">
        <v>2024</v>
      </c>
    </row>
    <row r="740" spans="1:19" ht="16" x14ac:dyDescent="0.2">
      <c r="A740" s="76" t="s">
        <v>6788</v>
      </c>
      <c r="B740" s="69" t="s">
        <v>6789</v>
      </c>
      <c r="C740" s="76"/>
      <c r="D740" s="76"/>
      <c r="E740" s="76"/>
      <c r="F740" s="76"/>
      <c r="G740" s="76"/>
      <c r="H740" s="76"/>
      <c r="I740" s="76"/>
      <c r="J740" s="76"/>
      <c r="K740" s="76"/>
      <c r="M740" s="77"/>
      <c r="N740" s="76" t="s">
        <v>6790</v>
      </c>
      <c r="O740" s="76"/>
      <c r="P740" s="76"/>
      <c r="Q740" s="76"/>
      <c r="R740" s="67">
        <f t="shared" si="32"/>
        <v>0</v>
      </c>
      <c r="S740" s="76">
        <v>2024</v>
      </c>
    </row>
    <row r="741" spans="1:19" ht="16" x14ac:dyDescent="0.2">
      <c r="A741" s="76" t="s">
        <v>6791</v>
      </c>
      <c r="B741" s="69" t="s">
        <v>6792</v>
      </c>
      <c r="C741" s="76"/>
      <c r="D741" s="76"/>
      <c r="E741" s="76"/>
      <c r="F741" s="76"/>
      <c r="G741" s="76"/>
      <c r="H741" s="76"/>
      <c r="I741" s="76"/>
      <c r="J741" s="76"/>
      <c r="K741" s="76"/>
      <c r="M741" s="77"/>
      <c r="N741" s="76" t="s">
        <v>6793</v>
      </c>
      <c r="O741" s="76"/>
      <c r="P741" s="76"/>
      <c r="Q741" s="76"/>
      <c r="R741" s="67">
        <f t="shared" si="32"/>
        <v>0</v>
      </c>
      <c r="S741" s="76">
        <v>2024</v>
      </c>
    </row>
    <row r="742" spans="1:19" ht="16" x14ac:dyDescent="0.2">
      <c r="A742" s="76" t="s">
        <v>6794</v>
      </c>
      <c r="B742" s="69" t="s">
        <v>6795</v>
      </c>
      <c r="C742" s="76"/>
      <c r="D742" s="76"/>
      <c r="E742" s="76"/>
      <c r="F742" s="76"/>
      <c r="G742" s="76"/>
      <c r="H742" s="76"/>
      <c r="I742" s="76"/>
      <c r="J742" s="76"/>
      <c r="K742" s="76"/>
      <c r="M742" s="77"/>
      <c r="N742" s="76" t="s">
        <v>6796</v>
      </c>
      <c r="O742" s="76"/>
      <c r="P742" s="76"/>
      <c r="Q742" s="76"/>
      <c r="R742" s="67">
        <f t="shared" si="32"/>
        <v>0</v>
      </c>
      <c r="S742" s="76">
        <v>2024</v>
      </c>
    </row>
    <row r="743" spans="1:19" ht="16" x14ac:dyDescent="0.2">
      <c r="A743" s="76" t="s">
        <v>6797</v>
      </c>
      <c r="B743" s="69" t="s">
        <v>6798</v>
      </c>
      <c r="C743" s="76"/>
      <c r="D743" s="76"/>
      <c r="E743" s="76"/>
      <c r="F743" s="76"/>
      <c r="G743" s="76"/>
      <c r="H743" s="76"/>
      <c r="I743" s="76"/>
      <c r="J743" s="76"/>
      <c r="K743" s="76"/>
      <c r="M743" s="77"/>
      <c r="N743" s="76"/>
      <c r="O743" s="78"/>
      <c r="P743" s="76"/>
      <c r="Q743" s="76"/>
      <c r="R743" s="67">
        <f t="shared" si="32"/>
        <v>0</v>
      </c>
      <c r="S743" s="76">
        <v>2024</v>
      </c>
    </row>
    <row r="744" spans="1:19" ht="16" x14ac:dyDescent="0.2">
      <c r="A744" s="76" t="s">
        <v>6799</v>
      </c>
      <c r="B744" s="69" t="s">
        <v>6800</v>
      </c>
      <c r="C744" s="76"/>
      <c r="D744" s="76"/>
      <c r="E744" s="76"/>
      <c r="F744" s="76"/>
      <c r="G744" s="76"/>
      <c r="H744" s="76"/>
      <c r="I744" s="76"/>
      <c r="J744" s="76"/>
      <c r="K744" s="76">
        <v>1</v>
      </c>
      <c r="M744" s="77"/>
      <c r="N744" s="76" t="s">
        <v>6801</v>
      </c>
      <c r="O744" s="78">
        <v>1</v>
      </c>
      <c r="P744" s="76"/>
      <c r="Q744" s="76"/>
      <c r="R744" s="67">
        <f t="shared" si="32"/>
        <v>0</v>
      </c>
      <c r="S744" s="76">
        <v>2024</v>
      </c>
    </row>
    <row r="745" spans="1:19" ht="16" x14ac:dyDescent="0.2">
      <c r="A745" s="76" t="s">
        <v>6110</v>
      </c>
      <c r="B745" s="69" t="s">
        <v>6802</v>
      </c>
      <c r="C745" s="76"/>
      <c r="D745" s="76"/>
      <c r="E745" s="76"/>
      <c r="F745" s="76"/>
      <c r="G745" s="76"/>
      <c r="H745" s="76"/>
      <c r="I745" s="76"/>
      <c r="J745" s="76"/>
      <c r="K745" s="76"/>
      <c r="M745" s="77"/>
      <c r="N745" s="76" t="s">
        <v>6803</v>
      </c>
      <c r="O745" s="78">
        <v>1</v>
      </c>
      <c r="P745" s="76"/>
      <c r="Q745" s="76"/>
      <c r="R745" s="67">
        <f t="shared" si="32"/>
        <v>0</v>
      </c>
      <c r="S745" s="76">
        <v>2024</v>
      </c>
    </row>
    <row r="746" spans="1:19" ht="16" x14ac:dyDescent="0.2">
      <c r="A746" s="76" t="s">
        <v>6804</v>
      </c>
      <c r="B746" s="69" t="s">
        <v>6805</v>
      </c>
      <c r="C746" s="76"/>
      <c r="D746" s="76"/>
      <c r="E746" s="76"/>
      <c r="F746" s="76"/>
      <c r="G746" s="76"/>
      <c r="H746" s="76"/>
      <c r="I746" s="76"/>
      <c r="J746" s="76"/>
      <c r="K746" s="76"/>
      <c r="M746" s="77"/>
      <c r="N746" s="76" t="s">
        <v>6806</v>
      </c>
      <c r="O746" s="78">
        <v>1</v>
      </c>
      <c r="P746" s="76"/>
      <c r="Q746" s="76"/>
      <c r="R746" s="67">
        <f t="shared" si="32"/>
        <v>0</v>
      </c>
      <c r="S746" s="76">
        <v>2024</v>
      </c>
    </row>
    <row r="747" spans="1:19" ht="16" x14ac:dyDescent="0.2">
      <c r="A747" s="76" t="s">
        <v>6807</v>
      </c>
      <c r="B747" s="69" t="s">
        <v>6808</v>
      </c>
      <c r="C747" s="76"/>
      <c r="D747" s="76"/>
      <c r="E747" s="76"/>
      <c r="F747" s="76"/>
      <c r="G747" s="76"/>
      <c r="H747" s="76"/>
      <c r="I747" s="76"/>
      <c r="J747" s="76"/>
      <c r="K747" s="76"/>
      <c r="M747" s="77" t="s">
        <v>4079</v>
      </c>
      <c r="N747" s="76" t="s">
        <v>6809</v>
      </c>
      <c r="O747" s="76"/>
      <c r="P747" s="76"/>
      <c r="Q747" s="76"/>
      <c r="R747" s="67">
        <f t="shared" si="32"/>
        <v>0</v>
      </c>
      <c r="S747" s="76">
        <v>2024</v>
      </c>
    </row>
    <row r="748" spans="1:19" ht="16" x14ac:dyDescent="0.2">
      <c r="A748" s="76" t="s">
        <v>6810</v>
      </c>
      <c r="B748" s="69" t="s">
        <v>6811</v>
      </c>
      <c r="C748" s="76"/>
      <c r="D748" s="76"/>
      <c r="E748" s="76"/>
      <c r="F748" s="76"/>
      <c r="G748" s="76"/>
      <c r="H748" s="76"/>
      <c r="I748" s="76"/>
      <c r="J748" s="76"/>
      <c r="K748" s="76"/>
      <c r="M748" s="77"/>
      <c r="N748" s="76" t="s">
        <v>6812</v>
      </c>
      <c r="O748" s="76"/>
      <c r="P748" s="76"/>
      <c r="Q748" s="76"/>
      <c r="R748" s="67">
        <f t="shared" si="32"/>
        <v>0</v>
      </c>
      <c r="S748" s="76">
        <v>2024</v>
      </c>
    </row>
    <row r="749" spans="1:19" ht="16" x14ac:dyDescent="0.2">
      <c r="A749" s="76" t="s">
        <v>6813</v>
      </c>
      <c r="B749" s="69" t="s">
        <v>6814</v>
      </c>
      <c r="C749" s="76"/>
      <c r="D749" s="76"/>
      <c r="E749" s="76"/>
      <c r="F749" s="76"/>
      <c r="G749" s="76"/>
      <c r="H749" s="76"/>
      <c r="I749" s="76"/>
      <c r="J749" s="76"/>
      <c r="K749" s="76"/>
      <c r="M749" s="77"/>
      <c r="N749" s="76" t="s">
        <v>6815</v>
      </c>
      <c r="O749" s="76"/>
      <c r="P749" s="76"/>
      <c r="Q749" s="76"/>
      <c r="R749" s="67">
        <f t="shared" si="32"/>
        <v>0</v>
      </c>
      <c r="S749" s="76">
        <v>2024</v>
      </c>
    </row>
    <row r="750" spans="1:19" ht="16" x14ac:dyDescent="0.2">
      <c r="A750" s="76" t="s">
        <v>3869</v>
      </c>
      <c r="B750" s="69" t="s">
        <v>6816</v>
      </c>
      <c r="C750" s="76"/>
      <c r="D750" s="76"/>
      <c r="E750" s="76"/>
      <c r="F750" s="76"/>
      <c r="G750" s="76"/>
      <c r="H750" s="76"/>
      <c r="I750" s="76"/>
      <c r="J750" s="76"/>
      <c r="K750" s="76"/>
      <c r="M750" s="77" t="s">
        <v>4079</v>
      </c>
      <c r="N750" s="76" t="s">
        <v>6817</v>
      </c>
      <c r="O750" s="76"/>
      <c r="P750" s="76"/>
      <c r="Q750" s="76"/>
      <c r="R750" s="67">
        <f t="shared" si="32"/>
        <v>0</v>
      </c>
      <c r="S750" s="76">
        <v>2024</v>
      </c>
    </row>
    <row r="751" spans="1:19" ht="16" x14ac:dyDescent="0.2">
      <c r="A751" s="76" t="s">
        <v>3902</v>
      </c>
      <c r="B751" s="69" t="s">
        <v>6818</v>
      </c>
      <c r="C751" s="76"/>
      <c r="D751" s="76"/>
      <c r="E751" s="76"/>
      <c r="F751" s="76"/>
      <c r="G751" s="76"/>
      <c r="H751" s="76"/>
      <c r="I751" s="76"/>
      <c r="J751" s="76"/>
      <c r="K751" s="76">
        <v>1</v>
      </c>
      <c r="M751" s="77" t="s">
        <v>4079</v>
      </c>
      <c r="N751" s="76" t="s">
        <v>6819</v>
      </c>
      <c r="O751" s="76"/>
      <c r="P751" s="76"/>
      <c r="Q751" s="76"/>
      <c r="R751" s="67">
        <f t="shared" si="32"/>
        <v>0</v>
      </c>
      <c r="S751" s="76">
        <v>2024</v>
      </c>
    </row>
    <row r="752" spans="1:19" ht="16" x14ac:dyDescent="0.2">
      <c r="A752" s="76" t="s">
        <v>6820</v>
      </c>
      <c r="B752" s="69" t="s">
        <v>6821</v>
      </c>
      <c r="C752" s="76"/>
      <c r="D752" s="76"/>
      <c r="E752" s="76"/>
      <c r="F752" s="76"/>
      <c r="G752" s="76"/>
      <c r="H752" s="76"/>
      <c r="I752" s="76"/>
      <c r="J752" s="76"/>
      <c r="K752" s="76"/>
      <c r="M752" s="77" t="s">
        <v>21</v>
      </c>
      <c r="N752" s="76" t="s">
        <v>6822</v>
      </c>
      <c r="O752" s="76"/>
      <c r="P752" s="76"/>
      <c r="Q752" s="76"/>
      <c r="R752" s="67">
        <f t="shared" si="32"/>
        <v>0</v>
      </c>
      <c r="S752" s="76">
        <v>2024</v>
      </c>
    </row>
    <row r="753" spans="1:19" ht="16" x14ac:dyDescent="0.2">
      <c r="A753" s="76" t="s">
        <v>3768</v>
      </c>
      <c r="B753" s="69" t="s">
        <v>6823</v>
      </c>
      <c r="C753" s="76"/>
      <c r="D753" s="76"/>
      <c r="E753" s="76"/>
      <c r="F753" s="76"/>
      <c r="G753" s="76"/>
      <c r="H753" s="76"/>
      <c r="I753" s="76"/>
      <c r="J753" s="76"/>
      <c r="K753" s="76"/>
      <c r="M753" s="77" t="s">
        <v>4079</v>
      </c>
      <c r="N753" s="76" t="s">
        <v>6824</v>
      </c>
      <c r="O753" s="76"/>
      <c r="P753" s="76"/>
      <c r="Q753" s="76"/>
      <c r="R753" s="67">
        <f t="shared" si="32"/>
        <v>0</v>
      </c>
      <c r="S753" s="76">
        <v>2024</v>
      </c>
    </row>
    <row r="754" spans="1:19" ht="16" x14ac:dyDescent="0.2">
      <c r="A754" s="76" t="s">
        <v>6825</v>
      </c>
      <c r="B754" s="69" t="s">
        <v>6826</v>
      </c>
      <c r="C754" s="76"/>
      <c r="D754" s="76"/>
      <c r="E754" s="76"/>
      <c r="F754" s="76"/>
      <c r="G754" s="76"/>
      <c r="H754" s="76"/>
      <c r="I754" s="76"/>
      <c r="J754" s="76"/>
      <c r="K754" s="76"/>
      <c r="M754" s="77"/>
      <c r="N754" s="76" t="s">
        <v>6827</v>
      </c>
      <c r="O754" s="78">
        <v>1</v>
      </c>
      <c r="P754" s="76"/>
      <c r="Q754" s="76"/>
      <c r="R754" s="67">
        <f t="shared" si="32"/>
        <v>0</v>
      </c>
      <c r="S754" s="76">
        <v>2025</v>
      </c>
    </row>
    <row r="755" spans="1:19" ht="16" x14ac:dyDescent="0.2">
      <c r="A755" s="76" t="s">
        <v>3946</v>
      </c>
      <c r="B755" s="69" t="s">
        <v>6828</v>
      </c>
      <c r="C755" s="76" t="s">
        <v>201</v>
      </c>
      <c r="D755" s="76"/>
      <c r="E755" s="76"/>
      <c r="F755" s="76"/>
      <c r="G755" s="76"/>
      <c r="H755" s="76"/>
      <c r="I755" s="76"/>
      <c r="J755" s="76"/>
      <c r="K755" s="76"/>
      <c r="M755" s="77"/>
      <c r="N755" s="76" t="s">
        <v>6829</v>
      </c>
      <c r="O755" s="76"/>
      <c r="P755" s="76"/>
      <c r="Q755" s="76"/>
      <c r="R755" s="67">
        <f t="shared" si="32"/>
        <v>0</v>
      </c>
      <c r="S755" s="76">
        <v>2024</v>
      </c>
    </row>
    <row r="756" spans="1:19" ht="16" x14ac:dyDescent="0.2">
      <c r="A756" s="76" t="s">
        <v>6830</v>
      </c>
      <c r="B756" s="69" t="s">
        <v>6831</v>
      </c>
      <c r="C756" s="76"/>
      <c r="D756" s="76"/>
      <c r="E756" s="76"/>
      <c r="F756" s="76"/>
      <c r="G756" s="76"/>
      <c r="H756" s="76"/>
      <c r="I756" s="76"/>
      <c r="J756" s="76"/>
      <c r="K756" s="76"/>
      <c r="M756" s="77"/>
      <c r="N756" s="76" t="s">
        <v>6832</v>
      </c>
      <c r="O756" s="76"/>
      <c r="P756" s="76"/>
      <c r="Q756" s="76"/>
      <c r="R756" s="67">
        <f t="shared" si="32"/>
        <v>0</v>
      </c>
      <c r="S756" s="76">
        <v>2024</v>
      </c>
    </row>
    <row r="757" spans="1:19" ht="16" x14ac:dyDescent="0.2">
      <c r="A757" s="76" t="s">
        <v>6833</v>
      </c>
      <c r="B757" s="69" t="s">
        <v>6834</v>
      </c>
      <c r="C757" s="76"/>
      <c r="D757" s="76"/>
      <c r="E757" s="76"/>
      <c r="F757" s="76"/>
      <c r="G757" s="76"/>
      <c r="H757" s="76"/>
      <c r="I757" s="76"/>
      <c r="J757" s="76"/>
      <c r="K757" s="76"/>
      <c r="M757" s="77"/>
      <c r="N757" s="76" t="s">
        <v>6835</v>
      </c>
      <c r="O757" s="76"/>
      <c r="P757" s="76"/>
      <c r="Q757" s="76"/>
      <c r="R757" s="67">
        <f t="shared" si="32"/>
        <v>0</v>
      </c>
      <c r="S757" s="76">
        <v>2025</v>
      </c>
    </row>
    <row r="758" spans="1:19" ht="16" x14ac:dyDescent="0.2">
      <c r="A758" s="76" t="s">
        <v>6836</v>
      </c>
      <c r="B758" s="69" t="s">
        <v>6837</v>
      </c>
      <c r="C758" s="76"/>
      <c r="D758" s="76"/>
      <c r="E758" s="76"/>
      <c r="F758" s="76"/>
      <c r="G758" s="76"/>
      <c r="H758" s="76"/>
      <c r="I758" s="76"/>
      <c r="J758" s="76"/>
      <c r="K758" s="76"/>
      <c r="M758" s="77"/>
      <c r="N758" s="76"/>
      <c r="O758" s="78"/>
      <c r="P758" s="76"/>
      <c r="Q758" s="76"/>
      <c r="R758" s="67">
        <f t="shared" si="32"/>
        <v>0</v>
      </c>
      <c r="S758" s="76">
        <v>2024</v>
      </c>
    </row>
    <row r="759" spans="1:19" ht="16" x14ac:dyDescent="0.2">
      <c r="A759" s="76" t="s">
        <v>6210</v>
      </c>
      <c r="B759" s="69" t="s">
        <v>6838</v>
      </c>
      <c r="C759" s="76"/>
      <c r="D759" s="76"/>
      <c r="E759" s="76"/>
      <c r="F759" s="76"/>
      <c r="G759" s="76"/>
      <c r="H759" s="76"/>
      <c r="I759" s="76"/>
      <c r="J759" s="76"/>
      <c r="K759" s="76"/>
      <c r="M759" s="77"/>
      <c r="N759" s="76" t="s">
        <v>6839</v>
      </c>
      <c r="O759" s="76"/>
      <c r="P759" s="76"/>
      <c r="Q759" s="76"/>
      <c r="R759" s="67">
        <f t="shared" si="32"/>
        <v>0</v>
      </c>
      <c r="S759" s="76">
        <v>2024</v>
      </c>
    </row>
    <row r="760" spans="1:19" ht="16" x14ac:dyDescent="0.2">
      <c r="A760" s="76" t="s">
        <v>6840</v>
      </c>
      <c r="B760" s="69" t="s">
        <v>6841</v>
      </c>
      <c r="C760" s="76"/>
      <c r="D760" s="76"/>
      <c r="E760" s="76"/>
      <c r="F760" s="76"/>
      <c r="G760" s="76"/>
      <c r="H760" s="76"/>
      <c r="I760" s="76"/>
      <c r="J760" s="76"/>
      <c r="K760" s="76"/>
      <c r="M760" s="77" t="s">
        <v>4079</v>
      </c>
      <c r="N760" s="76" t="s">
        <v>6842</v>
      </c>
      <c r="O760" s="76"/>
      <c r="P760" s="76"/>
      <c r="Q760" s="76"/>
      <c r="R760" s="67">
        <f t="shared" si="32"/>
        <v>0</v>
      </c>
      <c r="S760" s="76">
        <v>2024</v>
      </c>
    </row>
    <row r="761" spans="1:19" ht="16" x14ac:dyDescent="0.2">
      <c r="A761" s="76" t="s">
        <v>3699</v>
      </c>
      <c r="B761" s="69" t="s">
        <v>6843</v>
      </c>
      <c r="C761" s="76"/>
      <c r="D761" s="76"/>
      <c r="E761" s="76"/>
      <c r="F761" s="76"/>
      <c r="G761" s="76"/>
      <c r="H761" s="76"/>
      <c r="I761" s="76"/>
      <c r="J761" s="76"/>
      <c r="K761" s="76"/>
      <c r="M761" s="77" t="s">
        <v>4079</v>
      </c>
      <c r="N761" s="76" t="s">
        <v>6844</v>
      </c>
      <c r="O761" s="76"/>
      <c r="P761" s="76"/>
      <c r="Q761" s="76"/>
      <c r="R761" s="67">
        <f t="shared" si="32"/>
        <v>0</v>
      </c>
      <c r="S761" s="76">
        <v>2024</v>
      </c>
    </row>
    <row r="762" spans="1:19" ht="16" x14ac:dyDescent="0.2">
      <c r="A762" s="76" t="s">
        <v>6845</v>
      </c>
      <c r="B762" s="69" t="s">
        <v>6846</v>
      </c>
      <c r="C762" s="76"/>
      <c r="D762" s="76"/>
      <c r="E762" s="76"/>
      <c r="F762" s="76"/>
      <c r="G762" s="76"/>
      <c r="H762" s="76"/>
      <c r="I762" s="76"/>
      <c r="J762" s="76"/>
      <c r="K762" s="76"/>
      <c r="M762" s="77" t="s">
        <v>21</v>
      </c>
      <c r="N762" s="76" t="s">
        <v>6847</v>
      </c>
      <c r="O762" s="76"/>
      <c r="P762" s="76"/>
      <c r="Q762" s="76"/>
      <c r="R762" s="67">
        <f t="shared" si="32"/>
        <v>0</v>
      </c>
      <c r="S762" s="76">
        <v>2025</v>
      </c>
    </row>
    <row r="763" spans="1:19" ht="16" x14ac:dyDescent="0.2">
      <c r="A763" s="76" t="s">
        <v>3709</v>
      </c>
      <c r="B763" s="69" t="s">
        <v>6848</v>
      </c>
      <c r="C763" s="76"/>
      <c r="D763" s="76"/>
      <c r="E763" s="76"/>
      <c r="F763" s="76"/>
      <c r="G763" s="76"/>
      <c r="H763" s="76"/>
      <c r="I763" s="76"/>
      <c r="J763" s="76"/>
      <c r="K763" s="76"/>
      <c r="M763" s="77" t="s">
        <v>4079</v>
      </c>
      <c r="N763" s="76" t="s">
        <v>6849</v>
      </c>
      <c r="O763" s="76"/>
      <c r="P763" s="76"/>
      <c r="Q763" s="76"/>
      <c r="R763" s="67">
        <f t="shared" si="32"/>
        <v>0</v>
      </c>
      <c r="S763" s="76">
        <v>2024</v>
      </c>
    </row>
    <row r="764" spans="1:19" ht="16" x14ac:dyDescent="0.2">
      <c r="A764" s="76" t="s">
        <v>6269</v>
      </c>
      <c r="B764" s="69" t="s">
        <v>6850</v>
      </c>
      <c r="C764" s="76"/>
      <c r="D764" s="76"/>
      <c r="E764" s="76"/>
      <c r="F764" s="76"/>
      <c r="G764" s="76"/>
      <c r="H764" s="76"/>
      <c r="I764" s="76"/>
      <c r="J764" s="76"/>
      <c r="K764" s="76"/>
      <c r="M764" s="77" t="s">
        <v>21</v>
      </c>
      <c r="N764" s="76" t="s">
        <v>6851</v>
      </c>
      <c r="O764" s="76"/>
      <c r="P764" s="76"/>
      <c r="Q764" s="76"/>
      <c r="R764" s="67">
        <f t="shared" si="32"/>
        <v>0</v>
      </c>
      <c r="S764" s="76">
        <v>2024</v>
      </c>
    </row>
    <row r="765" spans="1:19" ht="16" x14ac:dyDescent="0.2">
      <c r="A765" s="76" t="s">
        <v>6852</v>
      </c>
      <c r="B765" s="69" t="s">
        <v>6853</v>
      </c>
      <c r="C765" s="76"/>
      <c r="D765" s="76"/>
      <c r="E765" s="76"/>
      <c r="F765" s="76"/>
      <c r="G765" s="76"/>
      <c r="H765" s="76"/>
      <c r="I765" s="76"/>
      <c r="J765" s="76"/>
      <c r="K765" s="76"/>
      <c r="M765" s="77"/>
      <c r="N765" s="76" t="s">
        <v>6544</v>
      </c>
      <c r="O765" s="78">
        <v>1</v>
      </c>
      <c r="P765" s="76"/>
      <c r="Q765" s="76"/>
      <c r="R765" s="67">
        <f t="shared" si="32"/>
        <v>0</v>
      </c>
      <c r="S765" s="76">
        <v>2024</v>
      </c>
    </row>
    <row r="766" spans="1:19" ht="16" x14ac:dyDescent="0.2">
      <c r="A766" s="76" t="s">
        <v>3999</v>
      </c>
      <c r="B766" s="69" t="s">
        <v>6854</v>
      </c>
      <c r="C766" s="76"/>
      <c r="D766" s="76"/>
      <c r="E766" s="76"/>
      <c r="F766" s="76"/>
      <c r="G766" s="76"/>
      <c r="H766" s="76"/>
      <c r="I766" s="76"/>
      <c r="J766" s="76"/>
      <c r="K766" s="76">
        <v>1</v>
      </c>
      <c r="M766" s="77" t="s">
        <v>4079</v>
      </c>
      <c r="N766" s="76" t="s">
        <v>6855</v>
      </c>
      <c r="O766" s="76"/>
      <c r="P766" s="76"/>
      <c r="Q766" s="76"/>
      <c r="R766" s="67">
        <f t="shared" si="32"/>
        <v>0</v>
      </c>
      <c r="S766" s="76">
        <v>2024</v>
      </c>
    </row>
    <row r="767" spans="1:19" ht="16" x14ac:dyDescent="0.2">
      <c r="A767" s="76" t="s">
        <v>6856</v>
      </c>
      <c r="B767" s="69" t="s">
        <v>6857</v>
      </c>
      <c r="C767" s="76"/>
      <c r="D767" s="76"/>
      <c r="E767" s="76"/>
      <c r="F767" s="76"/>
      <c r="G767" s="76"/>
      <c r="H767" s="76"/>
      <c r="I767" s="76"/>
      <c r="J767" s="76"/>
      <c r="K767" s="76"/>
      <c r="M767" s="77" t="s">
        <v>4079</v>
      </c>
      <c r="N767" s="76" t="s">
        <v>6858</v>
      </c>
      <c r="O767" s="76"/>
      <c r="P767" s="76"/>
      <c r="Q767" s="76"/>
      <c r="R767" s="67">
        <f t="shared" si="32"/>
        <v>0</v>
      </c>
      <c r="S767" s="76">
        <v>2024</v>
      </c>
    </row>
    <row r="768" spans="1:19" ht="16" x14ac:dyDescent="0.2">
      <c r="A768" s="76" t="s">
        <v>6859</v>
      </c>
      <c r="B768" s="69" t="s">
        <v>6860</v>
      </c>
      <c r="C768" s="76"/>
      <c r="D768" s="76"/>
      <c r="E768" s="76"/>
      <c r="F768" s="76"/>
      <c r="G768" s="76"/>
      <c r="H768" s="76"/>
      <c r="I768" s="76"/>
      <c r="J768" s="76"/>
      <c r="K768" s="76"/>
      <c r="M768" s="77"/>
      <c r="N768" s="76" t="s">
        <v>6861</v>
      </c>
      <c r="O768" s="76"/>
      <c r="P768" s="76"/>
      <c r="Q768" s="76"/>
      <c r="R768" s="67">
        <f t="shared" si="32"/>
        <v>0</v>
      </c>
      <c r="S768" s="76">
        <v>2024</v>
      </c>
    </row>
    <row r="769" spans="1:19" ht="16" x14ac:dyDescent="0.2">
      <c r="A769" s="76" t="s">
        <v>3747</v>
      </c>
      <c r="B769" s="69" t="s">
        <v>6862</v>
      </c>
      <c r="C769" s="76"/>
      <c r="D769" s="76"/>
      <c r="E769" s="76"/>
      <c r="F769" s="76"/>
      <c r="G769" s="76"/>
      <c r="H769" s="76"/>
      <c r="I769" s="76"/>
      <c r="J769" s="76"/>
      <c r="K769" s="76"/>
      <c r="M769" s="77" t="s">
        <v>4079</v>
      </c>
      <c r="N769" s="76" t="s">
        <v>6863</v>
      </c>
      <c r="O769" s="76"/>
      <c r="P769" s="76"/>
      <c r="Q769" s="76"/>
      <c r="R769" s="67">
        <f t="shared" si="32"/>
        <v>0</v>
      </c>
      <c r="S769" s="76">
        <v>2024</v>
      </c>
    </row>
    <row r="770" spans="1:19" ht="16" x14ac:dyDescent="0.2">
      <c r="A770" s="76" t="s">
        <v>3746</v>
      </c>
      <c r="B770" s="69" t="s">
        <v>6864</v>
      </c>
      <c r="C770" s="76"/>
      <c r="D770" s="76"/>
      <c r="E770" s="76"/>
      <c r="F770" s="76"/>
      <c r="G770" s="76"/>
      <c r="H770" s="76"/>
      <c r="I770" s="76"/>
      <c r="J770" s="76"/>
      <c r="K770" s="76"/>
      <c r="M770" s="77" t="s">
        <v>4079</v>
      </c>
      <c r="N770" s="76" t="s">
        <v>6865</v>
      </c>
      <c r="O770" s="76"/>
      <c r="P770" s="76"/>
      <c r="Q770" s="76"/>
      <c r="R770" s="67">
        <f t="shared" ref="R770:R833" si="33">IF(_xlfn.BITAND(P770&gt;0.4999, Q770&gt;0.4999)=1,1,0)</f>
        <v>0</v>
      </c>
      <c r="S770" s="76">
        <v>2025</v>
      </c>
    </row>
    <row r="771" spans="1:19" ht="16" x14ac:dyDescent="0.2">
      <c r="A771" s="76" t="s">
        <v>3912</v>
      </c>
      <c r="B771" s="69" t="s">
        <v>6866</v>
      </c>
      <c r="C771" s="76"/>
      <c r="D771" s="76"/>
      <c r="E771" s="76"/>
      <c r="F771" s="76"/>
      <c r="G771" s="76"/>
      <c r="H771" s="76"/>
      <c r="I771" s="76"/>
      <c r="J771" s="76"/>
      <c r="K771" s="76"/>
      <c r="M771" s="77"/>
      <c r="N771" s="76" t="s">
        <v>6867</v>
      </c>
      <c r="O771" s="76"/>
      <c r="P771" s="76"/>
      <c r="Q771" s="76"/>
      <c r="R771" s="67">
        <f t="shared" si="33"/>
        <v>0</v>
      </c>
      <c r="S771" s="76">
        <v>2025</v>
      </c>
    </row>
    <row r="772" spans="1:19" ht="16" x14ac:dyDescent="0.2">
      <c r="A772" s="76" t="s">
        <v>6868</v>
      </c>
      <c r="B772" s="69" t="s">
        <v>6869</v>
      </c>
      <c r="C772" s="76"/>
      <c r="D772" s="76"/>
      <c r="E772" s="76"/>
      <c r="F772" s="76"/>
      <c r="G772" s="76"/>
      <c r="H772" s="76"/>
      <c r="I772" s="76"/>
      <c r="J772" s="76"/>
      <c r="K772" s="76"/>
      <c r="M772" s="77"/>
      <c r="N772" s="76" t="s">
        <v>6870</v>
      </c>
      <c r="O772" s="76"/>
      <c r="P772" s="76"/>
      <c r="Q772" s="76"/>
      <c r="R772" s="67">
        <f t="shared" si="33"/>
        <v>0</v>
      </c>
      <c r="S772" s="76">
        <v>2024</v>
      </c>
    </row>
    <row r="773" spans="1:19" ht="16" x14ac:dyDescent="0.2">
      <c r="A773" s="76" t="s">
        <v>6871</v>
      </c>
      <c r="B773" s="69" t="s">
        <v>6872</v>
      </c>
      <c r="C773" s="76" t="s">
        <v>201</v>
      </c>
      <c r="D773" s="76"/>
      <c r="E773" s="76"/>
      <c r="F773" s="76"/>
      <c r="G773" s="76"/>
      <c r="H773" s="76"/>
      <c r="I773" s="76"/>
      <c r="J773" s="76"/>
      <c r="K773" s="76">
        <v>1</v>
      </c>
      <c r="M773" s="77"/>
      <c r="N773" s="76" t="s">
        <v>6873</v>
      </c>
      <c r="O773" s="76"/>
      <c r="P773" s="76"/>
      <c r="Q773" s="76"/>
      <c r="R773" s="67">
        <f t="shared" si="33"/>
        <v>0</v>
      </c>
      <c r="S773" s="76">
        <v>2024</v>
      </c>
    </row>
    <row r="774" spans="1:19" ht="16" x14ac:dyDescent="0.2">
      <c r="A774" s="76" t="s">
        <v>6129</v>
      </c>
      <c r="B774" s="69" t="s">
        <v>6874</v>
      </c>
      <c r="C774" s="76"/>
      <c r="D774" s="76"/>
      <c r="E774" s="76"/>
      <c r="F774" s="76"/>
      <c r="G774" s="76"/>
      <c r="H774" s="76"/>
      <c r="I774" s="76"/>
      <c r="J774" s="76"/>
      <c r="K774" s="76"/>
      <c r="M774" s="77"/>
      <c r="N774" s="76" t="s">
        <v>6875</v>
      </c>
      <c r="O774" s="76"/>
      <c r="P774" s="76"/>
      <c r="Q774" s="76"/>
      <c r="R774" s="67">
        <f t="shared" si="33"/>
        <v>0</v>
      </c>
      <c r="S774" s="76">
        <v>2024</v>
      </c>
    </row>
    <row r="775" spans="1:19" ht="16" x14ac:dyDescent="0.2">
      <c r="A775" s="76" t="s">
        <v>6876</v>
      </c>
      <c r="B775" s="69" t="s">
        <v>6877</v>
      </c>
      <c r="C775" s="76"/>
      <c r="D775" s="76"/>
      <c r="E775" s="76"/>
      <c r="F775" s="76"/>
      <c r="G775" s="76"/>
      <c r="H775" s="76"/>
      <c r="I775" s="76"/>
      <c r="J775" s="76"/>
      <c r="K775" s="76"/>
      <c r="M775" s="77"/>
      <c r="N775" s="76" t="s">
        <v>6878</v>
      </c>
      <c r="O775" s="76"/>
      <c r="P775" s="76"/>
      <c r="Q775" s="76"/>
      <c r="R775" s="67">
        <f t="shared" si="33"/>
        <v>0</v>
      </c>
      <c r="S775" s="76">
        <v>2024</v>
      </c>
    </row>
    <row r="776" spans="1:19" ht="16" x14ac:dyDescent="0.2">
      <c r="A776" s="76" t="s">
        <v>4149</v>
      </c>
      <c r="B776" s="69" t="s">
        <v>6881</v>
      </c>
      <c r="C776" s="76"/>
      <c r="D776" s="76"/>
      <c r="E776" s="76"/>
      <c r="F776" s="76"/>
      <c r="G776" s="76"/>
      <c r="H776" s="76"/>
      <c r="I776" s="76"/>
      <c r="J776" s="76"/>
      <c r="K776" s="76"/>
      <c r="M776" s="77" t="s">
        <v>4079</v>
      </c>
      <c r="N776" s="76" t="s">
        <v>6882</v>
      </c>
      <c r="O776" s="76"/>
      <c r="P776" s="76"/>
      <c r="Q776" s="76"/>
      <c r="R776" s="67">
        <f t="shared" si="33"/>
        <v>0</v>
      </c>
      <c r="S776" s="76">
        <v>2024</v>
      </c>
    </row>
    <row r="777" spans="1:19" ht="16" x14ac:dyDescent="0.2">
      <c r="A777" s="76" t="s">
        <v>6883</v>
      </c>
      <c r="B777" s="69" t="s">
        <v>6884</v>
      </c>
      <c r="C777" s="76"/>
      <c r="D777" s="76"/>
      <c r="E777" s="76"/>
      <c r="F777" s="76"/>
      <c r="G777" s="76"/>
      <c r="H777" s="76"/>
      <c r="I777" s="76"/>
      <c r="J777" s="76"/>
      <c r="K777" s="76"/>
      <c r="M777" s="77" t="s">
        <v>4079</v>
      </c>
      <c r="N777" s="76" t="s">
        <v>6885</v>
      </c>
      <c r="O777" s="76"/>
      <c r="P777" s="76"/>
      <c r="Q777" s="76"/>
      <c r="R777" s="67">
        <f t="shared" si="33"/>
        <v>0</v>
      </c>
      <c r="S777" s="76">
        <v>2024</v>
      </c>
    </row>
    <row r="778" spans="1:19" ht="16" x14ac:dyDescent="0.2">
      <c r="A778" s="76" t="s">
        <v>6886</v>
      </c>
      <c r="B778" s="69" t="s">
        <v>6887</v>
      </c>
      <c r="C778" s="76"/>
      <c r="D778" s="76"/>
      <c r="E778" s="76"/>
      <c r="F778" s="76"/>
      <c r="G778" s="76"/>
      <c r="H778" s="76"/>
      <c r="I778" s="76"/>
      <c r="J778" s="76"/>
      <c r="K778" s="76">
        <v>1</v>
      </c>
      <c r="M778" s="77"/>
      <c r="N778" s="76" t="s">
        <v>6888</v>
      </c>
      <c r="O778" s="78">
        <v>1</v>
      </c>
      <c r="P778" s="76"/>
      <c r="Q778" s="76"/>
      <c r="R778" s="67">
        <f t="shared" si="33"/>
        <v>0</v>
      </c>
      <c r="S778" s="76">
        <v>2025</v>
      </c>
    </row>
    <row r="779" spans="1:19" ht="16" x14ac:dyDescent="0.2">
      <c r="A779" s="76" t="s">
        <v>3956</v>
      </c>
      <c r="B779" s="69" t="s">
        <v>6889</v>
      </c>
      <c r="C779" s="76"/>
      <c r="D779" s="76"/>
      <c r="E779" s="76"/>
      <c r="F779" s="76"/>
      <c r="G779" s="76"/>
      <c r="H779" s="76"/>
      <c r="I779" s="76"/>
      <c r="J779" s="76"/>
      <c r="K779" s="76"/>
      <c r="M779" s="77"/>
      <c r="N779" s="76" t="s">
        <v>6890</v>
      </c>
      <c r="O779" s="76"/>
      <c r="P779" s="76"/>
      <c r="Q779" s="76"/>
      <c r="R779" s="67">
        <f t="shared" si="33"/>
        <v>0</v>
      </c>
      <c r="S779" s="76">
        <v>2024</v>
      </c>
    </row>
    <row r="780" spans="1:19" ht="16" x14ac:dyDescent="0.2">
      <c r="A780" s="76" t="s">
        <v>6131</v>
      </c>
      <c r="B780" s="69" t="s">
        <v>6891</v>
      </c>
      <c r="C780" s="76"/>
      <c r="D780" s="76"/>
      <c r="E780" s="76"/>
      <c r="F780" s="76"/>
      <c r="G780" s="76"/>
      <c r="H780" s="76"/>
      <c r="I780" s="76"/>
      <c r="J780" s="76"/>
      <c r="K780" s="76"/>
      <c r="M780" s="77"/>
      <c r="N780" s="76" t="s">
        <v>6892</v>
      </c>
      <c r="O780" s="76"/>
      <c r="P780" s="76"/>
      <c r="Q780" s="76"/>
      <c r="R780" s="67">
        <f t="shared" si="33"/>
        <v>0</v>
      </c>
      <c r="S780" s="76">
        <v>2024</v>
      </c>
    </row>
    <row r="781" spans="1:19" ht="16" x14ac:dyDescent="0.2">
      <c r="A781" s="76" t="s">
        <v>6893</v>
      </c>
      <c r="B781" s="69" t="s">
        <v>6894</v>
      </c>
      <c r="C781" s="76"/>
      <c r="D781" s="76"/>
      <c r="E781" s="76"/>
      <c r="F781" s="76"/>
      <c r="G781" s="76"/>
      <c r="H781" s="76"/>
      <c r="I781" s="76"/>
      <c r="J781" s="76"/>
      <c r="K781" s="76"/>
      <c r="M781" s="77"/>
      <c r="N781" s="76" t="s">
        <v>6895</v>
      </c>
      <c r="O781" s="76"/>
      <c r="P781" s="76"/>
      <c r="Q781" s="76"/>
      <c r="R781" s="67">
        <f t="shared" si="33"/>
        <v>0</v>
      </c>
      <c r="S781" s="76">
        <v>2024</v>
      </c>
    </row>
    <row r="782" spans="1:19" ht="16" x14ac:dyDescent="0.2">
      <c r="A782" s="76" t="s">
        <v>6896</v>
      </c>
      <c r="B782" s="69" t="s">
        <v>6897</v>
      </c>
      <c r="C782" s="76"/>
      <c r="D782" s="76"/>
      <c r="E782" s="76"/>
      <c r="F782" s="76"/>
      <c r="G782" s="76"/>
      <c r="H782" s="76"/>
      <c r="I782" s="76"/>
      <c r="J782" s="76"/>
      <c r="K782" s="76">
        <v>1</v>
      </c>
      <c r="M782" s="77"/>
      <c r="N782" s="76" t="s">
        <v>6898</v>
      </c>
      <c r="O782" s="76"/>
      <c r="P782" s="76"/>
      <c r="Q782" s="76"/>
      <c r="R782" s="67">
        <f t="shared" si="33"/>
        <v>0</v>
      </c>
      <c r="S782" s="76">
        <v>2024</v>
      </c>
    </row>
    <row r="783" spans="1:19" ht="16" x14ac:dyDescent="0.2">
      <c r="A783" s="76" t="s">
        <v>6899</v>
      </c>
      <c r="B783" s="69" t="s">
        <v>6900</v>
      </c>
      <c r="C783" s="76"/>
      <c r="D783" s="76"/>
      <c r="E783" s="76"/>
      <c r="F783" s="76"/>
      <c r="G783" s="76"/>
      <c r="H783" s="76"/>
      <c r="I783" s="76"/>
      <c r="J783" s="76"/>
      <c r="K783" s="76"/>
      <c r="M783" s="77" t="s">
        <v>21</v>
      </c>
      <c r="N783" s="76" t="s">
        <v>6901</v>
      </c>
      <c r="O783" s="76"/>
      <c r="P783" s="76"/>
      <c r="Q783" s="76"/>
      <c r="R783" s="67">
        <f t="shared" si="33"/>
        <v>0</v>
      </c>
      <c r="S783" s="76">
        <v>2024</v>
      </c>
    </row>
    <row r="784" spans="1:19" ht="16" x14ac:dyDescent="0.2">
      <c r="A784" s="76" t="s">
        <v>3882</v>
      </c>
      <c r="B784" s="69" t="s">
        <v>6902</v>
      </c>
      <c r="C784" s="76"/>
      <c r="D784" s="76"/>
      <c r="E784" s="76"/>
      <c r="F784" s="76"/>
      <c r="G784" s="76"/>
      <c r="H784" s="76"/>
      <c r="I784" s="76"/>
      <c r="J784" s="76"/>
      <c r="K784" s="76"/>
      <c r="M784" s="77"/>
      <c r="N784" s="76" t="s">
        <v>6903</v>
      </c>
      <c r="O784" s="76"/>
      <c r="P784" s="76"/>
      <c r="Q784" s="76"/>
      <c r="R784" s="67">
        <f t="shared" si="33"/>
        <v>0</v>
      </c>
      <c r="S784" s="76">
        <v>2024</v>
      </c>
    </row>
    <row r="785" spans="1:19" ht="16" x14ac:dyDescent="0.2">
      <c r="A785" s="76" t="s">
        <v>3346</v>
      </c>
      <c r="B785" s="69" t="s">
        <v>3347</v>
      </c>
      <c r="C785" s="76"/>
      <c r="D785" s="76"/>
      <c r="E785" s="76"/>
      <c r="F785" s="76"/>
      <c r="G785" s="76"/>
      <c r="H785" s="76"/>
      <c r="I785" s="76"/>
      <c r="J785" s="76"/>
      <c r="K785" s="76"/>
      <c r="M785" s="77"/>
      <c r="N785" s="76" t="s">
        <v>6904</v>
      </c>
      <c r="O785" s="78">
        <v>1</v>
      </c>
      <c r="P785" s="76"/>
      <c r="Q785" s="76"/>
      <c r="R785" s="67">
        <f t="shared" si="33"/>
        <v>0</v>
      </c>
      <c r="S785" s="76">
        <v>2024</v>
      </c>
    </row>
    <row r="786" spans="1:19" ht="16" x14ac:dyDescent="0.2">
      <c r="A786" s="76" t="s">
        <v>3879</v>
      </c>
      <c r="B786" s="69" t="s">
        <v>6905</v>
      </c>
      <c r="C786" s="76"/>
      <c r="D786" s="76"/>
      <c r="E786" s="76"/>
      <c r="F786" s="76"/>
      <c r="G786" s="76"/>
      <c r="H786" s="76"/>
      <c r="I786" s="76"/>
      <c r="J786" s="76"/>
      <c r="K786" s="76"/>
      <c r="M786" s="77" t="s">
        <v>4079</v>
      </c>
      <c r="N786" s="76" t="s">
        <v>6906</v>
      </c>
      <c r="O786" s="76"/>
      <c r="P786" s="76"/>
      <c r="Q786" s="76"/>
      <c r="R786" s="67">
        <f t="shared" si="33"/>
        <v>0</v>
      </c>
      <c r="S786" s="76">
        <v>2024</v>
      </c>
    </row>
    <row r="787" spans="1:19" ht="16" x14ac:dyDescent="0.2">
      <c r="A787" s="76" t="s">
        <v>6907</v>
      </c>
      <c r="B787" s="69" t="s">
        <v>6908</v>
      </c>
      <c r="C787" s="76"/>
      <c r="D787" s="76"/>
      <c r="E787" s="76"/>
      <c r="F787" s="76"/>
      <c r="G787" s="76"/>
      <c r="H787" s="76"/>
      <c r="I787" s="76"/>
      <c r="J787" s="76"/>
      <c r="K787" s="76">
        <v>1</v>
      </c>
      <c r="M787" s="77"/>
      <c r="N787" s="76" t="s">
        <v>6909</v>
      </c>
      <c r="O787" s="76"/>
      <c r="P787" s="76"/>
      <c r="Q787" s="76"/>
      <c r="R787" s="67">
        <f t="shared" si="33"/>
        <v>0</v>
      </c>
      <c r="S787" s="76">
        <v>2024</v>
      </c>
    </row>
    <row r="788" spans="1:19" ht="16" x14ac:dyDescent="0.2">
      <c r="A788" s="76" t="s">
        <v>6910</v>
      </c>
      <c r="B788" s="69" t="s">
        <v>6911</v>
      </c>
      <c r="C788" s="76"/>
      <c r="D788" s="76"/>
      <c r="E788" s="76"/>
      <c r="F788" s="76"/>
      <c r="G788" s="76"/>
      <c r="H788" s="76"/>
      <c r="I788" s="76"/>
      <c r="J788" s="76"/>
      <c r="K788" s="76">
        <v>1</v>
      </c>
      <c r="M788" s="77"/>
      <c r="N788" s="76" t="s">
        <v>6912</v>
      </c>
      <c r="O788" s="76"/>
      <c r="P788" s="76"/>
      <c r="Q788" s="76"/>
      <c r="R788" s="67">
        <f t="shared" si="33"/>
        <v>0</v>
      </c>
      <c r="S788" s="76">
        <v>2024</v>
      </c>
    </row>
    <row r="789" spans="1:19" ht="16" x14ac:dyDescent="0.2">
      <c r="A789" s="76" t="s">
        <v>6915</v>
      </c>
      <c r="B789" s="69" t="s">
        <v>6916</v>
      </c>
      <c r="C789" s="76"/>
      <c r="D789" s="76"/>
      <c r="E789" s="76"/>
      <c r="F789" s="76"/>
      <c r="G789" s="76"/>
      <c r="H789" s="76"/>
      <c r="I789" s="76"/>
      <c r="J789" s="76"/>
      <c r="K789" s="76"/>
      <c r="M789" s="77"/>
      <c r="N789" s="76"/>
      <c r="O789" s="78"/>
      <c r="P789" s="76"/>
      <c r="Q789" s="76"/>
      <c r="R789" s="67">
        <f t="shared" si="33"/>
        <v>0</v>
      </c>
      <c r="S789" s="76">
        <v>2024</v>
      </c>
    </row>
    <row r="790" spans="1:19" ht="16" x14ac:dyDescent="0.2">
      <c r="A790" s="76" t="s">
        <v>6917</v>
      </c>
      <c r="B790" s="69" t="s">
        <v>6918</v>
      </c>
      <c r="C790" s="76"/>
      <c r="D790" s="76"/>
      <c r="E790" s="76"/>
      <c r="F790" s="76"/>
      <c r="G790" s="76"/>
      <c r="H790" s="76"/>
      <c r="I790" s="76"/>
      <c r="J790" s="76"/>
      <c r="K790" s="76"/>
      <c r="M790" s="77" t="s">
        <v>4079</v>
      </c>
      <c r="N790" s="76" t="s">
        <v>6919</v>
      </c>
      <c r="O790" s="76"/>
      <c r="P790" s="76"/>
      <c r="Q790" s="76"/>
      <c r="R790" s="67">
        <f t="shared" si="33"/>
        <v>0</v>
      </c>
      <c r="S790" s="76">
        <v>2024</v>
      </c>
    </row>
    <row r="791" spans="1:19" ht="16" x14ac:dyDescent="0.2">
      <c r="A791" s="76" t="s">
        <v>5773</v>
      </c>
      <c r="B791" s="69" t="s">
        <v>6920</v>
      </c>
      <c r="C791" s="76"/>
      <c r="D791" s="76"/>
      <c r="E791" s="76"/>
      <c r="F791" s="76"/>
      <c r="G791" s="76"/>
      <c r="H791" s="76"/>
      <c r="I791" s="76"/>
      <c r="J791" s="76"/>
      <c r="K791" s="76"/>
      <c r="M791" s="77" t="s">
        <v>21</v>
      </c>
      <c r="N791" s="76" t="s">
        <v>6921</v>
      </c>
      <c r="O791" s="76"/>
      <c r="P791" s="76"/>
      <c r="Q791" s="76"/>
      <c r="R791" s="67">
        <f t="shared" si="33"/>
        <v>0</v>
      </c>
      <c r="S791" s="76">
        <v>2024</v>
      </c>
    </row>
    <row r="792" spans="1:19" ht="16" x14ac:dyDescent="0.2">
      <c r="A792" s="76" t="s">
        <v>6922</v>
      </c>
      <c r="B792" s="69" t="s">
        <v>6923</v>
      </c>
      <c r="C792" s="76"/>
      <c r="D792" s="76"/>
      <c r="E792" s="76"/>
      <c r="F792" s="76"/>
      <c r="G792" s="76"/>
      <c r="H792" s="76"/>
      <c r="I792" s="76"/>
      <c r="J792" s="76"/>
      <c r="K792" s="76"/>
      <c r="M792" s="77"/>
      <c r="N792" s="76"/>
      <c r="O792" s="78"/>
      <c r="P792" s="76"/>
      <c r="Q792" s="76"/>
      <c r="R792" s="67">
        <f t="shared" si="33"/>
        <v>0</v>
      </c>
      <c r="S792" s="76">
        <v>2024</v>
      </c>
    </row>
    <row r="793" spans="1:19" ht="16" x14ac:dyDescent="0.2">
      <c r="A793" s="76" t="s">
        <v>6924</v>
      </c>
      <c r="B793" s="69" t="s">
        <v>6925</v>
      </c>
      <c r="C793" s="76"/>
      <c r="D793" s="76"/>
      <c r="E793" s="76"/>
      <c r="F793" s="76"/>
      <c r="G793" s="76"/>
      <c r="H793" s="76"/>
      <c r="I793" s="76"/>
      <c r="J793" s="76"/>
      <c r="K793" s="76">
        <v>1</v>
      </c>
      <c r="M793" s="77"/>
      <c r="N793" s="76" t="s">
        <v>6926</v>
      </c>
      <c r="O793" s="78">
        <v>1</v>
      </c>
      <c r="P793" s="76"/>
      <c r="Q793" s="76"/>
      <c r="R793" s="67">
        <f t="shared" si="33"/>
        <v>0</v>
      </c>
      <c r="S793" s="76">
        <v>2024</v>
      </c>
    </row>
    <row r="794" spans="1:19" ht="16" x14ac:dyDescent="0.2">
      <c r="A794" s="76" t="s">
        <v>6927</v>
      </c>
      <c r="B794" s="69" t="s">
        <v>6928</v>
      </c>
      <c r="C794" s="76" t="s">
        <v>184</v>
      </c>
      <c r="D794" s="76"/>
      <c r="E794" s="76"/>
      <c r="F794" s="76"/>
      <c r="G794" s="76"/>
      <c r="H794" s="76"/>
      <c r="I794" s="76"/>
      <c r="J794" s="76"/>
      <c r="K794" s="76"/>
      <c r="M794" s="77"/>
      <c r="N794" s="76" t="s">
        <v>6929</v>
      </c>
      <c r="O794" s="76"/>
      <c r="P794" s="76"/>
      <c r="Q794" s="76"/>
      <c r="R794" s="67">
        <f t="shared" si="33"/>
        <v>0</v>
      </c>
      <c r="S794" s="76">
        <v>2024</v>
      </c>
    </row>
    <row r="795" spans="1:19" ht="16" x14ac:dyDescent="0.2">
      <c r="A795" s="76" t="s">
        <v>6930</v>
      </c>
      <c r="B795" s="69" t="s">
        <v>6931</v>
      </c>
      <c r="C795" s="76"/>
      <c r="D795" s="76"/>
      <c r="E795" s="76"/>
      <c r="F795" s="76"/>
      <c r="G795" s="76"/>
      <c r="H795" s="76"/>
      <c r="I795" s="76"/>
      <c r="J795" s="76"/>
      <c r="K795" s="76"/>
      <c r="M795" s="77"/>
      <c r="N795" s="76" t="s">
        <v>6932</v>
      </c>
      <c r="O795" s="76"/>
      <c r="P795" s="76"/>
      <c r="Q795" s="76"/>
      <c r="R795" s="67">
        <f t="shared" si="33"/>
        <v>0</v>
      </c>
      <c r="S795" s="76">
        <v>2024</v>
      </c>
    </row>
    <row r="796" spans="1:19" ht="16" x14ac:dyDescent="0.2">
      <c r="A796" s="76" t="s">
        <v>6933</v>
      </c>
      <c r="B796" s="69" t="s">
        <v>6934</v>
      </c>
      <c r="C796" s="76"/>
      <c r="D796" s="76"/>
      <c r="E796" s="76"/>
      <c r="F796" s="76"/>
      <c r="G796" s="76"/>
      <c r="H796" s="76"/>
      <c r="I796" s="76"/>
      <c r="J796" s="76"/>
      <c r="K796" s="76"/>
      <c r="M796" s="77"/>
      <c r="N796" s="76" t="s">
        <v>6935</v>
      </c>
      <c r="O796" s="76"/>
      <c r="P796" s="76"/>
      <c r="Q796" s="76"/>
      <c r="R796" s="67">
        <f t="shared" si="33"/>
        <v>0</v>
      </c>
      <c r="S796" s="76">
        <v>2024</v>
      </c>
    </row>
    <row r="797" spans="1:19" ht="16" x14ac:dyDescent="0.2">
      <c r="A797" s="76" t="s">
        <v>6936</v>
      </c>
      <c r="B797" s="69" t="s">
        <v>6937</v>
      </c>
      <c r="C797" s="76"/>
      <c r="D797" s="76"/>
      <c r="E797" s="76"/>
      <c r="F797" s="76"/>
      <c r="G797" s="76"/>
      <c r="H797" s="76"/>
      <c r="I797" s="76"/>
      <c r="J797" s="76"/>
      <c r="K797" s="76"/>
      <c r="M797" s="77"/>
      <c r="N797" s="76" t="s">
        <v>6938</v>
      </c>
      <c r="O797" s="76"/>
      <c r="P797" s="76"/>
      <c r="Q797" s="76"/>
      <c r="R797" s="67">
        <f t="shared" si="33"/>
        <v>0</v>
      </c>
      <c r="S797" s="76">
        <v>2024</v>
      </c>
    </row>
    <row r="798" spans="1:19" ht="16" x14ac:dyDescent="0.2">
      <c r="A798" s="76" t="s">
        <v>6939</v>
      </c>
      <c r="B798" s="69" t="s">
        <v>6940</v>
      </c>
      <c r="C798" s="76"/>
      <c r="D798" s="76"/>
      <c r="E798" s="76"/>
      <c r="F798" s="76"/>
      <c r="G798" s="76"/>
      <c r="H798" s="76"/>
      <c r="I798" s="76"/>
      <c r="J798" s="76"/>
      <c r="K798" s="76">
        <v>1</v>
      </c>
      <c r="M798" s="77"/>
      <c r="N798" s="76" t="s">
        <v>6941</v>
      </c>
      <c r="O798" s="76"/>
      <c r="P798" s="76"/>
      <c r="Q798" s="76"/>
      <c r="R798" s="67">
        <f t="shared" si="33"/>
        <v>0</v>
      </c>
      <c r="S798" s="76">
        <v>2024</v>
      </c>
    </row>
    <row r="799" spans="1:19" ht="16" x14ac:dyDescent="0.2">
      <c r="A799" s="76" t="s">
        <v>6942</v>
      </c>
      <c r="B799" s="69" t="s">
        <v>6943</v>
      </c>
      <c r="C799" s="76"/>
      <c r="D799" s="76"/>
      <c r="E799" s="76"/>
      <c r="F799" s="76"/>
      <c r="G799" s="76"/>
      <c r="H799" s="76"/>
      <c r="I799" s="76"/>
      <c r="J799" s="76"/>
      <c r="K799" s="76"/>
      <c r="M799" s="77"/>
      <c r="N799" s="76" t="s">
        <v>6944</v>
      </c>
      <c r="O799" s="76"/>
      <c r="P799" s="76"/>
      <c r="Q799" s="76"/>
      <c r="R799" s="67">
        <f t="shared" si="33"/>
        <v>0</v>
      </c>
      <c r="S799" s="76">
        <v>2025</v>
      </c>
    </row>
    <row r="800" spans="1:19" ht="16" x14ac:dyDescent="0.2">
      <c r="A800" s="76" t="s">
        <v>6945</v>
      </c>
      <c r="B800" s="69" t="s">
        <v>6946</v>
      </c>
      <c r="C800" s="76"/>
      <c r="D800" s="76"/>
      <c r="E800" s="76"/>
      <c r="F800" s="76"/>
      <c r="G800" s="76"/>
      <c r="H800" s="76"/>
      <c r="I800" s="76"/>
      <c r="J800" s="76"/>
      <c r="K800" s="76"/>
      <c r="M800" s="77"/>
      <c r="N800" s="76" t="s">
        <v>6947</v>
      </c>
      <c r="O800" s="76"/>
      <c r="P800" s="76"/>
      <c r="Q800" s="76"/>
      <c r="R800" s="67">
        <f t="shared" si="33"/>
        <v>0</v>
      </c>
      <c r="S800" s="76">
        <v>2025</v>
      </c>
    </row>
    <row r="801" spans="1:19" ht="16" x14ac:dyDescent="0.2">
      <c r="A801" s="76" t="s">
        <v>6948</v>
      </c>
      <c r="B801" s="69" t="s">
        <v>6949</v>
      </c>
      <c r="C801" s="76"/>
      <c r="D801" s="76"/>
      <c r="E801" s="76"/>
      <c r="F801" s="76"/>
      <c r="G801" s="76"/>
      <c r="H801" s="76"/>
      <c r="I801" s="76"/>
      <c r="J801" s="76"/>
      <c r="K801" s="76"/>
      <c r="M801" s="77" t="s">
        <v>21</v>
      </c>
      <c r="N801" s="76" t="s">
        <v>6950</v>
      </c>
      <c r="O801" s="76"/>
      <c r="P801" s="76"/>
      <c r="Q801" s="76"/>
      <c r="R801" s="67">
        <f t="shared" si="33"/>
        <v>0</v>
      </c>
      <c r="S801" s="76">
        <v>2024</v>
      </c>
    </row>
    <row r="802" spans="1:19" ht="16" x14ac:dyDescent="0.2">
      <c r="A802" s="76" t="s">
        <v>4006</v>
      </c>
      <c r="B802" s="69" t="s">
        <v>6951</v>
      </c>
      <c r="C802" s="76"/>
      <c r="D802" s="76"/>
      <c r="E802" s="76"/>
      <c r="F802" s="76"/>
      <c r="G802" s="76"/>
      <c r="H802" s="76"/>
      <c r="I802" s="76"/>
      <c r="J802" s="76"/>
      <c r="K802" s="76"/>
      <c r="M802" s="77" t="s">
        <v>4079</v>
      </c>
      <c r="N802" s="76" t="s">
        <v>6952</v>
      </c>
      <c r="O802" s="76"/>
      <c r="P802" s="76"/>
      <c r="Q802" s="76"/>
      <c r="R802" s="67">
        <f t="shared" si="33"/>
        <v>0</v>
      </c>
      <c r="S802" s="76">
        <v>2024</v>
      </c>
    </row>
    <row r="803" spans="1:19" ht="16" x14ac:dyDescent="0.2">
      <c r="A803" s="76" t="s">
        <v>6953</v>
      </c>
      <c r="B803" s="69" t="s">
        <v>6954</v>
      </c>
      <c r="C803" s="76"/>
      <c r="D803" s="76"/>
      <c r="E803" s="76"/>
      <c r="F803" s="76"/>
      <c r="G803" s="76"/>
      <c r="H803" s="76"/>
      <c r="I803" s="76"/>
      <c r="J803" s="76"/>
      <c r="K803" s="76">
        <v>1</v>
      </c>
      <c r="M803" s="77" t="s">
        <v>21</v>
      </c>
      <c r="N803" s="76" t="s">
        <v>6955</v>
      </c>
      <c r="O803" s="76"/>
      <c r="P803" s="76"/>
      <c r="Q803" s="76"/>
      <c r="R803" s="67">
        <f t="shared" si="33"/>
        <v>0</v>
      </c>
      <c r="S803" s="76">
        <v>2024</v>
      </c>
    </row>
    <row r="804" spans="1:19" ht="16" x14ac:dyDescent="0.2">
      <c r="A804" s="76" t="s">
        <v>5697</v>
      </c>
      <c r="B804" s="69" t="s">
        <v>6956</v>
      </c>
      <c r="C804" s="76"/>
      <c r="D804" s="76"/>
      <c r="E804" s="76"/>
      <c r="F804" s="76"/>
      <c r="G804" s="76"/>
      <c r="H804" s="76"/>
      <c r="I804" s="76"/>
      <c r="J804" s="76"/>
      <c r="K804" s="76">
        <v>1</v>
      </c>
      <c r="M804" s="77"/>
      <c r="N804" s="76" t="s">
        <v>6957</v>
      </c>
      <c r="O804" s="76"/>
      <c r="P804" s="76"/>
      <c r="Q804" s="76"/>
      <c r="R804" s="67">
        <f t="shared" si="33"/>
        <v>0</v>
      </c>
      <c r="S804" s="76">
        <v>2024</v>
      </c>
    </row>
    <row r="805" spans="1:19" ht="16" x14ac:dyDescent="0.2">
      <c r="A805" s="76" t="s">
        <v>4405</v>
      </c>
      <c r="B805" s="69" t="s">
        <v>6958</v>
      </c>
      <c r="C805" s="76"/>
      <c r="D805" s="76"/>
      <c r="E805" s="76"/>
      <c r="F805" s="76"/>
      <c r="G805" s="76"/>
      <c r="H805" s="76"/>
      <c r="I805" s="76"/>
      <c r="J805" s="76"/>
      <c r="K805" s="76"/>
      <c r="M805" s="77"/>
      <c r="N805" s="76" t="s">
        <v>6959</v>
      </c>
      <c r="O805" s="78">
        <v>1</v>
      </c>
      <c r="P805" s="76"/>
      <c r="Q805" s="76"/>
      <c r="R805" s="67">
        <f t="shared" si="33"/>
        <v>0</v>
      </c>
      <c r="S805" s="76">
        <v>2025</v>
      </c>
    </row>
    <row r="806" spans="1:19" ht="16" x14ac:dyDescent="0.2">
      <c r="A806" s="76" t="s">
        <v>6960</v>
      </c>
      <c r="B806" s="69" t="s">
        <v>6961</v>
      </c>
      <c r="C806" s="76"/>
      <c r="D806" s="76"/>
      <c r="E806" s="76"/>
      <c r="F806" s="76"/>
      <c r="G806" s="76"/>
      <c r="H806" s="76"/>
      <c r="I806" s="76"/>
      <c r="J806" s="76"/>
      <c r="K806" s="76"/>
      <c r="M806" s="77"/>
      <c r="N806" s="76" t="s">
        <v>6962</v>
      </c>
      <c r="O806" s="76"/>
      <c r="P806" s="76"/>
      <c r="Q806" s="76"/>
      <c r="R806" s="67">
        <f t="shared" si="33"/>
        <v>0</v>
      </c>
      <c r="S806" s="76">
        <v>2024</v>
      </c>
    </row>
    <row r="807" spans="1:19" ht="16" x14ac:dyDescent="0.2">
      <c r="A807" s="76" t="s">
        <v>4021</v>
      </c>
      <c r="B807" s="69" t="s">
        <v>6963</v>
      </c>
      <c r="C807" s="76"/>
      <c r="D807" s="76"/>
      <c r="E807" s="76"/>
      <c r="F807" s="76"/>
      <c r="G807" s="76"/>
      <c r="H807" s="76"/>
      <c r="I807" s="76"/>
      <c r="J807" s="76"/>
      <c r="K807" s="76"/>
      <c r="M807" s="77"/>
      <c r="N807" s="76" t="s">
        <v>6964</v>
      </c>
      <c r="O807" s="76"/>
      <c r="P807" s="76"/>
      <c r="Q807" s="76"/>
      <c r="R807" s="67">
        <f t="shared" si="33"/>
        <v>0</v>
      </c>
      <c r="S807" s="76">
        <v>2024</v>
      </c>
    </row>
    <row r="808" spans="1:19" ht="16" x14ac:dyDescent="0.2">
      <c r="A808" s="76" t="s">
        <v>6965</v>
      </c>
      <c r="B808" s="69" t="s">
        <v>6966</v>
      </c>
      <c r="C808" s="76"/>
      <c r="D808" s="76"/>
      <c r="E808" s="76"/>
      <c r="F808" s="76"/>
      <c r="G808" s="76"/>
      <c r="H808" s="76"/>
      <c r="I808" s="76"/>
      <c r="J808" s="76"/>
      <c r="K808" s="76"/>
      <c r="M808" s="77" t="s">
        <v>4079</v>
      </c>
      <c r="N808" s="76" t="s">
        <v>6967</v>
      </c>
      <c r="O808" s="76"/>
      <c r="P808" s="76"/>
      <c r="Q808" s="76"/>
      <c r="R808" s="67">
        <f t="shared" si="33"/>
        <v>0</v>
      </c>
      <c r="S808" s="76">
        <v>2025</v>
      </c>
    </row>
    <row r="809" spans="1:19" ht="16" x14ac:dyDescent="0.2">
      <c r="A809" s="76" t="s">
        <v>6968</v>
      </c>
      <c r="B809" s="69" t="s">
        <v>6969</v>
      </c>
      <c r="C809" s="76"/>
      <c r="D809" s="76"/>
      <c r="E809" s="76"/>
      <c r="F809" s="76"/>
      <c r="G809" s="76"/>
      <c r="H809" s="76"/>
      <c r="I809" s="76"/>
      <c r="J809" s="76"/>
      <c r="K809" s="76">
        <v>1</v>
      </c>
      <c r="M809" s="77"/>
      <c r="N809" s="76" t="s">
        <v>6970</v>
      </c>
      <c r="O809" s="76"/>
      <c r="P809" s="76"/>
      <c r="Q809" s="76"/>
      <c r="R809" s="67">
        <f t="shared" si="33"/>
        <v>0</v>
      </c>
      <c r="S809" s="76">
        <v>2024</v>
      </c>
    </row>
    <row r="810" spans="1:19" ht="16" x14ac:dyDescent="0.2">
      <c r="A810" s="76" t="s">
        <v>6971</v>
      </c>
      <c r="B810" s="69" t="s">
        <v>6972</v>
      </c>
      <c r="C810" s="76"/>
      <c r="D810" s="76"/>
      <c r="E810" s="76"/>
      <c r="F810" s="76"/>
      <c r="G810" s="76"/>
      <c r="H810" s="76"/>
      <c r="I810" s="76"/>
      <c r="J810" s="76"/>
      <c r="K810" s="76"/>
      <c r="M810" s="77"/>
      <c r="N810" s="76" t="s">
        <v>6973</v>
      </c>
      <c r="O810" s="76"/>
      <c r="P810" s="76"/>
      <c r="Q810" s="76"/>
      <c r="R810" s="67">
        <f t="shared" si="33"/>
        <v>0</v>
      </c>
      <c r="S810" s="76">
        <v>2025</v>
      </c>
    </row>
    <row r="811" spans="1:19" ht="16" x14ac:dyDescent="0.2">
      <c r="A811" s="76" t="s">
        <v>6974</v>
      </c>
      <c r="B811" s="69" t="s">
        <v>6975</v>
      </c>
      <c r="C811" s="76"/>
      <c r="D811" s="76"/>
      <c r="E811" s="76"/>
      <c r="F811" s="76"/>
      <c r="G811" s="76"/>
      <c r="H811" s="76"/>
      <c r="I811" s="76"/>
      <c r="J811" s="76"/>
      <c r="K811" s="76"/>
      <c r="M811" s="77" t="s">
        <v>21</v>
      </c>
      <c r="N811" s="76" t="s">
        <v>6976</v>
      </c>
      <c r="O811" s="78">
        <v>1</v>
      </c>
      <c r="P811" s="76"/>
      <c r="Q811" s="76"/>
      <c r="R811" s="67">
        <f t="shared" si="33"/>
        <v>0</v>
      </c>
      <c r="S811" s="76">
        <v>2024</v>
      </c>
    </row>
    <row r="812" spans="1:19" ht="16" x14ac:dyDescent="0.2">
      <c r="A812" s="76" t="s">
        <v>6977</v>
      </c>
      <c r="B812" s="69" t="s">
        <v>6978</v>
      </c>
      <c r="C812" s="76"/>
      <c r="D812" s="76"/>
      <c r="E812" s="76"/>
      <c r="F812" s="76"/>
      <c r="G812" s="76"/>
      <c r="H812" s="76"/>
      <c r="I812" s="76"/>
      <c r="J812" s="76"/>
      <c r="K812" s="76"/>
      <c r="M812" s="77"/>
      <c r="N812" s="76" t="s">
        <v>6979</v>
      </c>
      <c r="O812" s="76"/>
      <c r="P812" s="76"/>
      <c r="Q812" s="76"/>
      <c r="R812" s="67">
        <f t="shared" si="33"/>
        <v>0</v>
      </c>
      <c r="S812" s="76">
        <v>2024</v>
      </c>
    </row>
    <row r="813" spans="1:19" ht="16" x14ac:dyDescent="0.2">
      <c r="A813" s="76" t="s">
        <v>6980</v>
      </c>
      <c r="B813" s="69" t="s">
        <v>6981</v>
      </c>
      <c r="C813" s="76"/>
      <c r="D813" s="76"/>
      <c r="E813" s="76"/>
      <c r="F813" s="76"/>
      <c r="G813" s="76"/>
      <c r="H813" s="76"/>
      <c r="I813" s="76"/>
      <c r="J813" s="76"/>
      <c r="K813" s="76"/>
      <c r="M813" s="77"/>
      <c r="N813" s="76" t="s">
        <v>6982</v>
      </c>
      <c r="O813" s="78">
        <v>1</v>
      </c>
      <c r="P813" s="76"/>
      <c r="Q813" s="76"/>
      <c r="R813" s="67">
        <f t="shared" si="33"/>
        <v>0</v>
      </c>
      <c r="S813" s="76">
        <v>2024</v>
      </c>
    </row>
    <row r="814" spans="1:19" ht="16" x14ac:dyDescent="0.2">
      <c r="A814" s="76" t="s">
        <v>4012</v>
      </c>
      <c r="B814" s="69" t="s">
        <v>6983</v>
      </c>
      <c r="C814" s="76"/>
      <c r="D814" s="76"/>
      <c r="E814" s="76"/>
      <c r="F814" s="76"/>
      <c r="G814" s="76"/>
      <c r="H814" s="76"/>
      <c r="I814" s="76"/>
      <c r="J814" s="76"/>
      <c r="K814" s="76">
        <v>1</v>
      </c>
      <c r="M814" s="77"/>
      <c r="N814" s="76" t="s">
        <v>6984</v>
      </c>
      <c r="O814" s="76"/>
      <c r="P814" s="76"/>
      <c r="Q814" s="76"/>
      <c r="R814" s="67">
        <f t="shared" si="33"/>
        <v>0</v>
      </c>
      <c r="S814" s="76">
        <v>2024</v>
      </c>
    </row>
    <row r="815" spans="1:19" ht="16" x14ac:dyDescent="0.2">
      <c r="A815" s="76" t="s">
        <v>3925</v>
      </c>
      <c r="B815" s="69" t="s">
        <v>6985</v>
      </c>
      <c r="C815" s="76"/>
      <c r="D815" s="76"/>
      <c r="E815" s="76"/>
      <c r="F815" s="76"/>
      <c r="G815" s="76"/>
      <c r="H815" s="76"/>
      <c r="I815" s="76"/>
      <c r="J815" s="76"/>
      <c r="K815" s="76"/>
      <c r="M815" s="77"/>
      <c r="N815" s="76" t="s">
        <v>6986</v>
      </c>
      <c r="O815" s="76"/>
      <c r="P815" s="76"/>
      <c r="Q815" s="76"/>
      <c r="R815" s="67">
        <f t="shared" si="33"/>
        <v>0</v>
      </c>
      <c r="S815" s="76">
        <v>2024</v>
      </c>
    </row>
    <row r="816" spans="1:19" ht="16" x14ac:dyDescent="0.2">
      <c r="A816" s="76" t="s">
        <v>6987</v>
      </c>
      <c r="B816" s="69" t="s">
        <v>6988</v>
      </c>
      <c r="C816" s="76"/>
      <c r="D816" s="76"/>
      <c r="E816" s="76"/>
      <c r="F816" s="76"/>
      <c r="G816" s="76"/>
      <c r="H816" s="76"/>
      <c r="I816" s="76"/>
      <c r="J816" s="76"/>
      <c r="K816" s="76"/>
      <c r="M816" s="77"/>
      <c r="N816" s="76" t="s">
        <v>6989</v>
      </c>
      <c r="O816" s="76"/>
      <c r="P816" s="76"/>
      <c r="Q816" s="76"/>
      <c r="R816" s="67">
        <f t="shared" si="33"/>
        <v>0</v>
      </c>
      <c r="S816" s="76">
        <v>2024</v>
      </c>
    </row>
    <row r="817" spans="1:19" ht="16" x14ac:dyDescent="0.2">
      <c r="A817" s="76" t="s">
        <v>6990</v>
      </c>
      <c r="B817" s="69" t="s">
        <v>6991</v>
      </c>
      <c r="C817" s="76"/>
      <c r="D817" s="76"/>
      <c r="E817" s="76"/>
      <c r="F817" s="76"/>
      <c r="G817" s="76"/>
      <c r="H817" s="76"/>
      <c r="I817" s="76"/>
      <c r="J817" s="76"/>
      <c r="K817" s="76">
        <v>1</v>
      </c>
      <c r="M817" s="77"/>
      <c r="N817" s="76" t="s">
        <v>6992</v>
      </c>
      <c r="O817" s="76"/>
      <c r="P817" s="76"/>
      <c r="Q817" s="76"/>
      <c r="R817" s="67">
        <f t="shared" si="33"/>
        <v>0</v>
      </c>
      <c r="S817" s="76">
        <v>2024</v>
      </c>
    </row>
    <row r="818" spans="1:19" ht="16" x14ac:dyDescent="0.2">
      <c r="A818" s="76" t="s">
        <v>6993</v>
      </c>
      <c r="B818" s="69" t="s">
        <v>6994</v>
      </c>
      <c r="C818" s="76" t="s">
        <v>184</v>
      </c>
      <c r="D818" s="76"/>
      <c r="E818" s="76"/>
      <c r="F818" s="76"/>
      <c r="G818" s="76"/>
      <c r="H818" s="76"/>
      <c r="I818" s="76"/>
      <c r="J818" s="76"/>
      <c r="K818" s="76"/>
      <c r="M818" s="77"/>
      <c r="N818" s="76" t="s">
        <v>6890</v>
      </c>
      <c r="O818" s="76"/>
      <c r="P818" s="76"/>
      <c r="Q818" s="76"/>
      <c r="R818" s="67">
        <f t="shared" si="33"/>
        <v>0</v>
      </c>
      <c r="S818" s="76">
        <v>2024</v>
      </c>
    </row>
    <row r="819" spans="1:19" ht="16" x14ac:dyDescent="0.2">
      <c r="A819" s="76" t="s">
        <v>6995</v>
      </c>
      <c r="B819" s="69" t="s">
        <v>6996</v>
      </c>
      <c r="C819" s="76"/>
      <c r="D819" s="76"/>
      <c r="E819" s="76"/>
      <c r="F819" s="76"/>
      <c r="G819" s="76"/>
      <c r="H819" s="76"/>
      <c r="I819" s="76"/>
      <c r="J819" s="76"/>
      <c r="K819" s="76"/>
      <c r="M819" s="77"/>
      <c r="N819" s="76" t="s">
        <v>6997</v>
      </c>
      <c r="O819" s="76"/>
      <c r="P819" s="76"/>
      <c r="Q819" s="76"/>
      <c r="R819" s="67">
        <f t="shared" si="33"/>
        <v>0</v>
      </c>
      <c r="S819" s="76">
        <v>2024</v>
      </c>
    </row>
    <row r="820" spans="1:19" ht="16" x14ac:dyDescent="0.2">
      <c r="A820" s="76" t="s">
        <v>4028</v>
      </c>
      <c r="B820" s="69" t="s">
        <v>6998</v>
      </c>
      <c r="C820" s="76"/>
      <c r="D820" s="76"/>
      <c r="E820" s="76"/>
      <c r="F820" s="76"/>
      <c r="G820" s="76"/>
      <c r="H820" s="76"/>
      <c r="I820" s="76"/>
      <c r="J820" s="76"/>
      <c r="K820" s="76"/>
      <c r="M820" s="77" t="s">
        <v>4079</v>
      </c>
      <c r="N820" s="76" t="s">
        <v>6999</v>
      </c>
      <c r="O820" s="76"/>
      <c r="P820" s="76"/>
      <c r="Q820" s="76"/>
      <c r="R820" s="67">
        <f t="shared" si="33"/>
        <v>0</v>
      </c>
      <c r="S820" s="76">
        <v>2024</v>
      </c>
    </row>
    <row r="821" spans="1:19" ht="16" x14ac:dyDescent="0.2">
      <c r="A821" s="76" t="s">
        <v>3969</v>
      </c>
      <c r="B821" s="69" t="s">
        <v>7000</v>
      </c>
      <c r="C821" s="76"/>
      <c r="D821" s="76"/>
      <c r="E821" s="76"/>
      <c r="F821" s="76"/>
      <c r="G821" s="76"/>
      <c r="H821" s="76"/>
      <c r="I821" s="76"/>
      <c r="J821" s="76"/>
      <c r="K821" s="76"/>
      <c r="M821" s="77"/>
      <c r="N821" s="76" t="s">
        <v>7001</v>
      </c>
      <c r="O821" s="76"/>
      <c r="P821" s="76"/>
      <c r="Q821" s="76"/>
      <c r="R821" s="67">
        <f t="shared" si="33"/>
        <v>0</v>
      </c>
      <c r="S821" s="76">
        <v>2024</v>
      </c>
    </row>
    <row r="822" spans="1:19" ht="16" x14ac:dyDescent="0.2">
      <c r="A822" s="76" t="s">
        <v>5742</v>
      </c>
      <c r="B822" s="69" t="s">
        <v>7002</v>
      </c>
      <c r="C822" s="76"/>
      <c r="D822" s="76"/>
      <c r="E822" s="76"/>
      <c r="F822" s="76"/>
      <c r="G822" s="76"/>
      <c r="H822" s="76"/>
      <c r="I822" s="76"/>
      <c r="J822" s="76"/>
      <c r="K822" s="76">
        <v>1</v>
      </c>
      <c r="M822" s="77"/>
      <c r="N822" s="76" t="s">
        <v>7003</v>
      </c>
      <c r="O822" s="76"/>
      <c r="P822" s="76"/>
      <c r="Q822" s="76"/>
      <c r="R822" s="67">
        <f t="shared" si="33"/>
        <v>0</v>
      </c>
      <c r="S822" s="76">
        <v>2024</v>
      </c>
    </row>
    <row r="823" spans="1:19" ht="16" x14ac:dyDescent="0.2">
      <c r="A823" s="76" t="s">
        <v>7004</v>
      </c>
      <c r="B823" s="69" t="s">
        <v>7005</v>
      </c>
      <c r="C823" s="76"/>
      <c r="D823" s="76"/>
      <c r="E823" s="76"/>
      <c r="F823" s="76"/>
      <c r="G823" s="76"/>
      <c r="H823" s="76"/>
      <c r="I823" s="76"/>
      <c r="J823" s="76"/>
      <c r="K823" s="76"/>
      <c r="M823" s="77"/>
      <c r="N823" s="76" t="s">
        <v>7006</v>
      </c>
      <c r="O823" s="76"/>
      <c r="P823" s="76"/>
      <c r="Q823" s="76"/>
      <c r="R823" s="67">
        <f t="shared" si="33"/>
        <v>0</v>
      </c>
      <c r="S823" s="76">
        <v>2024</v>
      </c>
    </row>
    <row r="824" spans="1:19" ht="16" x14ac:dyDescent="0.2">
      <c r="A824" s="76" t="s">
        <v>4213</v>
      </c>
      <c r="B824" s="69" t="s">
        <v>7007</v>
      </c>
      <c r="C824" s="76"/>
      <c r="D824" s="76"/>
      <c r="E824" s="76"/>
      <c r="F824" s="76"/>
      <c r="G824" s="76"/>
      <c r="H824" s="76"/>
      <c r="I824" s="76"/>
      <c r="J824" s="76"/>
      <c r="K824" s="76"/>
      <c r="M824" s="77" t="s">
        <v>4079</v>
      </c>
      <c r="N824" s="76" t="s">
        <v>7008</v>
      </c>
      <c r="O824" s="76"/>
      <c r="P824" s="76"/>
      <c r="Q824" s="76"/>
      <c r="R824" s="67">
        <f t="shared" si="33"/>
        <v>0</v>
      </c>
      <c r="S824" s="76">
        <v>2024</v>
      </c>
    </row>
    <row r="825" spans="1:19" ht="16" x14ac:dyDescent="0.2">
      <c r="A825" s="76" t="s">
        <v>7009</v>
      </c>
      <c r="B825" s="69" t="s">
        <v>7010</v>
      </c>
      <c r="C825" s="76"/>
      <c r="D825" s="76"/>
      <c r="E825" s="76"/>
      <c r="F825" s="76"/>
      <c r="G825" s="76"/>
      <c r="H825" s="76"/>
      <c r="I825" s="76"/>
      <c r="J825" s="76"/>
      <c r="K825" s="76"/>
      <c r="M825" s="77"/>
      <c r="N825" s="76" t="s">
        <v>7011</v>
      </c>
      <c r="O825" s="76"/>
      <c r="P825" s="76"/>
      <c r="Q825" s="76"/>
      <c r="R825" s="67">
        <f t="shared" si="33"/>
        <v>0</v>
      </c>
      <c r="S825" s="76">
        <v>2024</v>
      </c>
    </row>
    <row r="826" spans="1:19" ht="16" x14ac:dyDescent="0.2">
      <c r="A826" s="76" t="s">
        <v>4754</v>
      </c>
      <c r="B826" s="69" t="s">
        <v>7012</v>
      </c>
      <c r="C826" s="76"/>
      <c r="D826" s="76"/>
      <c r="E826" s="76"/>
      <c r="F826" s="76"/>
      <c r="G826" s="76"/>
      <c r="H826" s="76"/>
      <c r="I826" s="76"/>
      <c r="J826" s="76"/>
      <c r="K826" s="76">
        <v>1</v>
      </c>
      <c r="M826" s="77" t="s">
        <v>4079</v>
      </c>
      <c r="N826" s="76" t="s">
        <v>7013</v>
      </c>
      <c r="O826" s="76"/>
      <c r="P826" s="76"/>
      <c r="Q826" s="76"/>
      <c r="R826" s="67">
        <f t="shared" si="33"/>
        <v>0</v>
      </c>
      <c r="S826" s="76">
        <v>2024</v>
      </c>
    </row>
    <row r="827" spans="1:19" ht="16" x14ac:dyDescent="0.2">
      <c r="A827" s="76" t="s">
        <v>7014</v>
      </c>
      <c r="B827" s="69" t="s">
        <v>7015</v>
      </c>
      <c r="C827" s="76"/>
      <c r="D827" s="76"/>
      <c r="E827" s="76"/>
      <c r="F827" s="76"/>
      <c r="G827" s="76"/>
      <c r="H827" s="76"/>
      <c r="I827" s="76"/>
      <c r="J827" s="76"/>
      <c r="K827" s="76">
        <v>1</v>
      </c>
      <c r="M827" s="77" t="s">
        <v>21</v>
      </c>
      <c r="N827" s="76" t="s">
        <v>7016</v>
      </c>
      <c r="O827" s="76"/>
      <c r="P827" s="76"/>
      <c r="Q827" s="76"/>
      <c r="R827" s="67">
        <f t="shared" si="33"/>
        <v>0</v>
      </c>
      <c r="S827" s="76">
        <v>2024</v>
      </c>
    </row>
    <row r="828" spans="1:19" ht="16" x14ac:dyDescent="0.2">
      <c r="A828" s="76" t="s">
        <v>7017</v>
      </c>
      <c r="B828" s="69" t="s">
        <v>7018</v>
      </c>
      <c r="C828" s="76"/>
      <c r="D828" s="76"/>
      <c r="E828" s="76"/>
      <c r="F828" s="76"/>
      <c r="G828" s="76"/>
      <c r="H828" s="76"/>
      <c r="I828" s="76"/>
      <c r="J828" s="76"/>
      <c r="K828" s="76">
        <v>1</v>
      </c>
      <c r="M828" s="77" t="s">
        <v>4079</v>
      </c>
      <c r="N828" s="76" t="s">
        <v>7019</v>
      </c>
      <c r="O828" s="76"/>
      <c r="P828" s="76"/>
      <c r="Q828" s="76"/>
      <c r="R828" s="67">
        <f t="shared" si="33"/>
        <v>0</v>
      </c>
      <c r="S828" s="76">
        <v>2024</v>
      </c>
    </row>
    <row r="829" spans="1:19" ht="16" x14ac:dyDescent="0.2">
      <c r="A829" s="76" t="s">
        <v>7020</v>
      </c>
      <c r="B829" s="69" t="s">
        <v>7021</v>
      </c>
      <c r="C829" s="76"/>
      <c r="D829" s="76"/>
      <c r="E829" s="76"/>
      <c r="F829" s="76"/>
      <c r="G829" s="76"/>
      <c r="H829" s="76"/>
      <c r="I829" s="76"/>
      <c r="J829" s="76"/>
      <c r="K829" s="76"/>
      <c r="M829" s="77"/>
      <c r="N829" s="76" t="s">
        <v>7022</v>
      </c>
      <c r="O829" s="76"/>
      <c r="P829" s="76"/>
      <c r="Q829" s="76"/>
      <c r="R829" s="67">
        <f t="shared" si="33"/>
        <v>0</v>
      </c>
      <c r="S829" s="76">
        <v>2024</v>
      </c>
    </row>
    <row r="830" spans="1:19" ht="16" x14ac:dyDescent="0.2">
      <c r="A830" s="76" t="s">
        <v>7023</v>
      </c>
      <c r="B830" s="69" t="s">
        <v>7024</v>
      </c>
      <c r="C830" s="76"/>
      <c r="D830" s="76"/>
      <c r="E830" s="76"/>
      <c r="F830" s="76"/>
      <c r="G830" s="76"/>
      <c r="H830" s="76"/>
      <c r="I830" s="76"/>
      <c r="J830" s="76"/>
      <c r="K830" s="76">
        <v>1</v>
      </c>
      <c r="M830" s="77" t="s">
        <v>21</v>
      </c>
      <c r="N830" s="76" t="s">
        <v>7025</v>
      </c>
      <c r="O830" s="76"/>
      <c r="P830" s="76"/>
      <c r="Q830" s="76"/>
      <c r="R830" s="67">
        <f t="shared" si="33"/>
        <v>0</v>
      </c>
      <c r="S830" s="76">
        <v>2025</v>
      </c>
    </row>
    <row r="831" spans="1:19" ht="16" x14ac:dyDescent="0.2">
      <c r="A831" s="76" t="s">
        <v>7026</v>
      </c>
      <c r="B831" s="69" t="s">
        <v>7027</v>
      </c>
      <c r="C831" s="76"/>
      <c r="D831" s="76"/>
      <c r="E831" s="76"/>
      <c r="F831" s="76"/>
      <c r="G831" s="76"/>
      <c r="H831" s="76"/>
      <c r="I831" s="76"/>
      <c r="J831" s="76"/>
      <c r="K831" s="76"/>
      <c r="M831" s="77"/>
      <c r="N831" s="76" t="s">
        <v>7028</v>
      </c>
      <c r="O831" s="76"/>
      <c r="P831" s="76"/>
      <c r="Q831" s="76"/>
      <c r="R831" s="67">
        <f t="shared" si="33"/>
        <v>0</v>
      </c>
      <c r="S831" s="76">
        <v>2024</v>
      </c>
    </row>
    <row r="832" spans="1:19" ht="16" x14ac:dyDescent="0.2">
      <c r="A832" s="76" t="s">
        <v>7029</v>
      </c>
      <c r="B832" s="69" t="s">
        <v>7030</v>
      </c>
      <c r="C832" s="76"/>
      <c r="D832" s="76"/>
      <c r="E832" s="76"/>
      <c r="F832" s="76"/>
      <c r="G832" s="76"/>
      <c r="H832" s="76"/>
      <c r="I832" s="76"/>
      <c r="J832" s="76"/>
      <c r="K832" s="76"/>
      <c r="M832" s="77"/>
      <c r="N832" s="76" t="s">
        <v>7031</v>
      </c>
      <c r="O832" s="76"/>
      <c r="P832" s="76"/>
      <c r="Q832" s="76"/>
      <c r="R832" s="67">
        <f t="shared" si="33"/>
        <v>0</v>
      </c>
      <c r="S832" s="76">
        <v>2024</v>
      </c>
    </row>
    <row r="833" spans="1:19" ht="16" x14ac:dyDescent="0.2">
      <c r="A833" s="76" t="s">
        <v>7032</v>
      </c>
      <c r="B833" s="69" t="s">
        <v>7033</v>
      </c>
      <c r="C833" s="76"/>
      <c r="D833" s="76"/>
      <c r="E833" s="76"/>
      <c r="F833" s="76"/>
      <c r="G833" s="76"/>
      <c r="H833" s="76"/>
      <c r="I833" s="76"/>
      <c r="J833" s="76"/>
      <c r="K833" s="76"/>
      <c r="M833" s="77"/>
      <c r="N833" s="76" t="s">
        <v>7034</v>
      </c>
      <c r="O833" s="76"/>
      <c r="P833" s="76"/>
      <c r="Q833" s="76"/>
      <c r="R833" s="67">
        <f t="shared" si="33"/>
        <v>0</v>
      </c>
      <c r="S833" s="76">
        <v>2025</v>
      </c>
    </row>
    <row r="834" spans="1:19" ht="16" x14ac:dyDescent="0.2">
      <c r="A834" s="76" t="s">
        <v>7035</v>
      </c>
      <c r="B834" s="69" t="s">
        <v>7036</v>
      </c>
      <c r="C834" s="76"/>
      <c r="D834" s="76"/>
      <c r="E834" s="76"/>
      <c r="F834" s="76"/>
      <c r="G834" s="76"/>
      <c r="H834" s="76"/>
      <c r="I834" s="76"/>
      <c r="J834" s="76"/>
      <c r="K834" s="76"/>
      <c r="M834" s="77"/>
      <c r="N834" s="76" t="s">
        <v>7037</v>
      </c>
      <c r="O834" s="76"/>
      <c r="P834" s="76"/>
      <c r="Q834" s="76"/>
      <c r="R834" s="67">
        <f t="shared" ref="R834:R872" si="34">IF(_xlfn.BITAND(P834&gt;0.4999, Q834&gt;0.4999)=1,1,0)</f>
        <v>0</v>
      </c>
      <c r="S834" s="76">
        <v>2024</v>
      </c>
    </row>
    <row r="835" spans="1:19" ht="16" x14ac:dyDescent="0.2">
      <c r="A835" s="76" t="s">
        <v>7038</v>
      </c>
      <c r="B835" s="69" t="s">
        <v>7039</v>
      </c>
      <c r="C835" s="76"/>
      <c r="D835" s="76"/>
      <c r="E835" s="76"/>
      <c r="F835" s="76"/>
      <c r="G835" s="76"/>
      <c r="H835" s="76"/>
      <c r="I835" s="76"/>
      <c r="J835" s="76"/>
      <c r="K835" s="76"/>
      <c r="M835" s="77" t="s">
        <v>4079</v>
      </c>
      <c r="N835" s="76" t="s">
        <v>7040</v>
      </c>
      <c r="O835" s="76"/>
      <c r="P835" s="76"/>
      <c r="Q835" s="76"/>
      <c r="R835" s="67">
        <f t="shared" si="34"/>
        <v>0</v>
      </c>
      <c r="S835" s="76">
        <v>2024</v>
      </c>
    </row>
    <row r="836" spans="1:19" ht="16" x14ac:dyDescent="0.2">
      <c r="A836" s="76" t="s">
        <v>7041</v>
      </c>
      <c r="B836" s="69" t="s">
        <v>7042</v>
      </c>
      <c r="C836" s="76"/>
      <c r="D836" s="76"/>
      <c r="E836" s="76"/>
      <c r="F836" s="76"/>
      <c r="G836" s="76"/>
      <c r="H836" s="76"/>
      <c r="I836" s="76"/>
      <c r="J836" s="76"/>
      <c r="K836" s="76">
        <v>1</v>
      </c>
      <c r="M836" s="77"/>
      <c r="N836" s="76" t="s">
        <v>7043</v>
      </c>
      <c r="O836" s="76"/>
      <c r="P836" s="76"/>
      <c r="Q836" s="76"/>
      <c r="R836" s="67">
        <f t="shared" si="34"/>
        <v>0</v>
      </c>
      <c r="S836" s="76">
        <v>2024</v>
      </c>
    </row>
    <row r="837" spans="1:19" ht="16" x14ac:dyDescent="0.2">
      <c r="A837" s="76" t="s">
        <v>7044</v>
      </c>
      <c r="B837" s="69" t="s">
        <v>7045</v>
      </c>
      <c r="C837" s="76"/>
      <c r="D837" s="76"/>
      <c r="E837" s="76"/>
      <c r="F837" s="76"/>
      <c r="G837" s="76"/>
      <c r="H837" s="76"/>
      <c r="I837" s="76"/>
      <c r="J837" s="76"/>
      <c r="K837" s="76">
        <v>1</v>
      </c>
      <c r="M837" s="77"/>
      <c r="N837" s="76" t="s">
        <v>7046</v>
      </c>
      <c r="O837" s="76"/>
      <c r="P837" s="76"/>
      <c r="Q837" s="76"/>
      <c r="R837" s="67">
        <f t="shared" si="34"/>
        <v>0</v>
      </c>
      <c r="S837" s="76">
        <v>2024</v>
      </c>
    </row>
    <row r="838" spans="1:19" ht="16" x14ac:dyDescent="0.2">
      <c r="A838" s="76" t="s">
        <v>7047</v>
      </c>
      <c r="B838" s="69" t="s">
        <v>7048</v>
      </c>
      <c r="C838" s="76"/>
      <c r="D838" s="76"/>
      <c r="E838" s="76"/>
      <c r="F838" s="76"/>
      <c r="G838" s="76"/>
      <c r="H838" s="76"/>
      <c r="I838" s="76"/>
      <c r="J838" s="76"/>
      <c r="K838" s="76"/>
      <c r="M838" s="77"/>
      <c r="N838" s="76" t="s">
        <v>7049</v>
      </c>
      <c r="O838" s="76"/>
      <c r="P838" s="76"/>
      <c r="Q838" s="76"/>
      <c r="R838" s="67">
        <f t="shared" si="34"/>
        <v>0</v>
      </c>
      <c r="S838" s="76">
        <v>2024</v>
      </c>
    </row>
    <row r="839" spans="1:19" ht="16" x14ac:dyDescent="0.2">
      <c r="A839" s="76" t="s">
        <v>7050</v>
      </c>
      <c r="B839" s="69" t="s">
        <v>7051</v>
      </c>
      <c r="C839" s="76"/>
      <c r="D839" s="76"/>
      <c r="E839" s="76"/>
      <c r="F839" s="76"/>
      <c r="G839" s="76"/>
      <c r="H839" s="76"/>
      <c r="I839" s="76"/>
      <c r="J839" s="76"/>
      <c r="K839" s="76"/>
      <c r="M839" s="77" t="s">
        <v>4079</v>
      </c>
      <c r="N839" s="76" t="s">
        <v>7052</v>
      </c>
      <c r="O839" s="76"/>
      <c r="P839" s="76"/>
      <c r="Q839" s="76"/>
      <c r="R839" s="67">
        <f t="shared" si="34"/>
        <v>0</v>
      </c>
      <c r="S839" s="76">
        <v>2024</v>
      </c>
    </row>
    <row r="840" spans="1:19" ht="16" x14ac:dyDescent="0.2">
      <c r="A840" s="76" t="s">
        <v>7053</v>
      </c>
      <c r="B840" s="69" t="s">
        <v>7054</v>
      </c>
      <c r="C840" s="76"/>
      <c r="D840" s="76"/>
      <c r="E840" s="76"/>
      <c r="F840" s="76"/>
      <c r="G840" s="76"/>
      <c r="H840" s="76"/>
      <c r="I840" s="76"/>
      <c r="J840" s="76"/>
      <c r="K840" s="76"/>
      <c r="M840" s="77"/>
      <c r="N840" s="76" t="s">
        <v>7055</v>
      </c>
      <c r="O840" s="76"/>
      <c r="P840" s="76"/>
      <c r="Q840" s="76"/>
      <c r="R840" s="67">
        <f t="shared" si="34"/>
        <v>0</v>
      </c>
      <c r="S840" s="76">
        <v>2024</v>
      </c>
    </row>
    <row r="841" spans="1:19" ht="16" x14ac:dyDescent="0.2">
      <c r="A841" s="76" t="s">
        <v>7056</v>
      </c>
      <c r="B841" s="69" t="s">
        <v>7057</v>
      </c>
      <c r="C841" s="76"/>
      <c r="D841" s="76"/>
      <c r="E841" s="76"/>
      <c r="F841" s="76"/>
      <c r="G841" s="76"/>
      <c r="H841" s="76"/>
      <c r="I841" s="76"/>
      <c r="J841" s="76"/>
      <c r="K841" s="76"/>
      <c r="M841" s="77"/>
      <c r="N841" s="76" t="s">
        <v>7058</v>
      </c>
      <c r="O841" s="76"/>
      <c r="P841" s="76"/>
      <c r="Q841" s="76"/>
      <c r="R841" s="67">
        <f t="shared" si="34"/>
        <v>0</v>
      </c>
      <c r="S841" s="76">
        <v>2024</v>
      </c>
    </row>
    <row r="842" spans="1:19" ht="16" x14ac:dyDescent="0.2">
      <c r="A842" s="76" t="s">
        <v>231</v>
      </c>
      <c r="B842" s="69" t="s">
        <v>7059</v>
      </c>
      <c r="C842" s="76" t="s">
        <v>201</v>
      </c>
      <c r="D842" s="76"/>
      <c r="E842" s="76"/>
      <c r="F842" s="76"/>
      <c r="G842" s="76"/>
      <c r="H842" s="76"/>
      <c r="I842" s="76"/>
      <c r="J842" s="76"/>
      <c r="K842" s="76"/>
      <c r="M842" s="77" t="s">
        <v>4079</v>
      </c>
      <c r="N842" s="76" t="s">
        <v>7060</v>
      </c>
      <c r="O842" s="76"/>
      <c r="P842" s="76"/>
      <c r="Q842" s="76"/>
      <c r="R842" s="67">
        <f t="shared" si="34"/>
        <v>0</v>
      </c>
      <c r="S842" s="76">
        <v>2025</v>
      </c>
    </row>
    <row r="843" spans="1:19" ht="16" x14ac:dyDescent="0.2">
      <c r="A843" s="76" t="s">
        <v>7061</v>
      </c>
      <c r="B843" s="69" t="s">
        <v>7062</v>
      </c>
      <c r="C843" s="76"/>
      <c r="D843" s="76"/>
      <c r="E843" s="76"/>
      <c r="F843" s="76"/>
      <c r="G843" s="76"/>
      <c r="H843" s="76"/>
      <c r="I843" s="76"/>
      <c r="J843" s="76"/>
      <c r="K843" s="76"/>
      <c r="M843" s="77"/>
      <c r="N843" s="76" t="s">
        <v>7063</v>
      </c>
      <c r="O843" s="76"/>
      <c r="P843" s="76"/>
      <c r="Q843" s="76"/>
      <c r="R843" s="67">
        <f t="shared" si="34"/>
        <v>0</v>
      </c>
      <c r="S843" s="76">
        <v>2024</v>
      </c>
    </row>
    <row r="844" spans="1:19" ht="16" x14ac:dyDescent="0.2">
      <c r="A844" s="76" t="s">
        <v>7064</v>
      </c>
      <c r="B844" s="69" t="s">
        <v>7065</v>
      </c>
      <c r="C844" s="76"/>
      <c r="D844" s="76"/>
      <c r="E844" s="76"/>
      <c r="F844" s="76"/>
      <c r="G844" s="76"/>
      <c r="H844" s="76"/>
      <c r="I844" s="76"/>
      <c r="J844" s="76"/>
      <c r="K844" s="76">
        <v>1</v>
      </c>
      <c r="M844" s="77"/>
      <c r="N844" s="76" t="s">
        <v>7066</v>
      </c>
      <c r="O844" s="76"/>
      <c r="P844" s="76"/>
      <c r="Q844" s="76"/>
      <c r="R844" s="67">
        <f t="shared" si="34"/>
        <v>0</v>
      </c>
      <c r="S844" s="76">
        <v>2024</v>
      </c>
    </row>
    <row r="845" spans="1:19" ht="16" x14ac:dyDescent="0.2">
      <c r="A845" s="76" t="s">
        <v>3940</v>
      </c>
      <c r="B845" s="69" t="s">
        <v>7067</v>
      </c>
      <c r="C845" s="76"/>
      <c r="D845" s="76"/>
      <c r="E845" s="76"/>
      <c r="F845" s="76"/>
      <c r="G845" s="76"/>
      <c r="H845" s="76"/>
      <c r="I845" s="76"/>
      <c r="J845" s="76"/>
      <c r="K845" s="76"/>
      <c r="M845" s="77" t="s">
        <v>4079</v>
      </c>
      <c r="N845" s="76" t="s">
        <v>7068</v>
      </c>
      <c r="O845" s="76"/>
      <c r="P845" s="76"/>
      <c r="Q845" s="76"/>
      <c r="R845" s="67">
        <f t="shared" si="34"/>
        <v>0</v>
      </c>
      <c r="S845" s="76">
        <v>2024</v>
      </c>
    </row>
    <row r="846" spans="1:19" ht="16" x14ac:dyDescent="0.2">
      <c r="A846" s="76" t="s">
        <v>5759</v>
      </c>
      <c r="B846" s="69" t="s">
        <v>7069</v>
      </c>
      <c r="C846" s="76"/>
      <c r="D846" s="76"/>
      <c r="E846" s="76"/>
      <c r="F846" s="76"/>
      <c r="G846" s="76"/>
      <c r="H846" s="76"/>
      <c r="I846" s="76"/>
      <c r="J846" s="76"/>
      <c r="K846" s="76"/>
      <c r="M846" s="77"/>
      <c r="N846" s="76" t="s">
        <v>7070</v>
      </c>
      <c r="O846" s="76"/>
      <c r="P846" s="76"/>
      <c r="Q846" s="76"/>
      <c r="R846" s="67">
        <f t="shared" si="34"/>
        <v>0</v>
      </c>
      <c r="S846" s="76">
        <v>2024</v>
      </c>
    </row>
    <row r="847" spans="1:19" ht="16" x14ac:dyDescent="0.2">
      <c r="A847" s="76" t="s">
        <v>3977</v>
      </c>
      <c r="B847" s="69" t="s">
        <v>7071</v>
      </c>
      <c r="C847" s="76"/>
      <c r="D847" s="76"/>
      <c r="E847" s="76"/>
      <c r="F847" s="76"/>
      <c r="G847" s="76"/>
      <c r="H847" s="76"/>
      <c r="I847" s="76"/>
      <c r="J847" s="76"/>
      <c r="K847" s="76"/>
      <c r="M847" s="77" t="s">
        <v>4079</v>
      </c>
      <c r="N847" s="76" t="s">
        <v>7072</v>
      </c>
      <c r="O847" s="76"/>
      <c r="P847" s="76"/>
      <c r="Q847" s="76"/>
      <c r="R847" s="67">
        <f t="shared" si="34"/>
        <v>0</v>
      </c>
      <c r="S847" s="76">
        <v>2024</v>
      </c>
    </row>
    <row r="848" spans="1:19" ht="16" x14ac:dyDescent="0.2">
      <c r="A848" s="76" t="s">
        <v>4160</v>
      </c>
      <c r="B848" s="69" t="s">
        <v>7073</v>
      </c>
      <c r="C848" s="76"/>
      <c r="D848" s="76"/>
      <c r="E848" s="76"/>
      <c r="F848" s="76"/>
      <c r="G848" s="76"/>
      <c r="H848" s="76"/>
      <c r="I848" s="76"/>
      <c r="J848" s="76"/>
      <c r="K848" s="76"/>
      <c r="M848" s="77" t="s">
        <v>4079</v>
      </c>
      <c r="N848" s="76" t="s">
        <v>7074</v>
      </c>
      <c r="O848" s="76"/>
      <c r="P848" s="76"/>
      <c r="Q848" s="76"/>
      <c r="R848" s="67">
        <f t="shared" si="34"/>
        <v>0</v>
      </c>
      <c r="S848" s="76">
        <v>2024</v>
      </c>
    </row>
    <row r="849" spans="1:19" ht="16" x14ac:dyDescent="0.2">
      <c r="A849" s="76" t="s">
        <v>3874</v>
      </c>
      <c r="B849" s="69" t="s">
        <v>7075</v>
      </c>
      <c r="C849" s="76"/>
      <c r="D849" s="76"/>
      <c r="E849" s="76"/>
      <c r="F849" s="76"/>
      <c r="G849" s="76"/>
      <c r="H849" s="76"/>
      <c r="I849" s="76"/>
      <c r="J849" s="76"/>
      <c r="K849" s="76"/>
      <c r="M849" s="77" t="s">
        <v>4079</v>
      </c>
      <c r="N849" s="76" t="s">
        <v>7076</v>
      </c>
      <c r="O849" s="76"/>
      <c r="P849" s="76"/>
      <c r="Q849" s="76"/>
      <c r="R849" s="67">
        <f t="shared" si="34"/>
        <v>0</v>
      </c>
      <c r="S849" s="76">
        <v>2024</v>
      </c>
    </row>
    <row r="850" spans="1:19" ht="16" x14ac:dyDescent="0.2">
      <c r="A850" s="76" t="s">
        <v>3971</v>
      </c>
      <c r="B850" s="69" t="s">
        <v>7077</v>
      </c>
      <c r="C850" s="76"/>
      <c r="D850" s="76"/>
      <c r="E850" s="76"/>
      <c r="F850" s="76"/>
      <c r="G850" s="76"/>
      <c r="H850" s="76"/>
      <c r="I850" s="76"/>
      <c r="J850" s="76"/>
      <c r="K850" s="76"/>
      <c r="M850" s="77" t="s">
        <v>4079</v>
      </c>
      <c r="N850" s="76" t="s">
        <v>7078</v>
      </c>
      <c r="O850" s="76"/>
      <c r="P850" s="76"/>
      <c r="Q850" s="76"/>
      <c r="R850" s="67">
        <f t="shared" si="34"/>
        <v>0</v>
      </c>
      <c r="S850" s="76">
        <v>2024</v>
      </c>
    </row>
    <row r="851" spans="1:19" ht="16" x14ac:dyDescent="0.2">
      <c r="A851" s="76" t="s">
        <v>3966</v>
      </c>
      <c r="B851" s="69" t="s">
        <v>7079</v>
      </c>
      <c r="C851" s="76"/>
      <c r="D851" s="76"/>
      <c r="E851" s="76"/>
      <c r="F851" s="76"/>
      <c r="G851" s="76"/>
      <c r="H851" s="76"/>
      <c r="I851" s="76"/>
      <c r="J851" s="76"/>
      <c r="K851" s="76"/>
      <c r="M851" s="77" t="s">
        <v>4079</v>
      </c>
      <c r="N851" s="76" t="s">
        <v>7080</v>
      </c>
      <c r="O851" s="76"/>
      <c r="P851" s="76"/>
      <c r="Q851" s="76"/>
      <c r="R851" s="67">
        <f t="shared" si="34"/>
        <v>0</v>
      </c>
      <c r="S851" s="76">
        <v>2024</v>
      </c>
    </row>
    <row r="852" spans="1:19" ht="16" x14ac:dyDescent="0.2">
      <c r="A852" s="76" t="s">
        <v>3951</v>
      </c>
      <c r="B852" s="69" t="s">
        <v>7081</v>
      </c>
      <c r="C852" s="76"/>
      <c r="D852" s="76"/>
      <c r="E852" s="76"/>
      <c r="F852" s="76"/>
      <c r="G852" s="76"/>
      <c r="H852" s="76"/>
      <c r="I852" s="76"/>
      <c r="J852" s="76"/>
      <c r="K852" s="76"/>
      <c r="M852" s="77" t="s">
        <v>4079</v>
      </c>
      <c r="N852" s="76" t="s">
        <v>7082</v>
      </c>
      <c r="O852" s="76"/>
      <c r="P852" s="76"/>
      <c r="Q852" s="76"/>
      <c r="R852" s="67">
        <f t="shared" si="34"/>
        <v>0</v>
      </c>
      <c r="S852" s="76">
        <v>2024</v>
      </c>
    </row>
    <row r="853" spans="1:19" ht="16" x14ac:dyDescent="0.2">
      <c r="A853" s="76" t="s">
        <v>4014</v>
      </c>
      <c r="B853" s="69" t="s">
        <v>7083</v>
      </c>
      <c r="C853" s="76"/>
      <c r="D853" s="76"/>
      <c r="E853" s="76"/>
      <c r="F853" s="76"/>
      <c r="G853" s="76"/>
      <c r="H853" s="76"/>
      <c r="I853" s="76"/>
      <c r="J853" s="76"/>
      <c r="K853" s="76"/>
      <c r="M853" s="77" t="s">
        <v>4079</v>
      </c>
      <c r="N853" s="76" t="s">
        <v>7084</v>
      </c>
      <c r="O853" s="76"/>
      <c r="P853" s="76"/>
      <c r="Q853" s="76"/>
      <c r="R853" s="67">
        <f t="shared" si="34"/>
        <v>0</v>
      </c>
      <c r="S853" s="76">
        <v>2024</v>
      </c>
    </row>
    <row r="854" spans="1:19" ht="16" x14ac:dyDescent="0.2">
      <c r="A854" s="76" t="s">
        <v>4173</v>
      </c>
      <c r="B854" s="69" t="s">
        <v>7085</v>
      </c>
      <c r="C854" s="76"/>
      <c r="D854" s="76"/>
      <c r="E854" s="76"/>
      <c r="F854" s="76"/>
      <c r="G854" s="76"/>
      <c r="H854" s="76"/>
      <c r="I854" s="76"/>
      <c r="J854" s="76"/>
      <c r="K854" s="76">
        <v>1</v>
      </c>
      <c r="M854" s="77" t="s">
        <v>4079</v>
      </c>
      <c r="N854" s="76" t="s">
        <v>7086</v>
      </c>
      <c r="O854" s="76"/>
      <c r="P854" s="76"/>
      <c r="Q854" s="76"/>
      <c r="R854" s="67">
        <f t="shared" si="34"/>
        <v>0</v>
      </c>
      <c r="S854" s="76">
        <v>2024</v>
      </c>
    </row>
    <row r="855" spans="1:19" ht="16" x14ac:dyDescent="0.2">
      <c r="A855" s="76" t="s">
        <v>4019</v>
      </c>
      <c r="B855" s="69" t="s">
        <v>7087</v>
      </c>
      <c r="C855" s="76"/>
      <c r="D855" s="76"/>
      <c r="E855" s="76"/>
      <c r="F855" s="76"/>
      <c r="G855" s="76"/>
      <c r="H855" s="76"/>
      <c r="I855" s="76"/>
      <c r="J855" s="76"/>
      <c r="K855" s="76"/>
      <c r="M855" s="77" t="s">
        <v>4079</v>
      </c>
      <c r="N855" s="76" t="s">
        <v>7088</v>
      </c>
      <c r="O855" s="76"/>
      <c r="P855" s="76"/>
      <c r="Q855" s="76"/>
      <c r="R855" s="67">
        <f t="shared" si="34"/>
        <v>0</v>
      </c>
      <c r="S855" s="76">
        <v>2024</v>
      </c>
    </row>
    <row r="856" spans="1:19" ht="16" x14ac:dyDescent="0.2">
      <c r="A856" s="76" t="s">
        <v>3986</v>
      </c>
      <c r="B856" s="69" t="s">
        <v>7089</v>
      </c>
      <c r="C856" s="76"/>
      <c r="D856" s="76"/>
      <c r="E856" s="76"/>
      <c r="F856" s="76"/>
      <c r="G856" s="76"/>
      <c r="H856" s="76"/>
      <c r="I856" s="76"/>
      <c r="J856" s="76"/>
      <c r="K856" s="76"/>
      <c r="M856" s="77" t="s">
        <v>4079</v>
      </c>
      <c r="N856" s="76" t="s">
        <v>7090</v>
      </c>
      <c r="O856" s="76"/>
      <c r="P856" s="76"/>
      <c r="Q856" s="76"/>
      <c r="R856" s="67">
        <f t="shared" si="34"/>
        <v>0</v>
      </c>
      <c r="S856" s="76">
        <v>2024</v>
      </c>
    </row>
    <row r="857" spans="1:19" ht="16" x14ac:dyDescent="0.2">
      <c r="A857" s="76" t="s">
        <v>4095</v>
      </c>
      <c r="B857" s="69" t="s">
        <v>7091</v>
      </c>
      <c r="C857" s="76"/>
      <c r="D857" s="76"/>
      <c r="E857" s="76"/>
      <c r="F857" s="76"/>
      <c r="G857" s="76"/>
      <c r="H857" s="76"/>
      <c r="I857" s="76"/>
      <c r="J857" s="76"/>
      <c r="K857" s="76"/>
      <c r="M857" s="77" t="s">
        <v>4079</v>
      </c>
      <c r="N857" s="76" t="s">
        <v>7092</v>
      </c>
      <c r="O857" s="76"/>
      <c r="P857" s="76"/>
      <c r="Q857" s="76"/>
      <c r="R857" s="67">
        <f t="shared" si="34"/>
        <v>0</v>
      </c>
      <c r="S857" s="76">
        <v>2024</v>
      </c>
    </row>
    <row r="858" spans="1:19" ht="16" x14ac:dyDescent="0.2">
      <c r="A858" s="76" t="s">
        <v>3748</v>
      </c>
      <c r="B858" s="69" t="s">
        <v>7093</v>
      </c>
      <c r="C858" s="76"/>
      <c r="D858" s="76"/>
      <c r="E858" s="76"/>
      <c r="F858" s="76"/>
      <c r="G858" s="76"/>
      <c r="H858" s="76"/>
      <c r="I858" s="76"/>
      <c r="J858" s="76"/>
      <c r="K858" s="76"/>
      <c r="M858" s="77" t="s">
        <v>4079</v>
      </c>
      <c r="N858" s="76" t="s">
        <v>7094</v>
      </c>
      <c r="O858" s="78">
        <v>1</v>
      </c>
      <c r="P858" s="76"/>
      <c r="Q858" s="76"/>
      <c r="R858" s="67">
        <f t="shared" si="34"/>
        <v>0</v>
      </c>
      <c r="S858" s="76">
        <v>2024</v>
      </c>
    </row>
    <row r="859" spans="1:19" ht="16" x14ac:dyDescent="0.2">
      <c r="A859" s="76" t="s">
        <v>4025</v>
      </c>
      <c r="B859" s="69" t="s">
        <v>7095</v>
      </c>
      <c r="C859" s="76"/>
      <c r="D859" s="76"/>
      <c r="E859" s="76"/>
      <c r="F859" s="76"/>
      <c r="G859" s="76"/>
      <c r="H859" s="76"/>
      <c r="I859" s="76"/>
      <c r="J859" s="76"/>
      <c r="K859" s="76"/>
      <c r="M859" s="77"/>
      <c r="N859" s="76" t="s">
        <v>7096</v>
      </c>
      <c r="O859" s="76"/>
      <c r="P859" s="76"/>
      <c r="Q859" s="76"/>
      <c r="R859" s="67">
        <f t="shared" si="34"/>
        <v>0</v>
      </c>
      <c r="S859" s="76">
        <v>2025</v>
      </c>
    </row>
    <row r="860" spans="1:19" ht="16" x14ac:dyDescent="0.2">
      <c r="A860" s="76" t="s">
        <v>7097</v>
      </c>
      <c r="B860" s="69" t="s">
        <v>7098</v>
      </c>
      <c r="C860" s="76"/>
      <c r="D860" s="76"/>
      <c r="E860" s="76"/>
      <c r="F860" s="76"/>
      <c r="G860" s="76"/>
      <c r="H860" s="76"/>
      <c r="I860" s="76"/>
      <c r="J860" s="76"/>
      <c r="K860" s="76"/>
      <c r="M860" s="77" t="s">
        <v>4079</v>
      </c>
      <c r="N860" s="76" t="s">
        <v>7099</v>
      </c>
      <c r="O860" s="76"/>
      <c r="P860" s="76"/>
      <c r="Q860" s="76"/>
      <c r="R860" s="67">
        <f t="shared" si="34"/>
        <v>0</v>
      </c>
      <c r="S860" s="76">
        <v>2024</v>
      </c>
    </row>
    <row r="861" spans="1:19" ht="16" x14ac:dyDescent="0.2">
      <c r="A861" s="76" t="s">
        <v>4030</v>
      </c>
      <c r="B861" s="69" t="s">
        <v>7100</v>
      </c>
      <c r="C861" s="76"/>
      <c r="D861" s="76"/>
      <c r="E861" s="76"/>
      <c r="F861" s="76"/>
      <c r="G861" s="76"/>
      <c r="H861" s="76"/>
      <c r="I861" s="76"/>
      <c r="J861" s="76"/>
      <c r="K861" s="76"/>
      <c r="M861" s="77" t="s">
        <v>4079</v>
      </c>
      <c r="N861" s="76" t="s">
        <v>7101</v>
      </c>
      <c r="O861" s="76"/>
      <c r="P861" s="76"/>
      <c r="Q861" s="76"/>
      <c r="R861" s="67">
        <f t="shared" si="34"/>
        <v>0</v>
      </c>
      <c r="S861" s="76">
        <v>2024</v>
      </c>
    </row>
    <row r="862" spans="1:19" ht="16" x14ac:dyDescent="0.2">
      <c r="A862" s="76" t="s">
        <v>3893</v>
      </c>
      <c r="B862" s="69" t="s">
        <v>7102</v>
      </c>
      <c r="C862" s="76"/>
      <c r="D862" s="76"/>
      <c r="E862" s="76"/>
      <c r="F862" s="76"/>
      <c r="G862" s="76"/>
      <c r="H862" s="76"/>
      <c r="I862" s="76"/>
      <c r="J862" s="76"/>
      <c r="K862" s="76"/>
      <c r="M862" s="77" t="s">
        <v>4079</v>
      </c>
      <c r="N862" s="76" t="s">
        <v>7103</v>
      </c>
      <c r="O862" s="78" t="s">
        <v>3896</v>
      </c>
      <c r="P862" s="76"/>
      <c r="Q862" s="76"/>
      <c r="R862" s="67">
        <f t="shared" si="34"/>
        <v>0</v>
      </c>
      <c r="S862" s="76">
        <v>2024</v>
      </c>
    </row>
    <row r="863" spans="1:19" ht="16" x14ac:dyDescent="0.2">
      <c r="A863" s="76" t="s">
        <v>7106</v>
      </c>
      <c r="B863" s="69" t="s">
        <v>7107</v>
      </c>
      <c r="C863" s="76"/>
      <c r="D863" s="76"/>
      <c r="E863" s="76"/>
      <c r="F863" s="76"/>
      <c r="G863" s="76"/>
      <c r="H863" s="76"/>
      <c r="I863" s="76"/>
      <c r="J863" s="76"/>
      <c r="K863" s="76"/>
      <c r="M863" s="77" t="s">
        <v>4079</v>
      </c>
      <c r="N863" s="76" t="s">
        <v>7108</v>
      </c>
      <c r="O863" s="76"/>
      <c r="P863" s="76"/>
      <c r="Q863" s="76"/>
      <c r="R863" s="67">
        <f t="shared" si="34"/>
        <v>0</v>
      </c>
      <c r="S863" s="76">
        <v>2024</v>
      </c>
    </row>
    <row r="864" spans="1:19" ht="16" x14ac:dyDescent="0.2">
      <c r="A864" s="76" t="s">
        <v>7109</v>
      </c>
      <c r="B864" s="69" t="s">
        <v>7110</v>
      </c>
      <c r="C864" s="76"/>
      <c r="D864" s="76"/>
      <c r="E864" s="76"/>
      <c r="F864" s="76"/>
      <c r="G864" s="76"/>
      <c r="H864" s="76"/>
      <c r="I864" s="76"/>
      <c r="J864" s="76"/>
      <c r="K864" s="76"/>
      <c r="M864" s="77"/>
      <c r="N864" s="76" t="s">
        <v>7111</v>
      </c>
      <c r="O864" s="76"/>
      <c r="P864" s="76"/>
      <c r="Q864" s="76"/>
      <c r="R864" s="67">
        <f t="shared" si="34"/>
        <v>0</v>
      </c>
      <c r="S864" s="76">
        <v>2024</v>
      </c>
    </row>
    <row r="865" spans="1:19" ht="16" x14ac:dyDescent="0.2">
      <c r="A865" s="76" t="s">
        <v>7112</v>
      </c>
      <c r="B865" s="69" t="s">
        <v>7113</v>
      </c>
      <c r="C865" s="76"/>
      <c r="D865" s="76"/>
      <c r="E865" s="76"/>
      <c r="F865" s="76"/>
      <c r="G865" s="76"/>
      <c r="H865" s="76"/>
      <c r="I865" s="76"/>
      <c r="J865" s="76"/>
      <c r="K865" s="76"/>
      <c r="M865" s="77"/>
      <c r="N865" s="76" t="s">
        <v>7114</v>
      </c>
      <c r="O865" s="78">
        <v>1</v>
      </c>
      <c r="P865" s="76"/>
      <c r="Q865" s="76"/>
      <c r="R865" s="67">
        <f t="shared" si="34"/>
        <v>0</v>
      </c>
      <c r="S865" s="76">
        <v>2024</v>
      </c>
    </row>
    <row r="866" spans="1:19" ht="16" x14ac:dyDescent="0.2">
      <c r="A866" s="76" t="s">
        <v>4074</v>
      </c>
      <c r="B866" s="69" t="s">
        <v>7115</v>
      </c>
      <c r="C866" s="76"/>
      <c r="D866" s="76"/>
      <c r="E866" s="76"/>
      <c r="F866" s="76"/>
      <c r="G866" s="76"/>
      <c r="H866" s="76"/>
      <c r="I866" s="76"/>
      <c r="J866" s="76"/>
      <c r="K866" s="76"/>
      <c r="M866" s="77" t="s">
        <v>4079</v>
      </c>
      <c r="N866" s="76" t="s">
        <v>7116</v>
      </c>
      <c r="O866" s="76"/>
      <c r="P866" s="76"/>
      <c r="Q866" s="76"/>
      <c r="R866" s="67">
        <f t="shared" si="34"/>
        <v>0</v>
      </c>
      <c r="S866" s="76">
        <v>2024</v>
      </c>
    </row>
    <row r="867" spans="1:19" ht="16" x14ac:dyDescent="0.2">
      <c r="A867" s="76" t="s">
        <v>7112</v>
      </c>
      <c r="B867" s="69" t="s">
        <v>7117</v>
      </c>
      <c r="C867" s="76"/>
      <c r="D867" s="76"/>
      <c r="E867" s="76"/>
      <c r="F867" s="76"/>
      <c r="G867" s="76"/>
      <c r="H867" s="76"/>
      <c r="I867" s="76"/>
      <c r="J867" s="76"/>
      <c r="K867" s="76"/>
      <c r="M867" s="77"/>
      <c r="N867" s="76" t="s">
        <v>7118</v>
      </c>
      <c r="O867" s="78">
        <v>1</v>
      </c>
      <c r="P867" s="76"/>
      <c r="Q867" s="76"/>
      <c r="R867" s="67">
        <f t="shared" si="34"/>
        <v>0</v>
      </c>
      <c r="S867" s="76">
        <v>2024</v>
      </c>
    </row>
    <row r="868" spans="1:19" ht="16" x14ac:dyDescent="0.2">
      <c r="A868" s="76" t="s">
        <v>7119</v>
      </c>
      <c r="B868" s="69" t="s">
        <v>7120</v>
      </c>
      <c r="C868" s="76"/>
      <c r="D868" s="76"/>
      <c r="E868" s="76"/>
      <c r="F868" s="76"/>
      <c r="G868" s="76"/>
      <c r="H868" s="76"/>
      <c r="I868" s="76"/>
      <c r="J868" s="76"/>
      <c r="K868" s="76"/>
      <c r="M868" s="77"/>
      <c r="N868" s="76" t="s">
        <v>7121</v>
      </c>
      <c r="O868" s="76"/>
      <c r="P868" s="76"/>
      <c r="Q868" s="76"/>
      <c r="R868" s="67">
        <f t="shared" si="34"/>
        <v>0</v>
      </c>
      <c r="S868" s="76">
        <v>2024</v>
      </c>
    </row>
    <row r="869" spans="1:19" ht="16" x14ac:dyDescent="0.2">
      <c r="A869" s="76" t="s">
        <v>4066</v>
      </c>
      <c r="B869" s="69" t="s">
        <v>7122</v>
      </c>
      <c r="C869" s="76"/>
      <c r="D869" s="76"/>
      <c r="E869" s="76"/>
      <c r="F869" s="76"/>
      <c r="G869" s="76"/>
      <c r="H869" s="76"/>
      <c r="I869" s="76"/>
      <c r="J869" s="76"/>
      <c r="K869" s="76"/>
      <c r="M869" s="77" t="s">
        <v>4079</v>
      </c>
      <c r="N869" s="76" t="s">
        <v>7123</v>
      </c>
      <c r="O869" s="76"/>
      <c r="P869" s="76"/>
      <c r="Q869" s="76"/>
      <c r="R869" s="67">
        <f t="shared" si="34"/>
        <v>0</v>
      </c>
      <c r="S869" s="76">
        <v>2024</v>
      </c>
    </row>
    <row r="870" spans="1:19" ht="16" x14ac:dyDescent="0.2">
      <c r="A870" s="76" t="s">
        <v>7124</v>
      </c>
      <c r="B870" s="69" t="s">
        <v>7125</v>
      </c>
      <c r="C870" s="76"/>
      <c r="D870" s="76"/>
      <c r="E870" s="76"/>
      <c r="F870" s="76"/>
      <c r="G870" s="76"/>
      <c r="H870" s="76"/>
      <c r="I870" s="76"/>
      <c r="J870" s="76"/>
      <c r="K870" s="76"/>
      <c r="M870" s="77"/>
      <c r="N870" s="76" t="s">
        <v>7111</v>
      </c>
      <c r="O870" s="76"/>
      <c r="P870" s="76"/>
      <c r="Q870" s="76"/>
      <c r="R870" s="67">
        <f t="shared" si="34"/>
        <v>0</v>
      </c>
      <c r="S870" s="76">
        <v>2024</v>
      </c>
    </row>
    <row r="871" spans="1:19" ht="16" x14ac:dyDescent="0.2">
      <c r="A871" s="76" t="s">
        <v>861</v>
      </c>
      <c r="B871" s="69" t="s">
        <v>7126</v>
      </c>
      <c r="C871" s="76"/>
      <c r="D871" s="76"/>
      <c r="E871" s="76"/>
      <c r="F871" s="76"/>
      <c r="G871" s="76"/>
      <c r="H871" s="76"/>
      <c r="I871" s="76"/>
      <c r="J871" s="76"/>
      <c r="K871" s="76"/>
      <c r="M871" s="77"/>
      <c r="N871" s="76" t="s">
        <v>7127</v>
      </c>
      <c r="O871" s="78"/>
      <c r="P871" s="76"/>
      <c r="Q871" s="76"/>
      <c r="R871" s="67">
        <f t="shared" si="34"/>
        <v>0</v>
      </c>
      <c r="S871" s="76">
        <v>2024</v>
      </c>
    </row>
    <row r="872" spans="1:19" ht="16" x14ac:dyDescent="0.2">
      <c r="A872" s="76" t="s">
        <v>3508</v>
      </c>
      <c r="B872" s="69" t="s">
        <v>7128</v>
      </c>
      <c r="C872" s="76"/>
      <c r="D872" s="76"/>
      <c r="E872" s="76"/>
      <c r="F872" s="76"/>
      <c r="G872" s="76"/>
      <c r="H872" s="76"/>
      <c r="I872" s="76"/>
      <c r="J872" s="76"/>
      <c r="K872" s="76"/>
      <c r="M872" s="77"/>
      <c r="N872" s="76" t="s">
        <v>7129</v>
      </c>
      <c r="O872" s="78">
        <v>1</v>
      </c>
      <c r="P872" s="76"/>
      <c r="Q872" s="76"/>
      <c r="R872" s="67">
        <f t="shared" si="34"/>
        <v>0</v>
      </c>
      <c r="S872" s="76">
        <v>2024</v>
      </c>
    </row>
    <row r="873" spans="1:19" x14ac:dyDescent="0.2">
      <c r="A873"/>
    </row>
    <row r="874" spans="1:19" x14ac:dyDescent="0.2">
      <c r="A874"/>
    </row>
    <row r="875" spans="1:19" x14ac:dyDescent="0.2">
      <c r="A875"/>
    </row>
    <row r="876" spans="1:19" x14ac:dyDescent="0.2">
      <c r="A876"/>
    </row>
    <row r="877" spans="1:19" x14ac:dyDescent="0.2">
      <c r="A877"/>
    </row>
    <row r="878" spans="1:19" x14ac:dyDescent="0.2">
      <c r="A878"/>
    </row>
    <row r="879" spans="1:19" x14ac:dyDescent="0.2">
      <c r="A879"/>
    </row>
    <row r="880" spans="1:19" x14ac:dyDescent="0.2">
      <c r="A880"/>
    </row>
    <row r="881" spans="1:1" x14ac:dyDescent="0.2">
      <c r="A881"/>
    </row>
    <row r="882" spans="1:1" x14ac:dyDescent="0.2">
      <c r="A882"/>
    </row>
    <row r="883" spans="1:1" x14ac:dyDescent="0.2">
      <c r="A883"/>
    </row>
    <row r="884" spans="1:1" x14ac:dyDescent="0.2">
      <c r="A884"/>
    </row>
    <row r="885" spans="1:1" x14ac:dyDescent="0.2">
      <c r="A885"/>
    </row>
    <row r="886" spans="1:1" x14ac:dyDescent="0.2">
      <c r="A886"/>
    </row>
    <row r="887" spans="1:1" x14ac:dyDescent="0.2">
      <c r="A887"/>
    </row>
    <row r="888" spans="1:1" x14ac:dyDescent="0.2">
      <c r="A888"/>
    </row>
    <row r="889" spans="1:1" x14ac:dyDescent="0.2">
      <c r="A889"/>
    </row>
    <row r="890" spans="1:1" x14ac:dyDescent="0.2">
      <c r="A890"/>
    </row>
    <row r="891" spans="1:1" x14ac:dyDescent="0.2">
      <c r="A891"/>
    </row>
    <row r="892" spans="1:1" x14ac:dyDescent="0.2">
      <c r="A892"/>
    </row>
    <row r="893" spans="1:1" x14ac:dyDescent="0.2">
      <c r="A893"/>
    </row>
    <row r="894" spans="1:1" x14ac:dyDescent="0.2">
      <c r="A894"/>
    </row>
    <row r="895" spans="1:1" x14ac:dyDescent="0.2">
      <c r="A895"/>
    </row>
    <row r="896" spans="1:1" x14ac:dyDescent="0.2">
      <c r="A896"/>
    </row>
    <row r="897" spans="1:1" x14ac:dyDescent="0.2">
      <c r="A897"/>
    </row>
    <row r="898" spans="1:1" x14ac:dyDescent="0.2">
      <c r="A898"/>
    </row>
    <row r="899" spans="1:1" x14ac:dyDescent="0.2">
      <c r="A899"/>
    </row>
    <row r="900" spans="1:1" x14ac:dyDescent="0.2">
      <c r="A900"/>
    </row>
    <row r="901" spans="1:1" x14ac:dyDescent="0.2">
      <c r="A901"/>
    </row>
    <row r="902" spans="1:1" x14ac:dyDescent="0.2">
      <c r="A902"/>
    </row>
    <row r="903" spans="1:1" x14ac:dyDescent="0.2">
      <c r="A903"/>
    </row>
    <row r="904" spans="1:1" x14ac:dyDescent="0.2">
      <c r="A904"/>
    </row>
    <row r="905" spans="1:1" x14ac:dyDescent="0.2">
      <c r="A905"/>
    </row>
    <row r="906" spans="1:1" x14ac:dyDescent="0.2">
      <c r="A906"/>
    </row>
    <row r="907" spans="1:1" x14ac:dyDescent="0.2">
      <c r="A907"/>
    </row>
    <row r="908" spans="1:1" x14ac:dyDescent="0.2">
      <c r="A908"/>
    </row>
    <row r="909" spans="1:1" x14ac:dyDescent="0.2">
      <c r="A909"/>
    </row>
    <row r="910" spans="1:1" x14ac:dyDescent="0.2">
      <c r="A910"/>
    </row>
    <row r="911" spans="1:1" x14ac:dyDescent="0.2">
      <c r="A911"/>
    </row>
    <row r="912" spans="1:1" x14ac:dyDescent="0.2">
      <c r="A912"/>
    </row>
    <row r="913" spans="1:1" x14ac:dyDescent="0.2">
      <c r="A913"/>
    </row>
    <row r="914" spans="1:1" x14ac:dyDescent="0.2">
      <c r="A914"/>
    </row>
    <row r="915" spans="1:1" x14ac:dyDescent="0.2">
      <c r="A915"/>
    </row>
    <row r="916" spans="1:1" x14ac:dyDescent="0.2">
      <c r="A916"/>
    </row>
    <row r="917" spans="1:1" x14ac:dyDescent="0.2">
      <c r="A917"/>
    </row>
    <row r="918" spans="1:1" x14ac:dyDescent="0.2">
      <c r="A918"/>
    </row>
    <row r="919" spans="1:1" x14ac:dyDescent="0.2">
      <c r="A919"/>
    </row>
    <row r="920" spans="1:1" x14ac:dyDescent="0.2">
      <c r="A920"/>
    </row>
    <row r="921" spans="1:1" x14ac:dyDescent="0.2">
      <c r="A921"/>
    </row>
    <row r="922" spans="1:1" x14ac:dyDescent="0.2">
      <c r="A922"/>
    </row>
    <row r="923" spans="1:1" x14ac:dyDescent="0.2">
      <c r="A923"/>
    </row>
    <row r="924" spans="1:1" x14ac:dyDescent="0.2">
      <c r="A924"/>
    </row>
    <row r="925" spans="1:1" x14ac:dyDescent="0.2">
      <c r="A925"/>
    </row>
    <row r="926" spans="1:1" x14ac:dyDescent="0.2">
      <c r="A926"/>
    </row>
    <row r="927" spans="1:1" x14ac:dyDescent="0.2">
      <c r="A927"/>
    </row>
    <row r="928" spans="1:1" x14ac:dyDescent="0.2">
      <c r="A928"/>
    </row>
    <row r="929" spans="1:1" x14ac:dyDescent="0.2">
      <c r="A929"/>
    </row>
    <row r="930" spans="1:1" x14ac:dyDescent="0.2">
      <c r="A930"/>
    </row>
    <row r="931" spans="1:1" x14ac:dyDescent="0.2">
      <c r="A931"/>
    </row>
    <row r="932" spans="1:1" x14ac:dyDescent="0.2">
      <c r="A932"/>
    </row>
    <row r="933" spans="1:1" x14ac:dyDescent="0.2">
      <c r="A933"/>
    </row>
    <row r="934" spans="1:1" x14ac:dyDescent="0.2">
      <c r="A934"/>
    </row>
    <row r="935" spans="1:1" x14ac:dyDescent="0.2">
      <c r="A935"/>
    </row>
    <row r="936" spans="1:1" x14ac:dyDescent="0.2">
      <c r="A936"/>
    </row>
    <row r="937" spans="1:1" x14ac:dyDescent="0.2">
      <c r="A937"/>
    </row>
    <row r="938" spans="1:1" x14ac:dyDescent="0.2">
      <c r="A938"/>
    </row>
    <row r="939" spans="1:1" x14ac:dyDescent="0.2">
      <c r="A939"/>
    </row>
    <row r="940" spans="1:1" x14ac:dyDescent="0.2">
      <c r="A940"/>
    </row>
    <row r="941" spans="1:1" x14ac:dyDescent="0.2">
      <c r="A941"/>
    </row>
    <row r="942" spans="1:1" x14ac:dyDescent="0.2">
      <c r="A942"/>
    </row>
    <row r="943" spans="1:1" x14ac:dyDescent="0.2">
      <c r="A943"/>
    </row>
    <row r="944" spans="1:1" x14ac:dyDescent="0.2">
      <c r="A944"/>
    </row>
    <row r="945" spans="1:1" x14ac:dyDescent="0.2">
      <c r="A945"/>
    </row>
    <row r="946" spans="1:1" x14ac:dyDescent="0.2">
      <c r="A946"/>
    </row>
    <row r="947" spans="1:1" x14ac:dyDescent="0.2">
      <c r="A947"/>
    </row>
    <row r="948" spans="1:1" x14ac:dyDescent="0.2">
      <c r="A948"/>
    </row>
    <row r="949" spans="1:1" x14ac:dyDescent="0.2">
      <c r="A949"/>
    </row>
    <row r="950" spans="1:1" x14ac:dyDescent="0.2">
      <c r="A950"/>
    </row>
    <row r="951" spans="1:1" x14ac:dyDescent="0.2">
      <c r="A951"/>
    </row>
    <row r="952" spans="1:1" x14ac:dyDescent="0.2">
      <c r="A952"/>
    </row>
    <row r="953" spans="1:1" x14ac:dyDescent="0.2">
      <c r="A953"/>
    </row>
    <row r="954" spans="1:1" x14ac:dyDescent="0.2">
      <c r="A954"/>
    </row>
    <row r="955" spans="1:1" x14ac:dyDescent="0.2">
      <c r="A955"/>
    </row>
    <row r="956" spans="1:1" x14ac:dyDescent="0.2">
      <c r="A956"/>
    </row>
    <row r="957" spans="1:1" x14ac:dyDescent="0.2">
      <c r="A957"/>
    </row>
    <row r="958" spans="1:1" x14ac:dyDescent="0.2">
      <c r="A958"/>
    </row>
    <row r="959" spans="1:1" x14ac:dyDescent="0.2">
      <c r="A959"/>
    </row>
    <row r="960" spans="1:1" x14ac:dyDescent="0.2">
      <c r="A960"/>
    </row>
    <row r="961" spans="1:1" x14ac:dyDescent="0.2">
      <c r="A961"/>
    </row>
    <row r="962" spans="1:1" x14ac:dyDescent="0.2">
      <c r="A962"/>
    </row>
    <row r="963" spans="1:1" x14ac:dyDescent="0.2">
      <c r="A963"/>
    </row>
    <row r="964" spans="1:1" x14ac:dyDescent="0.2">
      <c r="A964"/>
    </row>
    <row r="965" spans="1:1" x14ac:dyDescent="0.2">
      <c r="A965"/>
    </row>
    <row r="966" spans="1:1" x14ac:dyDescent="0.2">
      <c r="A966"/>
    </row>
    <row r="967" spans="1:1" x14ac:dyDescent="0.2">
      <c r="A967"/>
    </row>
    <row r="968" spans="1:1" x14ac:dyDescent="0.2">
      <c r="A968"/>
    </row>
    <row r="969" spans="1:1" x14ac:dyDescent="0.2">
      <c r="A969"/>
    </row>
    <row r="970" spans="1:1" x14ac:dyDescent="0.2">
      <c r="A970"/>
    </row>
    <row r="971" spans="1:1" x14ac:dyDescent="0.2">
      <c r="A971"/>
    </row>
    <row r="972" spans="1:1" x14ac:dyDescent="0.2">
      <c r="A972"/>
    </row>
    <row r="973" spans="1:1" x14ac:dyDescent="0.2">
      <c r="A973"/>
    </row>
    <row r="974" spans="1:1" x14ac:dyDescent="0.2">
      <c r="A974"/>
    </row>
    <row r="975" spans="1:1" x14ac:dyDescent="0.2">
      <c r="A975"/>
    </row>
    <row r="976" spans="1:1" x14ac:dyDescent="0.2">
      <c r="A976"/>
    </row>
    <row r="977" spans="1:1" x14ac:dyDescent="0.2">
      <c r="A977"/>
    </row>
    <row r="978" spans="1:1" x14ac:dyDescent="0.2">
      <c r="A978"/>
    </row>
    <row r="979" spans="1:1" x14ac:dyDescent="0.2">
      <c r="A979"/>
    </row>
    <row r="980" spans="1:1" x14ac:dyDescent="0.2">
      <c r="A980"/>
    </row>
    <row r="981" spans="1:1" x14ac:dyDescent="0.2">
      <c r="A981"/>
    </row>
    <row r="982" spans="1:1" x14ac:dyDescent="0.2">
      <c r="A982"/>
    </row>
    <row r="983" spans="1:1" x14ac:dyDescent="0.2">
      <c r="A983"/>
    </row>
    <row r="984" spans="1:1" x14ac:dyDescent="0.2">
      <c r="A984"/>
    </row>
    <row r="985" spans="1:1" x14ac:dyDescent="0.2">
      <c r="A985"/>
    </row>
    <row r="986" spans="1:1" x14ac:dyDescent="0.2">
      <c r="A986"/>
    </row>
    <row r="987" spans="1:1" x14ac:dyDescent="0.2">
      <c r="A987"/>
    </row>
    <row r="988" spans="1:1" x14ac:dyDescent="0.2">
      <c r="A988"/>
    </row>
    <row r="989" spans="1:1" x14ac:dyDescent="0.2">
      <c r="A989"/>
    </row>
    <row r="990" spans="1:1" x14ac:dyDescent="0.2">
      <c r="A990"/>
    </row>
    <row r="991" spans="1:1" x14ac:dyDescent="0.2">
      <c r="A991"/>
    </row>
    <row r="992" spans="1:1" x14ac:dyDescent="0.2">
      <c r="A992"/>
    </row>
    <row r="993" spans="1:1" x14ac:dyDescent="0.2">
      <c r="A993"/>
    </row>
    <row r="994" spans="1:1" x14ac:dyDescent="0.2">
      <c r="A994"/>
    </row>
    <row r="995" spans="1:1" x14ac:dyDescent="0.2">
      <c r="A995"/>
    </row>
    <row r="996" spans="1:1" x14ac:dyDescent="0.2">
      <c r="A996"/>
    </row>
    <row r="997" spans="1:1" x14ac:dyDescent="0.2">
      <c r="A997"/>
    </row>
    <row r="998" spans="1:1" x14ac:dyDescent="0.2">
      <c r="A998"/>
    </row>
    <row r="999" spans="1:1" x14ac:dyDescent="0.2">
      <c r="A999"/>
    </row>
    <row r="1000" spans="1:1" x14ac:dyDescent="0.2">
      <c r="A1000"/>
    </row>
    <row r="1001" spans="1:1" x14ac:dyDescent="0.2">
      <c r="A1001"/>
    </row>
    <row r="1002" spans="1:1" x14ac:dyDescent="0.2">
      <c r="A1002"/>
    </row>
    <row r="1003" spans="1:1" x14ac:dyDescent="0.2">
      <c r="A1003"/>
    </row>
    <row r="1004" spans="1:1" x14ac:dyDescent="0.2">
      <c r="A1004"/>
    </row>
    <row r="1005" spans="1:1" x14ac:dyDescent="0.2">
      <c r="A1005"/>
    </row>
    <row r="1006" spans="1:1" x14ac:dyDescent="0.2">
      <c r="A1006"/>
    </row>
    <row r="1007" spans="1:1" x14ac:dyDescent="0.2">
      <c r="A1007"/>
    </row>
    <row r="1008" spans="1:1" x14ac:dyDescent="0.2">
      <c r="A1008"/>
    </row>
    <row r="1009" spans="1:1" x14ac:dyDescent="0.2">
      <c r="A1009"/>
    </row>
    <row r="1010" spans="1:1" x14ac:dyDescent="0.2">
      <c r="A1010"/>
    </row>
    <row r="1011" spans="1:1" x14ac:dyDescent="0.2">
      <c r="A1011"/>
    </row>
    <row r="1012" spans="1:1" x14ac:dyDescent="0.2">
      <c r="A1012"/>
    </row>
    <row r="1013" spans="1:1" x14ac:dyDescent="0.2">
      <c r="A1013"/>
    </row>
    <row r="1014" spans="1:1" x14ac:dyDescent="0.2">
      <c r="A1014"/>
    </row>
    <row r="1015" spans="1:1" x14ac:dyDescent="0.2">
      <c r="A1015"/>
    </row>
    <row r="1016" spans="1:1" x14ac:dyDescent="0.2">
      <c r="A1016"/>
    </row>
    <row r="1017" spans="1:1" x14ac:dyDescent="0.2">
      <c r="A1017"/>
    </row>
    <row r="1018" spans="1:1" x14ac:dyDescent="0.2">
      <c r="A1018"/>
    </row>
    <row r="1019" spans="1:1" x14ac:dyDescent="0.2">
      <c r="A1019" s="91"/>
    </row>
    <row r="1020" spans="1:1" x14ac:dyDescent="0.2">
      <c r="A1020" s="91"/>
    </row>
    <row r="1021" spans="1:1" x14ac:dyDescent="0.2">
      <c r="A1021"/>
    </row>
    <row r="1022" spans="1:1" x14ac:dyDescent="0.2">
      <c r="A1022"/>
    </row>
    <row r="1023" spans="1:1" x14ac:dyDescent="0.2">
      <c r="A1023"/>
    </row>
    <row r="1024" spans="1:1" x14ac:dyDescent="0.2">
      <c r="A1024"/>
    </row>
    <row r="1025" spans="1:1" x14ac:dyDescent="0.2">
      <c r="A1025" s="91"/>
    </row>
    <row r="1026" spans="1:1" x14ac:dyDescent="0.2">
      <c r="A1026"/>
    </row>
    <row r="1027" spans="1:1" x14ac:dyDescent="0.2">
      <c r="A1027"/>
    </row>
    <row r="1028" spans="1:1" x14ac:dyDescent="0.2">
      <c r="A1028"/>
    </row>
    <row r="1029" spans="1:1" x14ac:dyDescent="0.2">
      <c r="A1029"/>
    </row>
    <row r="1030" spans="1:1" x14ac:dyDescent="0.2">
      <c r="A1030"/>
    </row>
    <row r="1031" spans="1:1" x14ac:dyDescent="0.2">
      <c r="A1031"/>
    </row>
    <row r="1032" spans="1:1" x14ac:dyDescent="0.2">
      <c r="A1032"/>
    </row>
    <row r="1033" spans="1:1" x14ac:dyDescent="0.2">
      <c r="A1033"/>
    </row>
    <row r="1034" spans="1:1" x14ac:dyDescent="0.2">
      <c r="A1034"/>
    </row>
    <row r="1035" spans="1:1" x14ac:dyDescent="0.2">
      <c r="A1035" s="91"/>
    </row>
    <row r="1036" spans="1:1" x14ac:dyDescent="0.2">
      <c r="A1036"/>
    </row>
    <row r="1037" spans="1:1" x14ac:dyDescent="0.2">
      <c r="A1037" s="91"/>
    </row>
    <row r="1038" spans="1:1" x14ac:dyDescent="0.2">
      <c r="A1038"/>
    </row>
    <row r="1039" spans="1:1" x14ac:dyDescent="0.2">
      <c r="A1039"/>
    </row>
    <row r="1040" spans="1:1" x14ac:dyDescent="0.2">
      <c r="A1040"/>
    </row>
    <row r="1041" spans="1:1" x14ac:dyDescent="0.2">
      <c r="A1041"/>
    </row>
    <row r="1042" spans="1:1" x14ac:dyDescent="0.2">
      <c r="A1042"/>
    </row>
    <row r="1043" spans="1:1" x14ac:dyDescent="0.2">
      <c r="A1043"/>
    </row>
    <row r="1044" spans="1:1" x14ac:dyDescent="0.2">
      <c r="A1044"/>
    </row>
    <row r="1045" spans="1:1" x14ac:dyDescent="0.2">
      <c r="A1045"/>
    </row>
    <row r="1046" spans="1:1" x14ac:dyDescent="0.2">
      <c r="A1046"/>
    </row>
    <row r="1047" spans="1:1" x14ac:dyDescent="0.2">
      <c r="A1047" s="91"/>
    </row>
    <row r="1048" spans="1:1" x14ac:dyDescent="0.2">
      <c r="A1048"/>
    </row>
    <row r="1049" spans="1:1" x14ac:dyDescent="0.2">
      <c r="A1049"/>
    </row>
    <row r="1050" spans="1:1" x14ac:dyDescent="0.2">
      <c r="A1050"/>
    </row>
    <row r="1051" spans="1:1" x14ac:dyDescent="0.2">
      <c r="A1051"/>
    </row>
    <row r="1052" spans="1:1" x14ac:dyDescent="0.2">
      <c r="A1052"/>
    </row>
    <row r="1053" spans="1:1" x14ac:dyDescent="0.2">
      <c r="A1053"/>
    </row>
    <row r="1054" spans="1:1" x14ac:dyDescent="0.2">
      <c r="A1054" s="91"/>
    </row>
    <row r="1055" spans="1:1" x14ac:dyDescent="0.2">
      <c r="A1055"/>
    </row>
    <row r="1056" spans="1:1" x14ac:dyDescent="0.2">
      <c r="A1056"/>
    </row>
    <row r="1057" spans="1:1" x14ac:dyDescent="0.2">
      <c r="A1057"/>
    </row>
    <row r="1058" spans="1:1" x14ac:dyDescent="0.2">
      <c r="A1058"/>
    </row>
    <row r="1059" spans="1:1" x14ac:dyDescent="0.2">
      <c r="A1059"/>
    </row>
    <row r="1060" spans="1:1" x14ac:dyDescent="0.2">
      <c r="A1060"/>
    </row>
    <row r="1061" spans="1:1" x14ac:dyDescent="0.2">
      <c r="A1061"/>
    </row>
    <row r="1062" spans="1:1" x14ac:dyDescent="0.2">
      <c r="A1062"/>
    </row>
    <row r="1063" spans="1:1" x14ac:dyDescent="0.2">
      <c r="A1063"/>
    </row>
    <row r="1064" spans="1:1" x14ac:dyDescent="0.2">
      <c r="A1064" s="91"/>
    </row>
    <row r="1065" spans="1:1" x14ac:dyDescent="0.2">
      <c r="A1065"/>
    </row>
    <row r="1066" spans="1:1" x14ac:dyDescent="0.2">
      <c r="A1066"/>
    </row>
    <row r="1067" spans="1:1" x14ac:dyDescent="0.2">
      <c r="A1067"/>
    </row>
    <row r="1068" spans="1:1" x14ac:dyDescent="0.2">
      <c r="A1068"/>
    </row>
    <row r="1069" spans="1:1" x14ac:dyDescent="0.2">
      <c r="A1069"/>
    </row>
    <row r="1070" spans="1:1" x14ac:dyDescent="0.2">
      <c r="A1070"/>
    </row>
    <row r="1071" spans="1:1" x14ac:dyDescent="0.2">
      <c r="A1071"/>
    </row>
    <row r="1072" spans="1:1" x14ac:dyDescent="0.2">
      <c r="A1072"/>
    </row>
    <row r="1073" spans="1:1" x14ac:dyDescent="0.2">
      <c r="A1073" s="91"/>
    </row>
    <row r="1074" spans="1:1" x14ac:dyDescent="0.2">
      <c r="A1074"/>
    </row>
    <row r="1075" spans="1:1" x14ac:dyDescent="0.2">
      <c r="A1075"/>
    </row>
    <row r="1076" spans="1:1" x14ac:dyDescent="0.2">
      <c r="A1076"/>
    </row>
    <row r="1077" spans="1:1" x14ac:dyDescent="0.2">
      <c r="A1077" s="91"/>
    </row>
    <row r="1078" spans="1:1" x14ac:dyDescent="0.2">
      <c r="A1078"/>
    </row>
    <row r="1079" spans="1:1" x14ac:dyDescent="0.2">
      <c r="A1079"/>
    </row>
    <row r="1080" spans="1:1" x14ac:dyDescent="0.2">
      <c r="A1080"/>
    </row>
    <row r="1081" spans="1:1" x14ac:dyDescent="0.2">
      <c r="A1081"/>
    </row>
    <row r="1082" spans="1:1" x14ac:dyDescent="0.2">
      <c r="A1082"/>
    </row>
    <row r="1083" spans="1:1" x14ac:dyDescent="0.2">
      <c r="A1083"/>
    </row>
    <row r="1084" spans="1:1" x14ac:dyDescent="0.2">
      <c r="A1084"/>
    </row>
    <row r="1085" spans="1:1" x14ac:dyDescent="0.2">
      <c r="A1085"/>
    </row>
    <row r="1086" spans="1:1" x14ac:dyDescent="0.2">
      <c r="A1086"/>
    </row>
    <row r="1087" spans="1:1" x14ac:dyDescent="0.2">
      <c r="A1087" s="91"/>
    </row>
    <row r="1088" spans="1:1" x14ac:dyDescent="0.2">
      <c r="A1088"/>
    </row>
    <row r="1089" spans="1:1" x14ac:dyDescent="0.2">
      <c r="A1089" s="91"/>
    </row>
    <row r="1090" spans="1:1" x14ac:dyDescent="0.2">
      <c r="A1090" s="91"/>
    </row>
    <row r="1091" spans="1:1" x14ac:dyDescent="0.2">
      <c r="A1091"/>
    </row>
    <row r="1092" spans="1:1" x14ac:dyDescent="0.2">
      <c r="A1092" s="91"/>
    </row>
    <row r="1093" spans="1:1" x14ac:dyDescent="0.2">
      <c r="A1093"/>
    </row>
    <row r="1094" spans="1:1" x14ac:dyDescent="0.2">
      <c r="A1094"/>
    </row>
    <row r="1095" spans="1:1" x14ac:dyDescent="0.2">
      <c r="A1095" s="91"/>
    </row>
    <row r="1096" spans="1:1" x14ac:dyDescent="0.2">
      <c r="A1096" s="91"/>
    </row>
    <row r="1097" spans="1:1" x14ac:dyDescent="0.2">
      <c r="A1097"/>
    </row>
    <row r="1098" spans="1:1" x14ac:dyDescent="0.2">
      <c r="A1098"/>
    </row>
    <row r="1099" spans="1:1" x14ac:dyDescent="0.2">
      <c r="A1099"/>
    </row>
    <row r="1100" spans="1:1" x14ac:dyDescent="0.2">
      <c r="A1100"/>
    </row>
    <row r="1101" spans="1:1" x14ac:dyDescent="0.2">
      <c r="A1101" s="91"/>
    </row>
    <row r="1102" spans="1:1" x14ac:dyDescent="0.2">
      <c r="A1102"/>
    </row>
    <row r="1103" spans="1:1" x14ac:dyDescent="0.2">
      <c r="A1103"/>
    </row>
    <row r="1104" spans="1:1" x14ac:dyDescent="0.2">
      <c r="A1104"/>
    </row>
    <row r="1105" spans="1:1" x14ac:dyDescent="0.2">
      <c r="A1105"/>
    </row>
    <row r="1106" spans="1:1" x14ac:dyDescent="0.2">
      <c r="A1106"/>
    </row>
    <row r="1107" spans="1:1" x14ac:dyDescent="0.2">
      <c r="A1107"/>
    </row>
    <row r="1108" spans="1:1" x14ac:dyDescent="0.2">
      <c r="A1108"/>
    </row>
    <row r="1109" spans="1:1" x14ac:dyDescent="0.2">
      <c r="A1109"/>
    </row>
    <row r="1110" spans="1:1" x14ac:dyDescent="0.2">
      <c r="A1110"/>
    </row>
    <row r="1111" spans="1:1" x14ac:dyDescent="0.2">
      <c r="A1111"/>
    </row>
    <row r="1112" spans="1:1" x14ac:dyDescent="0.2">
      <c r="A1112"/>
    </row>
    <row r="1113" spans="1:1" x14ac:dyDescent="0.2">
      <c r="A1113"/>
    </row>
    <row r="1114" spans="1:1" x14ac:dyDescent="0.2">
      <c r="A1114"/>
    </row>
    <row r="1115" spans="1:1" x14ac:dyDescent="0.2">
      <c r="A1115"/>
    </row>
    <row r="1116" spans="1:1" x14ac:dyDescent="0.2">
      <c r="A1116"/>
    </row>
    <row r="1117" spans="1:1" x14ac:dyDescent="0.2">
      <c r="A1117"/>
    </row>
    <row r="1118" spans="1:1" x14ac:dyDescent="0.2">
      <c r="A1118" s="91"/>
    </row>
    <row r="1119" spans="1:1" x14ac:dyDescent="0.2">
      <c r="A1119"/>
    </row>
    <row r="1120" spans="1:1" x14ac:dyDescent="0.2">
      <c r="A1120"/>
    </row>
    <row r="1121" spans="1:1" x14ac:dyDescent="0.2">
      <c r="A1121"/>
    </row>
    <row r="1122" spans="1:1" x14ac:dyDescent="0.2">
      <c r="A1122"/>
    </row>
    <row r="1123" spans="1:1" x14ac:dyDescent="0.2">
      <c r="A1123"/>
    </row>
    <row r="1124" spans="1:1" x14ac:dyDescent="0.2">
      <c r="A1124"/>
    </row>
    <row r="1125" spans="1:1" x14ac:dyDescent="0.2">
      <c r="A1125"/>
    </row>
    <row r="1126" spans="1:1" x14ac:dyDescent="0.2">
      <c r="A1126"/>
    </row>
    <row r="1127" spans="1:1" x14ac:dyDescent="0.2">
      <c r="A1127"/>
    </row>
    <row r="1128" spans="1:1" x14ac:dyDescent="0.2">
      <c r="A1128"/>
    </row>
    <row r="1129" spans="1:1" x14ac:dyDescent="0.2">
      <c r="A1129"/>
    </row>
    <row r="1130" spans="1:1" x14ac:dyDescent="0.2">
      <c r="A1130"/>
    </row>
    <row r="1131" spans="1:1" x14ac:dyDescent="0.2">
      <c r="A1131"/>
    </row>
    <row r="1132" spans="1:1" x14ac:dyDescent="0.2">
      <c r="A1132"/>
    </row>
    <row r="1133" spans="1:1" x14ac:dyDescent="0.2">
      <c r="A1133"/>
    </row>
    <row r="1134" spans="1:1" x14ac:dyDescent="0.2">
      <c r="A1134"/>
    </row>
    <row r="1135" spans="1:1" x14ac:dyDescent="0.2">
      <c r="A1135"/>
    </row>
    <row r="1136" spans="1:1" x14ac:dyDescent="0.2">
      <c r="A1136"/>
    </row>
    <row r="1137" spans="1:1" x14ac:dyDescent="0.2">
      <c r="A1137"/>
    </row>
    <row r="1138" spans="1:1" x14ac:dyDescent="0.2">
      <c r="A1138"/>
    </row>
    <row r="1139" spans="1:1" x14ac:dyDescent="0.2">
      <c r="A1139"/>
    </row>
    <row r="1140" spans="1:1" x14ac:dyDescent="0.2">
      <c r="A1140"/>
    </row>
    <row r="1141" spans="1:1" x14ac:dyDescent="0.2">
      <c r="A1141"/>
    </row>
    <row r="1142" spans="1:1" x14ac:dyDescent="0.2">
      <c r="A1142"/>
    </row>
    <row r="1143" spans="1:1" x14ac:dyDescent="0.2">
      <c r="A1143"/>
    </row>
    <row r="1144" spans="1:1" x14ac:dyDescent="0.2">
      <c r="A1144"/>
    </row>
    <row r="1145" spans="1:1" x14ac:dyDescent="0.2">
      <c r="A1145"/>
    </row>
    <row r="1146" spans="1:1" x14ac:dyDescent="0.2">
      <c r="A1146"/>
    </row>
    <row r="1147" spans="1:1" x14ac:dyDescent="0.2">
      <c r="A1147"/>
    </row>
    <row r="1148" spans="1:1" x14ac:dyDescent="0.2">
      <c r="A1148"/>
    </row>
    <row r="1149" spans="1:1" x14ac:dyDescent="0.2">
      <c r="A1149"/>
    </row>
    <row r="1150" spans="1:1" x14ac:dyDescent="0.2">
      <c r="A1150"/>
    </row>
    <row r="1151" spans="1:1" x14ac:dyDescent="0.2">
      <c r="A1151"/>
    </row>
    <row r="1152" spans="1:1" x14ac:dyDescent="0.2">
      <c r="A1152"/>
    </row>
    <row r="1153" spans="1:1" x14ac:dyDescent="0.2">
      <c r="A1153"/>
    </row>
    <row r="1154" spans="1:1" x14ac:dyDescent="0.2">
      <c r="A1154"/>
    </row>
    <row r="1155" spans="1:1" x14ac:dyDescent="0.2">
      <c r="A1155"/>
    </row>
    <row r="1156" spans="1:1" x14ac:dyDescent="0.2">
      <c r="A1156"/>
    </row>
    <row r="1157" spans="1:1" x14ac:dyDescent="0.2">
      <c r="A1157"/>
    </row>
    <row r="1158" spans="1:1" x14ac:dyDescent="0.2">
      <c r="A1158"/>
    </row>
    <row r="1159" spans="1:1" x14ac:dyDescent="0.2">
      <c r="A1159"/>
    </row>
    <row r="1160" spans="1:1" x14ac:dyDescent="0.2">
      <c r="A1160"/>
    </row>
    <row r="1161" spans="1:1" x14ac:dyDescent="0.2">
      <c r="A1161"/>
    </row>
    <row r="1162" spans="1:1" x14ac:dyDescent="0.2">
      <c r="A1162"/>
    </row>
    <row r="1163" spans="1:1" x14ac:dyDescent="0.2">
      <c r="A1163"/>
    </row>
    <row r="1164" spans="1:1" x14ac:dyDescent="0.2">
      <c r="A1164"/>
    </row>
    <row r="1165" spans="1:1" x14ac:dyDescent="0.2">
      <c r="A1165"/>
    </row>
    <row r="1166" spans="1:1" x14ac:dyDescent="0.2">
      <c r="A1166"/>
    </row>
    <row r="1167" spans="1:1" x14ac:dyDescent="0.2">
      <c r="A1167"/>
    </row>
    <row r="1168" spans="1:1" x14ac:dyDescent="0.2">
      <c r="A1168"/>
    </row>
    <row r="1169" spans="1:1" x14ac:dyDescent="0.2">
      <c r="A1169"/>
    </row>
    <row r="1170" spans="1:1" x14ac:dyDescent="0.2">
      <c r="A1170"/>
    </row>
    <row r="1171" spans="1:1" x14ac:dyDescent="0.2">
      <c r="A1171"/>
    </row>
    <row r="1172" spans="1:1" x14ac:dyDescent="0.2">
      <c r="A1172"/>
    </row>
    <row r="1173" spans="1:1" x14ac:dyDescent="0.2">
      <c r="A1173"/>
    </row>
    <row r="1174" spans="1:1" x14ac:dyDescent="0.2">
      <c r="A1174"/>
    </row>
    <row r="1175" spans="1:1" x14ac:dyDescent="0.2">
      <c r="A1175"/>
    </row>
    <row r="1176" spans="1:1" x14ac:dyDescent="0.2">
      <c r="A1176"/>
    </row>
    <row r="1177" spans="1:1" x14ac:dyDescent="0.2">
      <c r="A1177"/>
    </row>
    <row r="1178" spans="1:1" x14ac:dyDescent="0.2">
      <c r="A1178"/>
    </row>
    <row r="1179" spans="1:1" x14ac:dyDescent="0.2">
      <c r="A1179"/>
    </row>
    <row r="1180" spans="1:1" x14ac:dyDescent="0.2">
      <c r="A1180"/>
    </row>
    <row r="1181" spans="1:1" x14ac:dyDescent="0.2">
      <c r="A1181"/>
    </row>
    <row r="1182" spans="1:1" x14ac:dyDescent="0.2">
      <c r="A1182"/>
    </row>
    <row r="1183" spans="1:1" x14ac:dyDescent="0.2">
      <c r="A1183"/>
    </row>
    <row r="1184" spans="1:1" x14ac:dyDescent="0.2">
      <c r="A1184"/>
    </row>
    <row r="1185" spans="1:1" x14ac:dyDescent="0.2">
      <c r="A1185"/>
    </row>
    <row r="1186" spans="1:1" x14ac:dyDescent="0.2">
      <c r="A1186"/>
    </row>
    <row r="1187" spans="1:1" x14ac:dyDescent="0.2">
      <c r="A1187"/>
    </row>
    <row r="1188" spans="1:1" x14ac:dyDescent="0.2">
      <c r="A1188"/>
    </row>
    <row r="1189" spans="1:1" x14ac:dyDescent="0.2">
      <c r="A1189"/>
    </row>
    <row r="1190" spans="1:1" x14ac:dyDescent="0.2">
      <c r="A1190"/>
    </row>
    <row r="1191" spans="1:1" x14ac:dyDescent="0.2">
      <c r="A1191"/>
    </row>
    <row r="1192" spans="1:1" x14ac:dyDescent="0.2">
      <c r="A1192"/>
    </row>
    <row r="1193" spans="1:1" x14ac:dyDescent="0.2">
      <c r="A1193"/>
    </row>
    <row r="1194" spans="1:1" x14ac:dyDescent="0.2">
      <c r="A1194"/>
    </row>
    <row r="1195" spans="1:1" x14ac:dyDescent="0.2">
      <c r="A1195"/>
    </row>
    <row r="1196" spans="1:1" x14ac:dyDescent="0.2">
      <c r="A1196" s="92"/>
    </row>
    <row r="1197" spans="1:1" x14ac:dyDescent="0.2">
      <c r="A1197"/>
    </row>
    <row r="1198" spans="1:1" x14ac:dyDescent="0.2">
      <c r="A1198"/>
    </row>
    <row r="1200" spans="1:1" x14ac:dyDescent="0.2">
      <c r="A1200" s="93"/>
    </row>
    <row r="1202" spans="1:1" x14ac:dyDescent="0.2">
      <c r="A1202" s="93"/>
    </row>
    <row r="1203" spans="1:1" x14ac:dyDescent="0.2">
      <c r="A1203" s="93"/>
    </row>
    <row r="1204" spans="1:1" x14ac:dyDescent="0.2">
      <c r="A1204" s="93"/>
    </row>
    <row r="1205" spans="1:1" x14ac:dyDescent="0.2">
      <c r="A1205" s="93"/>
    </row>
    <row r="1211" spans="1:1" x14ac:dyDescent="0.2">
      <c r="A1211" s="93"/>
    </row>
    <row r="1212" spans="1:1" x14ac:dyDescent="0.2">
      <c r="A1212" s="93"/>
    </row>
    <row r="1214" spans="1:1" x14ac:dyDescent="0.2">
      <c r="A1214" s="93"/>
    </row>
    <row r="1215" spans="1:1" x14ac:dyDescent="0.2">
      <c r="A1215" s="93"/>
    </row>
    <row r="1219" spans="1:1" x14ac:dyDescent="0.2">
      <c r="A1219" s="93"/>
    </row>
    <row r="1220" spans="1:1" x14ac:dyDescent="0.2">
      <c r="A1220" s="93"/>
    </row>
    <row r="1224" spans="1:1" x14ac:dyDescent="0.2">
      <c r="A1224" s="93"/>
    </row>
    <row r="1225" spans="1:1" x14ac:dyDescent="0.2">
      <c r="A1225"/>
    </row>
    <row r="1226" spans="1:1" x14ac:dyDescent="0.2">
      <c r="A1226"/>
    </row>
    <row r="1227" spans="1:1" x14ac:dyDescent="0.2">
      <c r="A1227" s="94"/>
    </row>
    <row r="1228" spans="1:1" x14ac:dyDescent="0.2">
      <c r="A1228"/>
    </row>
    <row r="1229" spans="1:1" x14ac:dyDescent="0.2">
      <c r="A1229" s="94"/>
    </row>
    <row r="1230" spans="1:1" x14ac:dyDescent="0.2">
      <c r="A1230"/>
    </row>
    <row r="1231" spans="1:1" x14ac:dyDescent="0.2">
      <c r="A1231"/>
    </row>
    <row r="1232" spans="1:1" x14ac:dyDescent="0.2">
      <c r="A1232" s="94"/>
    </row>
    <row r="1233" spans="1:1" x14ac:dyDescent="0.2">
      <c r="A1233"/>
    </row>
    <row r="1234" spans="1:1" x14ac:dyDescent="0.2">
      <c r="A1234"/>
    </row>
    <row r="1235" spans="1:1" x14ac:dyDescent="0.2">
      <c r="A1235"/>
    </row>
    <row r="1236" spans="1:1" x14ac:dyDescent="0.2">
      <c r="A1236"/>
    </row>
    <row r="1237" spans="1:1" x14ac:dyDescent="0.2">
      <c r="A1237" s="94"/>
    </row>
    <row r="1238" spans="1:1" x14ac:dyDescent="0.2">
      <c r="A1238"/>
    </row>
    <row r="1239" spans="1:1" x14ac:dyDescent="0.2">
      <c r="A1239"/>
    </row>
    <row r="1240" spans="1:1" x14ac:dyDescent="0.2">
      <c r="A1240"/>
    </row>
    <row r="1241" spans="1:1" x14ac:dyDescent="0.2">
      <c r="A1241"/>
    </row>
    <row r="1242" spans="1:1" x14ac:dyDescent="0.2">
      <c r="A1242"/>
    </row>
    <row r="1243" spans="1:1" x14ac:dyDescent="0.2">
      <c r="A1243" s="94"/>
    </row>
    <row r="1244" spans="1:1" x14ac:dyDescent="0.2">
      <c r="A1244"/>
    </row>
    <row r="1245" spans="1:1" x14ac:dyDescent="0.2">
      <c r="A1245"/>
    </row>
    <row r="1246" spans="1:1" x14ac:dyDescent="0.2">
      <c r="A1246"/>
    </row>
    <row r="1247" spans="1:1" x14ac:dyDescent="0.2">
      <c r="A1247"/>
    </row>
    <row r="1248" spans="1:1" x14ac:dyDescent="0.2">
      <c r="A1248"/>
    </row>
    <row r="1249" spans="1:1" x14ac:dyDescent="0.2">
      <c r="A1249"/>
    </row>
    <row r="1250" spans="1:1" x14ac:dyDescent="0.2">
      <c r="A1250"/>
    </row>
    <row r="1251" spans="1:1" x14ac:dyDescent="0.2">
      <c r="A1251" s="94"/>
    </row>
    <row r="1252" spans="1:1" x14ac:dyDescent="0.2">
      <c r="A1252"/>
    </row>
    <row r="1253" spans="1:1" x14ac:dyDescent="0.2">
      <c r="A1253"/>
    </row>
    <row r="1254" spans="1:1" x14ac:dyDescent="0.2">
      <c r="A1254"/>
    </row>
    <row r="1255" spans="1:1" x14ac:dyDescent="0.2">
      <c r="A1255"/>
    </row>
    <row r="1256" spans="1:1" x14ac:dyDescent="0.2">
      <c r="A1256"/>
    </row>
    <row r="1257" spans="1:1" x14ac:dyDescent="0.2">
      <c r="A1257"/>
    </row>
    <row r="1258" spans="1:1" x14ac:dyDescent="0.2">
      <c r="A1258"/>
    </row>
    <row r="1259" spans="1:1" x14ac:dyDescent="0.2">
      <c r="A1259"/>
    </row>
    <row r="1260" spans="1:1" x14ac:dyDescent="0.2">
      <c r="A1260" s="94"/>
    </row>
    <row r="1261" spans="1:1" x14ac:dyDescent="0.2">
      <c r="A1261"/>
    </row>
    <row r="1262" spans="1:1" x14ac:dyDescent="0.2">
      <c r="A1262"/>
    </row>
    <row r="1263" spans="1:1" x14ac:dyDescent="0.2">
      <c r="A1263"/>
    </row>
    <row r="1264" spans="1:1" x14ac:dyDescent="0.2">
      <c r="A1264"/>
    </row>
    <row r="1265" spans="1:1" x14ac:dyDescent="0.2">
      <c r="A1265"/>
    </row>
    <row r="1266" spans="1:1" x14ac:dyDescent="0.2">
      <c r="A1266"/>
    </row>
    <row r="1267" spans="1:1" x14ac:dyDescent="0.2">
      <c r="A1267"/>
    </row>
    <row r="1268" spans="1:1" x14ac:dyDescent="0.2">
      <c r="A1268"/>
    </row>
    <row r="1269" spans="1:1" x14ac:dyDescent="0.2">
      <c r="A1269"/>
    </row>
    <row r="1270" spans="1:1" x14ac:dyDescent="0.2">
      <c r="A1270"/>
    </row>
    <row r="1271" spans="1:1" x14ac:dyDescent="0.2">
      <c r="A1271"/>
    </row>
    <row r="1272" spans="1:1" x14ac:dyDescent="0.2">
      <c r="A1272"/>
    </row>
    <row r="1273" spans="1:1" x14ac:dyDescent="0.2">
      <c r="A1273"/>
    </row>
    <row r="1274" spans="1:1" x14ac:dyDescent="0.2">
      <c r="A1274"/>
    </row>
    <row r="1275" spans="1:1" x14ac:dyDescent="0.2">
      <c r="A1275"/>
    </row>
    <row r="1276" spans="1:1" x14ac:dyDescent="0.2">
      <c r="A1276"/>
    </row>
    <row r="1277" spans="1:1" x14ac:dyDescent="0.2">
      <c r="A1277" s="94"/>
    </row>
    <row r="1278" spans="1:1" x14ac:dyDescent="0.2">
      <c r="A1278"/>
    </row>
    <row r="1279" spans="1:1" x14ac:dyDescent="0.2">
      <c r="A1279"/>
    </row>
    <row r="1280" spans="1:1" x14ac:dyDescent="0.2">
      <c r="A1280"/>
    </row>
    <row r="1281" spans="1:1" x14ac:dyDescent="0.2">
      <c r="A1281"/>
    </row>
    <row r="1282" spans="1:1" x14ac:dyDescent="0.2">
      <c r="A1282"/>
    </row>
    <row r="1283" spans="1:1" x14ac:dyDescent="0.2">
      <c r="A1283"/>
    </row>
    <row r="1284" spans="1:1" x14ac:dyDescent="0.2">
      <c r="A1284"/>
    </row>
    <row r="1285" spans="1:1" x14ac:dyDescent="0.2">
      <c r="A1285"/>
    </row>
    <row r="1286" spans="1:1" x14ac:dyDescent="0.2">
      <c r="A1286"/>
    </row>
    <row r="1287" spans="1:1" x14ac:dyDescent="0.2">
      <c r="A1287"/>
    </row>
    <row r="1288" spans="1:1" x14ac:dyDescent="0.2">
      <c r="A1288"/>
    </row>
    <row r="1289" spans="1:1" x14ac:dyDescent="0.2">
      <c r="A1289"/>
    </row>
    <row r="1290" spans="1:1" x14ac:dyDescent="0.2">
      <c r="A1290" s="94"/>
    </row>
    <row r="1291" spans="1:1" x14ac:dyDescent="0.2">
      <c r="A1291"/>
    </row>
    <row r="1292" spans="1:1" x14ac:dyDescent="0.2">
      <c r="A1292"/>
    </row>
    <row r="1293" spans="1:1" x14ac:dyDescent="0.2">
      <c r="A1293"/>
    </row>
    <row r="1294" spans="1:1" x14ac:dyDescent="0.2">
      <c r="A1294"/>
    </row>
    <row r="1295" spans="1:1" x14ac:dyDescent="0.2">
      <c r="A1295"/>
    </row>
    <row r="1296" spans="1:1" x14ac:dyDescent="0.2">
      <c r="A1296"/>
    </row>
    <row r="1297" spans="1:1" x14ac:dyDescent="0.2">
      <c r="A1297"/>
    </row>
    <row r="1298" spans="1:1" x14ac:dyDescent="0.2">
      <c r="A1298"/>
    </row>
    <row r="1299" spans="1:1" x14ac:dyDescent="0.2">
      <c r="A1299"/>
    </row>
    <row r="1300" spans="1:1" x14ac:dyDescent="0.2">
      <c r="A1300"/>
    </row>
    <row r="1301" spans="1:1" x14ac:dyDescent="0.2">
      <c r="A1301"/>
    </row>
    <row r="1302" spans="1:1" x14ac:dyDescent="0.2">
      <c r="A1302"/>
    </row>
    <row r="1303" spans="1:1" x14ac:dyDescent="0.2">
      <c r="A1303"/>
    </row>
    <row r="1304" spans="1:1" x14ac:dyDescent="0.2">
      <c r="A1304"/>
    </row>
    <row r="1305" spans="1:1" x14ac:dyDescent="0.2">
      <c r="A1305"/>
    </row>
    <row r="1306" spans="1:1" x14ac:dyDescent="0.2">
      <c r="A1306"/>
    </row>
    <row r="1307" spans="1:1" x14ac:dyDescent="0.2">
      <c r="A1307"/>
    </row>
    <row r="1308" spans="1:1" x14ac:dyDescent="0.2">
      <c r="A1308" s="94"/>
    </row>
    <row r="1309" spans="1:1" x14ac:dyDescent="0.2">
      <c r="A1309"/>
    </row>
    <row r="1310" spans="1:1" x14ac:dyDescent="0.2">
      <c r="A1310"/>
    </row>
    <row r="1311" spans="1:1" x14ac:dyDescent="0.2">
      <c r="A1311"/>
    </row>
    <row r="1312" spans="1:1" x14ac:dyDescent="0.2">
      <c r="A1312"/>
    </row>
    <row r="1313" spans="1:1" x14ac:dyDescent="0.2">
      <c r="A1313"/>
    </row>
    <row r="1314" spans="1:1" x14ac:dyDescent="0.2">
      <c r="A1314"/>
    </row>
    <row r="1315" spans="1:1" x14ac:dyDescent="0.2">
      <c r="A1315"/>
    </row>
    <row r="1316" spans="1:1" x14ac:dyDescent="0.2">
      <c r="A1316"/>
    </row>
    <row r="1317" spans="1:1" x14ac:dyDescent="0.2">
      <c r="A1317"/>
    </row>
    <row r="1318" spans="1:1" x14ac:dyDescent="0.2">
      <c r="A1318"/>
    </row>
    <row r="1319" spans="1:1" x14ac:dyDescent="0.2">
      <c r="A1319"/>
    </row>
    <row r="1320" spans="1:1" x14ac:dyDescent="0.2">
      <c r="A1320"/>
    </row>
    <row r="1321" spans="1:1" x14ac:dyDescent="0.2">
      <c r="A1321"/>
    </row>
    <row r="1322" spans="1:1" x14ac:dyDescent="0.2">
      <c r="A1322"/>
    </row>
    <row r="1323" spans="1:1" x14ac:dyDescent="0.2">
      <c r="A1323"/>
    </row>
    <row r="1324" spans="1:1" x14ac:dyDescent="0.2">
      <c r="A1324"/>
    </row>
    <row r="1325" spans="1:1" x14ac:dyDescent="0.2">
      <c r="A1325"/>
    </row>
    <row r="1326" spans="1:1" x14ac:dyDescent="0.2">
      <c r="A1326"/>
    </row>
    <row r="1327" spans="1:1" x14ac:dyDescent="0.2">
      <c r="A1327"/>
    </row>
    <row r="1328" spans="1:1" x14ac:dyDescent="0.2">
      <c r="A1328"/>
    </row>
    <row r="1329" spans="1:1" x14ac:dyDescent="0.2">
      <c r="A1329"/>
    </row>
    <row r="1330" spans="1:1" x14ac:dyDescent="0.2">
      <c r="A1330"/>
    </row>
    <row r="1331" spans="1:1" x14ac:dyDescent="0.2">
      <c r="A1331"/>
    </row>
    <row r="1332" spans="1:1" x14ac:dyDescent="0.2">
      <c r="A1332"/>
    </row>
    <row r="1333" spans="1:1" x14ac:dyDescent="0.2">
      <c r="A1333"/>
    </row>
    <row r="1334" spans="1:1" x14ac:dyDescent="0.2">
      <c r="A1334"/>
    </row>
    <row r="1335" spans="1:1" x14ac:dyDescent="0.2">
      <c r="A1335"/>
    </row>
    <row r="1336" spans="1:1" x14ac:dyDescent="0.2">
      <c r="A1336"/>
    </row>
    <row r="1337" spans="1:1" x14ac:dyDescent="0.2">
      <c r="A1337"/>
    </row>
    <row r="1338" spans="1:1" x14ac:dyDescent="0.2">
      <c r="A1338"/>
    </row>
    <row r="1339" spans="1:1" x14ac:dyDescent="0.2">
      <c r="A1339"/>
    </row>
    <row r="1340" spans="1:1" x14ac:dyDescent="0.2">
      <c r="A1340"/>
    </row>
    <row r="1341" spans="1:1" x14ac:dyDescent="0.2">
      <c r="A1341"/>
    </row>
    <row r="1342" spans="1:1" x14ac:dyDescent="0.2">
      <c r="A1342"/>
    </row>
    <row r="1343" spans="1:1" x14ac:dyDescent="0.2">
      <c r="A1343"/>
    </row>
    <row r="1344" spans="1:1" x14ac:dyDescent="0.2">
      <c r="A1344"/>
    </row>
    <row r="1345" spans="1:1" x14ac:dyDescent="0.2">
      <c r="A1345"/>
    </row>
    <row r="1346" spans="1:1" x14ac:dyDescent="0.2">
      <c r="A1346"/>
    </row>
    <row r="1347" spans="1:1" x14ac:dyDescent="0.2">
      <c r="A1347"/>
    </row>
    <row r="1348" spans="1:1" x14ac:dyDescent="0.2">
      <c r="A1348"/>
    </row>
    <row r="1349" spans="1:1" x14ac:dyDescent="0.2">
      <c r="A1349"/>
    </row>
    <row r="1350" spans="1:1" x14ac:dyDescent="0.2">
      <c r="A1350"/>
    </row>
    <row r="1351" spans="1:1" x14ac:dyDescent="0.2">
      <c r="A1351"/>
    </row>
    <row r="1352" spans="1:1" x14ac:dyDescent="0.2">
      <c r="A1352"/>
    </row>
    <row r="1353" spans="1:1" x14ac:dyDescent="0.2">
      <c r="A1353"/>
    </row>
    <row r="1354" spans="1:1" x14ac:dyDescent="0.2">
      <c r="A1354"/>
    </row>
    <row r="1355" spans="1:1" x14ac:dyDescent="0.2">
      <c r="A1355"/>
    </row>
    <row r="1356" spans="1:1" x14ac:dyDescent="0.2">
      <c r="A1356"/>
    </row>
    <row r="1357" spans="1:1" x14ac:dyDescent="0.2">
      <c r="A1357"/>
    </row>
    <row r="1358" spans="1:1" x14ac:dyDescent="0.2">
      <c r="A1358"/>
    </row>
    <row r="1359" spans="1:1" x14ac:dyDescent="0.2">
      <c r="A1359"/>
    </row>
    <row r="1360" spans="1:1" x14ac:dyDescent="0.2">
      <c r="A1360"/>
    </row>
    <row r="1361" spans="1:9" x14ac:dyDescent="0.2">
      <c r="A1361"/>
    </row>
    <row r="1362" spans="1:9" x14ac:dyDescent="0.2">
      <c r="A1362" s="94"/>
    </row>
    <row r="1363" spans="1:9" x14ac:dyDescent="0.2">
      <c r="A1363"/>
    </row>
    <row r="1364" spans="1:9" x14ac:dyDescent="0.2">
      <c r="A1364"/>
    </row>
    <row r="1365" spans="1:9" x14ac:dyDescent="0.2">
      <c r="A1365"/>
    </row>
    <row r="1366" spans="1:9" x14ac:dyDescent="0.2">
      <c r="A1366"/>
    </row>
    <row r="1367" spans="1:9" x14ac:dyDescent="0.2">
      <c r="A1367"/>
    </row>
    <row r="1368" spans="1:9" x14ac:dyDescent="0.2">
      <c r="A1368"/>
    </row>
    <row r="1369" spans="1:9" x14ac:dyDescent="0.2">
      <c r="A1369"/>
    </row>
    <row r="1370" spans="1:9" x14ac:dyDescent="0.2">
      <c r="A1370"/>
    </row>
    <row r="1371" spans="1:9" x14ac:dyDescent="0.2">
      <c r="A1371"/>
    </row>
    <row r="1372" spans="1:9" x14ac:dyDescent="0.2">
      <c r="A1372"/>
    </row>
    <row r="1373" spans="1:9" x14ac:dyDescent="0.2">
      <c r="A1373"/>
    </row>
    <row r="1374" spans="1:9" x14ac:dyDescent="0.2">
      <c r="A1374"/>
      <c r="B1374" s="57"/>
      <c r="D1374" s="5"/>
      <c r="E1374" s="5"/>
      <c r="F1374" s="5"/>
      <c r="G1374" s="5"/>
      <c r="H1374" s="5"/>
      <c r="I1374" s="5"/>
    </row>
    <row r="1375" spans="1:9" x14ac:dyDescent="0.2">
      <c r="A1375"/>
      <c r="B1375" s="57"/>
      <c r="D1375" s="5"/>
      <c r="E1375" s="5"/>
      <c r="F1375" s="5"/>
      <c r="G1375" s="5"/>
      <c r="H1375" s="5"/>
      <c r="I1375" s="5"/>
    </row>
    <row r="1376" spans="1:9" x14ac:dyDescent="0.2">
      <c r="A1376"/>
    </row>
    <row r="1377" spans="1:9" x14ac:dyDescent="0.2">
      <c r="A1377"/>
      <c r="B1377" s="57"/>
    </row>
    <row r="1378" spans="1:9" x14ac:dyDescent="0.2">
      <c r="A1378"/>
    </row>
    <row r="1379" spans="1:9" x14ac:dyDescent="0.2">
      <c r="A1379"/>
      <c r="B1379" s="57"/>
      <c r="D1379" s="5"/>
      <c r="E1379" s="5"/>
      <c r="F1379" s="5"/>
      <c r="G1379" s="5"/>
      <c r="H1379" s="5"/>
      <c r="I1379" s="5"/>
    </row>
    <row r="1380" spans="1:9" x14ac:dyDescent="0.2">
      <c r="A1380"/>
      <c r="B1380" s="57"/>
      <c r="D1380" s="5"/>
      <c r="E1380" s="5"/>
      <c r="F1380" s="5"/>
      <c r="G1380" s="5"/>
      <c r="H1380" s="5"/>
      <c r="I1380" s="5"/>
    </row>
    <row r="1381" spans="1:9" x14ac:dyDescent="0.2">
      <c r="A1381"/>
      <c r="B1381" s="57"/>
    </row>
    <row r="1382" spans="1:9" x14ac:dyDescent="0.2">
      <c r="A1382"/>
      <c r="B1382" s="57"/>
    </row>
    <row r="1383" spans="1:9" x14ac:dyDescent="0.2">
      <c r="A1383"/>
      <c r="B1383" s="57"/>
      <c r="D1383" s="5"/>
      <c r="E1383" s="5"/>
      <c r="F1383" s="5"/>
      <c r="G1383" s="5"/>
      <c r="H1383" s="5"/>
      <c r="I1383" s="5"/>
    </row>
    <row r="1384" spans="1:9" x14ac:dyDescent="0.2">
      <c r="A1384"/>
      <c r="B1384" s="57"/>
    </row>
    <row r="1385" spans="1:9" x14ac:dyDescent="0.2">
      <c r="A1385"/>
      <c r="B1385" s="57"/>
    </row>
    <row r="1386" spans="1:9" x14ac:dyDescent="0.2">
      <c r="A1386"/>
      <c r="B1386" s="57"/>
      <c r="D1386" s="5"/>
      <c r="E1386" s="5"/>
      <c r="F1386" s="5"/>
      <c r="G1386" s="5"/>
      <c r="H1386" s="5"/>
      <c r="I1386" s="5"/>
    </row>
    <row r="1387" spans="1:9" x14ac:dyDescent="0.2">
      <c r="A1387"/>
      <c r="B1387" s="57"/>
      <c r="D1387" s="5"/>
      <c r="E1387" s="5"/>
      <c r="F1387" s="5"/>
      <c r="G1387" s="5"/>
      <c r="H1387" s="5"/>
      <c r="I1387" s="5"/>
    </row>
    <row r="1388" spans="1:9" x14ac:dyDescent="0.2">
      <c r="A1388"/>
      <c r="B1388" s="57"/>
    </row>
    <row r="1389" spans="1:9" x14ac:dyDescent="0.2">
      <c r="A1389"/>
      <c r="B1389" s="57"/>
      <c r="D1389" s="5"/>
      <c r="E1389" s="5"/>
      <c r="F1389" s="5"/>
      <c r="G1389" s="5"/>
      <c r="H1389" s="5"/>
      <c r="I1389" s="5"/>
    </row>
    <row r="1390" spans="1:9" x14ac:dyDescent="0.2">
      <c r="A1390"/>
      <c r="B1390" s="57"/>
      <c r="D1390" s="5"/>
      <c r="E1390" s="5"/>
      <c r="F1390" s="5"/>
      <c r="G1390" s="5"/>
      <c r="H1390" s="5"/>
      <c r="I1390" s="5"/>
    </row>
    <row r="1391" spans="1:9" x14ac:dyDescent="0.2">
      <c r="A1391"/>
      <c r="B1391" s="57"/>
      <c r="D1391" s="5"/>
      <c r="E1391" s="5"/>
      <c r="F1391" s="5"/>
      <c r="G1391" s="5"/>
      <c r="H1391" s="5"/>
      <c r="I1391" s="5"/>
    </row>
    <row r="1392" spans="1:9" x14ac:dyDescent="0.2">
      <c r="A1392"/>
      <c r="B1392" s="57"/>
      <c r="D1392" s="5"/>
      <c r="E1392" s="5"/>
      <c r="F1392" s="5"/>
      <c r="G1392" s="5"/>
      <c r="H1392" s="5"/>
      <c r="I1392" s="5"/>
    </row>
    <row r="1393" spans="1:9" x14ac:dyDescent="0.2">
      <c r="A1393"/>
      <c r="B1393" s="57"/>
      <c r="D1393" s="5"/>
      <c r="E1393" s="5"/>
      <c r="F1393" s="5"/>
      <c r="G1393" s="5"/>
      <c r="H1393" s="5"/>
      <c r="I1393" s="5"/>
    </row>
    <row r="1394" spans="1:9" x14ac:dyDescent="0.2">
      <c r="A1394"/>
      <c r="B1394" s="57"/>
      <c r="D1394" s="5"/>
      <c r="E1394" s="5"/>
      <c r="F1394" s="5"/>
      <c r="G1394" s="5"/>
      <c r="H1394" s="5"/>
      <c r="I1394" s="5"/>
    </row>
    <row r="1395" spans="1:9" x14ac:dyDescent="0.2">
      <c r="A1395"/>
      <c r="B1395" s="57"/>
      <c r="D1395" s="5"/>
      <c r="E1395" s="5"/>
      <c r="F1395" s="5"/>
      <c r="G1395" s="5"/>
      <c r="H1395" s="5"/>
      <c r="I1395" s="5"/>
    </row>
    <row r="1396" spans="1:9" x14ac:dyDescent="0.2">
      <c r="A1396"/>
      <c r="B1396" s="57"/>
      <c r="D1396" s="5"/>
      <c r="E1396" s="5"/>
      <c r="F1396" s="5"/>
      <c r="G1396" s="5"/>
      <c r="H1396" s="5"/>
      <c r="I1396" s="5"/>
    </row>
    <row r="1397" spans="1:9" x14ac:dyDescent="0.2">
      <c r="A1397"/>
      <c r="B1397" s="57"/>
      <c r="D1397" s="5"/>
      <c r="E1397" s="5"/>
      <c r="F1397" s="5"/>
      <c r="G1397" s="5"/>
      <c r="H1397" s="5"/>
      <c r="I1397" s="5"/>
    </row>
    <row r="1398" spans="1:9" x14ac:dyDescent="0.2">
      <c r="A1398"/>
      <c r="B1398" s="57"/>
      <c r="D1398" s="5"/>
      <c r="E1398" s="5"/>
      <c r="F1398" s="5"/>
      <c r="G1398" s="5"/>
      <c r="H1398" s="5"/>
      <c r="I1398" s="5"/>
    </row>
    <row r="1399" spans="1:9" x14ac:dyDescent="0.2">
      <c r="A1399"/>
      <c r="B1399" s="57"/>
      <c r="D1399" s="5"/>
      <c r="E1399" s="5"/>
      <c r="F1399" s="5"/>
      <c r="G1399" s="5"/>
      <c r="H1399" s="5"/>
      <c r="I1399" s="5"/>
    </row>
    <row r="1400" spans="1:9" x14ac:dyDescent="0.2">
      <c r="A1400"/>
      <c r="B1400" s="57"/>
      <c r="D1400" s="5"/>
      <c r="E1400" s="5"/>
      <c r="F1400" s="5"/>
      <c r="G1400" s="5"/>
      <c r="H1400" s="5"/>
      <c r="I1400" s="5"/>
    </row>
    <row r="1401" spans="1:9" x14ac:dyDescent="0.2">
      <c r="A1401"/>
      <c r="B1401" s="57"/>
      <c r="D1401" s="5"/>
      <c r="E1401" s="5"/>
      <c r="F1401" s="5"/>
      <c r="G1401" s="5"/>
      <c r="H1401" s="5"/>
      <c r="I1401" s="5"/>
    </row>
    <row r="1402" spans="1:9" x14ac:dyDescent="0.2">
      <c r="A1402"/>
      <c r="B1402" s="57"/>
      <c r="D1402" s="5"/>
      <c r="E1402" s="5"/>
      <c r="F1402" s="5"/>
      <c r="G1402" s="5"/>
      <c r="H1402" s="5"/>
      <c r="I1402" s="5"/>
    </row>
    <row r="1403" spans="1:9" x14ac:dyDescent="0.2">
      <c r="A1403"/>
      <c r="B1403" s="57"/>
      <c r="D1403" s="5"/>
      <c r="E1403" s="5"/>
      <c r="F1403" s="5"/>
      <c r="G1403" s="5"/>
      <c r="H1403" s="5"/>
      <c r="I1403" s="5"/>
    </row>
    <row r="1404" spans="1:9" x14ac:dyDescent="0.2">
      <c r="A1404"/>
      <c r="B1404" s="57"/>
      <c r="D1404" s="5"/>
      <c r="E1404" s="5"/>
      <c r="F1404" s="5"/>
      <c r="G1404" s="5"/>
      <c r="H1404" s="5"/>
      <c r="I1404" s="5"/>
    </row>
    <row r="1405" spans="1:9" x14ac:dyDescent="0.2">
      <c r="A1405"/>
      <c r="B1405" s="57"/>
      <c r="D1405" s="5"/>
      <c r="E1405" s="5"/>
      <c r="F1405" s="5"/>
      <c r="G1405" s="5"/>
      <c r="H1405" s="5"/>
      <c r="I1405" s="5"/>
    </row>
    <row r="1406" spans="1:9" x14ac:dyDescent="0.2">
      <c r="A1406"/>
      <c r="B1406" s="57"/>
      <c r="D1406" s="5"/>
      <c r="E1406" s="5"/>
      <c r="F1406" s="5"/>
      <c r="G1406" s="5"/>
      <c r="H1406" s="5"/>
      <c r="I1406" s="5"/>
    </row>
    <row r="1407" spans="1:9" x14ac:dyDescent="0.2">
      <c r="A1407"/>
      <c r="B1407" s="57"/>
      <c r="D1407" s="5"/>
      <c r="E1407" s="5"/>
      <c r="F1407" s="5"/>
      <c r="G1407" s="5"/>
      <c r="H1407" s="5"/>
      <c r="I1407" s="5"/>
    </row>
    <row r="1408" spans="1:9" x14ac:dyDescent="0.2">
      <c r="A1408"/>
      <c r="B1408" s="57"/>
      <c r="D1408" s="5"/>
      <c r="E1408" s="5"/>
      <c r="F1408" s="5"/>
      <c r="G1408" s="5"/>
      <c r="H1408" s="5"/>
      <c r="I1408" s="5"/>
    </row>
    <row r="1409" spans="1:9" x14ac:dyDescent="0.2">
      <c r="A1409"/>
      <c r="B1409" s="57"/>
      <c r="D1409" s="5"/>
      <c r="E1409" s="5"/>
      <c r="F1409" s="5"/>
      <c r="G1409" s="5"/>
      <c r="H1409" s="5"/>
      <c r="I1409" s="5"/>
    </row>
    <row r="1410" spans="1:9" x14ac:dyDescent="0.2">
      <c r="A1410"/>
      <c r="B1410" s="57"/>
      <c r="D1410" s="5"/>
      <c r="E1410" s="5"/>
      <c r="F1410" s="5"/>
      <c r="G1410" s="5"/>
      <c r="H1410" s="5"/>
      <c r="I1410" s="5"/>
    </row>
    <row r="1411" spans="1:9" x14ac:dyDescent="0.2">
      <c r="A1411"/>
      <c r="B1411" s="57"/>
      <c r="D1411" s="5"/>
      <c r="E1411" s="5"/>
      <c r="F1411" s="5"/>
      <c r="G1411" s="5"/>
      <c r="H1411" s="5"/>
      <c r="I1411" s="5"/>
    </row>
    <row r="1412" spans="1:9" x14ac:dyDescent="0.2">
      <c r="A1412"/>
      <c r="B1412" s="57"/>
      <c r="D1412" s="5"/>
      <c r="E1412" s="5"/>
      <c r="F1412" s="5"/>
      <c r="G1412" s="5"/>
      <c r="H1412" s="5"/>
      <c r="I1412" s="5"/>
    </row>
    <row r="1413" spans="1:9" x14ac:dyDescent="0.2">
      <c r="A1413"/>
      <c r="B1413" s="57"/>
      <c r="D1413" s="5"/>
      <c r="E1413" s="5"/>
      <c r="F1413" s="5"/>
      <c r="G1413" s="5"/>
      <c r="H1413" s="5"/>
      <c r="I1413" s="5"/>
    </row>
    <row r="1414" spans="1:9" x14ac:dyDescent="0.2">
      <c r="A1414"/>
      <c r="B1414" s="57"/>
      <c r="D1414" s="5"/>
      <c r="E1414" s="5"/>
      <c r="F1414" s="5"/>
      <c r="G1414" s="5"/>
      <c r="H1414" s="5"/>
      <c r="I1414" s="5"/>
    </row>
    <row r="1415" spans="1:9" x14ac:dyDescent="0.2">
      <c r="A1415"/>
      <c r="B1415" s="57"/>
      <c r="D1415" s="5"/>
      <c r="E1415" s="5"/>
      <c r="F1415" s="5"/>
      <c r="G1415" s="5"/>
      <c r="H1415" s="5"/>
      <c r="I1415" s="5"/>
    </row>
    <row r="1416" spans="1:9" x14ac:dyDescent="0.2">
      <c r="A1416"/>
      <c r="B1416" s="57"/>
      <c r="D1416" s="5"/>
      <c r="E1416" s="5"/>
      <c r="F1416" s="5"/>
      <c r="G1416" s="5"/>
      <c r="H1416" s="5"/>
      <c r="I1416" s="5"/>
    </row>
    <row r="1417" spans="1:9" x14ac:dyDescent="0.2">
      <c r="A1417"/>
      <c r="B1417" s="57"/>
      <c r="D1417" s="5"/>
      <c r="E1417" s="5"/>
      <c r="F1417" s="5"/>
      <c r="G1417" s="5"/>
      <c r="H1417" s="5"/>
      <c r="I1417" s="5"/>
    </row>
    <row r="1418" spans="1:9" x14ac:dyDescent="0.2">
      <c r="A1418"/>
      <c r="B1418" s="57"/>
      <c r="D1418" s="5"/>
      <c r="E1418" s="5"/>
      <c r="F1418" s="5"/>
      <c r="G1418" s="5"/>
      <c r="H1418" s="5"/>
      <c r="I1418" s="5"/>
    </row>
    <row r="1419" spans="1:9" x14ac:dyDescent="0.2">
      <c r="A1419"/>
      <c r="B1419" s="57"/>
      <c r="D1419" s="5"/>
      <c r="E1419" s="5"/>
      <c r="F1419" s="5"/>
      <c r="G1419" s="5"/>
      <c r="H1419" s="5"/>
      <c r="I1419" s="5"/>
    </row>
    <row r="1420" spans="1:9" x14ac:dyDescent="0.2">
      <c r="A1420"/>
      <c r="B1420" s="57"/>
      <c r="D1420" s="5"/>
      <c r="E1420" s="5"/>
      <c r="F1420" s="5"/>
      <c r="G1420" s="5"/>
      <c r="H1420" s="5"/>
      <c r="I1420" s="5"/>
    </row>
    <row r="1421" spans="1:9" x14ac:dyDescent="0.2">
      <c r="A1421"/>
      <c r="B1421" s="57"/>
      <c r="D1421" s="5"/>
      <c r="E1421" s="5"/>
      <c r="F1421" s="5"/>
      <c r="G1421" s="5"/>
      <c r="H1421" s="5"/>
      <c r="I1421" s="5"/>
    </row>
    <row r="1422" spans="1:9" x14ac:dyDescent="0.2">
      <c r="A1422"/>
      <c r="B1422" s="57"/>
      <c r="D1422" s="5"/>
      <c r="E1422" s="5"/>
      <c r="F1422" s="5"/>
      <c r="G1422" s="5"/>
      <c r="H1422" s="5"/>
      <c r="I1422" s="5"/>
    </row>
    <row r="1423" spans="1:9" x14ac:dyDescent="0.2">
      <c r="A1423"/>
      <c r="B1423" s="57"/>
    </row>
    <row r="1424" spans="1:9" x14ac:dyDescent="0.2">
      <c r="A1424"/>
      <c r="B1424" s="57"/>
    </row>
    <row r="1425" spans="1:2" x14ac:dyDescent="0.2">
      <c r="A1425"/>
      <c r="B1425" s="57"/>
    </row>
    <row r="1426" spans="1:2" x14ac:dyDescent="0.2">
      <c r="A1426"/>
      <c r="B1426" s="57"/>
    </row>
    <row r="1427" spans="1:2" x14ac:dyDescent="0.2">
      <c r="A1427"/>
      <c r="B1427" s="57"/>
    </row>
    <row r="1428" spans="1:2" x14ac:dyDescent="0.2">
      <c r="A1428"/>
      <c r="B1428" s="57"/>
    </row>
    <row r="1429" spans="1:2" x14ac:dyDescent="0.2">
      <c r="A1429"/>
      <c r="B1429" s="57"/>
    </row>
    <row r="1430" spans="1:2" x14ac:dyDescent="0.2">
      <c r="A1430"/>
      <c r="B1430" s="57"/>
    </row>
    <row r="1431" spans="1:2" x14ac:dyDescent="0.2">
      <c r="A1431"/>
      <c r="B1431" s="57"/>
    </row>
    <row r="1432" spans="1:2" x14ac:dyDescent="0.2">
      <c r="A1432"/>
      <c r="B1432" s="57"/>
    </row>
    <row r="1433" spans="1:2" x14ac:dyDescent="0.2">
      <c r="A1433"/>
      <c r="B1433" s="57"/>
    </row>
    <row r="1434" spans="1:2" x14ac:dyDescent="0.2">
      <c r="A1434" s="94"/>
      <c r="B1434" s="57"/>
    </row>
    <row r="1435" spans="1:2" x14ac:dyDescent="0.2">
      <c r="A1435"/>
      <c r="B1435" s="57"/>
    </row>
    <row r="1436" spans="1:2" x14ac:dyDescent="0.2">
      <c r="A1436"/>
      <c r="B1436" s="57"/>
    </row>
    <row r="1437" spans="1:2" x14ac:dyDescent="0.2">
      <c r="A1437"/>
      <c r="B1437" s="57"/>
    </row>
    <row r="1438" spans="1:2" x14ac:dyDescent="0.2">
      <c r="A1438"/>
      <c r="B1438" s="57"/>
    </row>
    <row r="1439" spans="1:2" x14ac:dyDescent="0.2">
      <c r="A1439"/>
      <c r="B1439" s="57"/>
    </row>
    <row r="1440" spans="1:2" x14ac:dyDescent="0.2">
      <c r="A1440"/>
      <c r="B1440" s="57"/>
    </row>
    <row r="1441" spans="1:2" x14ac:dyDescent="0.2">
      <c r="A1441"/>
      <c r="B1441" s="57"/>
    </row>
    <row r="1442" spans="1:2" x14ac:dyDescent="0.2">
      <c r="A1442"/>
      <c r="B1442" s="57"/>
    </row>
    <row r="1443" spans="1:2" x14ac:dyDescent="0.2">
      <c r="A1443"/>
      <c r="B1443" s="57"/>
    </row>
    <row r="1444" spans="1:2" x14ac:dyDescent="0.2">
      <c r="A1444"/>
      <c r="B1444" s="57"/>
    </row>
    <row r="1445" spans="1:2" x14ac:dyDescent="0.2">
      <c r="A1445"/>
      <c r="B1445" s="57"/>
    </row>
    <row r="1446" spans="1:2" x14ac:dyDescent="0.2">
      <c r="A1446"/>
      <c r="B1446" s="57"/>
    </row>
    <row r="1447" spans="1:2" x14ac:dyDescent="0.2">
      <c r="A1447"/>
      <c r="B1447" s="57"/>
    </row>
    <row r="1448" spans="1:2" x14ac:dyDescent="0.2">
      <c r="A1448"/>
      <c r="B1448" s="57"/>
    </row>
    <row r="1449" spans="1:2" x14ac:dyDescent="0.2">
      <c r="A1449"/>
      <c r="B1449" s="57"/>
    </row>
    <row r="1450" spans="1:2" x14ac:dyDescent="0.2">
      <c r="A1450"/>
      <c r="B1450" s="57"/>
    </row>
    <row r="1451" spans="1:2" x14ac:dyDescent="0.2">
      <c r="A1451"/>
      <c r="B1451" s="57"/>
    </row>
    <row r="1452" spans="1:2" x14ac:dyDescent="0.2">
      <c r="A1452"/>
      <c r="B1452" s="57"/>
    </row>
    <row r="1453" spans="1:2" x14ac:dyDescent="0.2">
      <c r="A1453"/>
      <c r="B1453" s="57"/>
    </row>
    <row r="1454" spans="1:2" x14ac:dyDescent="0.2">
      <c r="A1454"/>
      <c r="B1454" s="57"/>
    </row>
    <row r="1455" spans="1:2" x14ac:dyDescent="0.2">
      <c r="A1455"/>
      <c r="B1455" s="57"/>
    </row>
    <row r="1456" spans="1:2" x14ac:dyDescent="0.2">
      <c r="A1456"/>
      <c r="B1456" s="57"/>
    </row>
    <row r="1457" spans="1:2" x14ac:dyDescent="0.2">
      <c r="A1457"/>
      <c r="B1457" s="57"/>
    </row>
    <row r="1458" spans="1:2" x14ac:dyDescent="0.2">
      <c r="A1458"/>
      <c r="B1458" s="57"/>
    </row>
    <row r="1459" spans="1:2" x14ac:dyDescent="0.2">
      <c r="A1459"/>
      <c r="B1459" s="57"/>
    </row>
    <row r="1460" spans="1:2" x14ac:dyDescent="0.2">
      <c r="A1460"/>
      <c r="B1460" s="57"/>
    </row>
    <row r="1461" spans="1:2" x14ac:dyDescent="0.2">
      <c r="A1461"/>
      <c r="B1461" s="57"/>
    </row>
    <row r="1462" spans="1:2" x14ac:dyDescent="0.2">
      <c r="A1462"/>
      <c r="B1462" s="57"/>
    </row>
    <row r="1463" spans="1:2" x14ac:dyDescent="0.2">
      <c r="A1463"/>
      <c r="B1463" s="57"/>
    </row>
    <row r="1464" spans="1:2" x14ac:dyDescent="0.2">
      <c r="A1464"/>
      <c r="B1464" s="57"/>
    </row>
    <row r="1465" spans="1:2" x14ac:dyDescent="0.2">
      <c r="A1465"/>
      <c r="B1465" s="57"/>
    </row>
    <row r="1466" spans="1:2" x14ac:dyDescent="0.2">
      <c r="A1466"/>
      <c r="B1466" s="57"/>
    </row>
    <row r="1467" spans="1:2" x14ac:dyDescent="0.2">
      <c r="A1467"/>
      <c r="B1467" s="57"/>
    </row>
    <row r="1468" spans="1:2" x14ac:dyDescent="0.2">
      <c r="A1468"/>
      <c r="B1468" s="57"/>
    </row>
    <row r="1469" spans="1:2" x14ac:dyDescent="0.2">
      <c r="A1469"/>
      <c r="B1469" s="57"/>
    </row>
    <row r="1470" spans="1:2" x14ac:dyDescent="0.2">
      <c r="A1470"/>
      <c r="B1470" s="57"/>
    </row>
    <row r="1471" spans="1:2" x14ac:dyDescent="0.2">
      <c r="A1471"/>
      <c r="B1471" s="57"/>
    </row>
    <row r="1472" spans="1:2" x14ac:dyDescent="0.2">
      <c r="A1472"/>
      <c r="B1472" s="57"/>
    </row>
    <row r="1473" spans="1:2" x14ac:dyDescent="0.2">
      <c r="A1473"/>
      <c r="B1473" s="57"/>
    </row>
    <row r="1474" spans="1:2" x14ac:dyDescent="0.2">
      <c r="A1474"/>
    </row>
    <row r="1475" spans="1:2" x14ac:dyDescent="0.2">
      <c r="A1475"/>
    </row>
    <row r="1476" spans="1:2" x14ac:dyDescent="0.2">
      <c r="A1476"/>
    </row>
    <row r="1477" spans="1:2" x14ac:dyDescent="0.2">
      <c r="A1477"/>
    </row>
    <row r="1478" spans="1:2" x14ac:dyDescent="0.2">
      <c r="A1478"/>
    </row>
    <row r="1479" spans="1:2" x14ac:dyDescent="0.2">
      <c r="A1479"/>
    </row>
    <row r="1480" spans="1:2" x14ac:dyDescent="0.2">
      <c r="A1480"/>
    </row>
    <row r="1481" spans="1:2" x14ac:dyDescent="0.2">
      <c r="A1481"/>
    </row>
    <row r="1482" spans="1:2" x14ac:dyDescent="0.2">
      <c r="A1482"/>
    </row>
    <row r="1483" spans="1:2" x14ac:dyDescent="0.2">
      <c r="A1483"/>
    </row>
    <row r="1484" spans="1:2" x14ac:dyDescent="0.2">
      <c r="A1484"/>
    </row>
    <row r="1485" spans="1:2" x14ac:dyDescent="0.2">
      <c r="A1485"/>
    </row>
    <row r="1486" spans="1:2" x14ac:dyDescent="0.2">
      <c r="A1486"/>
    </row>
    <row r="1487" spans="1:2" x14ac:dyDescent="0.2">
      <c r="A1487"/>
    </row>
    <row r="1488" spans="1:2" x14ac:dyDescent="0.2">
      <c r="A1488"/>
    </row>
    <row r="1489" spans="1:1" x14ac:dyDescent="0.2">
      <c r="A1489"/>
    </row>
    <row r="1490" spans="1:1" x14ac:dyDescent="0.2">
      <c r="A1490"/>
    </row>
    <row r="1491" spans="1:1" x14ac:dyDescent="0.2">
      <c r="A1491"/>
    </row>
    <row r="1492" spans="1:1" x14ac:dyDescent="0.2">
      <c r="A1492"/>
    </row>
    <row r="1493" spans="1:1" x14ac:dyDescent="0.2">
      <c r="A1493"/>
    </row>
    <row r="1494" spans="1:1" x14ac:dyDescent="0.2">
      <c r="A1494"/>
    </row>
    <row r="1495" spans="1:1" x14ac:dyDescent="0.2">
      <c r="A1495"/>
    </row>
    <row r="1496" spans="1:1" x14ac:dyDescent="0.2">
      <c r="A1496"/>
    </row>
    <row r="1497" spans="1:1" x14ac:dyDescent="0.2">
      <c r="A1497"/>
    </row>
    <row r="1498" spans="1:1" x14ac:dyDescent="0.2">
      <c r="A1498"/>
    </row>
    <row r="1499" spans="1:1" x14ac:dyDescent="0.2">
      <c r="A1499"/>
    </row>
    <row r="1500" spans="1:1" x14ac:dyDescent="0.2">
      <c r="A1500"/>
    </row>
    <row r="1501" spans="1:1" x14ac:dyDescent="0.2">
      <c r="A1501"/>
    </row>
    <row r="1502" spans="1:1" x14ac:dyDescent="0.2">
      <c r="A1502"/>
    </row>
    <row r="1503" spans="1:1" x14ac:dyDescent="0.2">
      <c r="A1503"/>
    </row>
    <row r="1504" spans="1:1" x14ac:dyDescent="0.2">
      <c r="A1504"/>
    </row>
    <row r="1505" spans="1:1" x14ac:dyDescent="0.2">
      <c r="A1505"/>
    </row>
    <row r="1506" spans="1:1" x14ac:dyDescent="0.2">
      <c r="A1506"/>
    </row>
    <row r="1507" spans="1:1" x14ac:dyDescent="0.2">
      <c r="A1507"/>
    </row>
    <row r="1508" spans="1:1" x14ac:dyDescent="0.2">
      <c r="A1508"/>
    </row>
    <row r="1509" spans="1:1" x14ac:dyDescent="0.2">
      <c r="A1509"/>
    </row>
    <row r="1510" spans="1:1" x14ac:dyDescent="0.2">
      <c r="A1510"/>
    </row>
    <row r="1511" spans="1:1" x14ac:dyDescent="0.2">
      <c r="A1511"/>
    </row>
    <row r="1512" spans="1:1" x14ac:dyDescent="0.2">
      <c r="A1512"/>
    </row>
    <row r="1513" spans="1:1" x14ac:dyDescent="0.2">
      <c r="A1513"/>
    </row>
    <row r="1514" spans="1:1" x14ac:dyDescent="0.2">
      <c r="A1514"/>
    </row>
    <row r="1515" spans="1:1" x14ac:dyDescent="0.2">
      <c r="A1515"/>
    </row>
    <row r="1516" spans="1:1" x14ac:dyDescent="0.2">
      <c r="A1516"/>
    </row>
    <row r="1517" spans="1:1" x14ac:dyDescent="0.2">
      <c r="A1517"/>
    </row>
    <row r="1518" spans="1:1" x14ac:dyDescent="0.2">
      <c r="A1518"/>
    </row>
    <row r="1519" spans="1:1" x14ac:dyDescent="0.2">
      <c r="A1519"/>
    </row>
    <row r="1520" spans="1:1" x14ac:dyDescent="0.2">
      <c r="A1520"/>
    </row>
    <row r="1521" spans="1:1" x14ac:dyDescent="0.2">
      <c r="A1521"/>
    </row>
    <row r="1522" spans="1:1" x14ac:dyDescent="0.2">
      <c r="A1522"/>
    </row>
    <row r="1523" spans="1:1" x14ac:dyDescent="0.2">
      <c r="A1523"/>
    </row>
    <row r="1524" spans="1:1" x14ac:dyDescent="0.2">
      <c r="A1524"/>
    </row>
    <row r="1525" spans="1:1" x14ac:dyDescent="0.2">
      <c r="A1525"/>
    </row>
    <row r="1526" spans="1:1" x14ac:dyDescent="0.2">
      <c r="A1526"/>
    </row>
    <row r="1527" spans="1:1" x14ac:dyDescent="0.2">
      <c r="A1527"/>
    </row>
    <row r="1528" spans="1:1" x14ac:dyDescent="0.2">
      <c r="A1528"/>
    </row>
    <row r="1529" spans="1:1" x14ac:dyDescent="0.2">
      <c r="A1529"/>
    </row>
    <row r="1530" spans="1:1" x14ac:dyDescent="0.2">
      <c r="A1530"/>
    </row>
    <row r="1531" spans="1:1" x14ac:dyDescent="0.2">
      <c r="A1531"/>
    </row>
    <row r="1532" spans="1:1" x14ac:dyDescent="0.2">
      <c r="A1532"/>
    </row>
    <row r="1533" spans="1:1" x14ac:dyDescent="0.2">
      <c r="A1533"/>
    </row>
    <row r="1534" spans="1:1" x14ac:dyDescent="0.2">
      <c r="A1534"/>
    </row>
    <row r="1535" spans="1:1" x14ac:dyDescent="0.2">
      <c r="A1535"/>
    </row>
    <row r="1536" spans="1:1" x14ac:dyDescent="0.2">
      <c r="A1536"/>
    </row>
    <row r="1537" spans="1:1" x14ac:dyDescent="0.2">
      <c r="A1537"/>
    </row>
    <row r="1538" spans="1:1" x14ac:dyDescent="0.2">
      <c r="A1538"/>
    </row>
    <row r="1539" spans="1:1" x14ac:dyDescent="0.2">
      <c r="A1539"/>
    </row>
    <row r="1540" spans="1:1" x14ac:dyDescent="0.2">
      <c r="A1540"/>
    </row>
    <row r="1541" spans="1:1" x14ac:dyDescent="0.2">
      <c r="A1541"/>
    </row>
    <row r="1542" spans="1:1" x14ac:dyDescent="0.2">
      <c r="A1542"/>
    </row>
    <row r="1543" spans="1:1" x14ac:dyDescent="0.2">
      <c r="A1543"/>
    </row>
    <row r="1544" spans="1:1" x14ac:dyDescent="0.2">
      <c r="A1544"/>
    </row>
    <row r="1545" spans="1:1" x14ac:dyDescent="0.2">
      <c r="A1545"/>
    </row>
    <row r="1546" spans="1:1" x14ac:dyDescent="0.2">
      <c r="A1546"/>
    </row>
    <row r="1547" spans="1:1" x14ac:dyDescent="0.2">
      <c r="A1547"/>
    </row>
    <row r="1548" spans="1:1" x14ac:dyDescent="0.2">
      <c r="A1548"/>
    </row>
    <row r="1549" spans="1:1" x14ac:dyDescent="0.2">
      <c r="A1549"/>
    </row>
    <row r="1550" spans="1:1" x14ac:dyDescent="0.2">
      <c r="A1550"/>
    </row>
    <row r="1551" spans="1:1" x14ac:dyDescent="0.2">
      <c r="A1551"/>
    </row>
    <row r="1552" spans="1:1" x14ac:dyDescent="0.2">
      <c r="A1552"/>
    </row>
    <row r="1553" spans="1:1" x14ac:dyDescent="0.2">
      <c r="A1553"/>
    </row>
    <row r="1554" spans="1:1" x14ac:dyDescent="0.2">
      <c r="A1554"/>
    </row>
    <row r="1555" spans="1:1" x14ac:dyDescent="0.2">
      <c r="A1555"/>
    </row>
    <row r="1556" spans="1:1" x14ac:dyDescent="0.2">
      <c r="A1556"/>
    </row>
    <row r="1557" spans="1:1" x14ac:dyDescent="0.2">
      <c r="A1557" s="94"/>
    </row>
    <row r="1558" spans="1:1" x14ac:dyDescent="0.2">
      <c r="A1558" s="94"/>
    </row>
    <row r="1559" spans="1:1" x14ac:dyDescent="0.2">
      <c r="A1559"/>
    </row>
    <row r="1560" spans="1:1" x14ac:dyDescent="0.2">
      <c r="A1560" s="94"/>
    </row>
    <row r="1561" spans="1:1" x14ac:dyDescent="0.2">
      <c r="A1561"/>
    </row>
    <row r="1562" spans="1:1" x14ac:dyDescent="0.2">
      <c r="A1562"/>
    </row>
    <row r="1563" spans="1:1" x14ac:dyDescent="0.2">
      <c r="A1563"/>
    </row>
    <row r="1564" spans="1:1" x14ac:dyDescent="0.2">
      <c r="A1564"/>
    </row>
    <row r="1565" spans="1:1" x14ac:dyDescent="0.2">
      <c r="A1565"/>
    </row>
    <row r="1566" spans="1:1" x14ac:dyDescent="0.2">
      <c r="A1566"/>
    </row>
    <row r="1567" spans="1:1" x14ac:dyDescent="0.2">
      <c r="A1567"/>
    </row>
    <row r="1568" spans="1:1" x14ac:dyDescent="0.2">
      <c r="A1568"/>
    </row>
    <row r="1569" spans="1:1" x14ac:dyDescent="0.2">
      <c r="A1569"/>
    </row>
    <row r="1570" spans="1:1" x14ac:dyDescent="0.2">
      <c r="A1570"/>
    </row>
    <row r="1571" spans="1:1" x14ac:dyDescent="0.2">
      <c r="A1571"/>
    </row>
    <row r="1572" spans="1:1" x14ac:dyDescent="0.2">
      <c r="A1572"/>
    </row>
    <row r="1573" spans="1:1" x14ac:dyDescent="0.2">
      <c r="A1573"/>
    </row>
    <row r="1574" spans="1:1" x14ac:dyDescent="0.2">
      <c r="A1574"/>
    </row>
    <row r="1575" spans="1:1" x14ac:dyDescent="0.2">
      <c r="A1575"/>
    </row>
    <row r="1576" spans="1:1" x14ac:dyDescent="0.2">
      <c r="A1576"/>
    </row>
    <row r="1577" spans="1:1" x14ac:dyDescent="0.2">
      <c r="A1577"/>
    </row>
    <row r="1578" spans="1:1" x14ac:dyDescent="0.2">
      <c r="A1578"/>
    </row>
    <row r="1579" spans="1:1" x14ac:dyDescent="0.2">
      <c r="A1579"/>
    </row>
    <row r="1580" spans="1:1" x14ac:dyDescent="0.2">
      <c r="A1580"/>
    </row>
    <row r="1581" spans="1:1" x14ac:dyDescent="0.2">
      <c r="A1581"/>
    </row>
    <row r="1582" spans="1:1" x14ac:dyDescent="0.2">
      <c r="A1582"/>
    </row>
    <row r="1583" spans="1:1" x14ac:dyDescent="0.2">
      <c r="A1583"/>
    </row>
    <row r="1584" spans="1:1" x14ac:dyDescent="0.2">
      <c r="A1584"/>
    </row>
    <row r="1585" spans="1:1" x14ac:dyDescent="0.2">
      <c r="A1585"/>
    </row>
    <row r="1586" spans="1:1" x14ac:dyDescent="0.2">
      <c r="A1586"/>
    </row>
    <row r="1587" spans="1:1" x14ac:dyDescent="0.2">
      <c r="A1587"/>
    </row>
    <row r="1588" spans="1:1" x14ac:dyDescent="0.2">
      <c r="A1588"/>
    </row>
    <row r="1589" spans="1:1" x14ac:dyDescent="0.2">
      <c r="A1589"/>
    </row>
    <row r="1590" spans="1:1" x14ac:dyDescent="0.2">
      <c r="A1590"/>
    </row>
    <row r="1591" spans="1:1" x14ac:dyDescent="0.2">
      <c r="A1591"/>
    </row>
    <row r="1592" spans="1:1" x14ac:dyDescent="0.2">
      <c r="A1592"/>
    </row>
    <row r="1593" spans="1:1" x14ac:dyDescent="0.2">
      <c r="A1593"/>
    </row>
    <row r="1594" spans="1:1" x14ac:dyDescent="0.2">
      <c r="A1594"/>
    </row>
    <row r="1595" spans="1:1" x14ac:dyDescent="0.2">
      <c r="A1595"/>
    </row>
    <row r="1596" spans="1:1" x14ac:dyDescent="0.2">
      <c r="A1596"/>
    </row>
    <row r="1597" spans="1:1" x14ac:dyDescent="0.2">
      <c r="A1597"/>
    </row>
    <row r="1598" spans="1:1" x14ac:dyDescent="0.2">
      <c r="A1598"/>
    </row>
    <row r="1599" spans="1:1" x14ac:dyDescent="0.2">
      <c r="A1599"/>
    </row>
    <row r="1600" spans="1:1" x14ac:dyDescent="0.2">
      <c r="A1600"/>
    </row>
    <row r="1601" spans="1:1" x14ac:dyDescent="0.2">
      <c r="A1601"/>
    </row>
    <row r="1602" spans="1:1" x14ac:dyDescent="0.2">
      <c r="A1602"/>
    </row>
    <row r="1603" spans="1:1" x14ac:dyDescent="0.2">
      <c r="A1603"/>
    </row>
    <row r="1604" spans="1:1" x14ac:dyDescent="0.2">
      <c r="A1604"/>
    </row>
    <row r="1605" spans="1:1" x14ac:dyDescent="0.2">
      <c r="A1605"/>
    </row>
    <row r="1606" spans="1:1" x14ac:dyDescent="0.2">
      <c r="A1606"/>
    </row>
    <row r="1607" spans="1:1" x14ac:dyDescent="0.2">
      <c r="A1607"/>
    </row>
    <row r="1608" spans="1:1" x14ac:dyDescent="0.2">
      <c r="A1608"/>
    </row>
    <row r="1609" spans="1:1" x14ac:dyDescent="0.2">
      <c r="A1609" s="94"/>
    </row>
    <row r="1610" spans="1:1" x14ac:dyDescent="0.2">
      <c r="A1610"/>
    </row>
    <row r="1611" spans="1:1" x14ac:dyDescent="0.2">
      <c r="A1611"/>
    </row>
    <row r="1612" spans="1:1" x14ac:dyDescent="0.2">
      <c r="A1612"/>
    </row>
    <row r="1613" spans="1:1" x14ac:dyDescent="0.2">
      <c r="A1613"/>
    </row>
    <row r="1614" spans="1:1" x14ac:dyDescent="0.2">
      <c r="A1614"/>
    </row>
    <row r="1615" spans="1:1" x14ac:dyDescent="0.2">
      <c r="A1615"/>
    </row>
    <row r="1616" spans="1:1" x14ac:dyDescent="0.2">
      <c r="A1616"/>
    </row>
    <row r="1617" spans="1:1" x14ac:dyDescent="0.2">
      <c r="A1617"/>
    </row>
    <row r="1618" spans="1:1" x14ac:dyDescent="0.2">
      <c r="A1618"/>
    </row>
    <row r="1619" spans="1:1" x14ac:dyDescent="0.2">
      <c r="A1619"/>
    </row>
    <row r="1620" spans="1:1" x14ac:dyDescent="0.2">
      <c r="A1620"/>
    </row>
    <row r="1621" spans="1:1" x14ac:dyDescent="0.2">
      <c r="A1621"/>
    </row>
    <row r="1622" spans="1:1" x14ac:dyDescent="0.2">
      <c r="A1622"/>
    </row>
    <row r="1623" spans="1:1" x14ac:dyDescent="0.2">
      <c r="A1623"/>
    </row>
    <row r="1624" spans="1:1" x14ac:dyDescent="0.2">
      <c r="A1624"/>
    </row>
    <row r="1625" spans="1:1" x14ac:dyDescent="0.2">
      <c r="A1625"/>
    </row>
    <row r="1626" spans="1:1" x14ac:dyDescent="0.2">
      <c r="A1626"/>
    </row>
    <row r="1627" spans="1:1" x14ac:dyDescent="0.2">
      <c r="A1627"/>
    </row>
    <row r="1628" spans="1:1" x14ac:dyDescent="0.2">
      <c r="A1628"/>
    </row>
    <row r="1629" spans="1:1" x14ac:dyDescent="0.2">
      <c r="A1629"/>
    </row>
    <row r="1630" spans="1:1" x14ac:dyDescent="0.2">
      <c r="A1630"/>
    </row>
    <row r="1631" spans="1:1" x14ac:dyDescent="0.2">
      <c r="A1631"/>
    </row>
    <row r="1632" spans="1:1" x14ac:dyDescent="0.2">
      <c r="A1632"/>
    </row>
    <row r="1633" spans="1:1" x14ac:dyDescent="0.2">
      <c r="A1633"/>
    </row>
    <row r="1634" spans="1:1" x14ac:dyDescent="0.2">
      <c r="A1634"/>
    </row>
    <row r="1635" spans="1:1" x14ac:dyDescent="0.2">
      <c r="A1635"/>
    </row>
    <row r="1636" spans="1:1" x14ac:dyDescent="0.2">
      <c r="A1636"/>
    </row>
    <row r="1637" spans="1:1" x14ac:dyDescent="0.2">
      <c r="A1637"/>
    </row>
    <row r="1638" spans="1:1" x14ac:dyDescent="0.2">
      <c r="A1638"/>
    </row>
    <row r="1639" spans="1:1" x14ac:dyDescent="0.2">
      <c r="A1639"/>
    </row>
    <row r="1640" spans="1:1" x14ac:dyDescent="0.2">
      <c r="A1640"/>
    </row>
    <row r="1641" spans="1:1" x14ac:dyDescent="0.2">
      <c r="A1641"/>
    </row>
    <row r="1642" spans="1:1" x14ac:dyDescent="0.2">
      <c r="A1642"/>
    </row>
    <row r="1643" spans="1:1" x14ac:dyDescent="0.2">
      <c r="A1643"/>
    </row>
    <row r="1644" spans="1:1" x14ac:dyDescent="0.2">
      <c r="A1644"/>
    </row>
    <row r="1645" spans="1:1" x14ac:dyDescent="0.2">
      <c r="A1645"/>
    </row>
    <row r="1646" spans="1:1" x14ac:dyDescent="0.2">
      <c r="A1646"/>
    </row>
    <row r="1647" spans="1:1" x14ac:dyDescent="0.2">
      <c r="A1647"/>
    </row>
    <row r="1648" spans="1:1" x14ac:dyDescent="0.2">
      <c r="A1648"/>
    </row>
    <row r="1649" spans="1:1" x14ac:dyDescent="0.2">
      <c r="A1649"/>
    </row>
    <row r="1650" spans="1:1" x14ac:dyDescent="0.2">
      <c r="A1650"/>
    </row>
    <row r="1651" spans="1:1" x14ac:dyDescent="0.2">
      <c r="A1651"/>
    </row>
    <row r="1652" spans="1:1" x14ac:dyDescent="0.2">
      <c r="A1652"/>
    </row>
    <row r="1653" spans="1:1" x14ac:dyDescent="0.2">
      <c r="A1653"/>
    </row>
    <row r="1654" spans="1:1" x14ac:dyDescent="0.2">
      <c r="A1654"/>
    </row>
    <row r="1655" spans="1:1" x14ac:dyDescent="0.2">
      <c r="A1655"/>
    </row>
    <row r="1656" spans="1:1" x14ac:dyDescent="0.2">
      <c r="A1656"/>
    </row>
    <row r="1657" spans="1:1" x14ac:dyDescent="0.2">
      <c r="A1657"/>
    </row>
    <row r="1658" spans="1:1" x14ac:dyDescent="0.2">
      <c r="A1658"/>
    </row>
    <row r="1659" spans="1:1" x14ac:dyDescent="0.2">
      <c r="A1659"/>
    </row>
    <row r="1660" spans="1:1" x14ac:dyDescent="0.2">
      <c r="A1660"/>
    </row>
    <row r="1661" spans="1:1" x14ac:dyDescent="0.2">
      <c r="A1661"/>
    </row>
    <row r="1662" spans="1:1" x14ac:dyDescent="0.2">
      <c r="A1662"/>
    </row>
    <row r="1663" spans="1:1" x14ac:dyDescent="0.2">
      <c r="A1663"/>
    </row>
    <row r="1664" spans="1:1" x14ac:dyDescent="0.2">
      <c r="A1664"/>
    </row>
    <row r="1665" spans="1:1" x14ac:dyDescent="0.2">
      <c r="A1665"/>
    </row>
    <row r="1666" spans="1:1" x14ac:dyDescent="0.2">
      <c r="A1666"/>
    </row>
    <row r="1667" spans="1:1" x14ac:dyDescent="0.2">
      <c r="A1667"/>
    </row>
    <row r="1668" spans="1:1" x14ac:dyDescent="0.2">
      <c r="A1668"/>
    </row>
    <row r="1669" spans="1:1" x14ac:dyDescent="0.2">
      <c r="A1669"/>
    </row>
    <row r="1670" spans="1:1" x14ac:dyDescent="0.2">
      <c r="A1670"/>
    </row>
    <row r="1671" spans="1:1" x14ac:dyDescent="0.2">
      <c r="A1671"/>
    </row>
    <row r="1672" spans="1:1" x14ac:dyDescent="0.2">
      <c r="A1672"/>
    </row>
    <row r="1673" spans="1:1" x14ac:dyDescent="0.2">
      <c r="A1673"/>
    </row>
    <row r="1674" spans="1:1" x14ac:dyDescent="0.2">
      <c r="A1674"/>
    </row>
    <row r="1675" spans="1:1" x14ac:dyDescent="0.2">
      <c r="A1675" s="94"/>
    </row>
    <row r="1676" spans="1:1" x14ac:dyDescent="0.2">
      <c r="A1676"/>
    </row>
    <row r="1677" spans="1:1" x14ac:dyDescent="0.2">
      <c r="A1677"/>
    </row>
    <row r="1678" spans="1:1" x14ac:dyDescent="0.2">
      <c r="A1678"/>
    </row>
    <row r="1679" spans="1:1" x14ac:dyDescent="0.2">
      <c r="A1679"/>
    </row>
    <row r="1680" spans="1:1" x14ac:dyDescent="0.2">
      <c r="A1680"/>
    </row>
    <row r="1681" spans="1:1" x14ac:dyDescent="0.2">
      <c r="A1681"/>
    </row>
    <row r="1682" spans="1:1" x14ac:dyDescent="0.2">
      <c r="A1682"/>
    </row>
    <row r="1683" spans="1:1" x14ac:dyDescent="0.2">
      <c r="A1683"/>
    </row>
    <row r="1684" spans="1:1" x14ac:dyDescent="0.2">
      <c r="A1684"/>
    </row>
    <row r="1685" spans="1:1" x14ac:dyDescent="0.2">
      <c r="A1685"/>
    </row>
    <row r="1686" spans="1:1" x14ac:dyDescent="0.2">
      <c r="A1686"/>
    </row>
    <row r="1687" spans="1:1" x14ac:dyDescent="0.2">
      <c r="A1687"/>
    </row>
    <row r="1688" spans="1:1" x14ac:dyDescent="0.2">
      <c r="A1688"/>
    </row>
    <row r="1689" spans="1:1" x14ac:dyDescent="0.2">
      <c r="A1689"/>
    </row>
    <row r="1690" spans="1:1" x14ac:dyDescent="0.2">
      <c r="A1690"/>
    </row>
    <row r="1691" spans="1:1" x14ac:dyDescent="0.2">
      <c r="A1691"/>
    </row>
    <row r="1692" spans="1:1" x14ac:dyDescent="0.2">
      <c r="A1692"/>
    </row>
    <row r="1693" spans="1:1" x14ac:dyDescent="0.2">
      <c r="A1693"/>
    </row>
    <row r="1694" spans="1:1" x14ac:dyDescent="0.2">
      <c r="A1694"/>
    </row>
    <row r="1695" spans="1:1" x14ac:dyDescent="0.2">
      <c r="A1695"/>
    </row>
    <row r="1696" spans="1:1" x14ac:dyDescent="0.2">
      <c r="A1696"/>
    </row>
    <row r="1697" spans="1:1" x14ac:dyDescent="0.2">
      <c r="A1697"/>
    </row>
    <row r="1698" spans="1:1" x14ac:dyDescent="0.2">
      <c r="A1698"/>
    </row>
    <row r="1699" spans="1:1" x14ac:dyDescent="0.2">
      <c r="A1699"/>
    </row>
    <row r="1700" spans="1:1" x14ac:dyDescent="0.2">
      <c r="A1700"/>
    </row>
    <row r="1701" spans="1:1" x14ac:dyDescent="0.2">
      <c r="A1701"/>
    </row>
    <row r="1702" spans="1:1" x14ac:dyDescent="0.2">
      <c r="A1702"/>
    </row>
    <row r="1703" spans="1:1" x14ac:dyDescent="0.2">
      <c r="A1703"/>
    </row>
    <row r="1704" spans="1:1" x14ac:dyDescent="0.2">
      <c r="A1704"/>
    </row>
    <row r="1705" spans="1:1" x14ac:dyDescent="0.2">
      <c r="A1705"/>
    </row>
    <row r="1706" spans="1:1" x14ac:dyDescent="0.2">
      <c r="A1706"/>
    </row>
    <row r="1707" spans="1:1" x14ac:dyDescent="0.2">
      <c r="A1707"/>
    </row>
    <row r="1708" spans="1:1" x14ac:dyDescent="0.2">
      <c r="A1708"/>
    </row>
    <row r="1709" spans="1:1" x14ac:dyDescent="0.2">
      <c r="A1709"/>
    </row>
    <row r="1710" spans="1:1" x14ac:dyDescent="0.2">
      <c r="A1710"/>
    </row>
    <row r="1711" spans="1:1" x14ac:dyDescent="0.2">
      <c r="A1711"/>
    </row>
    <row r="1712" spans="1:1" x14ac:dyDescent="0.2">
      <c r="A1712"/>
    </row>
    <row r="1713" spans="1:1" x14ac:dyDescent="0.2">
      <c r="A1713"/>
    </row>
    <row r="1714" spans="1:1" x14ac:dyDescent="0.2">
      <c r="A1714"/>
    </row>
    <row r="1715" spans="1:1" x14ac:dyDescent="0.2">
      <c r="A1715"/>
    </row>
    <row r="1716" spans="1:1" x14ac:dyDescent="0.2">
      <c r="A1716"/>
    </row>
    <row r="1717" spans="1:1" x14ac:dyDescent="0.2">
      <c r="A1717"/>
    </row>
    <row r="1718" spans="1:1" x14ac:dyDescent="0.2">
      <c r="A1718"/>
    </row>
    <row r="1719" spans="1:1" x14ac:dyDescent="0.2">
      <c r="A1719"/>
    </row>
    <row r="1720" spans="1:1" x14ac:dyDescent="0.2">
      <c r="A1720"/>
    </row>
    <row r="1721" spans="1:1" x14ac:dyDescent="0.2">
      <c r="A1721"/>
    </row>
    <row r="1722" spans="1:1" x14ac:dyDescent="0.2">
      <c r="A1722"/>
    </row>
    <row r="1723" spans="1:1" x14ac:dyDescent="0.2">
      <c r="A1723"/>
    </row>
    <row r="1724" spans="1:1" x14ac:dyDescent="0.2">
      <c r="A1724"/>
    </row>
    <row r="1725" spans="1:1" x14ac:dyDescent="0.2">
      <c r="A1725"/>
    </row>
    <row r="1726" spans="1:1" x14ac:dyDescent="0.2">
      <c r="A1726"/>
    </row>
    <row r="1727" spans="1:1" x14ac:dyDescent="0.2">
      <c r="A1727"/>
    </row>
    <row r="1728" spans="1:1" x14ac:dyDescent="0.2">
      <c r="A1728"/>
    </row>
    <row r="1729" spans="1:1" x14ac:dyDescent="0.2">
      <c r="A1729"/>
    </row>
    <row r="1730" spans="1:1" x14ac:dyDescent="0.2">
      <c r="A1730"/>
    </row>
    <row r="1731" spans="1:1" x14ac:dyDescent="0.2">
      <c r="A1731"/>
    </row>
    <row r="1732" spans="1:1" x14ac:dyDescent="0.2">
      <c r="A1732"/>
    </row>
    <row r="1733" spans="1:1" x14ac:dyDescent="0.2">
      <c r="A1733"/>
    </row>
    <row r="1734" spans="1:1" x14ac:dyDescent="0.2">
      <c r="A1734"/>
    </row>
    <row r="1735" spans="1:1" x14ac:dyDescent="0.2">
      <c r="A1735"/>
    </row>
    <row r="1736" spans="1:1" x14ac:dyDescent="0.2">
      <c r="A1736"/>
    </row>
    <row r="1737" spans="1:1" x14ac:dyDescent="0.2">
      <c r="A1737"/>
    </row>
    <row r="1738" spans="1:1" x14ac:dyDescent="0.2">
      <c r="A1738"/>
    </row>
    <row r="1739" spans="1:1" x14ac:dyDescent="0.2">
      <c r="A1739"/>
    </row>
    <row r="1740" spans="1:1" x14ac:dyDescent="0.2">
      <c r="A1740"/>
    </row>
    <row r="1741" spans="1:1" x14ac:dyDescent="0.2">
      <c r="A1741"/>
    </row>
    <row r="1742" spans="1:1" x14ac:dyDescent="0.2">
      <c r="A1742"/>
    </row>
    <row r="1743" spans="1:1" x14ac:dyDescent="0.2">
      <c r="A1743"/>
    </row>
    <row r="1744" spans="1:1" x14ac:dyDescent="0.2">
      <c r="A1744"/>
    </row>
    <row r="1745" spans="1:1" x14ac:dyDescent="0.2">
      <c r="A1745"/>
    </row>
    <row r="1746" spans="1:1" x14ac:dyDescent="0.2">
      <c r="A1746"/>
    </row>
    <row r="1747" spans="1:1" x14ac:dyDescent="0.2">
      <c r="A1747"/>
    </row>
    <row r="1748" spans="1:1" x14ac:dyDescent="0.2">
      <c r="A1748"/>
    </row>
    <row r="1749" spans="1:1" x14ac:dyDescent="0.2">
      <c r="A1749"/>
    </row>
    <row r="1750" spans="1:1" x14ac:dyDescent="0.2">
      <c r="A1750"/>
    </row>
    <row r="1751" spans="1:1" x14ac:dyDescent="0.2">
      <c r="A1751"/>
    </row>
    <row r="1752" spans="1:1" x14ac:dyDescent="0.2">
      <c r="A1752"/>
    </row>
    <row r="1753" spans="1:1" x14ac:dyDescent="0.2">
      <c r="A1753"/>
    </row>
    <row r="1754" spans="1:1" x14ac:dyDescent="0.2">
      <c r="A1754"/>
    </row>
    <row r="1755" spans="1:1" x14ac:dyDescent="0.2">
      <c r="A1755"/>
    </row>
    <row r="1756" spans="1:1" x14ac:dyDescent="0.2">
      <c r="A1756"/>
    </row>
    <row r="1757" spans="1:1" x14ac:dyDescent="0.2">
      <c r="A1757"/>
    </row>
    <row r="1758" spans="1:1" x14ac:dyDescent="0.2">
      <c r="A1758"/>
    </row>
    <row r="1759" spans="1:1" x14ac:dyDescent="0.2">
      <c r="A1759"/>
    </row>
    <row r="1760" spans="1:1" x14ac:dyDescent="0.2">
      <c r="A1760"/>
    </row>
    <row r="1761" spans="1:1" x14ac:dyDescent="0.2">
      <c r="A1761"/>
    </row>
    <row r="1762" spans="1:1" x14ac:dyDescent="0.2">
      <c r="A1762"/>
    </row>
    <row r="1763" spans="1:1" x14ac:dyDescent="0.2">
      <c r="A1763"/>
    </row>
    <row r="1764" spans="1:1" x14ac:dyDescent="0.2">
      <c r="A1764"/>
    </row>
    <row r="1765" spans="1:1" x14ac:dyDescent="0.2">
      <c r="A1765"/>
    </row>
    <row r="1766" spans="1:1" x14ac:dyDescent="0.2">
      <c r="A1766"/>
    </row>
    <row r="1767" spans="1:1" x14ac:dyDescent="0.2">
      <c r="A1767"/>
    </row>
    <row r="1768" spans="1:1" x14ac:dyDescent="0.2">
      <c r="A1768"/>
    </row>
    <row r="1769" spans="1:1" x14ac:dyDescent="0.2">
      <c r="A1769"/>
    </row>
    <row r="1770" spans="1:1" x14ac:dyDescent="0.2">
      <c r="A1770"/>
    </row>
    <row r="1771" spans="1:1" x14ac:dyDescent="0.2">
      <c r="A1771"/>
    </row>
    <row r="1772" spans="1:1" x14ac:dyDescent="0.2">
      <c r="A1772"/>
    </row>
    <row r="1773" spans="1:1" x14ac:dyDescent="0.2">
      <c r="A1773"/>
    </row>
    <row r="1774" spans="1:1" x14ac:dyDescent="0.2">
      <c r="A1774"/>
    </row>
    <row r="1775" spans="1:1" x14ac:dyDescent="0.2">
      <c r="A1775"/>
    </row>
    <row r="1776" spans="1:1" x14ac:dyDescent="0.2">
      <c r="A1776"/>
    </row>
    <row r="1777" spans="1:1" x14ac:dyDescent="0.2">
      <c r="A1777"/>
    </row>
    <row r="1778" spans="1:1" x14ac:dyDescent="0.2">
      <c r="A1778"/>
    </row>
    <row r="1779" spans="1:1" x14ac:dyDescent="0.2">
      <c r="A1779"/>
    </row>
    <row r="1780" spans="1:1" x14ac:dyDescent="0.2">
      <c r="A1780"/>
    </row>
    <row r="1781" spans="1:1" x14ac:dyDescent="0.2">
      <c r="A1781"/>
    </row>
    <row r="1782" spans="1:1" x14ac:dyDescent="0.2">
      <c r="A1782"/>
    </row>
    <row r="1783" spans="1:1" x14ac:dyDescent="0.2">
      <c r="A1783"/>
    </row>
    <row r="1784" spans="1:1" x14ac:dyDescent="0.2">
      <c r="A1784"/>
    </row>
    <row r="1785" spans="1:1" x14ac:dyDescent="0.2">
      <c r="A1785"/>
    </row>
    <row r="1786" spans="1:1" x14ac:dyDescent="0.2">
      <c r="A1786"/>
    </row>
    <row r="1787" spans="1:1" x14ac:dyDescent="0.2">
      <c r="A1787"/>
    </row>
    <row r="1788" spans="1:1" x14ac:dyDescent="0.2">
      <c r="A1788"/>
    </row>
    <row r="1789" spans="1:1" x14ac:dyDescent="0.2">
      <c r="A1789"/>
    </row>
    <row r="1790" spans="1:1" x14ac:dyDescent="0.2">
      <c r="A1790"/>
    </row>
    <row r="1791" spans="1:1" x14ac:dyDescent="0.2">
      <c r="A1791"/>
    </row>
    <row r="1792" spans="1:1" x14ac:dyDescent="0.2">
      <c r="A1792"/>
    </row>
    <row r="1793" spans="1:1" x14ac:dyDescent="0.2">
      <c r="A1793"/>
    </row>
    <row r="1794" spans="1:1" x14ac:dyDescent="0.2">
      <c r="A1794"/>
    </row>
    <row r="1795" spans="1:1" x14ac:dyDescent="0.2">
      <c r="A1795"/>
    </row>
    <row r="1796" spans="1:1" x14ac:dyDescent="0.2">
      <c r="A1796"/>
    </row>
    <row r="1797" spans="1:1" x14ac:dyDescent="0.2">
      <c r="A1797"/>
    </row>
    <row r="1798" spans="1:1" x14ac:dyDescent="0.2">
      <c r="A1798"/>
    </row>
    <row r="1799" spans="1:1" x14ac:dyDescent="0.2">
      <c r="A1799"/>
    </row>
    <row r="1800" spans="1:1" x14ac:dyDescent="0.2">
      <c r="A1800"/>
    </row>
    <row r="1801" spans="1:1" x14ac:dyDescent="0.2">
      <c r="A1801"/>
    </row>
    <row r="1802" spans="1:1" x14ac:dyDescent="0.2">
      <c r="A1802"/>
    </row>
    <row r="1803" spans="1:1" x14ac:dyDescent="0.2">
      <c r="A1803"/>
    </row>
    <row r="1804" spans="1:1" x14ac:dyDescent="0.2">
      <c r="A1804"/>
    </row>
    <row r="1805" spans="1:1" x14ac:dyDescent="0.2">
      <c r="A1805"/>
    </row>
    <row r="1806" spans="1:1" x14ac:dyDescent="0.2">
      <c r="A1806"/>
    </row>
    <row r="1807" spans="1:1" x14ac:dyDescent="0.2">
      <c r="A1807"/>
    </row>
    <row r="1808" spans="1:1" x14ac:dyDescent="0.2">
      <c r="A1808"/>
    </row>
    <row r="1809" spans="1:1" x14ac:dyDescent="0.2">
      <c r="A1809"/>
    </row>
    <row r="1810" spans="1:1" x14ac:dyDescent="0.2">
      <c r="A1810"/>
    </row>
    <row r="1811" spans="1:1" x14ac:dyDescent="0.2">
      <c r="A1811"/>
    </row>
    <row r="1812" spans="1:1" x14ac:dyDescent="0.2">
      <c r="A1812"/>
    </row>
    <row r="1813" spans="1:1" x14ac:dyDescent="0.2">
      <c r="A1813"/>
    </row>
    <row r="1814" spans="1:1" x14ac:dyDescent="0.2">
      <c r="A1814"/>
    </row>
    <row r="1815" spans="1:1" x14ac:dyDescent="0.2">
      <c r="A1815"/>
    </row>
    <row r="1816" spans="1:1" x14ac:dyDescent="0.2">
      <c r="A1816"/>
    </row>
    <row r="1817" spans="1:1" x14ac:dyDescent="0.2">
      <c r="A1817"/>
    </row>
    <row r="1818" spans="1:1" x14ac:dyDescent="0.2">
      <c r="A1818"/>
    </row>
    <row r="1819" spans="1:1" x14ac:dyDescent="0.2">
      <c r="A1819"/>
    </row>
    <row r="1820" spans="1:1" x14ac:dyDescent="0.2">
      <c r="A1820"/>
    </row>
    <row r="1821" spans="1:1" x14ac:dyDescent="0.2">
      <c r="A1821"/>
    </row>
    <row r="1822" spans="1:1" x14ac:dyDescent="0.2">
      <c r="A1822"/>
    </row>
    <row r="1823" spans="1:1" x14ac:dyDescent="0.2">
      <c r="A1823"/>
    </row>
    <row r="1824" spans="1:1" x14ac:dyDescent="0.2">
      <c r="A1824"/>
    </row>
    <row r="1825" spans="1:1" x14ac:dyDescent="0.2">
      <c r="A1825"/>
    </row>
    <row r="1826" spans="1:1" x14ac:dyDescent="0.2">
      <c r="A1826"/>
    </row>
    <row r="1827" spans="1:1" x14ac:dyDescent="0.2">
      <c r="A1827"/>
    </row>
    <row r="1828" spans="1:1" x14ac:dyDescent="0.2">
      <c r="A1828"/>
    </row>
    <row r="1829" spans="1:1" x14ac:dyDescent="0.2">
      <c r="A1829"/>
    </row>
    <row r="1830" spans="1:1" x14ac:dyDescent="0.2">
      <c r="A1830"/>
    </row>
    <row r="1831" spans="1:1" x14ac:dyDescent="0.2">
      <c r="A1831"/>
    </row>
    <row r="1832" spans="1:1" x14ac:dyDescent="0.2">
      <c r="A1832"/>
    </row>
    <row r="1833" spans="1:1" x14ac:dyDescent="0.2">
      <c r="A1833"/>
    </row>
    <row r="1834" spans="1:1" x14ac:dyDescent="0.2">
      <c r="A1834"/>
    </row>
    <row r="1835" spans="1:1" x14ac:dyDescent="0.2">
      <c r="A1835"/>
    </row>
    <row r="1836" spans="1:1" x14ac:dyDescent="0.2">
      <c r="A1836"/>
    </row>
    <row r="1837" spans="1:1" x14ac:dyDescent="0.2">
      <c r="A1837"/>
    </row>
    <row r="1838" spans="1:1" x14ac:dyDescent="0.2">
      <c r="A1838"/>
    </row>
    <row r="1839" spans="1:1" x14ac:dyDescent="0.2">
      <c r="A1839"/>
    </row>
    <row r="1840" spans="1:1" x14ac:dyDescent="0.2">
      <c r="A1840"/>
    </row>
    <row r="1841" spans="1:1" x14ac:dyDescent="0.2">
      <c r="A1841"/>
    </row>
    <row r="1842" spans="1:1" x14ac:dyDescent="0.2">
      <c r="A1842"/>
    </row>
    <row r="1843" spans="1:1" x14ac:dyDescent="0.2">
      <c r="A1843"/>
    </row>
    <row r="1844" spans="1:1" x14ac:dyDescent="0.2">
      <c r="A1844"/>
    </row>
    <row r="1845" spans="1:1" x14ac:dyDescent="0.2">
      <c r="A1845"/>
    </row>
    <row r="1846" spans="1:1" x14ac:dyDescent="0.2">
      <c r="A1846"/>
    </row>
    <row r="1847" spans="1:1" x14ac:dyDescent="0.2">
      <c r="A1847"/>
    </row>
    <row r="1848" spans="1:1" x14ac:dyDescent="0.2">
      <c r="A1848"/>
    </row>
    <row r="1849" spans="1:1" x14ac:dyDescent="0.2">
      <c r="A1849"/>
    </row>
  </sheetData>
  <autoFilter ref="A1:R872" xr:uid="{F4E9C8B0-BD01-485F-B361-28B100DA7997}">
    <sortState xmlns:xlrd2="http://schemas.microsoft.com/office/spreadsheetml/2017/richdata2" ref="A2:R872">
      <sortCondition descending="1" ref="R1:R872"/>
    </sortState>
  </autoFilter>
  <sortState xmlns:xlrd2="http://schemas.microsoft.com/office/spreadsheetml/2017/richdata2" ref="A2:R1849">
    <sortCondition ref="C2:C1849"/>
  </sortState>
  <hyperlinks>
    <hyperlink ref="B98" r:id="rId1" xr:uid="{00000000-0004-0000-0000-000000000000}"/>
    <hyperlink ref="B9" r:id="rId2" xr:uid="{00000000-0004-0000-0000-000001000000}"/>
    <hyperlink ref="B99" r:id="rId3" xr:uid="{00000000-0004-0000-0000-000002000000}"/>
    <hyperlink ref="B8" r:id="rId4" display="https://catalogplus.tuwien.at/permalink/f/1m011kq/TN_cdi_crossref_primary_10_1109_TSE_2021_3054928" xr:uid="{00000000-0004-0000-0000-000003000000}"/>
    <hyperlink ref="B100" r:id="rId5" xr:uid="{00000000-0004-0000-0000-000004000000}"/>
    <hyperlink ref="B86" r:id="rId6" xr:uid="{00000000-0004-0000-0000-000005000000}"/>
    <hyperlink ref="B33" r:id="rId7" xr:uid="{00000000-0004-0000-0000-000006000000}"/>
    <hyperlink ref="B6" r:id="rId8" display="https://catalogplus.tuwien.at/permalink/f/1m011kq/TN_cdi_crossref_primary_10_1109_TKDE_2021_3095196" xr:uid="{00000000-0004-0000-0000-000007000000}"/>
    <hyperlink ref="B51" r:id="rId9" xr:uid="{00000000-0004-0000-0000-000008000000}"/>
    <hyperlink ref="B87" r:id="rId10" xr:uid="{00000000-0004-0000-0000-000009000000}"/>
    <hyperlink ref="B101" r:id="rId11" xr:uid="{00000000-0004-0000-0000-00000A000000}"/>
    <hyperlink ref="B102" r:id="rId12" xr:uid="{00000000-0004-0000-0000-00000B000000}"/>
    <hyperlink ref="B80" r:id="rId13" xr:uid="{00000000-0004-0000-0000-00000C000000}"/>
    <hyperlink ref="B3" r:id="rId14" display="https://catalogplus.tuwien.at/permalink/f/1m011kq/TN_cdi_crossref_primary_10_1109_TSE_2021_3123170" xr:uid="{00000000-0004-0000-0000-00000D000000}"/>
    <hyperlink ref="B103" r:id="rId15" xr:uid="{00000000-0004-0000-0000-00000E000000}"/>
    <hyperlink ref="B104" r:id="rId16" xr:uid="{00000000-0004-0000-0000-00000F000000}"/>
    <hyperlink ref="B105" r:id="rId17" xr:uid="{00000000-0004-0000-0000-000010000000}"/>
    <hyperlink ref="B106" r:id="rId18" xr:uid="{00000000-0004-0000-0000-000011000000}"/>
    <hyperlink ref="B107" r:id="rId19" xr:uid="{00000000-0004-0000-0000-000012000000}"/>
    <hyperlink ref="B108" r:id="rId20" xr:uid="{00000000-0004-0000-0000-000013000000}"/>
    <hyperlink ref="B109" r:id="rId21" xr:uid="{00000000-0004-0000-0000-000014000000}"/>
    <hyperlink ref="B110" r:id="rId22" xr:uid="{00000000-0004-0000-0000-000015000000}"/>
    <hyperlink ref="B111" r:id="rId23" xr:uid="{00000000-0004-0000-0000-000016000000}"/>
    <hyperlink ref="B112" r:id="rId24" xr:uid="{00000000-0004-0000-0000-000017000000}"/>
    <hyperlink ref="B113" r:id="rId25" xr:uid="{00000000-0004-0000-0000-000018000000}"/>
    <hyperlink ref="B114" r:id="rId26" display="https://catalogplus.tuwien.at/permalink/f/1m011kq/TN_cdi_unpaywall_primary_10_1109_tse_2021_3116808" xr:uid="{00000000-0004-0000-0000-000019000000}"/>
    <hyperlink ref="B11" r:id="rId27" xr:uid="{00000000-0004-0000-0000-00001A000000}"/>
    <hyperlink ref="B115" r:id="rId28" xr:uid="{00000000-0004-0000-0000-00001B000000}"/>
    <hyperlink ref="B116" r:id="rId29" display="https://catalogplus.tuwien.at/permalink/f/1m011kq/TN_cdi_crossref_primary_10_1109_JIOT_2021_3050676" xr:uid="{00000000-0004-0000-0000-00001C000000}"/>
    <hyperlink ref="B52" r:id="rId30" xr:uid="{00000000-0004-0000-0000-00001D000000}"/>
    <hyperlink ref="B117" r:id="rId31" display="https://catalogplus.tuwien.at/permalink/f/1m011kq/TN_cdi_crossref_primary_10_1109_JIOT_2021_3074544" xr:uid="{00000000-0004-0000-0000-00001E000000}"/>
    <hyperlink ref="B17" r:id="rId32" xr:uid="{00000000-0004-0000-0000-00001F000000}"/>
    <hyperlink ref="B118" r:id="rId33" display="https://catalogplus.tuwien.at/permalink/f/1m011kq/TN_cdi_elsevier_sciencedirect_doi_10_1016_j_autcon_2021_103926" xr:uid="{00000000-0004-0000-0000-000020000000}"/>
    <hyperlink ref="B37" r:id="rId34" xr:uid="{00000000-0004-0000-0000-000023000000}"/>
    <hyperlink ref="B119" r:id="rId35" xr:uid="{00000000-0004-0000-0000-000024000000}"/>
    <hyperlink ref="B120" r:id="rId36" xr:uid="{00000000-0004-0000-0000-000025000000}"/>
    <hyperlink ref="B121" r:id="rId37" xr:uid="{00000000-0004-0000-0000-000026000000}"/>
    <hyperlink ref="B122" r:id="rId38" xr:uid="{00000000-0004-0000-0000-000027000000}"/>
    <hyperlink ref="B123" r:id="rId39" xr:uid="{00000000-0004-0000-0000-000028000000}"/>
    <hyperlink ref="B124" r:id="rId40" xr:uid="{00000000-0004-0000-0000-000029000000}"/>
    <hyperlink ref="B125" r:id="rId41" xr:uid="{00000000-0004-0000-0000-00002A000000}"/>
    <hyperlink ref="B126" r:id="rId42" xr:uid="{00000000-0004-0000-0000-00002B000000}"/>
    <hyperlink ref="B22" r:id="rId43" xr:uid="{00000000-0004-0000-0000-00002C000000}"/>
    <hyperlink ref="B127" r:id="rId44" xr:uid="{00000000-0004-0000-0000-00002D000000}"/>
    <hyperlink ref="B128" r:id="rId45" xr:uid="{00000000-0004-0000-0000-00002E000000}"/>
    <hyperlink ref="B129" r:id="rId46" xr:uid="{00000000-0004-0000-0000-00002F000000}"/>
    <hyperlink ref="B130" r:id="rId47" xr:uid="{00000000-0004-0000-0000-000030000000}"/>
    <hyperlink ref="B88" r:id="rId48" xr:uid="{00000000-0004-0000-0000-000031000000}"/>
    <hyperlink ref="B13" r:id="rId49" xr:uid="{BF799F18-4FDE-463F-B510-B9270CFE513C}"/>
    <hyperlink ref="B34" r:id="rId50" xr:uid="{59D9F789-D8F1-4D5B-81DA-B9F0F61C11A7}"/>
    <hyperlink ref="B97" r:id="rId51" xr:uid="{D439A0EC-952C-40AF-A994-DDDC7C7A160D}"/>
    <hyperlink ref="B53" r:id="rId52" xr:uid="{9180BC10-E12D-409A-A1D5-1B11317BE2A8}"/>
    <hyperlink ref="B26" r:id="rId53" xr:uid="{4E449C11-88C5-469B-A544-58054876EBA3}"/>
    <hyperlink ref="B91" r:id="rId54" xr:uid="{EFBCD79A-4E29-4207-954A-6050155D30D8}"/>
    <hyperlink ref="B30" r:id="rId55" xr:uid="{F68113BF-E1C6-47B3-89D2-3F71353FE2E6}"/>
    <hyperlink ref="B54" r:id="rId56" xr:uid="{013D8561-F024-44EA-9282-26AE1189A624}"/>
    <hyperlink ref="B55" r:id="rId57" xr:uid="{9BC714F2-601E-48B1-BA37-ED4E7072E2B7}"/>
    <hyperlink ref="B56" r:id="rId58" xr:uid="{E29E7AF8-E6CD-4378-BBF3-1C0516440E95}"/>
    <hyperlink ref="B57" r:id="rId59" xr:uid="{4B849F20-F895-4952-93B5-3A601A49E987}"/>
    <hyperlink ref="B84" r:id="rId60" xr:uid="{68D62D28-3D08-44E7-A71E-8A57BA55ED8F}"/>
    <hyperlink ref="B16" r:id="rId61" xr:uid="{9F1595DB-14D9-411D-87C2-7EDD75C28CEB}"/>
    <hyperlink ref="B58" r:id="rId62" xr:uid="{1DA6E07B-F4FC-4971-88C4-F1F8A273A227}"/>
    <hyperlink ref="B59" r:id="rId63" xr:uid="{C7162E06-4524-4F94-98E5-86C5DA53230F}"/>
    <hyperlink ref="B60" r:id="rId64" xr:uid="{0B24FAA8-F74F-43FE-977F-34193365E31B}"/>
    <hyperlink ref="B61" r:id="rId65" xr:uid="{DD89E749-5C59-406B-BE6B-B607E4FDDB4F}"/>
    <hyperlink ref="B21" r:id="rId66" xr:uid="{15CE05E9-A69B-47F6-999B-58722551A81D}"/>
    <hyperlink ref="B15" r:id="rId67" xr:uid="{69535EB4-2358-46E8-A6DD-A9B54A17C19B}"/>
    <hyperlink ref="B29" r:id="rId68" xr:uid="{3F87FA20-CBE0-41EA-B925-73E80909D845}"/>
    <hyperlink ref="B62" r:id="rId69" xr:uid="{3A412149-3CA7-4B57-A976-6EFC8C269DE0}"/>
    <hyperlink ref="B63" r:id="rId70" xr:uid="{D35BCC99-D0B3-4BEE-9FAF-E9DAE5894CD2}"/>
    <hyperlink ref="B64" r:id="rId71" xr:uid="{F8FAAC4F-54D6-4B03-9F31-D590B432BEF0}"/>
    <hyperlink ref="B65" r:id="rId72" xr:uid="{985FFF19-64D5-47F6-96DF-C999E07E43B4}"/>
    <hyperlink ref="B66" r:id="rId73" xr:uid="{AAD2BA25-1EB7-4D90-B510-021D540AE4C4}"/>
    <hyperlink ref="B67" r:id="rId74" xr:uid="{39E9D5AE-2CF1-452D-AA41-FCCA77FFCF31}"/>
    <hyperlink ref="B68" r:id="rId75" xr:uid="{151BCCE3-665C-489B-92E2-C69114410A58}"/>
    <hyperlink ref="B69" r:id="rId76" xr:uid="{33248E1D-6117-4975-ADCE-3B283F2FEEE7}"/>
    <hyperlink ref="B70" r:id="rId77" xr:uid="{C965AEC0-E72B-4520-90E0-238CA6265B61}"/>
    <hyperlink ref="B71" r:id="rId78" xr:uid="{6938FB83-3838-4770-AB35-11EF92DE44DB}"/>
    <hyperlink ref="B72" r:id="rId79" xr:uid="{B07CFAA4-2C02-43AB-A30F-A298B133BF4A}"/>
    <hyperlink ref="B73" r:id="rId80" xr:uid="{EA63CF6C-A126-40BD-9B34-1C23BACA0993}"/>
    <hyperlink ref="B74" r:id="rId81" xr:uid="{EC4BC2A7-F7B0-4BF6-8A86-68A4ABCB60F0}"/>
    <hyperlink ref="B4" r:id="rId82" xr:uid="{485044B5-DC3A-4431-8D3E-22506B35072C}"/>
    <hyperlink ref="B19" r:id="rId83" xr:uid="{24DFC4DD-BFFD-4976-9253-0B0C4EC60458}"/>
    <hyperlink ref="B31" r:id="rId84" xr:uid="{F22C7E66-7E08-4441-A633-559A51A5D57C}"/>
    <hyperlink ref="B36" r:id="rId85" xr:uid="{07D34004-F198-4650-B8AE-17D79553172F}"/>
    <hyperlink ref="B75" r:id="rId86" xr:uid="{69A8F604-9353-4F67-ACC0-42D2140B3411}"/>
    <hyperlink ref="B76" r:id="rId87" xr:uid="{DBC6052B-28A1-4FEB-9F3E-1825A96B3240}"/>
    <hyperlink ref="B77" r:id="rId88" xr:uid="{7824A8EA-78B0-4411-A721-2FB08914DD27}"/>
    <hyperlink ref="B18" r:id="rId89" xr:uid="{E7FF4911-1C4F-4774-A2B1-BA5E78BFBC89}"/>
    <hyperlink ref="B32" r:id="rId90" xr:uid="{B5410D88-86D5-428C-B7AA-E663A073CBB6}"/>
    <hyperlink ref="B10" r:id="rId91" xr:uid="{A19842C5-FDAF-4F14-9BCE-7E2DCFD6A92E}"/>
    <hyperlink ref="B24" r:id="rId92" xr:uid="{E54C9266-EA9B-409A-AEE1-62A63BB11780}"/>
    <hyperlink ref="B85" r:id="rId93" xr:uid="{F2334BC7-DDF4-4D75-9700-C56F4043BA07}"/>
    <hyperlink ref="B25" r:id="rId94" xr:uid="{1B20224E-8765-483F-A135-58D56988D518}"/>
    <hyperlink ref="B92" r:id="rId95" xr:uid="{DD19AEFB-93F6-4CCD-AF61-64459A8D0DB1}"/>
    <hyperlink ref="B93" r:id="rId96" xr:uid="{D5E16042-F106-4DF2-948A-1228854F850E}"/>
    <hyperlink ref="B78" r:id="rId97" xr:uid="{144868E3-3741-4A69-BE14-C0189C2D98D4}"/>
    <hyperlink ref="B94" r:id="rId98" xr:uid="{6260423D-182A-4E34-8523-12C26078ABF5}"/>
    <hyperlink ref="B79" r:id="rId99" xr:uid="{27DEFFAB-A616-4108-9B53-39B00D1E0273}"/>
    <hyperlink ref="B23" r:id="rId100" xr:uid="{27F58281-1BD5-4F3E-B80F-045DA90B8FA3}"/>
    <hyperlink ref="B81" r:id="rId101" xr:uid="{F3C6CF06-0CD4-41C3-A812-D7E90DDD2EBC}"/>
    <hyperlink ref="B20" r:id="rId102" xr:uid="{96935BA7-2E06-4193-8F58-208A8201A431}"/>
    <hyperlink ref="B82" r:id="rId103" xr:uid="{0937EE87-84B1-41E3-BE0E-74E427E2C118}"/>
    <hyperlink ref="B89" r:id="rId104" xr:uid="{731FA106-9091-4934-9495-BA9B89C117C3}"/>
    <hyperlink ref="B83" r:id="rId105" xr:uid="{501289EB-C419-4833-B500-FEB964C6A977}"/>
    <hyperlink ref="B90" r:id="rId106" xr:uid="{AF87D99C-25AB-456C-AC1C-7B2349900CF6}"/>
    <hyperlink ref="B95" r:id="rId107" xr:uid="{1D832CDC-87BB-4B16-94D3-597DD477AAAF}"/>
    <hyperlink ref="B96" r:id="rId108" xr:uid="{C9480DBB-708F-496E-B152-1015828B11A5}"/>
    <hyperlink ref="B12" r:id="rId109" xr:uid="{00000000-0004-0000-0000-000021000000}"/>
    <hyperlink ref="B535" r:id="rId110" xr:uid="{9AAFA0D7-B2FD-F340-A787-3DE2834D882D}"/>
    <hyperlink ref="B536" r:id="rId111" xr:uid="{048B4EAB-F49C-D04E-8C12-FAB59DB44FD2}"/>
    <hyperlink ref="B537" r:id="rId112" xr:uid="{9D693891-E487-EE40-823B-54F69368D41D}"/>
    <hyperlink ref="B538" r:id="rId113" xr:uid="{71F778F9-9569-B647-9DE0-C85DFD46841A}"/>
    <hyperlink ref="B539" r:id="rId114" xr:uid="{420E5C4A-0B1E-7D49-86A3-7181C3187155}"/>
    <hyperlink ref="B540" r:id="rId115" xr:uid="{E3674F21-AF13-2F4A-B5EB-6CC6F470613B}"/>
    <hyperlink ref="B541" r:id="rId116" xr:uid="{92A77521-4098-E246-900D-D0AAFEA3BF09}"/>
    <hyperlink ref="B542" r:id="rId117" xr:uid="{B0D1D27B-F9E5-0F41-A0A9-880BC59FFC37}"/>
    <hyperlink ref="B543" r:id="rId118" xr:uid="{D2FFC31B-36F8-9C4C-9641-25EA8540D77E}"/>
    <hyperlink ref="B544" r:id="rId119" xr:uid="{543C9140-1EAF-6848-AA2F-43C41C0B0704}"/>
    <hyperlink ref="B545" r:id="rId120" xr:uid="{3B3EA7A1-AE22-B04A-922E-60D1F3B06CC6}"/>
    <hyperlink ref="B546" r:id="rId121" xr:uid="{15E34DD2-7216-1246-B72F-662B74A8F538}"/>
    <hyperlink ref="B547" r:id="rId122" xr:uid="{03DB1E0C-7643-564F-80E3-DA138862012C}"/>
    <hyperlink ref="B548" r:id="rId123" xr:uid="{3671D19E-02B8-9740-B512-12C0D69C195D}"/>
    <hyperlink ref="B549" r:id="rId124" xr:uid="{C6BD39CF-425F-184E-B146-5C8CDBE44607}"/>
    <hyperlink ref="B550" r:id="rId125" xr:uid="{D1B54B8F-D7F8-834C-8CC2-3BA9165F3337}"/>
    <hyperlink ref="B551" r:id="rId126" xr:uid="{A7331C1E-FDF3-C941-A1FE-4A4C4FDCC945}"/>
    <hyperlink ref="B552" r:id="rId127" xr:uid="{3E1D494C-B173-1644-BDB9-4614323ECC7E}"/>
    <hyperlink ref="B553" r:id="rId128" xr:uid="{A4543DAD-3579-414B-B24E-E2C233E90E08}"/>
    <hyperlink ref="B554" r:id="rId129" xr:uid="{1AEA6355-8168-E144-8495-E2CA47636808}"/>
    <hyperlink ref="B555" r:id="rId130" xr:uid="{61A25F56-9D81-0344-89D1-05ECB722766C}"/>
    <hyperlink ref="B556" r:id="rId131" xr:uid="{890150EE-4D2F-5445-8939-7A6E4AC1CFE6}"/>
    <hyperlink ref="B557" r:id="rId132" xr:uid="{E6A9BB9B-74E1-E440-9DA4-6E65B9765571}"/>
    <hyperlink ref="B558" r:id="rId133" xr:uid="{9162F885-B87F-664F-B2F7-672554406A81}"/>
    <hyperlink ref="B559" r:id="rId134" xr:uid="{B26C2418-F942-014F-8D89-35D4EA1528CE}"/>
    <hyperlink ref="B560" r:id="rId135" xr:uid="{2CF2CD4E-DC3A-4941-89BF-926D53F2B898}"/>
    <hyperlink ref="B561" r:id="rId136" xr:uid="{C6691786-8AD2-4E4E-B1A9-008FB8A97A07}"/>
    <hyperlink ref="B562" r:id="rId137" xr:uid="{AF43CADD-3A4F-4E42-8E8A-1ECB9B8FE437}"/>
    <hyperlink ref="B563" r:id="rId138" xr:uid="{E74508B9-811D-944C-9D32-17D785559AB3}"/>
    <hyperlink ref="B564" r:id="rId139" xr:uid="{84F9EFB7-FC36-C04E-9EF0-002790C2FB71}"/>
    <hyperlink ref="B565" r:id="rId140" xr:uid="{856876FB-0DCD-C64B-80D1-5BD44FB2212A}"/>
    <hyperlink ref="B566" r:id="rId141" xr:uid="{C2964A29-73D7-784B-A126-53D89B22CBC9}"/>
    <hyperlink ref="B567" r:id="rId142" xr:uid="{99AC7C72-EB34-614A-AE63-5F17DA07A0F8}"/>
    <hyperlink ref="B568" r:id="rId143" xr:uid="{C8B3158C-7DA9-BA42-9B86-EDC4651A18BE}"/>
    <hyperlink ref="B39" r:id="rId144" xr:uid="{3CD4D313-3C18-D744-B1DB-702F15D85D1A}"/>
    <hyperlink ref="B569" r:id="rId145" xr:uid="{352A86FC-0B03-B845-9759-ECE190E3F0AA}"/>
    <hyperlink ref="B570" r:id="rId146" xr:uid="{731F7EE5-D134-A848-8E95-AD4BF736E670}"/>
    <hyperlink ref="B571" r:id="rId147" xr:uid="{2ADA5275-88F8-4746-B609-00867CA9642E}"/>
    <hyperlink ref="B572" r:id="rId148" xr:uid="{394A7D13-B6D6-1A40-8C18-EEA422C18CAF}"/>
    <hyperlink ref="B573" r:id="rId149" xr:uid="{28E37852-680B-7841-9C44-1365B3DD430F}"/>
    <hyperlink ref="B574" r:id="rId150" xr:uid="{F1D6CB21-2950-E443-82ED-133343FA1B60}"/>
    <hyperlink ref="B575" r:id="rId151" xr:uid="{C2114DCB-5C47-0642-967C-D0AEE6D018A5}"/>
    <hyperlink ref="B576" r:id="rId152" xr:uid="{5B538AE8-A2F4-4B4A-9B4A-1A596FA790E2}"/>
    <hyperlink ref="B40" r:id="rId153" xr:uid="{595ADD80-9657-FF40-A659-A50280E5E17F}"/>
    <hyperlink ref="B577" r:id="rId154" xr:uid="{FFD2B1F1-64F2-764E-87F8-FA416DEE96AB}"/>
    <hyperlink ref="B578" r:id="rId155" xr:uid="{F83AF716-A200-294E-A855-649021875744}"/>
    <hyperlink ref="B579" r:id="rId156" xr:uid="{0B34D17C-4208-084E-85C0-BAE962DD95D6}"/>
    <hyperlink ref="B580" r:id="rId157" xr:uid="{DB643F63-835E-D847-B52E-E65A155C98A4}"/>
    <hyperlink ref="B581" r:id="rId158" xr:uid="{91C27F6B-1045-B747-A9B3-FE1138502ED8}"/>
    <hyperlink ref="B582" r:id="rId159" xr:uid="{6E342771-2D8D-074D-9CD9-EFAF9281ECB0}"/>
    <hyperlink ref="B41" r:id="rId160" xr:uid="{CB0D95C5-79A0-B740-BA92-BE3B4C636BE3}"/>
    <hyperlink ref="B583" r:id="rId161" xr:uid="{B9546281-7945-9A46-9845-B1DBE15163F6}"/>
    <hyperlink ref="B42" r:id="rId162" xr:uid="{9B8E6D24-93FB-164F-B7F1-F46CDD106B9D}"/>
    <hyperlink ref="B584" r:id="rId163" xr:uid="{42684446-9837-8940-A0B1-82BC8A004B57}"/>
    <hyperlink ref="B585" r:id="rId164" xr:uid="{F643C3B2-8305-8E42-B6D0-DAC595433824}"/>
    <hyperlink ref="B586" r:id="rId165" xr:uid="{C59B766D-0097-1C44-9E86-F182B301EC70}"/>
    <hyperlink ref="B587" r:id="rId166" xr:uid="{AA463CAB-C298-D641-9AE5-F8F27A46F2B4}"/>
    <hyperlink ref="B43" r:id="rId167" xr:uid="{AA3116DF-92AF-D24B-B364-B4E6D2E03B69}"/>
    <hyperlink ref="B588" r:id="rId168" xr:uid="{726E6CF1-E945-B946-B3A9-1E247D1CB1D2}"/>
    <hyperlink ref="B589" r:id="rId169" xr:uid="{6A4C491E-68A4-FB47-9E5D-33DBE25916F4}"/>
    <hyperlink ref="B590" r:id="rId170" xr:uid="{C8D6BAE1-B00B-1241-BF14-D07E00FC8C78}"/>
    <hyperlink ref="B591" r:id="rId171" xr:uid="{4C80AB51-CFDD-AE42-8D76-BF234CDE8097}"/>
    <hyperlink ref="B592" r:id="rId172" xr:uid="{6BC163DC-E59E-3142-BD0A-D8893B13214F}"/>
    <hyperlink ref="B593" r:id="rId173" xr:uid="{63DAD88A-E00E-5648-B601-0D1F161BE5CC}"/>
    <hyperlink ref="B594" r:id="rId174" xr:uid="{47FDC89E-9CED-3B4C-B3DF-944B495112C3}"/>
    <hyperlink ref="B595" r:id="rId175" xr:uid="{4F7F0192-F8C2-8244-B3EA-4909D6014D9D}"/>
    <hyperlink ref="B596" r:id="rId176" xr:uid="{D8582161-3670-114D-BC24-07D4F3F4CD65}"/>
    <hyperlink ref="B597" r:id="rId177" xr:uid="{8C57BA00-EAF5-2542-9830-FF095E4D1B7B}"/>
    <hyperlink ref="B598" r:id="rId178" xr:uid="{6C8A2D14-8C1D-2948-99A8-E94808E54F34}"/>
    <hyperlink ref="B599" r:id="rId179" xr:uid="{A553AE0F-95EF-A44B-861D-AEBBE88DFC31}"/>
    <hyperlink ref="B600" r:id="rId180" xr:uid="{892F1F9C-538F-D045-A97D-672B5D0819FA}"/>
    <hyperlink ref="B601" r:id="rId181" xr:uid="{ABAAF086-996E-554E-B3B1-CE2D15BF4102}"/>
    <hyperlink ref="B602" r:id="rId182" xr:uid="{98AB6F4F-999E-DE41-93F5-7CADBE7EC2FF}"/>
    <hyperlink ref="B603" r:id="rId183" xr:uid="{7558B3F3-0A04-BA41-8833-CE466A4766EB}"/>
    <hyperlink ref="B604" r:id="rId184" xr:uid="{8B6B8C1A-C618-454F-A4DB-16D948D52E53}"/>
    <hyperlink ref="B605" r:id="rId185" xr:uid="{8E88E37A-4A83-6A42-A714-FFB56A79C494}"/>
    <hyperlink ref="B606" r:id="rId186" xr:uid="{547A2745-047A-DC4D-AC5E-2F4846AEB768}"/>
    <hyperlink ref="B607" r:id="rId187" xr:uid="{484BC10E-E1CC-2E47-B2C1-EC78F092B2A3}"/>
    <hyperlink ref="B608" r:id="rId188" xr:uid="{72D9E3C9-13C5-6342-9385-A05CB5B801DE}"/>
    <hyperlink ref="B609" r:id="rId189" xr:uid="{7C4F3D86-83E9-F547-AEF5-81FFA0A8C0E7}"/>
    <hyperlink ref="B610" r:id="rId190" xr:uid="{F4550C97-30FB-5A40-9D5D-55AA3ABFD10D}"/>
    <hyperlink ref="B611" r:id="rId191" xr:uid="{720D5795-4202-2D4A-8D7D-5652013F0A96}"/>
    <hyperlink ref="B612" r:id="rId192" xr:uid="{7285AC7C-34F7-404A-B599-A3CA5DE87B4C}"/>
    <hyperlink ref="B613" r:id="rId193" xr:uid="{EBEECD80-3F34-864D-A7BD-E3E2E0C8690E}"/>
    <hyperlink ref="B614" r:id="rId194" xr:uid="{81020BB1-99FB-C94C-B866-526838BD1ED3}"/>
    <hyperlink ref="B615" r:id="rId195" xr:uid="{C8FD4271-45CE-E746-BEAE-A74BA78D93FF}"/>
    <hyperlink ref="B616" r:id="rId196" xr:uid="{0AB79C7A-C0B1-BC45-8DB0-7213B54799EE}"/>
    <hyperlink ref="B617" r:id="rId197" xr:uid="{96FB6E8B-B03B-8E4F-9049-B2E8266306D3}"/>
    <hyperlink ref="B618" r:id="rId198" xr:uid="{13BE0279-1E27-D841-846F-051AF008F954}"/>
    <hyperlink ref="B619" r:id="rId199" xr:uid="{26E7D149-4748-D449-BEFB-DFC0FDCF95E5}"/>
    <hyperlink ref="B44" r:id="rId200" xr:uid="{BD4AF88D-0814-844C-828B-7266DAC1E818}"/>
    <hyperlink ref="B620" r:id="rId201" xr:uid="{202395AD-7885-A045-8DD3-742A5CF06CB8}"/>
    <hyperlink ref="B621" r:id="rId202" xr:uid="{A7109488-9EC4-3544-AF6B-03B171C20416}"/>
    <hyperlink ref="B622" r:id="rId203" xr:uid="{15048E1B-5B55-694E-BAC4-413475235DB8}"/>
    <hyperlink ref="B623" r:id="rId204" xr:uid="{E06A4D71-4112-1942-8EAC-37F07ABD44BB}"/>
    <hyperlink ref="B624" r:id="rId205" xr:uid="{9FAA8C1F-2111-414D-A7E6-9B7B12D5C641}"/>
    <hyperlink ref="B625" r:id="rId206" xr:uid="{668DD862-BF0C-B94C-90C3-DD81726918EC}"/>
    <hyperlink ref="B626" r:id="rId207" xr:uid="{8CB55195-D47E-894B-A8EC-01A3DF6DBD31}"/>
    <hyperlink ref="B627" r:id="rId208" xr:uid="{B2E2F1A2-D3EF-CB43-8860-26491EFDF997}"/>
    <hyperlink ref="B628" r:id="rId209" xr:uid="{D3F729EC-8063-5742-BF0F-FA3C5C5E9CCF}"/>
    <hyperlink ref="B629" r:id="rId210" xr:uid="{ADBE4D21-6E0D-7D40-B08A-89059F64B8F9}"/>
    <hyperlink ref="B630" r:id="rId211" xr:uid="{4BF1C1B0-DDA5-0E46-A4F8-F634CD641116}"/>
    <hyperlink ref="B631" r:id="rId212" xr:uid="{5DBFC7CD-A691-FE4B-8B05-36FE9F8392AB}"/>
    <hyperlink ref="B45" r:id="rId213" xr:uid="{182DF950-156A-D044-8D3A-9492D1F2C215}"/>
    <hyperlink ref="B632" r:id="rId214" xr:uid="{9F1BA30E-5735-614F-B9CD-1B4D34F44F6E}"/>
    <hyperlink ref="B633" r:id="rId215" xr:uid="{65109D98-76A5-244A-91D5-ED5C76186782}"/>
    <hyperlink ref="B634" r:id="rId216" xr:uid="{523E9CE2-BC8A-434D-A257-84F027941165}"/>
    <hyperlink ref="B635" r:id="rId217" xr:uid="{94F2B733-A9B2-DC4D-A3A9-33DAEE868C71}"/>
    <hyperlink ref="B636" r:id="rId218" xr:uid="{8423B0F5-061B-3F45-AED0-BDE186734A01}"/>
    <hyperlink ref="B637" r:id="rId219" xr:uid="{B73097B8-4DD2-3F4A-B2AF-F001954DF08D}"/>
    <hyperlink ref="B638" r:id="rId220" xr:uid="{F3A74DC4-2FA2-5646-80B1-EFC5E64F1EAB}"/>
    <hyperlink ref="B639" r:id="rId221" xr:uid="{2FEE84EA-2ED2-3847-A1A3-09247FE23678}"/>
    <hyperlink ref="B640" r:id="rId222" xr:uid="{79E5A020-E13C-B14E-99CD-D4C980FA301B}"/>
    <hyperlink ref="B641" r:id="rId223" xr:uid="{996420AB-1EE1-084E-A6A5-C1FBF5CFA9E4}"/>
    <hyperlink ref="B642" r:id="rId224" xr:uid="{60820631-9B77-6C47-A932-C02FD9238AD6}"/>
    <hyperlink ref="B643" r:id="rId225" xr:uid="{1EFD9DC8-A946-D64D-9635-C64C39BF3754}"/>
    <hyperlink ref="B644" r:id="rId226" xr:uid="{7C804CB5-B6EA-184A-81B4-EC438814D037}"/>
    <hyperlink ref="B645" r:id="rId227" xr:uid="{58FD89E0-E06A-B447-AE8F-39C1953AA830}"/>
    <hyperlink ref="B646" r:id="rId228" xr:uid="{FB5FBE25-E253-9E42-A492-55F13479C3A8}"/>
    <hyperlink ref="B647" r:id="rId229" xr:uid="{7DF8B29A-01C9-0C4D-A4E1-FADC3721BAA1}"/>
    <hyperlink ref="B648" r:id="rId230" xr:uid="{D4D71B1C-55DE-534E-AFA7-F46585BD1C48}"/>
    <hyperlink ref="B649" r:id="rId231" xr:uid="{552ED999-1B4C-704B-B943-E2A279143386}"/>
    <hyperlink ref="B650" r:id="rId232" xr:uid="{168FFD7E-A729-3349-A84B-84E4B36ADB83}"/>
    <hyperlink ref="B651" r:id="rId233" xr:uid="{ADD331A7-89A4-BB47-B41E-0292239AFA51}"/>
    <hyperlink ref="B652" r:id="rId234" xr:uid="{9A797732-67CB-9F43-BF2F-3E3626527405}"/>
    <hyperlink ref="B653" r:id="rId235" xr:uid="{18631A3E-8B80-9944-91D4-2A22CDDBA75B}"/>
    <hyperlink ref="B654" r:id="rId236" xr:uid="{098C0065-DAAC-754A-B6E6-9FDB85043E8F}"/>
    <hyperlink ref="B655" r:id="rId237" xr:uid="{DF57782A-19A5-C546-B2B4-DA4169DF32BA}"/>
    <hyperlink ref="B656" r:id="rId238" xr:uid="{9DEF3C5B-7C83-1246-A315-574390C8E3E0}"/>
    <hyperlink ref="B657" r:id="rId239" xr:uid="{1E6A7056-1BBB-B440-8999-F4759812B56F}"/>
    <hyperlink ref="B658" r:id="rId240" xr:uid="{68100A57-8C03-8443-9497-2D4458F9EB1A}"/>
    <hyperlink ref="B659" r:id="rId241" xr:uid="{63CF3E56-D8B6-D942-B95F-BACF4ADF0921}"/>
    <hyperlink ref="B660" r:id="rId242" xr:uid="{E56514A7-D9AE-AF41-93ED-F6463612352D}"/>
    <hyperlink ref="B661" r:id="rId243" xr:uid="{0CBF7377-E71B-A64F-B6CC-606FB63D824B}"/>
    <hyperlink ref="B662" r:id="rId244" xr:uid="{D8C0058A-7E32-094B-9DEC-7918CC043460}"/>
    <hyperlink ref="B46" r:id="rId245" xr:uid="{F9332B8A-FFBC-C54F-B4FE-FB85B1D88D74}"/>
    <hyperlink ref="B663" r:id="rId246" xr:uid="{7375D47F-205F-2945-961F-A25B5B6DE4F0}"/>
    <hyperlink ref="B664" r:id="rId247" xr:uid="{8C801CC7-6E78-5949-A1CF-8D6728E5CD8A}"/>
    <hyperlink ref="B665" r:id="rId248" xr:uid="{D5968764-2099-8945-BA0E-B0B95EC13B66}"/>
    <hyperlink ref="B666" r:id="rId249" xr:uid="{7C683A05-2A3E-E542-BC11-E80CECDE91D3}"/>
    <hyperlink ref="B667" r:id="rId250" xr:uid="{ACB0B08A-7BE1-AC4B-BF0C-0B1ED1C7D71F}"/>
    <hyperlink ref="B668" r:id="rId251" xr:uid="{F2F8F010-2E00-5240-924A-DC445B83BA87}"/>
    <hyperlink ref="B669" r:id="rId252" xr:uid="{3AB35D81-0036-C446-8C86-320F3BAD889D}"/>
    <hyperlink ref="B670" r:id="rId253" xr:uid="{CE5D9C13-3F54-B245-AF02-FB933CD7F879}"/>
    <hyperlink ref="B671" r:id="rId254" xr:uid="{7B9D3FBF-4C52-B84E-848C-40DB4979E6E0}"/>
    <hyperlink ref="B672" r:id="rId255" xr:uid="{45638BA2-0006-A645-9C17-B5401D225C0C}"/>
    <hyperlink ref="B673" r:id="rId256" xr:uid="{5331A8BB-3E39-4D44-9895-5736FBE6F371}"/>
    <hyperlink ref="B674" r:id="rId257" xr:uid="{1B6166C5-E18B-1E40-A1DB-BE8B6F3AB137}"/>
    <hyperlink ref="B675" r:id="rId258" xr:uid="{3B89A97D-5909-D044-9E84-46817BA68BBF}"/>
    <hyperlink ref="B676" r:id="rId259" xr:uid="{4D53E6FC-460D-D143-9522-EA6642042A6D}"/>
    <hyperlink ref="B677" r:id="rId260" xr:uid="{03294BA3-5B03-9A4D-9C93-23C7B46503C8}"/>
    <hyperlink ref="B678" r:id="rId261" xr:uid="{59069208-584F-444A-8A94-D83DB891322F}"/>
    <hyperlink ref="B679" r:id="rId262" xr:uid="{BF88991D-88ED-F740-ABDE-54025E37F110}"/>
    <hyperlink ref="B680" r:id="rId263" xr:uid="{51BB5EDF-E6AF-BE42-BBA6-8B3DAF9D312F}"/>
    <hyperlink ref="B681" r:id="rId264" xr:uid="{42333EB8-943F-4245-9C69-D99755A9D79E}"/>
    <hyperlink ref="B682" r:id="rId265" xr:uid="{436925AC-B9AC-B94A-8C39-4721F1737A0F}"/>
    <hyperlink ref="B683" r:id="rId266" xr:uid="{DD25E2E7-43E0-7D47-9CB3-CB44E0A6BD81}"/>
    <hyperlink ref="B684" r:id="rId267" xr:uid="{336A6AFB-6FC5-6B40-B350-54AA6F55661C}"/>
    <hyperlink ref="B685" r:id="rId268" xr:uid="{334A883F-23A5-5348-B6D2-0A8AF9E80B1A}"/>
    <hyperlink ref="B686" r:id="rId269" xr:uid="{9E179EDD-78F3-8144-A7EE-A9F84E48AD14}"/>
    <hyperlink ref="B687" r:id="rId270" xr:uid="{3890A350-C942-C742-8383-564F0FEC15DF}"/>
    <hyperlink ref="B688" r:id="rId271" xr:uid="{9DA9A32A-6CFE-1C4B-9A57-B6F04B55B92A}"/>
    <hyperlink ref="B689" r:id="rId272" xr:uid="{AA2B0660-D813-D54F-8FB7-CA2DCA2F472C}"/>
    <hyperlink ref="B690" r:id="rId273" xr:uid="{327380CD-EB1B-D149-A3D9-4F996CACD78F}"/>
    <hyperlink ref="B691" r:id="rId274" xr:uid="{69996153-EB7C-9040-BC42-2944374415C2}"/>
    <hyperlink ref="B692" r:id="rId275" xr:uid="{A8EE9831-818E-C646-ABC4-435EB0B30E56}"/>
    <hyperlink ref="B693" r:id="rId276" xr:uid="{90CE4CD8-7BFF-3146-B054-8F09D37DBB68}"/>
    <hyperlink ref="B694" r:id="rId277" xr:uid="{D8C2E71A-83BC-CE4F-922C-94BA01FBA3BE}"/>
    <hyperlink ref="B695" r:id="rId278" xr:uid="{9B5B0E77-473F-EA45-8F14-6DCF63D3C5E7}"/>
    <hyperlink ref="B696" r:id="rId279" xr:uid="{F3BD41C5-0997-4C4A-B21E-BE45BD72B3BC}"/>
    <hyperlink ref="B697" r:id="rId280" xr:uid="{BA7A74BB-1A18-D149-8FDA-34C05B44A192}"/>
    <hyperlink ref="B698" r:id="rId281" xr:uid="{1A63868D-704B-174C-9F0F-C2DA73E161FF}"/>
    <hyperlink ref="B699" r:id="rId282" xr:uid="{94C3E015-F7A3-C148-BC8F-47463B1008EF}"/>
    <hyperlink ref="B700" r:id="rId283" xr:uid="{7DABBCAF-4CDD-3F48-8781-B24DFA4EEF1D}"/>
    <hyperlink ref="B701" r:id="rId284" xr:uid="{6B88B872-BCA6-8142-AD48-847C8545AC6A}"/>
    <hyperlink ref="B702" r:id="rId285" xr:uid="{83EC66D0-4D06-8947-B366-187B64ED17C2}"/>
    <hyperlink ref="B703" r:id="rId286" xr:uid="{20855535-90A1-3640-96DF-898DDA9584A6}"/>
    <hyperlink ref="B47" r:id="rId287" xr:uid="{899DB572-6619-3048-9303-011B41AF20AC}"/>
    <hyperlink ref="B704" r:id="rId288" xr:uid="{10616F49-2473-BB48-8744-7F8B233186E8}"/>
    <hyperlink ref="B705" r:id="rId289" xr:uid="{D0415B56-44FA-F34F-8A2C-70DEEDC12E1D}"/>
    <hyperlink ref="B706" r:id="rId290" xr:uid="{1B9C9C1B-E130-B84E-9F1B-DFA788F664C9}"/>
    <hyperlink ref="B707" r:id="rId291" xr:uid="{13DEF85A-F1DC-6E4D-B542-150B428064DF}"/>
    <hyperlink ref="B708" r:id="rId292" xr:uid="{99806AAB-3A60-D041-A99B-42E5F0AA55EA}"/>
    <hyperlink ref="B709" r:id="rId293" xr:uid="{D25C37EB-4F22-1248-BEB6-3CCF4C952539}"/>
    <hyperlink ref="B710" r:id="rId294" xr:uid="{B20664A8-A95A-B142-BECF-751378A9D1D5}"/>
    <hyperlink ref="B711" r:id="rId295" xr:uid="{4C52BF32-EC66-C048-9957-159E0742C5F9}"/>
    <hyperlink ref="B712" r:id="rId296" xr:uid="{2C2B2EB3-FB1D-304B-AC14-E3DDBCC2F59B}"/>
    <hyperlink ref="B713" r:id="rId297" xr:uid="{373F6BA3-49F7-8245-9262-BED7C589FACB}"/>
    <hyperlink ref="B714" r:id="rId298" xr:uid="{079C990C-0893-8948-8AFA-77B76FF42A97}"/>
    <hyperlink ref="B715" r:id="rId299" xr:uid="{D592C43C-C8C6-DD4F-9FDB-8D9E8FAB1B1F}"/>
    <hyperlink ref="B716" r:id="rId300" xr:uid="{6856B5AC-D7FE-4745-9F30-357769A23252}"/>
    <hyperlink ref="B717" r:id="rId301" xr:uid="{9ADF9A24-F33C-314F-909F-56B06BB2AD59}"/>
    <hyperlink ref="B718" r:id="rId302" xr:uid="{7DEBCE47-9BC9-BE46-8D90-91FD66B6B874}"/>
    <hyperlink ref="B719" r:id="rId303" xr:uid="{6CAAFC8F-B504-D24C-A904-DA211B736E12}"/>
    <hyperlink ref="B720" r:id="rId304" xr:uid="{225E8D32-B2B1-B34A-BB4F-2A02E2220224}"/>
    <hyperlink ref="B721" r:id="rId305" xr:uid="{2621D809-BEAE-0F4D-8DAF-833353CDC1DA}"/>
    <hyperlink ref="B722" r:id="rId306" xr:uid="{C82E3478-AD82-C143-9EA3-4FB40D68F345}"/>
    <hyperlink ref="B723" r:id="rId307" xr:uid="{C8F47044-63BB-A444-BF91-8BA644B2E440}"/>
    <hyperlink ref="B724" r:id="rId308" xr:uid="{FB2546D1-7B6E-A348-8F12-ACB1BE72EF69}"/>
    <hyperlink ref="B725" r:id="rId309" xr:uid="{A2D66F50-890D-6E41-B9A2-E6F2929AC941}"/>
    <hyperlink ref="B726" r:id="rId310" xr:uid="{B4602DDA-BB71-0249-B828-A444B34FBFE2}"/>
    <hyperlink ref="B727" r:id="rId311" xr:uid="{CEE8AE32-DA31-C14B-92B3-BE6FA68C7627}"/>
    <hyperlink ref="B728" r:id="rId312" xr:uid="{9EF6DA70-F5C4-1C4C-B10E-0945AC802A43}"/>
    <hyperlink ref="B729" r:id="rId313" xr:uid="{9A6DE8CC-146A-2046-A370-022FFE6955E0}"/>
    <hyperlink ref="B730" r:id="rId314" xr:uid="{D878CE05-E120-BB41-A7F9-CBAA3CDAEB18}"/>
    <hyperlink ref="B731" r:id="rId315" xr:uid="{500962E7-2027-234F-9097-297A915146D3}"/>
    <hyperlink ref="B732" r:id="rId316" xr:uid="{FFBBDC38-B26B-5042-B535-F7898DB7161A}"/>
    <hyperlink ref="B733" r:id="rId317" xr:uid="{A7FD3180-2B32-B949-A571-A68218802E56}"/>
    <hyperlink ref="B734" r:id="rId318" xr:uid="{D0615E36-185A-EF45-AA44-1F2BCF79272A}"/>
    <hyperlink ref="B735" r:id="rId319" xr:uid="{27D36CDA-DABB-A345-8E9C-D451CB094430}"/>
    <hyperlink ref="B736" r:id="rId320" xr:uid="{4CD4527E-0FEC-0643-9BCF-FBA434F352D3}"/>
    <hyperlink ref="B737" r:id="rId321" xr:uid="{F2912E65-A1C8-5A41-8659-B7CABDB5E884}"/>
    <hyperlink ref="B738" r:id="rId322" xr:uid="{F04B39B4-F14F-564E-AEC7-5520745C2F82}"/>
    <hyperlink ref="B739" r:id="rId323" xr:uid="{CD6EB0A7-B592-5547-9A0B-0B2CA9FB9929}"/>
    <hyperlink ref="B740" r:id="rId324" xr:uid="{F61137C2-195E-764C-B73B-7EB86C19F0CB}"/>
    <hyperlink ref="B741" r:id="rId325" xr:uid="{8F0CDB97-25C0-1E4F-85B1-1301F050275A}"/>
    <hyperlink ref="B742" r:id="rId326" xr:uid="{6DB24F58-69F0-2145-A293-886113C55504}"/>
    <hyperlink ref="B743" r:id="rId327" xr:uid="{9B135446-9ED7-D642-BD77-D7A0D163AA7B}"/>
    <hyperlink ref="B744" r:id="rId328" xr:uid="{31348445-6FC7-3E4C-82CD-496758F56A11}"/>
    <hyperlink ref="B745" r:id="rId329" xr:uid="{4C850539-BCD4-3846-B6DF-F9F84756EF45}"/>
    <hyperlink ref="B746" r:id="rId330" xr:uid="{FAF2BE5B-82A9-EA43-82E8-13E80F5F4773}"/>
    <hyperlink ref="B747" r:id="rId331" xr:uid="{13B57197-6F1E-2347-87D2-3C28369A4389}"/>
    <hyperlink ref="B748" r:id="rId332" xr:uid="{F0370D56-B6FF-094A-94AD-C9B61969B74A}"/>
    <hyperlink ref="B749" r:id="rId333" xr:uid="{E4303A13-BF71-E547-9629-FA92EAD2CCF1}"/>
    <hyperlink ref="B750" r:id="rId334" xr:uid="{7CC89813-C366-AB4D-B344-074733023372}"/>
    <hyperlink ref="B751" r:id="rId335" xr:uid="{23BE4801-4416-8E47-A772-75E1ED6C9825}"/>
    <hyperlink ref="B752" r:id="rId336" xr:uid="{84AAE2D7-2E9D-B64C-80E5-86BFAE22F6BD}"/>
    <hyperlink ref="B753" r:id="rId337" xr:uid="{F8565195-4393-8249-B8BD-8AB4E0AD786E}"/>
    <hyperlink ref="B754" r:id="rId338" xr:uid="{1F9E88EF-FC31-FF40-9F70-CD87C4669136}"/>
    <hyperlink ref="B755" r:id="rId339" xr:uid="{1A13A623-5B1F-5545-926D-E7E1D1E5D7D8}"/>
    <hyperlink ref="B756" r:id="rId340" xr:uid="{1935D663-F7CB-8B43-B188-CF215CAE740E}"/>
    <hyperlink ref="B757" r:id="rId341" xr:uid="{5C956BD2-7111-014D-A5E2-9BF6CC7C4D63}"/>
    <hyperlink ref="B758" r:id="rId342" xr:uid="{F1C2290E-C7D0-FB46-A26B-45075BE3F136}"/>
    <hyperlink ref="B759" r:id="rId343" xr:uid="{0E74DF73-695C-6B4D-81C3-0A1CC75EEF93}"/>
    <hyperlink ref="B760" r:id="rId344" xr:uid="{0FCEE9F1-C13E-3044-BD2F-554324801DC3}"/>
    <hyperlink ref="B761" r:id="rId345" xr:uid="{4C95C70D-053C-F34A-9D74-894650F1DFF9}"/>
    <hyperlink ref="B762" r:id="rId346" xr:uid="{9EA4D8F4-7E10-8248-AE34-E6AB04B9180C}"/>
    <hyperlink ref="B763" r:id="rId347" xr:uid="{46DA0D6E-D388-DA49-8A2F-F577132AA9B0}"/>
    <hyperlink ref="B764" r:id="rId348" xr:uid="{97648128-A23C-214E-A322-A0DB9E3CDB8B}"/>
    <hyperlink ref="B765" r:id="rId349" xr:uid="{B3F7AA48-15E5-9C4A-A017-F3254343CD96}"/>
    <hyperlink ref="B766" r:id="rId350" xr:uid="{2ECA986A-52A1-8647-96E2-FBF0265FF79A}"/>
    <hyperlink ref="B767" r:id="rId351" xr:uid="{AAEDC6E7-61FA-5B4D-914C-79BA64C79B8E}"/>
    <hyperlink ref="B768" r:id="rId352" xr:uid="{319CAC4B-2A91-F045-8748-9BD710BC1172}"/>
    <hyperlink ref="B769" r:id="rId353" xr:uid="{285D9581-1AA5-A94D-94B4-FFFD24A5FBD2}"/>
    <hyperlink ref="B770" r:id="rId354" xr:uid="{AAFA0CF4-7C44-E143-9BF9-90EFF8B39740}"/>
    <hyperlink ref="B771" r:id="rId355" xr:uid="{68217D73-C41D-1143-AC84-1FF3B400772C}"/>
    <hyperlink ref="B772" r:id="rId356" xr:uid="{1B5A382B-5D32-9947-B086-372A5A67FB3D}"/>
    <hyperlink ref="B773" r:id="rId357" xr:uid="{5C2AC612-AC23-2849-ABF3-28F866D5834A}"/>
    <hyperlink ref="B774" r:id="rId358" xr:uid="{8D7A4821-F3E9-5D42-8A8B-5451A2F4FEB0}"/>
    <hyperlink ref="B775" r:id="rId359" xr:uid="{835CCF76-9093-5846-AF4C-E737342931D5}"/>
    <hyperlink ref="B48" r:id="rId360" xr:uid="{4493C2B8-8FD1-7A43-93DB-A32C3915FBA0}"/>
    <hyperlink ref="B776" r:id="rId361" xr:uid="{8B5B793C-2C79-FC4E-9D82-AFD6E8AFCE90}"/>
    <hyperlink ref="B777" r:id="rId362" xr:uid="{D421DC7B-0E42-A340-A49C-3ED870758BDB}"/>
    <hyperlink ref="B778" r:id="rId363" xr:uid="{3EDD2728-7204-C14B-8061-883CF0383926}"/>
    <hyperlink ref="B779" r:id="rId364" xr:uid="{D0D9C74B-7AF2-7B44-8631-3040C6091AFE}"/>
    <hyperlink ref="B780" r:id="rId365" xr:uid="{B74C891A-C213-D040-BC81-22F6A0557DEE}"/>
    <hyperlink ref="B781" r:id="rId366" xr:uid="{F1E2039A-0E72-1E44-B614-7BEBAAF10FA1}"/>
    <hyperlink ref="B782" r:id="rId367" xr:uid="{015916F1-6655-1140-A7DC-9D130083C299}"/>
    <hyperlink ref="B783" r:id="rId368" xr:uid="{F669A6BB-83E7-9341-B304-8F26846058FD}"/>
    <hyperlink ref="B784" r:id="rId369" xr:uid="{2531C499-79EB-6944-B9E9-5412056A2856}"/>
    <hyperlink ref="B785" r:id="rId370" xr:uid="{2C2341C7-05EA-A341-8D74-60BC944117FF}"/>
    <hyperlink ref="B786" r:id="rId371" xr:uid="{545E3481-AE04-0B4E-B6FC-18B6C864F3F4}"/>
    <hyperlink ref="B787" r:id="rId372" xr:uid="{805902E8-281D-9041-B403-38EAF1DD761B}"/>
    <hyperlink ref="B788" r:id="rId373" xr:uid="{BF6F9366-4794-DE41-882D-95FC2BC14A2D}"/>
    <hyperlink ref="B49" r:id="rId374" xr:uid="{5372316D-4B1B-094C-A0E4-1ED5821E25D9}"/>
    <hyperlink ref="B789" r:id="rId375" xr:uid="{DBC6687C-7672-3742-BDA6-C45804DB0911}"/>
    <hyperlink ref="B790" r:id="rId376" xr:uid="{81DB93CD-2352-C548-A5A1-F3771BE9D6DE}"/>
    <hyperlink ref="B791" r:id="rId377" xr:uid="{9B434FB2-E02E-A849-A86E-8D443EFA070B}"/>
    <hyperlink ref="B792" r:id="rId378" xr:uid="{B4552B45-D316-A54A-9546-AD41CBC0CE60}"/>
    <hyperlink ref="B793" r:id="rId379" xr:uid="{FDA529F9-D3E6-A244-9A21-0F0184B434D4}"/>
    <hyperlink ref="B794" r:id="rId380" xr:uid="{B634F5DF-98CF-4D4C-AE77-007DE7AFAAF2}"/>
    <hyperlink ref="B795" r:id="rId381" xr:uid="{B3606B54-8B22-F042-BF95-3BC07549E9F7}"/>
    <hyperlink ref="B796" r:id="rId382" xr:uid="{7079E7AC-FB86-C541-AC42-790DFB256D99}"/>
    <hyperlink ref="B797" r:id="rId383" xr:uid="{A49ECC9F-0CF3-3242-99F8-644C8BA6EB49}"/>
    <hyperlink ref="B798" r:id="rId384" xr:uid="{AB4C2069-E119-A049-95C3-3469C4288139}"/>
    <hyperlink ref="B799" r:id="rId385" xr:uid="{07B0CEB4-DBC5-EA4A-B390-BF9CBA0CC231}"/>
    <hyperlink ref="B800" r:id="rId386" xr:uid="{A98DCFE8-6678-7D42-81C9-FD88687EE218}"/>
    <hyperlink ref="B801" r:id="rId387" xr:uid="{3B57E530-7444-A545-83D6-611028360252}"/>
    <hyperlink ref="B802" r:id="rId388" xr:uid="{11A5CAD5-938D-644D-B9C7-188F42CB099A}"/>
    <hyperlink ref="B803" r:id="rId389" xr:uid="{80C4DA3D-E7A5-5849-9E2F-B43232CF6E8A}"/>
    <hyperlink ref="B804" r:id="rId390" xr:uid="{528E3214-0DF2-C648-A984-4F3C74A1F122}"/>
    <hyperlink ref="B805" r:id="rId391" xr:uid="{453DA145-5924-3647-ABFA-A303F6E177C1}"/>
    <hyperlink ref="B806" r:id="rId392" xr:uid="{FA8D2B1D-432D-024B-B733-019FA43A282F}"/>
    <hyperlink ref="B807" r:id="rId393" xr:uid="{10D2EA8E-0D26-A045-B603-7E6ED1A271E5}"/>
    <hyperlink ref="B808" r:id="rId394" xr:uid="{6D7D0689-78DC-3942-9324-CA5CC05AB669}"/>
    <hyperlink ref="B809" r:id="rId395" xr:uid="{7E68583B-56E2-9944-B0EE-3D035A9D1E9D}"/>
    <hyperlink ref="B810" r:id="rId396" xr:uid="{E6F22609-A7E3-274D-A439-71E086623657}"/>
    <hyperlink ref="B811" r:id="rId397" xr:uid="{52A995BE-2E4E-2B4E-BAE0-A439B1BA96B8}"/>
    <hyperlink ref="B812" r:id="rId398" xr:uid="{CE527319-77D2-5243-918F-62DD694F9221}"/>
    <hyperlink ref="B813" r:id="rId399" xr:uid="{22BFF391-A99B-8C46-A3E3-75A08E9615F0}"/>
    <hyperlink ref="B814" r:id="rId400" xr:uid="{D20B0C09-5A2A-9F47-AA54-FA9614B1CDE5}"/>
    <hyperlink ref="B815" r:id="rId401" xr:uid="{747BD27E-409F-9D46-9E22-7FA94DB71764}"/>
    <hyperlink ref="B816" r:id="rId402" xr:uid="{645F7DBF-25AE-7242-9DCE-C39C76058FEA}"/>
    <hyperlink ref="B817" r:id="rId403" xr:uid="{31509824-1978-224B-8E0E-1D038CE2CDDE}"/>
    <hyperlink ref="B818" r:id="rId404" xr:uid="{77DFD8EA-2E15-B34F-87F5-43C593EF5FD7}"/>
    <hyperlink ref="B819" r:id="rId405" xr:uid="{1546DB14-AF6B-DA41-9D56-676964928118}"/>
    <hyperlink ref="B820" r:id="rId406" xr:uid="{95DF4AF7-FE6B-4547-A1D7-E046F40A310A}"/>
    <hyperlink ref="B821" r:id="rId407" xr:uid="{F3A75E00-2817-8746-A8B6-7DC199BA62FD}"/>
    <hyperlink ref="B822" r:id="rId408" xr:uid="{B30C4671-4AF5-FA46-A2DA-24B0A5CDE0BA}"/>
    <hyperlink ref="B823" r:id="rId409" xr:uid="{B723B815-A0CA-0C44-8E7A-D184E7C0B797}"/>
    <hyperlink ref="B824" r:id="rId410" xr:uid="{3701B319-9E3E-6A41-BD52-0A3E0AD60231}"/>
    <hyperlink ref="B825" r:id="rId411" xr:uid="{A34A17D6-B7A5-6543-983A-4179DCC11DB2}"/>
    <hyperlink ref="B826" r:id="rId412" xr:uid="{8D961327-4A2D-CD46-A6FC-B117879D2936}"/>
    <hyperlink ref="B827" r:id="rId413" xr:uid="{EA225CC9-1C31-8248-B757-06A7DF13C2DC}"/>
    <hyperlink ref="B828" r:id="rId414" xr:uid="{462660C4-55FF-1241-AC76-1E97F8BFC0E0}"/>
    <hyperlink ref="B829" r:id="rId415" xr:uid="{839260DC-33FD-244C-B8F0-82A5C005F0E2}"/>
    <hyperlink ref="B830" r:id="rId416" xr:uid="{4958A226-E03C-FD40-B749-6702DAEDB4DB}"/>
    <hyperlink ref="B831" r:id="rId417" xr:uid="{5D578A30-76D2-B84B-953F-C08ABC5C0A8D}"/>
    <hyperlink ref="B832" r:id="rId418" xr:uid="{34324FFE-EF17-8746-9A9A-44C768CF4594}"/>
    <hyperlink ref="B833" r:id="rId419" xr:uid="{EB27DEBB-D64F-864E-B65D-8B09386920D1}"/>
    <hyperlink ref="B834" r:id="rId420" xr:uid="{2A39DE97-1383-3B4F-AF47-533BEC649763}"/>
    <hyperlink ref="B835" r:id="rId421" xr:uid="{2A771AC7-981D-204E-86C4-84B3092AC0CD}"/>
    <hyperlink ref="B836" r:id="rId422" xr:uid="{AD4DD91C-CE53-3F44-B765-DE971F0CA430}"/>
    <hyperlink ref="B837" r:id="rId423" xr:uid="{157E5A11-9939-394E-968B-C8BE4AAA8FDF}"/>
    <hyperlink ref="B838" r:id="rId424" xr:uid="{06A65AA3-8830-8D41-8322-2C3E827099FC}"/>
    <hyperlink ref="B839" r:id="rId425" xr:uid="{DA59EC44-3B6B-9A44-A6DB-4A6306985505}"/>
    <hyperlink ref="B840" r:id="rId426" xr:uid="{A5D8F132-157D-8E46-B8CA-71FF19F72D20}"/>
    <hyperlink ref="B841" r:id="rId427" xr:uid="{3532905F-B2EE-9749-8DB1-2DF88DCBF7E8}"/>
    <hyperlink ref="B842" r:id="rId428" xr:uid="{AF431186-B140-A042-B1B7-2349C2B62B1A}"/>
    <hyperlink ref="B843" r:id="rId429" xr:uid="{6A99776E-0197-9A47-BD87-4A0C2BE40319}"/>
    <hyperlink ref="B844" r:id="rId430" xr:uid="{D91BD69E-1137-A04D-BD7A-0DA4B3C3D243}"/>
    <hyperlink ref="B845" r:id="rId431" xr:uid="{2BB34028-5254-5646-AADF-367EDCF355FF}"/>
    <hyperlink ref="B846" r:id="rId432" xr:uid="{22D666B7-08E8-D64D-B758-A92C988A4D27}"/>
    <hyperlink ref="B847" r:id="rId433" xr:uid="{7DCA8F5A-116B-DC42-9B63-A8F782C81197}"/>
    <hyperlink ref="B848" r:id="rId434" xr:uid="{DA58F195-00ED-A240-A8A7-7058BD33C7DF}"/>
    <hyperlink ref="B849" r:id="rId435" xr:uid="{3F648ED1-5826-9644-A4FD-8CD60DD1495C}"/>
    <hyperlink ref="B850" r:id="rId436" xr:uid="{3BFE53CE-588F-F54F-A1FD-D22DA5DD4532}"/>
    <hyperlink ref="B851" r:id="rId437" xr:uid="{32BA1308-9302-194B-AB47-6435BC846938}"/>
    <hyperlink ref="B852" r:id="rId438" xr:uid="{C102EA49-01E6-5F48-AF69-AFAEC12AF2F6}"/>
    <hyperlink ref="B853" r:id="rId439" xr:uid="{A7D0C308-FEC9-EC40-9085-2FB0FBC971FA}"/>
    <hyperlink ref="B854" r:id="rId440" xr:uid="{125F1E90-F812-244E-ADB0-B3129046B9BF}"/>
    <hyperlink ref="B855" r:id="rId441" xr:uid="{66DBF7EA-82A2-9646-9EC7-1D434426C182}"/>
    <hyperlink ref="B856" r:id="rId442" xr:uid="{413B3A9B-29EE-6844-86D7-AF80DD7ED2FB}"/>
    <hyperlink ref="B857" r:id="rId443" xr:uid="{E564407D-2CE9-9B41-8B3D-BF401217BBA0}"/>
    <hyperlink ref="B858" r:id="rId444" xr:uid="{2DD4F44C-80ED-8843-9D57-ADF818F1AB17}"/>
    <hyperlink ref="B859" r:id="rId445" xr:uid="{82EE6818-2DA5-4D40-BFC3-1D323C3DFD4B}"/>
    <hyperlink ref="B860" r:id="rId446" xr:uid="{7615546D-7EEC-DA4D-BAFA-E7D5980C454E}"/>
    <hyperlink ref="B861" r:id="rId447" xr:uid="{4D3B74AF-771E-094A-BB28-F8AB993A8A43}"/>
    <hyperlink ref="B862" r:id="rId448" xr:uid="{C292D557-4DB3-B64F-9434-3502CB387BCE}"/>
    <hyperlink ref="B50" r:id="rId449" xr:uid="{BD431B28-99DF-A840-8007-5D92BAECA4DB}"/>
    <hyperlink ref="B863" r:id="rId450" xr:uid="{127971A1-AA0A-4B4C-9A2F-CD948CBF14A6}"/>
    <hyperlink ref="B864" r:id="rId451" xr:uid="{A2653AB3-E3A6-6B45-8FCA-33283A4330BA}"/>
    <hyperlink ref="B865" r:id="rId452" xr:uid="{B477230E-1847-E344-A38D-0628AA31EAC1}"/>
    <hyperlink ref="B866" r:id="rId453" xr:uid="{7F558358-C5AE-3240-A4A2-1F18AEEB44B1}"/>
    <hyperlink ref="B867" r:id="rId454" xr:uid="{94BF8350-CF3F-404E-893D-DC7132DAEA2D}"/>
    <hyperlink ref="B868" r:id="rId455" xr:uid="{C30B3A4E-CCE2-4442-A1A3-7F01CCAC9864}"/>
    <hyperlink ref="B869" r:id="rId456" xr:uid="{D40E5AEF-79CB-A14F-A4A8-FA8381E8F2D1}"/>
    <hyperlink ref="B870" r:id="rId457" xr:uid="{D57EAF3C-4037-204A-AE20-8A83B96C4D79}"/>
    <hyperlink ref="B871" r:id="rId458" xr:uid="{6A500501-69B7-A74A-8E52-087CBAAE3AE4}"/>
    <hyperlink ref="B872" r:id="rId459" xr:uid="{D7E1A00C-2394-2A4B-8E1C-40088B60CC41}"/>
  </hyperlinks>
  <pageMargins left="0.7" right="0.7" top="0.75" bottom="0.75" header="0.3" footer="0.3"/>
  <pageSetup paperSize="9" orientation="portrait" r:id="rId46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DDB0E-E43E-414C-AC9C-D1B8B4298D4A}">
  <dimension ref="A1:S153"/>
  <sheetViews>
    <sheetView zoomScaleNormal="85" workbookViewId="0">
      <selection activeCell="V50" sqref="V50"/>
    </sheetView>
  </sheetViews>
  <sheetFormatPr baseColWidth="10" defaultColWidth="8.83203125" defaultRowHeight="15" x14ac:dyDescent="0.2"/>
  <cols>
    <col min="1" max="1" width="78.6640625" customWidth="1"/>
    <col min="2" max="2" width="17.6640625" style="4" customWidth="1"/>
    <col min="3" max="3" width="6.1640625" customWidth="1"/>
    <col min="4" max="5" width="4.6640625" bestFit="1" customWidth="1"/>
    <col min="6" max="6" width="3.6640625" bestFit="1" customWidth="1"/>
    <col min="7" max="7" width="6.33203125" customWidth="1"/>
    <col min="8" max="8" width="3.6640625" bestFit="1" customWidth="1"/>
    <col min="9" max="9" width="6.33203125" customWidth="1"/>
    <col min="10" max="10" width="3.6640625" bestFit="1" customWidth="1"/>
    <col min="11" max="11" width="7.6640625" bestFit="1" customWidth="1"/>
    <col min="12" max="12" width="7.33203125" bestFit="1" customWidth="1"/>
    <col min="13" max="13" width="14.83203125" customWidth="1"/>
    <col min="14" max="14" width="19.33203125" customWidth="1"/>
    <col min="15" max="15" width="9.5" style="11" bestFit="1" customWidth="1"/>
    <col min="16" max="17" width="9.5" style="7" bestFit="1" customWidth="1"/>
  </cols>
  <sheetData>
    <row r="1" spans="1:19" x14ac:dyDescent="0.2">
      <c r="A1" s="97" t="s">
        <v>0</v>
      </c>
      <c r="B1" s="58" t="s">
        <v>1</v>
      </c>
      <c r="C1" s="58" t="s">
        <v>2</v>
      </c>
      <c r="D1" s="58" t="s">
        <v>3</v>
      </c>
      <c r="E1" s="58" t="s">
        <v>4</v>
      </c>
      <c r="F1" s="58" t="s">
        <v>5</v>
      </c>
      <c r="G1" s="58" t="s">
        <v>6</v>
      </c>
      <c r="H1" s="58" t="s">
        <v>7</v>
      </c>
      <c r="I1" s="58" t="s">
        <v>8</v>
      </c>
      <c r="J1" s="58" t="s">
        <v>9</v>
      </c>
      <c r="K1" s="58" t="s">
        <v>10</v>
      </c>
      <c r="L1" s="58" t="s">
        <v>11</v>
      </c>
      <c r="M1" s="58" t="s">
        <v>12</v>
      </c>
      <c r="N1" s="58" t="s">
        <v>13</v>
      </c>
      <c r="O1" s="64" t="s">
        <v>14</v>
      </c>
      <c r="P1" s="71" t="s">
        <v>15</v>
      </c>
      <c r="Q1" s="71" t="s">
        <v>16</v>
      </c>
      <c r="R1" s="58" t="s">
        <v>17</v>
      </c>
      <c r="S1" s="1"/>
    </row>
    <row r="2" spans="1:19" x14ac:dyDescent="0.2">
      <c r="A2" t="s">
        <v>1425</v>
      </c>
      <c r="B2" s="10" t="s">
        <v>1426</v>
      </c>
      <c r="C2" t="s">
        <v>20</v>
      </c>
      <c r="D2" s="5">
        <v>1</v>
      </c>
      <c r="E2" s="5">
        <v>1</v>
      </c>
      <c r="L2" s="2" t="s">
        <v>25</v>
      </c>
      <c r="M2" t="s">
        <v>21</v>
      </c>
      <c r="N2" t="s">
        <v>3738</v>
      </c>
      <c r="O2" s="11">
        <v>1</v>
      </c>
      <c r="P2" s="7">
        <f>(D2+E2)/2</f>
        <v>1</v>
      </c>
      <c r="Q2" s="7">
        <f t="shared" ref="Q2:Q16" si="0">(O2+P2)/2</f>
        <v>1</v>
      </c>
      <c r="R2">
        <f t="shared" ref="R2:R33" si="1">IF(_xlfn.BITAND(P2&gt;0.4999, Q2&gt;0.4999)=1,1,0)</f>
        <v>1</v>
      </c>
    </row>
    <row r="3" spans="1:19" x14ac:dyDescent="0.2">
      <c r="A3" t="s">
        <v>793</v>
      </c>
      <c r="B3" s="10" t="s">
        <v>794</v>
      </c>
      <c r="C3" t="s">
        <v>201</v>
      </c>
      <c r="D3" s="5">
        <f>Info!$B$16</f>
        <v>1</v>
      </c>
      <c r="E3" s="5">
        <f>Info!$B$19</f>
        <v>1</v>
      </c>
      <c r="F3" s="5">
        <f>Info!$B$24</f>
        <v>1</v>
      </c>
      <c r="G3" s="5">
        <f>Info!$B$31</f>
        <v>0.3</v>
      </c>
      <c r="H3" s="5">
        <f>Info!$B$36</f>
        <v>0.3</v>
      </c>
      <c r="I3" s="5">
        <f>Info!$B$40</f>
        <v>0</v>
      </c>
      <c r="J3" s="5">
        <f>Info!$B$44</f>
        <v>0</v>
      </c>
      <c r="L3">
        <v>2</v>
      </c>
      <c r="M3" t="s">
        <v>32</v>
      </c>
      <c r="N3" t="s">
        <v>795</v>
      </c>
      <c r="O3" s="11">
        <v>0.8</v>
      </c>
      <c r="P3" s="7">
        <f>(D3+E3+F3+G3+H3+I3+J3)/6</f>
        <v>0.6</v>
      </c>
      <c r="Q3" s="7">
        <f t="shared" si="0"/>
        <v>0.7</v>
      </c>
      <c r="R3">
        <f t="shared" si="1"/>
        <v>1</v>
      </c>
    </row>
    <row r="4" spans="1:19" x14ac:dyDescent="0.2">
      <c r="A4" t="s">
        <v>832</v>
      </c>
      <c r="B4" s="10" t="s">
        <v>833</v>
      </c>
      <c r="C4" t="s">
        <v>20</v>
      </c>
      <c r="D4" s="5">
        <f>Info!$B$48</f>
        <v>1</v>
      </c>
      <c r="E4" s="5">
        <f>Info!$B$53</f>
        <v>1</v>
      </c>
      <c r="F4" s="5"/>
      <c r="G4" s="5"/>
      <c r="H4" s="5"/>
      <c r="I4" s="5"/>
      <c r="J4" s="5"/>
      <c r="L4" s="2" t="s">
        <v>25</v>
      </c>
      <c r="M4" t="s">
        <v>32</v>
      </c>
      <c r="N4" t="s">
        <v>834</v>
      </c>
      <c r="O4" s="11">
        <v>0.2</v>
      </c>
      <c r="P4" s="7">
        <f t="shared" ref="P4:P14" si="2">(D4+E4)/2</f>
        <v>1</v>
      </c>
      <c r="Q4" s="7">
        <f t="shared" si="0"/>
        <v>0.6</v>
      </c>
      <c r="R4">
        <f t="shared" si="1"/>
        <v>1</v>
      </c>
    </row>
    <row r="5" spans="1:19" x14ac:dyDescent="0.2">
      <c r="A5" t="s">
        <v>3706</v>
      </c>
      <c r="B5" s="10" t="s">
        <v>3732</v>
      </c>
      <c r="C5" t="s">
        <v>20</v>
      </c>
      <c r="D5" s="5">
        <v>0.3</v>
      </c>
      <c r="E5" s="5">
        <v>1</v>
      </c>
      <c r="L5" s="2" t="s">
        <v>25</v>
      </c>
      <c r="M5" t="s">
        <v>21</v>
      </c>
      <c r="N5" t="s">
        <v>86</v>
      </c>
      <c r="O5" s="72">
        <v>1</v>
      </c>
      <c r="P5" s="7">
        <f t="shared" si="2"/>
        <v>0.65</v>
      </c>
      <c r="Q5" s="7">
        <f t="shared" si="0"/>
        <v>0.82499999999999996</v>
      </c>
      <c r="R5">
        <f t="shared" si="1"/>
        <v>1</v>
      </c>
    </row>
    <row r="6" spans="1:19" x14ac:dyDescent="0.2">
      <c r="A6" t="s">
        <v>3699</v>
      </c>
      <c r="B6" s="10" t="s">
        <v>3735</v>
      </c>
      <c r="C6" t="s">
        <v>20</v>
      </c>
      <c r="D6" s="5">
        <v>0</v>
      </c>
      <c r="E6">
        <v>1</v>
      </c>
      <c r="L6" s="2" t="s">
        <v>25</v>
      </c>
      <c r="M6" t="s">
        <v>32</v>
      </c>
      <c r="N6" t="s">
        <v>3736</v>
      </c>
      <c r="O6" s="11">
        <v>0.8</v>
      </c>
      <c r="P6" s="7">
        <f t="shared" si="2"/>
        <v>0.5</v>
      </c>
      <c r="Q6" s="7">
        <f t="shared" si="0"/>
        <v>0.65</v>
      </c>
      <c r="R6">
        <f t="shared" si="1"/>
        <v>1</v>
      </c>
    </row>
    <row r="7" spans="1:19" x14ac:dyDescent="0.2">
      <c r="A7" t="s">
        <v>3705</v>
      </c>
      <c r="B7" s="10" t="s">
        <v>3734</v>
      </c>
      <c r="C7" t="s">
        <v>20</v>
      </c>
      <c r="D7" s="5">
        <v>0</v>
      </c>
      <c r="E7" s="5">
        <v>1</v>
      </c>
      <c r="L7" s="2" t="s">
        <v>25</v>
      </c>
      <c r="M7" t="s">
        <v>21</v>
      </c>
      <c r="N7" t="s">
        <v>3531</v>
      </c>
      <c r="O7" s="72">
        <v>1</v>
      </c>
      <c r="P7" s="7">
        <f t="shared" si="2"/>
        <v>0.5</v>
      </c>
      <c r="Q7" s="7">
        <f t="shared" si="0"/>
        <v>0.75</v>
      </c>
      <c r="R7">
        <f t="shared" si="1"/>
        <v>1</v>
      </c>
    </row>
    <row r="8" spans="1:19" x14ac:dyDescent="0.2">
      <c r="A8" t="s">
        <v>3695</v>
      </c>
      <c r="B8" s="10" t="s">
        <v>3728</v>
      </c>
      <c r="C8" t="s">
        <v>20</v>
      </c>
      <c r="D8">
        <v>0</v>
      </c>
      <c r="E8">
        <v>1</v>
      </c>
      <c r="L8">
        <v>1.2</v>
      </c>
      <c r="M8" t="s">
        <v>21</v>
      </c>
      <c r="N8" t="s">
        <v>3729</v>
      </c>
      <c r="O8" s="11">
        <v>0.8</v>
      </c>
      <c r="P8" s="7">
        <f t="shared" si="2"/>
        <v>0.5</v>
      </c>
      <c r="Q8" s="7">
        <f t="shared" si="0"/>
        <v>0.65</v>
      </c>
      <c r="R8">
        <f t="shared" si="1"/>
        <v>1</v>
      </c>
    </row>
    <row r="9" spans="1:19" x14ac:dyDescent="0.2">
      <c r="A9" t="s">
        <v>3710</v>
      </c>
      <c r="B9" s="52" t="s">
        <v>3711</v>
      </c>
      <c r="C9" t="s">
        <v>20</v>
      </c>
      <c r="D9" s="5">
        <v>1</v>
      </c>
      <c r="E9" s="5">
        <v>1</v>
      </c>
      <c r="L9" s="2" t="s">
        <v>25</v>
      </c>
      <c r="M9" t="s">
        <v>32</v>
      </c>
      <c r="N9" t="s">
        <v>3722</v>
      </c>
      <c r="O9" s="11">
        <v>1</v>
      </c>
      <c r="P9" s="7">
        <f t="shared" si="2"/>
        <v>1</v>
      </c>
      <c r="Q9" s="7">
        <f t="shared" si="0"/>
        <v>1</v>
      </c>
      <c r="R9">
        <f t="shared" si="1"/>
        <v>1</v>
      </c>
    </row>
    <row r="10" spans="1:19" x14ac:dyDescent="0.2">
      <c r="A10" t="s">
        <v>838</v>
      </c>
      <c r="B10" s="10" t="s">
        <v>839</v>
      </c>
      <c r="C10" t="s">
        <v>20</v>
      </c>
      <c r="D10" s="5">
        <f>Info!$B$48</f>
        <v>1</v>
      </c>
      <c r="E10" s="5">
        <f>Info!$B$53</f>
        <v>1</v>
      </c>
      <c r="F10" s="5"/>
      <c r="G10" s="5"/>
      <c r="H10" s="5"/>
      <c r="I10" s="5"/>
      <c r="J10" s="5"/>
      <c r="L10">
        <v>2</v>
      </c>
      <c r="M10" t="s">
        <v>32</v>
      </c>
      <c r="N10" t="s">
        <v>840</v>
      </c>
      <c r="O10" s="11">
        <v>0.5</v>
      </c>
      <c r="P10" s="7">
        <f t="shared" si="2"/>
        <v>1</v>
      </c>
      <c r="Q10" s="7">
        <f t="shared" si="0"/>
        <v>0.75</v>
      </c>
      <c r="R10">
        <f t="shared" si="1"/>
        <v>1</v>
      </c>
    </row>
    <row r="11" spans="1:19" x14ac:dyDescent="0.2">
      <c r="A11" t="s">
        <v>3719</v>
      </c>
      <c r="B11" s="52" t="s">
        <v>3720</v>
      </c>
      <c r="C11" t="s">
        <v>20</v>
      </c>
      <c r="D11" s="5">
        <v>1</v>
      </c>
      <c r="E11" s="5">
        <v>1</v>
      </c>
      <c r="L11" s="2" t="s">
        <v>25</v>
      </c>
      <c r="M11" t="s">
        <v>80</v>
      </c>
      <c r="N11" t="s">
        <v>115</v>
      </c>
      <c r="O11" s="11">
        <v>0.2</v>
      </c>
      <c r="P11" s="7">
        <f t="shared" si="2"/>
        <v>1</v>
      </c>
      <c r="Q11" s="7">
        <f t="shared" si="0"/>
        <v>0.6</v>
      </c>
      <c r="R11">
        <f t="shared" si="1"/>
        <v>1</v>
      </c>
    </row>
    <row r="12" spans="1:19" x14ac:dyDescent="0.2">
      <c r="A12" t="s">
        <v>827</v>
      </c>
      <c r="B12" s="10" t="s">
        <v>828</v>
      </c>
      <c r="C12" t="s">
        <v>20</v>
      </c>
      <c r="D12" s="5">
        <f>Info!$B$51</f>
        <v>0</v>
      </c>
      <c r="E12" s="5">
        <f>Info!$B$53</f>
        <v>1</v>
      </c>
      <c r="F12" s="5"/>
      <c r="G12" s="5"/>
      <c r="H12" s="5"/>
      <c r="I12" s="5"/>
      <c r="J12" s="5"/>
      <c r="L12" s="2" t="s">
        <v>25</v>
      </c>
      <c r="M12" t="s">
        <v>32</v>
      </c>
      <c r="N12" t="s">
        <v>829</v>
      </c>
      <c r="O12" s="11">
        <v>1</v>
      </c>
      <c r="P12" s="7">
        <f t="shared" si="2"/>
        <v>0.5</v>
      </c>
      <c r="Q12" s="7">
        <f t="shared" si="0"/>
        <v>0.75</v>
      </c>
      <c r="R12">
        <f t="shared" si="1"/>
        <v>1</v>
      </c>
    </row>
    <row r="13" spans="1:19" x14ac:dyDescent="0.2">
      <c r="A13" t="s">
        <v>3712</v>
      </c>
      <c r="B13" s="10" t="s">
        <v>3737</v>
      </c>
      <c r="C13" t="s">
        <v>20</v>
      </c>
      <c r="D13" s="5">
        <v>1</v>
      </c>
      <c r="E13" s="5">
        <v>1</v>
      </c>
      <c r="L13" s="2" t="s">
        <v>25</v>
      </c>
      <c r="M13" t="s">
        <v>32</v>
      </c>
      <c r="N13" t="s">
        <v>3723</v>
      </c>
      <c r="O13" s="11">
        <v>1</v>
      </c>
      <c r="P13" s="7">
        <f t="shared" si="2"/>
        <v>1</v>
      </c>
      <c r="Q13" s="7">
        <f t="shared" si="0"/>
        <v>1</v>
      </c>
      <c r="R13">
        <f t="shared" si="1"/>
        <v>1</v>
      </c>
    </row>
    <row r="14" spans="1:19" x14ac:dyDescent="0.2">
      <c r="A14" t="s">
        <v>899</v>
      </c>
      <c r="B14" s="10" t="s">
        <v>900</v>
      </c>
      <c r="C14" t="s">
        <v>20</v>
      </c>
      <c r="D14">
        <v>1</v>
      </c>
      <c r="E14">
        <v>1</v>
      </c>
      <c r="L14">
        <v>3</v>
      </c>
      <c r="M14" t="s">
        <v>32</v>
      </c>
      <c r="N14" t="s">
        <v>3835</v>
      </c>
      <c r="O14" s="5"/>
      <c r="P14">
        <f t="shared" si="2"/>
        <v>1</v>
      </c>
      <c r="Q14" s="7">
        <f t="shared" si="0"/>
        <v>0.5</v>
      </c>
      <c r="R14">
        <f t="shared" si="1"/>
        <v>1</v>
      </c>
    </row>
    <row r="15" spans="1:19" x14ac:dyDescent="0.2">
      <c r="A15" t="s">
        <v>901</v>
      </c>
      <c r="B15" s="10" t="s">
        <v>902</v>
      </c>
      <c r="D15" s="5">
        <f>Info!$B$17</f>
        <v>0</v>
      </c>
      <c r="E15" s="5">
        <f>Info!$B$30</f>
        <v>0.6</v>
      </c>
      <c r="F15" s="5">
        <f>Info!$B$31</f>
        <v>0.3</v>
      </c>
      <c r="G15" s="5">
        <f>Info!$B$20</f>
        <v>0.6</v>
      </c>
      <c r="H15" s="5">
        <v>1</v>
      </c>
      <c r="I15" s="5">
        <f>Info!$B$39</f>
        <v>1</v>
      </c>
      <c r="J15" s="5">
        <f>Info!$B$44</f>
        <v>0</v>
      </c>
      <c r="L15">
        <v>3</v>
      </c>
      <c r="M15" t="s">
        <v>32</v>
      </c>
      <c r="N15" t="s">
        <v>3837</v>
      </c>
      <c r="O15" s="11">
        <v>1</v>
      </c>
      <c r="P15" s="7">
        <f>(D15+E15+F15+G15+H15+I15+J15)/7</f>
        <v>0.5</v>
      </c>
      <c r="Q15" s="7">
        <f t="shared" si="0"/>
        <v>0.75</v>
      </c>
      <c r="R15">
        <f t="shared" si="1"/>
        <v>1</v>
      </c>
    </row>
    <row r="16" spans="1:19" x14ac:dyDescent="0.2">
      <c r="A16" t="s">
        <v>874</v>
      </c>
      <c r="B16" s="10" t="s">
        <v>875</v>
      </c>
      <c r="C16" t="s">
        <v>20</v>
      </c>
      <c r="D16" s="5">
        <f>Info!$B$48</f>
        <v>1</v>
      </c>
      <c r="E16" s="5">
        <f>Info!$B$53</f>
        <v>1</v>
      </c>
      <c r="F16" s="5"/>
      <c r="G16" s="5"/>
      <c r="H16" s="5"/>
      <c r="I16" s="5"/>
      <c r="J16" s="5"/>
      <c r="L16">
        <v>1.2</v>
      </c>
      <c r="M16" t="s">
        <v>32</v>
      </c>
      <c r="N16" t="s">
        <v>876</v>
      </c>
      <c r="O16" s="11">
        <v>0.5</v>
      </c>
      <c r="P16" s="7">
        <f>(D16+E16)/2</f>
        <v>1</v>
      </c>
      <c r="Q16" s="7">
        <f t="shared" si="0"/>
        <v>0.75</v>
      </c>
      <c r="R16">
        <f t="shared" si="1"/>
        <v>1</v>
      </c>
    </row>
    <row r="17" spans="1:18" x14ac:dyDescent="0.2">
      <c r="A17" t="s">
        <v>919</v>
      </c>
      <c r="B17" s="10" t="s">
        <v>920</v>
      </c>
      <c r="C17" s="55" t="s">
        <v>20</v>
      </c>
      <c r="D17" s="61">
        <v>1</v>
      </c>
      <c r="E17" s="61">
        <v>1</v>
      </c>
      <c r="F17" s="61"/>
      <c r="G17" s="61"/>
      <c r="H17" s="61"/>
      <c r="I17" s="61"/>
      <c r="J17" s="61"/>
      <c r="K17" s="55"/>
      <c r="L17" s="55"/>
      <c r="M17" s="55"/>
      <c r="N17" s="55"/>
      <c r="O17" s="61">
        <v>1</v>
      </c>
      <c r="P17" s="55">
        <v>1</v>
      </c>
      <c r="Q17" s="101">
        <v>1</v>
      </c>
      <c r="R17">
        <f t="shared" si="1"/>
        <v>1</v>
      </c>
    </row>
    <row r="18" spans="1:18" x14ac:dyDescent="0.2">
      <c r="A18" t="s">
        <v>923</v>
      </c>
      <c r="B18" s="10" t="s">
        <v>924</v>
      </c>
      <c r="C18" t="s">
        <v>20</v>
      </c>
      <c r="D18" s="5">
        <v>0.6</v>
      </c>
      <c r="E18" s="5">
        <v>1</v>
      </c>
      <c r="F18" s="5"/>
      <c r="G18" s="5"/>
      <c r="H18" s="5"/>
      <c r="I18" s="5"/>
      <c r="J18" s="5"/>
      <c r="L18">
        <v>1.2</v>
      </c>
      <c r="M18" t="s">
        <v>32</v>
      </c>
      <c r="N18" t="s">
        <v>876</v>
      </c>
      <c r="O18" s="11">
        <v>0.5</v>
      </c>
      <c r="P18" s="7">
        <f>(D18+E18)/2</f>
        <v>0.8</v>
      </c>
      <c r="Q18" s="7">
        <f>(O18+P18)/2</f>
        <v>0.65</v>
      </c>
      <c r="R18">
        <f t="shared" si="1"/>
        <v>1</v>
      </c>
    </row>
    <row r="19" spans="1:18" x14ac:dyDescent="0.2">
      <c r="A19" t="s">
        <v>937</v>
      </c>
      <c r="B19" s="10" t="s">
        <v>938</v>
      </c>
      <c r="C19" t="s">
        <v>20</v>
      </c>
      <c r="D19" s="5">
        <v>0.3</v>
      </c>
      <c r="E19" s="5">
        <v>1</v>
      </c>
      <c r="F19" s="5"/>
      <c r="G19" s="5"/>
      <c r="H19" s="5"/>
      <c r="I19" s="5"/>
      <c r="J19" s="5"/>
      <c r="L19" s="2" t="s">
        <v>25</v>
      </c>
      <c r="M19" t="s">
        <v>32</v>
      </c>
      <c r="N19" t="s">
        <v>3837</v>
      </c>
      <c r="O19" s="5">
        <v>1</v>
      </c>
      <c r="P19">
        <f>(D19+E19)/2</f>
        <v>0.65</v>
      </c>
      <c r="Q19" s="7">
        <f>(O19+P19)/2</f>
        <v>0.82499999999999996</v>
      </c>
      <c r="R19">
        <f t="shared" si="1"/>
        <v>1</v>
      </c>
    </row>
    <row r="20" spans="1:18" x14ac:dyDescent="0.2">
      <c r="A20" t="s">
        <v>866</v>
      </c>
      <c r="B20" s="10" t="s">
        <v>867</v>
      </c>
      <c r="C20" t="s">
        <v>20</v>
      </c>
      <c r="D20" s="5">
        <f>Info!$B$50</f>
        <v>0.3</v>
      </c>
      <c r="E20" s="5">
        <f>Info!$B$53</f>
        <v>1</v>
      </c>
      <c r="F20" s="5"/>
      <c r="G20" s="5"/>
      <c r="H20" s="5"/>
      <c r="I20" s="5"/>
      <c r="J20" s="5"/>
      <c r="L20">
        <v>1.2</v>
      </c>
      <c r="M20" t="s">
        <v>32</v>
      </c>
      <c r="N20" t="s">
        <v>868</v>
      </c>
      <c r="O20" s="11">
        <v>0.4</v>
      </c>
      <c r="P20" s="7">
        <f>(D20+E20)/2</f>
        <v>0.65</v>
      </c>
      <c r="Q20" s="7">
        <f>(O20+P20)/2</f>
        <v>0.52500000000000002</v>
      </c>
      <c r="R20">
        <f t="shared" si="1"/>
        <v>1</v>
      </c>
    </row>
    <row r="21" spans="1:18" x14ac:dyDescent="0.2">
      <c r="A21" t="s">
        <v>861</v>
      </c>
      <c r="B21" s="10" t="s">
        <v>862</v>
      </c>
      <c r="C21" t="s">
        <v>20</v>
      </c>
      <c r="D21" s="5">
        <f>Info!$B$51</f>
        <v>0</v>
      </c>
      <c r="E21" s="5">
        <f>Info!$B$53</f>
        <v>1</v>
      </c>
      <c r="F21" s="5"/>
      <c r="G21" s="5"/>
      <c r="H21" s="5"/>
      <c r="I21" s="5"/>
      <c r="J21" s="5"/>
      <c r="L21">
        <v>1.2</v>
      </c>
      <c r="M21" t="s">
        <v>21</v>
      </c>
      <c r="N21" t="s">
        <v>242</v>
      </c>
      <c r="O21" s="11">
        <v>0.8</v>
      </c>
      <c r="P21" s="7">
        <f>(D21+E21)/2</f>
        <v>0.5</v>
      </c>
      <c r="Q21" s="7">
        <f>(O21+P21)/2</f>
        <v>0.65</v>
      </c>
      <c r="R21">
        <f t="shared" si="1"/>
        <v>1</v>
      </c>
    </row>
    <row r="22" spans="1:18" x14ac:dyDescent="0.2">
      <c r="A22" t="s">
        <v>911</v>
      </c>
      <c r="B22" s="10" t="s">
        <v>912</v>
      </c>
      <c r="C22" t="s">
        <v>20</v>
      </c>
      <c r="D22" s="5">
        <f>Info!$B$48</f>
        <v>1</v>
      </c>
      <c r="E22" s="5">
        <v>1</v>
      </c>
      <c r="F22" s="5"/>
      <c r="G22" s="5"/>
      <c r="H22" s="5"/>
      <c r="I22" s="5"/>
      <c r="J22" s="5"/>
      <c r="L22">
        <v>1.2</v>
      </c>
      <c r="M22" t="s">
        <v>32</v>
      </c>
      <c r="N22" t="s">
        <v>3721</v>
      </c>
      <c r="O22" s="11">
        <v>1</v>
      </c>
      <c r="P22" s="7">
        <f>(D22+E22)/2</f>
        <v>1</v>
      </c>
      <c r="Q22" s="7">
        <f>(O22+P22)/2</f>
        <v>1</v>
      </c>
      <c r="R22">
        <f t="shared" si="1"/>
        <v>1</v>
      </c>
    </row>
    <row r="23" spans="1:18" x14ac:dyDescent="0.2">
      <c r="A23" t="s">
        <v>2772</v>
      </c>
      <c r="C23" s="55" t="s">
        <v>20</v>
      </c>
      <c r="D23" s="55">
        <v>1</v>
      </c>
      <c r="E23" s="55">
        <v>1</v>
      </c>
      <c r="F23" s="55"/>
      <c r="G23" s="55"/>
      <c r="H23" s="55"/>
      <c r="I23" s="55"/>
      <c r="J23" s="55"/>
      <c r="K23" s="55"/>
      <c r="L23">
        <v>1.2</v>
      </c>
      <c r="M23" s="55" t="s">
        <v>21</v>
      </c>
      <c r="N23" s="55" t="s">
        <v>3849</v>
      </c>
      <c r="O23" s="61">
        <v>1</v>
      </c>
      <c r="P23" s="55">
        <v>1</v>
      </c>
      <c r="Q23" s="101">
        <v>1</v>
      </c>
      <c r="R23">
        <f t="shared" si="1"/>
        <v>1</v>
      </c>
    </row>
    <row r="24" spans="1:18" x14ac:dyDescent="0.2">
      <c r="A24" t="s">
        <v>3715</v>
      </c>
      <c r="B24" s="52" t="s">
        <v>3716</v>
      </c>
      <c r="C24" t="s">
        <v>20</v>
      </c>
      <c r="D24" s="5">
        <v>1</v>
      </c>
      <c r="E24" s="5">
        <v>1</v>
      </c>
      <c r="L24" s="2" t="s">
        <v>25</v>
      </c>
      <c r="M24" t="s">
        <v>32</v>
      </c>
      <c r="N24" t="s">
        <v>3725</v>
      </c>
      <c r="O24" s="11">
        <v>1</v>
      </c>
      <c r="P24" s="7">
        <f t="shared" ref="P24:P31" si="3">(D24+E24)/2</f>
        <v>1</v>
      </c>
      <c r="Q24" s="7">
        <f t="shared" ref="Q24:Q55" si="4">(O24+P24)/2</f>
        <v>1</v>
      </c>
      <c r="R24">
        <f t="shared" si="1"/>
        <v>1</v>
      </c>
    </row>
    <row r="25" spans="1:18" x14ac:dyDescent="0.2">
      <c r="A25" t="s">
        <v>858</v>
      </c>
      <c r="B25" s="10" t="s">
        <v>859</v>
      </c>
      <c r="C25" t="s">
        <v>20</v>
      </c>
      <c r="D25" s="5">
        <f>Info!$B$49</f>
        <v>0.6</v>
      </c>
      <c r="E25" s="5">
        <f>Info!$B$53</f>
        <v>1</v>
      </c>
      <c r="F25" s="5"/>
      <c r="G25" s="5"/>
      <c r="H25" s="5"/>
      <c r="I25" s="5"/>
      <c r="J25" s="5"/>
      <c r="L25">
        <v>2</v>
      </c>
      <c r="M25" t="s">
        <v>32</v>
      </c>
      <c r="N25" t="s">
        <v>860</v>
      </c>
      <c r="O25" s="11">
        <v>1</v>
      </c>
      <c r="P25" s="7">
        <f t="shared" si="3"/>
        <v>0.8</v>
      </c>
      <c r="Q25" s="7">
        <f t="shared" si="4"/>
        <v>0.9</v>
      </c>
      <c r="R25">
        <f t="shared" si="1"/>
        <v>1</v>
      </c>
    </row>
    <row r="26" spans="1:18" x14ac:dyDescent="0.2">
      <c r="A26" t="s">
        <v>824</v>
      </c>
      <c r="B26" s="10" t="s">
        <v>825</v>
      </c>
      <c r="C26" t="s">
        <v>20</v>
      </c>
      <c r="D26" s="5">
        <f>Info!$B$51</f>
        <v>0</v>
      </c>
      <c r="E26" s="5">
        <f>Info!$B$53</f>
        <v>1</v>
      </c>
      <c r="F26" s="5"/>
      <c r="G26" s="5"/>
      <c r="H26" s="5"/>
      <c r="I26" s="5"/>
      <c r="J26" s="5"/>
      <c r="L26" s="2" t="s">
        <v>25</v>
      </c>
      <c r="M26" t="s">
        <v>32</v>
      </c>
      <c r="N26" t="s">
        <v>826</v>
      </c>
      <c r="O26" s="11">
        <v>0.5</v>
      </c>
      <c r="P26" s="7">
        <f t="shared" si="3"/>
        <v>0.5</v>
      </c>
      <c r="Q26" s="7">
        <f t="shared" si="4"/>
        <v>0.5</v>
      </c>
      <c r="R26">
        <f t="shared" si="1"/>
        <v>1</v>
      </c>
    </row>
    <row r="27" spans="1:18" x14ac:dyDescent="0.2">
      <c r="A27" t="s">
        <v>871</v>
      </c>
      <c r="B27" s="10" t="s">
        <v>872</v>
      </c>
      <c r="C27" t="s">
        <v>20</v>
      </c>
      <c r="D27" s="5">
        <f>Info!$B$48</f>
        <v>1</v>
      </c>
      <c r="E27" s="5">
        <f>Info!$B$53</f>
        <v>1</v>
      </c>
      <c r="F27" s="5"/>
      <c r="G27" s="5"/>
      <c r="H27" s="5"/>
      <c r="I27" s="5"/>
      <c r="J27" s="5"/>
      <c r="L27">
        <v>1.2</v>
      </c>
      <c r="M27" t="s">
        <v>32</v>
      </c>
      <c r="N27" t="s">
        <v>873</v>
      </c>
      <c r="O27" s="11">
        <v>0.4</v>
      </c>
      <c r="P27" s="7">
        <f t="shared" si="3"/>
        <v>1</v>
      </c>
      <c r="Q27" s="7">
        <f t="shared" si="4"/>
        <v>0.7</v>
      </c>
      <c r="R27">
        <f t="shared" si="1"/>
        <v>1</v>
      </c>
    </row>
    <row r="28" spans="1:18" x14ac:dyDescent="0.2">
      <c r="A28" t="s">
        <v>3180</v>
      </c>
      <c r="B28" s="10" t="s">
        <v>3727</v>
      </c>
      <c r="C28" t="s">
        <v>20</v>
      </c>
      <c r="D28">
        <v>1</v>
      </c>
      <c r="E28">
        <v>1</v>
      </c>
      <c r="L28">
        <v>1.2</v>
      </c>
      <c r="M28" t="s">
        <v>32</v>
      </c>
      <c r="N28" s="9" t="s">
        <v>3726</v>
      </c>
      <c r="O28" s="11">
        <v>0.8</v>
      </c>
      <c r="P28" s="7">
        <f t="shared" si="3"/>
        <v>1</v>
      </c>
      <c r="Q28" s="7">
        <f t="shared" si="4"/>
        <v>0.9</v>
      </c>
      <c r="R28">
        <f t="shared" si="1"/>
        <v>1</v>
      </c>
    </row>
    <row r="29" spans="1:18" x14ac:dyDescent="0.2">
      <c r="A29" t="s">
        <v>847</v>
      </c>
      <c r="B29" s="10" t="s">
        <v>848</v>
      </c>
      <c r="C29" t="s">
        <v>20</v>
      </c>
      <c r="D29" s="5">
        <f>Info!$B$48</f>
        <v>1</v>
      </c>
      <c r="E29" s="5">
        <f>Info!$B$53</f>
        <v>1</v>
      </c>
      <c r="F29" s="5"/>
      <c r="G29" s="5"/>
      <c r="H29" s="5"/>
      <c r="I29" s="5"/>
      <c r="J29" s="5"/>
      <c r="L29">
        <v>2</v>
      </c>
      <c r="M29" t="s">
        <v>32</v>
      </c>
      <c r="N29" t="s">
        <v>849</v>
      </c>
      <c r="O29" s="11">
        <v>0.4</v>
      </c>
      <c r="P29" s="7">
        <f t="shared" si="3"/>
        <v>1</v>
      </c>
      <c r="Q29" s="7">
        <f t="shared" si="4"/>
        <v>0.7</v>
      </c>
      <c r="R29">
        <f t="shared" si="1"/>
        <v>1</v>
      </c>
    </row>
    <row r="30" spans="1:18" x14ac:dyDescent="0.2">
      <c r="A30" t="s">
        <v>863</v>
      </c>
      <c r="B30" s="10" t="s">
        <v>864</v>
      </c>
      <c r="C30" t="s">
        <v>20</v>
      </c>
      <c r="D30" s="5">
        <f>Info!$B$49</f>
        <v>0.6</v>
      </c>
      <c r="E30" s="5">
        <f>Info!$B$53</f>
        <v>1</v>
      </c>
      <c r="F30" s="5"/>
      <c r="G30" s="5"/>
      <c r="H30" s="5"/>
      <c r="I30" s="5"/>
      <c r="J30" s="5"/>
      <c r="L30">
        <v>1.2</v>
      </c>
      <c r="M30" t="s">
        <v>32</v>
      </c>
      <c r="N30" t="s">
        <v>865</v>
      </c>
      <c r="O30" s="11">
        <v>0.4</v>
      </c>
      <c r="P30" s="7">
        <f t="shared" si="3"/>
        <v>0.8</v>
      </c>
      <c r="Q30" s="7">
        <f t="shared" si="4"/>
        <v>0.60000000000000009</v>
      </c>
      <c r="R30">
        <f t="shared" si="1"/>
        <v>1</v>
      </c>
    </row>
    <row r="31" spans="1:18" x14ac:dyDescent="0.2">
      <c r="A31" t="s">
        <v>3717</v>
      </c>
      <c r="B31" s="52" t="s">
        <v>3718</v>
      </c>
      <c r="C31" t="s">
        <v>20</v>
      </c>
      <c r="D31" s="5">
        <v>1</v>
      </c>
      <c r="E31" s="5">
        <v>1</v>
      </c>
      <c r="L31" s="2" t="s">
        <v>25</v>
      </c>
      <c r="M31" t="s">
        <v>80</v>
      </c>
      <c r="N31" t="s">
        <v>3724</v>
      </c>
      <c r="O31" s="11">
        <v>0.2</v>
      </c>
      <c r="P31" s="7">
        <f t="shared" si="3"/>
        <v>1</v>
      </c>
      <c r="Q31" s="7">
        <f t="shared" si="4"/>
        <v>0.6</v>
      </c>
      <c r="R31">
        <f t="shared" si="1"/>
        <v>1</v>
      </c>
    </row>
    <row r="32" spans="1:18" x14ac:dyDescent="0.2">
      <c r="A32" t="s">
        <v>791</v>
      </c>
      <c r="B32" s="10" t="s">
        <v>792</v>
      </c>
      <c r="C32" t="s">
        <v>201</v>
      </c>
      <c r="D32" s="5">
        <f>Info!$B$17</f>
        <v>0</v>
      </c>
      <c r="E32" s="5">
        <f>Info!$B$20</f>
        <v>0.6</v>
      </c>
      <c r="F32" s="5">
        <f>Info!$B$26</f>
        <v>0.3</v>
      </c>
      <c r="G32" s="5">
        <f>Info!$B$31</f>
        <v>0.3</v>
      </c>
      <c r="H32" s="5">
        <f>Info!$B$36</f>
        <v>0.3</v>
      </c>
      <c r="I32" s="5">
        <f>Info!$B$40</f>
        <v>0</v>
      </c>
      <c r="J32" s="5">
        <f>Info!$B$42</f>
        <v>1</v>
      </c>
      <c r="L32">
        <v>2</v>
      </c>
      <c r="M32" t="s">
        <v>80</v>
      </c>
      <c r="N32" t="s">
        <v>115</v>
      </c>
      <c r="O32" s="11">
        <v>0.2</v>
      </c>
      <c r="P32" s="7">
        <f>(D32+E32+F32+G32+H32+I32+J32)/6</f>
        <v>0.41666666666666669</v>
      </c>
      <c r="Q32" s="7">
        <f t="shared" si="4"/>
        <v>0.30833333333333335</v>
      </c>
      <c r="R32">
        <f t="shared" si="1"/>
        <v>0</v>
      </c>
    </row>
    <row r="33" spans="1:18" x14ac:dyDescent="0.2">
      <c r="A33" t="s">
        <v>796</v>
      </c>
      <c r="B33" s="10" t="s">
        <v>797</v>
      </c>
      <c r="C33" t="s">
        <v>201</v>
      </c>
      <c r="D33" s="5">
        <f>Info!$B$17</f>
        <v>0</v>
      </c>
      <c r="E33" s="5">
        <f>Info!$B$21</f>
        <v>0.3</v>
      </c>
      <c r="F33" s="5">
        <f>Info!$B$27</f>
        <v>0</v>
      </c>
      <c r="G33" s="5">
        <f>Info!$B$32</f>
        <v>0</v>
      </c>
      <c r="H33" s="5">
        <f>Info!$B$37</f>
        <v>0</v>
      </c>
      <c r="I33" s="5">
        <f>Info!$B$40</f>
        <v>0</v>
      </c>
      <c r="J33" s="5">
        <f>Info!$B$44</f>
        <v>0</v>
      </c>
      <c r="L33">
        <v>1</v>
      </c>
      <c r="M33" t="s">
        <v>32</v>
      </c>
      <c r="N33" t="s">
        <v>798</v>
      </c>
      <c r="O33" s="11">
        <v>0.4</v>
      </c>
      <c r="P33" s="7">
        <f>(D33+E33+F33+G33+H33+I33+J33)/6</f>
        <v>4.9999999999999996E-2</v>
      </c>
      <c r="Q33" s="7">
        <f t="shared" si="4"/>
        <v>0.22500000000000001</v>
      </c>
      <c r="R33">
        <f t="shared" si="1"/>
        <v>0</v>
      </c>
    </row>
    <row r="34" spans="1:18" x14ac:dyDescent="0.2">
      <c r="A34" t="s">
        <v>799</v>
      </c>
      <c r="B34" s="10" t="s">
        <v>800</v>
      </c>
      <c r="D34" s="5"/>
      <c r="E34" s="5"/>
      <c r="F34" s="5"/>
      <c r="G34" s="5"/>
      <c r="H34" s="5"/>
      <c r="I34" s="5"/>
      <c r="J34" s="5"/>
      <c r="P34" s="7">
        <f>(D34+E34+F34+G34+H34+I34+J34)/6</f>
        <v>0</v>
      </c>
      <c r="Q34" s="7">
        <f t="shared" si="4"/>
        <v>0</v>
      </c>
      <c r="R34">
        <f t="shared" ref="R34:R65" si="5">IF(_xlfn.BITAND(P34&gt;0.4999, Q34&gt;0.4999)=1,1,0)</f>
        <v>0</v>
      </c>
    </row>
    <row r="35" spans="1:18" x14ac:dyDescent="0.2">
      <c r="A35" t="s">
        <v>801</v>
      </c>
      <c r="B35" s="10" t="s">
        <v>802</v>
      </c>
      <c r="D35" s="5"/>
      <c r="E35" s="5"/>
      <c r="F35" s="5"/>
      <c r="G35" s="5"/>
      <c r="H35" s="5"/>
      <c r="I35" s="5"/>
      <c r="J35" s="5"/>
      <c r="P35" s="7">
        <f>(D35+E35+F35+G35+H35+I35+J35)/7</f>
        <v>0</v>
      </c>
      <c r="Q35" s="7">
        <f t="shared" si="4"/>
        <v>0</v>
      </c>
      <c r="R35">
        <f t="shared" si="5"/>
        <v>0</v>
      </c>
    </row>
    <row r="36" spans="1:18" x14ac:dyDescent="0.2">
      <c r="A36" t="s">
        <v>803</v>
      </c>
      <c r="B36" s="10" t="s">
        <v>804</v>
      </c>
      <c r="D36" s="5"/>
      <c r="E36" s="5"/>
      <c r="F36" s="5"/>
      <c r="G36" s="5"/>
      <c r="H36" s="5"/>
      <c r="I36" s="5"/>
      <c r="J36" s="5"/>
      <c r="P36" s="7">
        <f>(D36+E36+F36+G36+H36+I36+J36)/6</f>
        <v>0</v>
      </c>
      <c r="Q36" s="7">
        <f t="shared" si="4"/>
        <v>0</v>
      </c>
      <c r="R36">
        <f t="shared" si="5"/>
        <v>0</v>
      </c>
    </row>
    <row r="37" spans="1:18" x14ac:dyDescent="0.2">
      <c r="A37" t="s">
        <v>805</v>
      </c>
      <c r="B37" s="10" t="s">
        <v>806</v>
      </c>
      <c r="D37" s="5"/>
      <c r="E37" s="5"/>
      <c r="F37" s="5"/>
      <c r="G37" s="5"/>
      <c r="H37" s="5"/>
      <c r="I37" s="5"/>
      <c r="J37" s="5"/>
      <c r="L37" s="2"/>
      <c r="P37" s="7">
        <f>(D37+E37+F37+G37+H37+I37+J37)/6</f>
        <v>0</v>
      </c>
      <c r="Q37" s="7">
        <f t="shared" si="4"/>
        <v>0</v>
      </c>
      <c r="R37">
        <f t="shared" si="5"/>
        <v>0</v>
      </c>
    </row>
    <row r="38" spans="1:18" x14ac:dyDescent="0.2">
      <c r="A38" t="s">
        <v>808</v>
      </c>
      <c r="B38" s="10" t="s">
        <v>809</v>
      </c>
      <c r="D38" s="5"/>
      <c r="E38" s="5"/>
      <c r="F38" s="5"/>
      <c r="G38" s="5"/>
      <c r="H38" s="5"/>
      <c r="I38" s="5"/>
      <c r="J38" s="5"/>
      <c r="L38" s="2"/>
      <c r="P38" s="7">
        <f>(D38+E38+F38+G38+H38+I38+J38)/6</f>
        <v>0</v>
      </c>
      <c r="Q38" s="7">
        <f t="shared" si="4"/>
        <v>0</v>
      </c>
      <c r="R38">
        <f t="shared" si="5"/>
        <v>0</v>
      </c>
    </row>
    <row r="39" spans="1:18" x14ac:dyDescent="0.2">
      <c r="A39" t="s">
        <v>810</v>
      </c>
      <c r="B39" s="10" t="s">
        <v>811</v>
      </c>
      <c r="C39" t="s">
        <v>20</v>
      </c>
      <c r="D39" s="5">
        <f>Info!$B$50</f>
        <v>0.3</v>
      </c>
      <c r="E39" s="5">
        <f>Info!$B$52</f>
        <v>0</v>
      </c>
      <c r="F39" s="5"/>
      <c r="G39" s="5"/>
      <c r="H39" s="5"/>
      <c r="I39" s="5"/>
      <c r="J39" s="5"/>
      <c r="L39">
        <v>2</v>
      </c>
      <c r="M39" t="s">
        <v>32</v>
      </c>
      <c r="N39" t="s">
        <v>812</v>
      </c>
      <c r="O39" s="11">
        <v>1</v>
      </c>
      <c r="P39" s="7">
        <f t="shared" ref="P39:P55" si="6">(D39+E39)/2</f>
        <v>0.15</v>
      </c>
      <c r="Q39" s="7">
        <f t="shared" si="4"/>
        <v>0.57499999999999996</v>
      </c>
      <c r="R39">
        <f t="shared" si="5"/>
        <v>0</v>
      </c>
    </row>
    <row r="40" spans="1:18" x14ac:dyDescent="0.2">
      <c r="A40" t="s">
        <v>813</v>
      </c>
      <c r="B40" s="10" t="s">
        <v>814</v>
      </c>
      <c r="D40" s="5"/>
      <c r="E40" s="5"/>
      <c r="F40" s="5"/>
      <c r="G40" s="5"/>
      <c r="H40" s="5"/>
      <c r="I40" s="5"/>
      <c r="J40" s="5"/>
      <c r="P40" s="7">
        <f t="shared" si="6"/>
        <v>0</v>
      </c>
      <c r="Q40" s="7">
        <f t="shared" si="4"/>
        <v>0</v>
      </c>
      <c r="R40">
        <f t="shared" si="5"/>
        <v>0</v>
      </c>
    </row>
    <row r="41" spans="1:18" x14ac:dyDescent="0.2">
      <c r="A41" t="s">
        <v>816</v>
      </c>
      <c r="B41" s="10" t="s">
        <v>817</v>
      </c>
      <c r="D41" s="5"/>
      <c r="E41" s="5"/>
      <c r="F41" s="5"/>
      <c r="G41" s="5"/>
      <c r="H41" s="5"/>
      <c r="I41" s="5"/>
      <c r="J41" s="5"/>
      <c r="L41" s="2"/>
      <c r="P41" s="7">
        <f t="shared" si="6"/>
        <v>0</v>
      </c>
      <c r="Q41" s="7">
        <f t="shared" si="4"/>
        <v>0</v>
      </c>
      <c r="R41">
        <f t="shared" si="5"/>
        <v>0</v>
      </c>
    </row>
    <row r="42" spans="1:18" x14ac:dyDescent="0.2">
      <c r="A42" t="s">
        <v>818</v>
      </c>
      <c r="B42" s="10" t="s">
        <v>819</v>
      </c>
      <c r="D42" s="5"/>
      <c r="E42" s="5"/>
      <c r="F42" s="5"/>
      <c r="G42" s="5"/>
      <c r="H42" s="5"/>
      <c r="I42" s="5"/>
      <c r="J42" s="5"/>
      <c r="L42" s="2"/>
      <c r="P42" s="7">
        <f t="shared" si="6"/>
        <v>0</v>
      </c>
      <c r="Q42" s="7">
        <f t="shared" si="4"/>
        <v>0</v>
      </c>
      <c r="R42">
        <f t="shared" si="5"/>
        <v>0</v>
      </c>
    </row>
    <row r="43" spans="1:18" x14ac:dyDescent="0.2">
      <c r="A43" t="s">
        <v>820</v>
      </c>
      <c r="B43" s="10" t="s">
        <v>821</v>
      </c>
      <c r="D43" s="5"/>
      <c r="E43" s="5"/>
      <c r="F43" s="5"/>
      <c r="G43" s="5"/>
      <c r="H43" s="5"/>
      <c r="I43" s="5"/>
      <c r="J43" s="5"/>
      <c r="P43" s="7">
        <f t="shared" si="6"/>
        <v>0</v>
      </c>
      <c r="Q43" s="7">
        <f t="shared" si="4"/>
        <v>0</v>
      </c>
      <c r="R43">
        <f t="shared" si="5"/>
        <v>0</v>
      </c>
    </row>
    <row r="44" spans="1:18" x14ac:dyDescent="0.2">
      <c r="A44" t="s">
        <v>822</v>
      </c>
      <c r="B44" s="10" t="s">
        <v>823</v>
      </c>
      <c r="D44" s="5"/>
      <c r="E44" s="5"/>
      <c r="F44" s="5"/>
      <c r="G44" s="5"/>
      <c r="H44" s="5"/>
      <c r="I44" s="5"/>
      <c r="J44" s="5"/>
      <c r="L44" s="2"/>
      <c r="P44" s="7">
        <f t="shared" si="6"/>
        <v>0</v>
      </c>
      <c r="Q44" s="7">
        <f t="shared" si="4"/>
        <v>0</v>
      </c>
      <c r="R44">
        <f t="shared" si="5"/>
        <v>0</v>
      </c>
    </row>
    <row r="45" spans="1:18" x14ac:dyDescent="0.2">
      <c r="A45" t="s">
        <v>830</v>
      </c>
      <c r="B45" s="10" t="s">
        <v>831</v>
      </c>
      <c r="D45" s="5"/>
      <c r="E45" s="5"/>
      <c r="F45" s="5"/>
      <c r="G45" s="5"/>
      <c r="H45" s="5"/>
      <c r="I45" s="5"/>
      <c r="J45" s="5"/>
      <c r="L45" s="2"/>
      <c r="P45" s="7">
        <f t="shared" si="6"/>
        <v>0</v>
      </c>
      <c r="Q45" s="7">
        <f t="shared" si="4"/>
        <v>0</v>
      </c>
      <c r="R45">
        <f t="shared" si="5"/>
        <v>0</v>
      </c>
    </row>
    <row r="46" spans="1:18" x14ac:dyDescent="0.2">
      <c r="A46" t="s">
        <v>835</v>
      </c>
      <c r="B46" s="10" t="s">
        <v>836</v>
      </c>
      <c r="D46" s="5"/>
      <c r="E46" s="5"/>
      <c r="F46" s="5"/>
      <c r="G46" s="5"/>
      <c r="H46" s="5"/>
      <c r="I46" s="5"/>
      <c r="J46" s="5"/>
      <c r="P46" s="7">
        <f t="shared" si="6"/>
        <v>0</v>
      </c>
      <c r="Q46" s="7">
        <f t="shared" si="4"/>
        <v>0</v>
      </c>
      <c r="R46">
        <f t="shared" si="5"/>
        <v>0</v>
      </c>
    </row>
    <row r="47" spans="1:18" x14ac:dyDescent="0.2">
      <c r="A47" t="s">
        <v>23</v>
      </c>
      <c r="B47" s="10" t="s">
        <v>837</v>
      </c>
      <c r="D47" s="5"/>
      <c r="E47" s="5"/>
      <c r="F47" s="5"/>
      <c r="G47" s="5"/>
      <c r="H47" s="5"/>
      <c r="I47" s="5"/>
      <c r="J47" s="5"/>
      <c r="P47" s="7">
        <f t="shared" si="6"/>
        <v>0</v>
      </c>
      <c r="Q47" s="7">
        <f t="shared" si="4"/>
        <v>0</v>
      </c>
      <c r="R47">
        <f t="shared" si="5"/>
        <v>0</v>
      </c>
    </row>
    <row r="48" spans="1:18" x14ac:dyDescent="0.2">
      <c r="A48" t="s">
        <v>841</v>
      </c>
      <c r="B48" s="10" t="s">
        <v>842</v>
      </c>
      <c r="D48" s="5"/>
      <c r="E48" s="5"/>
      <c r="F48" s="5"/>
      <c r="G48" s="5"/>
      <c r="H48" s="5"/>
      <c r="I48" s="5"/>
      <c r="J48" s="5"/>
      <c r="P48" s="7">
        <f t="shared" si="6"/>
        <v>0</v>
      </c>
      <c r="Q48" s="7">
        <f t="shared" si="4"/>
        <v>0</v>
      </c>
      <c r="R48">
        <f t="shared" si="5"/>
        <v>0</v>
      </c>
    </row>
    <row r="49" spans="1:18" x14ac:dyDescent="0.2">
      <c r="A49" t="s">
        <v>844</v>
      </c>
      <c r="B49" s="10" t="s">
        <v>845</v>
      </c>
      <c r="D49" s="5"/>
      <c r="E49" s="5"/>
      <c r="F49" s="5"/>
      <c r="G49" s="5"/>
      <c r="H49" s="5"/>
      <c r="I49" s="5"/>
      <c r="J49" s="5"/>
      <c r="P49" s="7">
        <f t="shared" si="6"/>
        <v>0</v>
      </c>
      <c r="Q49" s="7">
        <f t="shared" si="4"/>
        <v>0</v>
      </c>
      <c r="R49">
        <f t="shared" si="5"/>
        <v>0</v>
      </c>
    </row>
    <row r="50" spans="1:18" x14ac:dyDescent="0.2">
      <c r="A50" t="s">
        <v>850</v>
      </c>
      <c r="B50" s="10" t="s">
        <v>851</v>
      </c>
      <c r="D50" s="5"/>
      <c r="E50" s="5"/>
      <c r="F50" s="5"/>
      <c r="G50" s="5"/>
      <c r="H50" s="5"/>
      <c r="I50" s="5"/>
      <c r="J50" s="5"/>
      <c r="P50" s="7">
        <f t="shared" si="6"/>
        <v>0</v>
      </c>
      <c r="Q50" s="7">
        <f t="shared" si="4"/>
        <v>0</v>
      </c>
      <c r="R50">
        <f t="shared" si="5"/>
        <v>0</v>
      </c>
    </row>
    <row r="51" spans="1:18" x14ac:dyDescent="0.2">
      <c r="A51" t="s">
        <v>853</v>
      </c>
      <c r="B51" s="10" t="s">
        <v>854</v>
      </c>
      <c r="C51" t="s">
        <v>20</v>
      </c>
      <c r="D51" s="5">
        <f>Info!$B$49</f>
        <v>0.6</v>
      </c>
      <c r="E51" s="5">
        <f>Info!$B$52</f>
        <v>0</v>
      </c>
      <c r="F51" s="5"/>
      <c r="G51" s="5"/>
      <c r="H51" s="5"/>
      <c r="I51" s="5"/>
      <c r="J51" s="5"/>
      <c r="L51">
        <v>2</v>
      </c>
      <c r="M51" t="s">
        <v>32</v>
      </c>
      <c r="N51" t="s">
        <v>855</v>
      </c>
      <c r="O51" s="11">
        <v>1</v>
      </c>
      <c r="P51" s="7">
        <f t="shared" si="6"/>
        <v>0.3</v>
      </c>
      <c r="Q51" s="7">
        <f t="shared" si="4"/>
        <v>0.65</v>
      </c>
      <c r="R51">
        <f t="shared" si="5"/>
        <v>0</v>
      </c>
    </row>
    <row r="52" spans="1:18" x14ac:dyDescent="0.2">
      <c r="A52" t="s">
        <v>856</v>
      </c>
      <c r="B52" s="10" t="s">
        <v>857</v>
      </c>
      <c r="C52" t="s">
        <v>20</v>
      </c>
      <c r="D52" s="5">
        <f>Info!$B$51</f>
        <v>0</v>
      </c>
      <c r="E52" s="5">
        <f>Info!$B$52</f>
        <v>0</v>
      </c>
      <c r="F52" s="5"/>
      <c r="G52" s="5"/>
      <c r="H52" s="5"/>
      <c r="I52" s="5"/>
      <c r="J52" s="5"/>
      <c r="L52">
        <v>2</v>
      </c>
      <c r="M52" t="s">
        <v>32</v>
      </c>
      <c r="N52" t="s">
        <v>178</v>
      </c>
      <c r="O52" s="11">
        <v>0.2</v>
      </c>
      <c r="P52" s="7">
        <f t="shared" si="6"/>
        <v>0</v>
      </c>
      <c r="Q52" s="7">
        <f t="shared" si="4"/>
        <v>0.1</v>
      </c>
      <c r="R52">
        <f t="shared" si="5"/>
        <v>0</v>
      </c>
    </row>
    <row r="53" spans="1:18" x14ac:dyDescent="0.2">
      <c r="A53" t="s">
        <v>869</v>
      </c>
      <c r="B53" s="10" t="s">
        <v>870</v>
      </c>
      <c r="D53" s="5"/>
      <c r="E53" s="5"/>
      <c r="F53" s="5"/>
      <c r="G53" s="5"/>
      <c r="H53" s="5"/>
      <c r="I53" s="5"/>
      <c r="J53" s="5"/>
      <c r="P53" s="7">
        <f t="shared" si="6"/>
        <v>0</v>
      </c>
      <c r="Q53" s="7">
        <f t="shared" si="4"/>
        <v>0</v>
      </c>
      <c r="R53">
        <f t="shared" si="5"/>
        <v>0</v>
      </c>
    </row>
    <row r="54" spans="1:18" x14ac:dyDescent="0.2">
      <c r="A54" t="s">
        <v>877</v>
      </c>
      <c r="B54" s="10" t="s">
        <v>878</v>
      </c>
      <c r="D54" s="5"/>
      <c r="E54" s="5"/>
      <c r="F54" s="5"/>
      <c r="G54" s="5"/>
      <c r="H54" s="5"/>
      <c r="I54" s="5"/>
      <c r="J54" s="5"/>
      <c r="P54" s="7">
        <f t="shared" si="6"/>
        <v>0</v>
      </c>
      <c r="Q54" s="7">
        <f t="shared" si="4"/>
        <v>0</v>
      </c>
      <c r="R54">
        <f t="shared" si="5"/>
        <v>0</v>
      </c>
    </row>
    <row r="55" spans="1:18" x14ac:dyDescent="0.2">
      <c r="A55" t="s">
        <v>880</v>
      </c>
      <c r="B55" s="10" t="s">
        <v>881</v>
      </c>
      <c r="D55" s="5"/>
      <c r="E55" s="5"/>
      <c r="F55" s="5"/>
      <c r="G55" s="5"/>
      <c r="H55" s="5"/>
      <c r="I55" s="5"/>
      <c r="J55" s="5"/>
      <c r="P55" s="7">
        <f t="shared" si="6"/>
        <v>0</v>
      </c>
      <c r="Q55" s="7">
        <f t="shared" si="4"/>
        <v>0</v>
      </c>
      <c r="R55">
        <f t="shared" si="5"/>
        <v>0</v>
      </c>
    </row>
    <row r="56" spans="1:18" x14ac:dyDescent="0.2">
      <c r="A56" t="s">
        <v>883</v>
      </c>
      <c r="B56" s="10" t="s">
        <v>884</v>
      </c>
      <c r="D56" s="5"/>
      <c r="E56" s="5"/>
      <c r="F56" s="5"/>
      <c r="G56" s="5"/>
      <c r="H56" s="5"/>
      <c r="I56" s="5"/>
      <c r="J56" s="5"/>
      <c r="K56">
        <v>2</v>
      </c>
      <c r="P56" s="7">
        <f t="shared" ref="P56:P83" si="7">(D56+E56+F56+G56+H56+I56+J56)/7</f>
        <v>0</v>
      </c>
      <c r="Q56" s="7">
        <f t="shared" ref="Q56:Q83" si="8">(O56+P56)/2</f>
        <v>0</v>
      </c>
      <c r="R56">
        <f t="shared" si="5"/>
        <v>0</v>
      </c>
    </row>
    <row r="57" spans="1:18" x14ac:dyDescent="0.2">
      <c r="A57" t="s">
        <v>885</v>
      </c>
      <c r="B57" s="10" t="s">
        <v>886</v>
      </c>
      <c r="D57" s="5">
        <f>Info!$B$17</f>
        <v>0</v>
      </c>
      <c r="E57" s="5">
        <f>Info!$B$22</f>
        <v>0</v>
      </c>
      <c r="F57" s="5">
        <f>Info!$B$27</f>
        <v>0</v>
      </c>
      <c r="G57" s="5">
        <f>Info!$B$32</f>
        <v>0</v>
      </c>
      <c r="H57" s="5">
        <f>Info!$B$37</f>
        <v>0</v>
      </c>
      <c r="I57" s="5">
        <f>Info!$B$40</f>
        <v>0</v>
      </c>
      <c r="J57" s="5">
        <f>Info!$B$42</f>
        <v>1</v>
      </c>
      <c r="P57" s="7">
        <f t="shared" si="7"/>
        <v>0.14285714285714285</v>
      </c>
      <c r="Q57" s="7">
        <f t="shared" si="8"/>
        <v>7.1428571428571425E-2</v>
      </c>
      <c r="R57">
        <f t="shared" si="5"/>
        <v>0</v>
      </c>
    </row>
    <row r="58" spans="1:18" x14ac:dyDescent="0.2">
      <c r="A58" t="s">
        <v>887</v>
      </c>
      <c r="B58" s="10" t="s">
        <v>888</v>
      </c>
      <c r="D58" s="5">
        <f>Info!$B$17</f>
        <v>0</v>
      </c>
      <c r="E58" s="5">
        <f>Info!$B$22</f>
        <v>0</v>
      </c>
      <c r="F58" s="5">
        <f>Info!$B$27</f>
        <v>0</v>
      </c>
      <c r="G58" s="5">
        <f>Info!$B$32</f>
        <v>0</v>
      </c>
      <c r="H58" s="5">
        <f>Info!$B$37</f>
        <v>0</v>
      </c>
      <c r="I58" s="5">
        <f>Info!$B$40</f>
        <v>0</v>
      </c>
      <c r="J58" s="5">
        <f>Info!$B$42</f>
        <v>1</v>
      </c>
      <c r="K58">
        <v>1</v>
      </c>
      <c r="P58" s="7">
        <f t="shared" si="7"/>
        <v>0.14285714285714285</v>
      </c>
      <c r="Q58" s="7">
        <f t="shared" si="8"/>
        <v>7.1428571428571425E-2</v>
      </c>
      <c r="R58">
        <f t="shared" si="5"/>
        <v>0</v>
      </c>
    </row>
    <row r="59" spans="1:18" x14ac:dyDescent="0.2">
      <c r="A59" t="s">
        <v>889</v>
      </c>
      <c r="B59" s="10" t="s">
        <v>890</v>
      </c>
      <c r="D59" s="5">
        <f>Info!$B$17</f>
        <v>0</v>
      </c>
      <c r="E59" s="5">
        <f>Info!$B$22</f>
        <v>0</v>
      </c>
      <c r="F59" s="5">
        <f>Info!$B$27</f>
        <v>0</v>
      </c>
      <c r="G59" s="5">
        <f>Info!$B$32</f>
        <v>0</v>
      </c>
      <c r="H59" s="5">
        <f>Info!$B$37</f>
        <v>0</v>
      </c>
      <c r="I59" s="5">
        <f>Info!$B$40</f>
        <v>0</v>
      </c>
      <c r="J59" s="5">
        <f>Info!$B$42</f>
        <v>1</v>
      </c>
      <c r="P59" s="7">
        <f t="shared" si="7"/>
        <v>0.14285714285714285</v>
      </c>
      <c r="Q59" s="7">
        <f t="shared" si="8"/>
        <v>7.1428571428571425E-2</v>
      </c>
      <c r="R59">
        <f t="shared" si="5"/>
        <v>0</v>
      </c>
    </row>
    <row r="60" spans="1:18" x14ac:dyDescent="0.2">
      <c r="A60" t="s">
        <v>891</v>
      </c>
      <c r="B60" s="10" t="s">
        <v>892</v>
      </c>
      <c r="D60" s="5">
        <f>Info!$B$17</f>
        <v>0</v>
      </c>
      <c r="E60" s="5">
        <f>Info!$B$21</f>
        <v>0.3</v>
      </c>
      <c r="F60" s="5">
        <f>Info!$B$26</f>
        <v>0.3</v>
      </c>
      <c r="G60" s="5">
        <f>Info!$B$32</f>
        <v>0</v>
      </c>
      <c r="H60" s="5">
        <f>Info!$B$37</f>
        <v>0</v>
      </c>
      <c r="I60" s="5">
        <f>Info!$B$40</f>
        <v>0</v>
      </c>
      <c r="J60" s="5">
        <f>Info!$B$42</f>
        <v>1</v>
      </c>
      <c r="P60" s="7">
        <f t="shared" si="7"/>
        <v>0.22857142857142859</v>
      </c>
      <c r="Q60" s="7">
        <f t="shared" si="8"/>
        <v>0.1142857142857143</v>
      </c>
      <c r="R60">
        <f t="shared" si="5"/>
        <v>0</v>
      </c>
    </row>
    <row r="61" spans="1:18" x14ac:dyDescent="0.2">
      <c r="A61" t="s">
        <v>893</v>
      </c>
      <c r="B61" s="10" t="s">
        <v>894</v>
      </c>
      <c r="P61" s="7">
        <f t="shared" si="7"/>
        <v>0</v>
      </c>
      <c r="Q61" s="7">
        <f t="shared" si="8"/>
        <v>0</v>
      </c>
      <c r="R61">
        <f t="shared" si="5"/>
        <v>0</v>
      </c>
    </row>
    <row r="62" spans="1:18" x14ac:dyDescent="0.2">
      <c r="A62" t="s">
        <v>895</v>
      </c>
      <c r="B62" s="10" t="s">
        <v>896</v>
      </c>
      <c r="D62" s="5">
        <f>Info!$B$17</f>
        <v>0</v>
      </c>
      <c r="E62" s="5">
        <f>Info!$B$22</f>
        <v>0</v>
      </c>
      <c r="F62" s="5">
        <f>Info!$B$27</f>
        <v>0</v>
      </c>
      <c r="G62" s="5">
        <f>Info!$B$32</f>
        <v>0</v>
      </c>
      <c r="H62" s="5">
        <f>Info!$B$37</f>
        <v>0</v>
      </c>
      <c r="I62" s="5">
        <f>Info!$B$40</f>
        <v>0</v>
      </c>
      <c r="J62" s="5">
        <f>Info!$B$43</f>
        <v>0.5</v>
      </c>
      <c r="P62" s="7">
        <f t="shared" si="7"/>
        <v>7.1428571428571425E-2</v>
      </c>
      <c r="Q62" s="7">
        <f t="shared" si="8"/>
        <v>3.5714285714285712E-2</v>
      </c>
      <c r="R62">
        <f t="shared" si="5"/>
        <v>0</v>
      </c>
    </row>
    <row r="63" spans="1:18" x14ac:dyDescent="0.2">
      <c r="A63" t="s">
        <v>897</v>
      </c>
      <c r="B63" s="10" t="s">
        <v>898</v>
      </c>
      <c r="D63" s="5">
        <f>Info!$B$17</f>
        <v>0</v>
      </c>
      <c r="E63" s="5">
        <f>Info!$B$21</f>
        <v>0.3</v>
      </c>
      <c r="F63" s="5">
        <f>Info!$B$26</f>
        <v>0.3</v>
      </c>
      <c r="G63" s="5">
        <f>Info!$B$32</f>
        <v>0</v>
      </c>
      <c r="H63" s="5">
        <f>Info!$B$37</f>
        <v>0</v>
      </c>
      <c r="I63" s="5">
        <f>Info!$B$40</f>
        <v>0</v>
      </c>
      <c r="J63" s="5">
        <f>Info!$B$44</f>
        <v>0</v>
      </c>
      <c r="P63" s="7">
        <f t="shared" si="7"/>
        <v>8.5714285714285715E-2</v>
      </c>
      <c r="Q63" s="7">
        <f t="shared" si="8"/>
        <v>4.2857142857142858E-2</v>
      </c>
      <c r="R63">
        <f t="shared" si="5"/>
        <v>0</v>
      </c>
    </row>
    <row r="64" spans="1:18" x14ac:dyDescent="0.2">
      <c r="A64" t="s">
        <v>903</v>
      </c>
      <c r="B64" s="10" t="s">
        <v>904</v>
      </c>
      <c r="D64" s="5">
        <f>Info!$B$17</f>
        <v>0</v>
      </c>
      <c r="E64" s="5">
        <f>Info!$B$22</f>
        <v>0</v>
      </c>
      <c r="F64" s="5">
        <f>Info!$B$27</f>
        <v>0</v>
      </c>
      <c r="G64" s="5">
        <f>Info!$B$32</f>
        <v>0</v>
      </c>
      <c r="H64" s="5">
        <f>Info!$B$37</f>
        <v>0</v>
      </c>
      <c r="I64" s="5">
        <f>Info!$B$40</f>
        <v>0</v>
      </c>
      <c r="J64" s="5">
        <f>Info!$B$44</f>
        <v>0</v>
      </c>
      <c r="P64" s="7">
        <f t="shared" si="7"/>
        <v>0</v>
      </c>
      <c r="Q64" s="7">
        <f t="shared" si="8"/>
        <v>0</v>
      </c>
      <c r="R64">
        <f t="shared" si="5"/>
        <v>0</v>
      </c>
    </row>
    <row r="65" spans="1:18" x14ac:dyDescent="0.2">
      <c r="A65" t="s">
        <v>905</v>
      </c>
      <c r="B65" s="10" t="s">
        <v>906</v>
      </c>
      <c r="D65" s="5">
        <f>Info!$B$17</f>
        <v>0</v>
      </c>
      <c r="E65" s="5">
        <f>Info!$B$21</f>
        <v>0.3</v>
      </c>
      <c r="F65" s="5">
        <f>Info!$B$27</f>
        <v>0</v>
      </c>
      <c r="G65" s="5">
        <f>Info!$B$32</f>
        <v>0</v>
      </c>
      <c r="H65" s="5">
        <f>Info!$B$37</f>
        <v>0</v>
      </c>
      <c r="I65" s="5">
        <f>Info!$B$40</f>
        <v>0</v>
      </c>
      <c r="J65" s="5">
        <f>Info!$B$44</f>
        <v>0</v>
      </c>
      <c r="P65" s="7">
        <f t="shared" si="7"/>
        <v>4.2857142857142858E-2</v>
      </c>
      <c r="Q65" s="7">
        <f t="shared" si="8"/>
        <v>2.1428571428571429E-2</v>
      </c>
      <c r="R65">
        <f t="shared" si="5"/>
        <v>0</v>
      </c>
    </row>
    <row r="66" spans="1:18" x14ac:dyDescent="0.2">
      <c r="A66" t="s">
        <v>907</v>
      </c>
      <c r="B66" s="10" t="s">
        <v>908</v>
      </c>
      <c r="D66" s="5">
        <f>Info!$B$17</f>
        <v>0</v>
      </c>
      <c r="E66" s="5">
        <f>Info!$B$20</f>
        <v>0.6</v>
      </c>
      <c r="F66" s="5">
        <f>Info!$B$26</f>
        <v>0.3</v>
      </c>
      <c r="G66" s="5">
        <f>Info!$B$32</f>
        <v>0</v>
      </c>
      <c r="H66" s="5">
        <f>Info!$B$37</f>
        <v>0</v>
      </c>
      <c r="I66" s="5">
        <f>Info!$B$40</f>
        <v>0</v>
      </c>
      <c r="J66" s="5">
        <f>Info!$B$43</f>
        <v>0.5</v>
      </c>
      <c r="P66" s="7">
        <f t="shared" si="7"/>
        <v>0.19999999999999998</v>
      </c>
      <c r="Q66" s="7">
        <f t="shared" si="8"/>
        <v>9.9999999999999992E-2</v>
      </c>
      <c r="R66">
        <f t="shared" ref="R66:R97" si="9">IF(_xlfn.BITAND(P66&gt;0.4999, Q66&gt;0.4999)=1,1,0)</f>
        <v>0</v>
      </c>
    </row>
    <row r="67" spans="1:18" x14ac:dyDescent="0.2">
      <c r="A67" t="s">
        <v>909</v>
      </c>
      <c r="B67" s="10" t="s">
        <v>910</v>
      </c>
      <c r="D67" s="5">
        <f>Info!$B$17</f>
        <v>0</v>
      </c>
      <c r="E67" s="5">
        <f>Info!$B$22</f>
        <v>0</v>
      </c>
      <c r="F67" s="5">
        <f>Info!$B$27</f>
        <v>0</v>
      </c>
      <c r="G67" s="5">
        <f>Info!$B$32</f>
        <v>0</v>
      </c>
      <c r="H67" s="5">
        <f>Info!$B$37</f>
        <v>0</v>
      </c>
      <c r="I67" s="5">
        <f>Info!$B$40</f>
        <v>0</v>
      </c>
      <c r="J67" s="5">
        <f>Info!$B$44</f>
        <v>0</v>
      </c>
      <c r="P67" s="7">
        <f t="shared" si="7"/>
        <v>0</v>
      </c>
      <c r="Q67" s="7">
        <f t="shared" si="8"/>
        <v>0</v>
      </c>
      <c r="R67">
        <f t="shared" si="9"/>
        <v>0</v>
      </c>
    </row>
    <row r="68" spans="1:18" x14ac:dyDescent="0.2">
      <c r="A68" t="s">
        <v>913</v>
      </c>
      <c r="B68" s="10" t="s">
        <v>914</v>
      </c>
      <c r="D68" s="5">
        <f>Info!$B$17</f>
        <v>0</v>
      </c>
      <c r="E68" s="5">
        <f>Info!$B$22</f>
        <v>0</v>
      </c>
      <c r="F68" s="5">
        <f>Info!$B$27</f>
        <v>0</v>
      </c>
      <c r="G68" s="5">
        <f>Info!$B$32</f>
        <v>0</v>
      </c>
      <c r="H68" s="5">
        <f>Info!$B$37</f>
        <v>0</v>
      </c>
      <c r="I68" s="5">
        <f>Info!$B$40</f>
        <v>0</v>
      </c>
      <c r="J68" s="5">
        <f>Info!$B$44</f>
        <v>0</v>
      </c>
      <c r="P68" s="7">
        <f t="shared" si="7"/>
        <v>0</v>
      </c>
      <c r="Q68" s="7">
        <f t="shared" si="8"/>
        <v>0</v>
      </c>
      <c r="R68">
        <f t="shared" si="9"/>
        <v>0</v>
      </c>
    </row>
    <row r="69" spans="1:18" x14ac:dyDescent="0.2">
      <c r="A69" t="s">
        <v>915</v>
      </c>
      <c r="B69" s="10" t="s">
        <v>916</v>
      </c>
      <c r="D69" s="5">
        <f>Info!$B$17</f>
        <v>0</v>
      </c>
      <c r="E69" s="5">
        <f>Info!$B$21</f>
        <v>0.3</v>
      </c>
      <c r="F69" s="5">
        <f>Info!$B$25</f>
        <v>0.6</v>
      </c>
      <c r="G69" s="5">
        <f>Info!$B$32</f>
        <v>0</v>
      </c>
      <c r="H69" s="5">
        <f>Info!$B$37</f>
        <v>0</v>
      </c>
      <c r="I69" s="5">
        <f>Info!$B$40</f>
        <v>0</v>
      </c>
      <c r="J69" s="5">
        <f>Info!$B$44</f>
        <v>0</v>
      </c>
      <c r="P69" s="7">
        <f t="shared" si="7"/>
        <v>0.12857142857142856</v>
      </c>
      <c r="Q69" s="7">
        <f t="shared" si="8"/>
        <v>6.4285714285714279E-2</v>
      </c>
      <c r="R69">
        <f t="shared" si="9"/>
        <v>0</v>
      </c>
    </row>
    <row r="70" spans="1:18" x14ac:dyDescent="0.2">
      <c r="A70" t="s">
        <v>917</v>
      </c>
      <c r="B70" s="10" t="s">
        <v>918</v>
      </c>
      <c r="D70" s="5">
        <f>Info!$B$17</f>
        <v>0</v>
      </c>
      <c r="E70" s="5">
        <f>Info!$B$21</f>
        <v>0.3</v>
      </c>
      <c r="F70" s="5">
        <f>Info!$B$27</f>
        <v>0</v>
      </c>
      <c r="G70" s="5">
        <f>Info!$B$32</f>
        <v>0</v>
      </c>
      <c r="H70" s="5">
        <f>Info!$B$37</f>
        <v>0</v>
      </c>
      <c r="I70" s="5">
        <f>Info!$B$40</f>
        <v>0</v>
      </c>
      <c r="J70" s="5">
        <f>Info!$B$44</f>
        <v>0</v>
      </c>
      <c r="P70" s="7">
        <f t="shared" si="7"/>
        <v>4.2857142857142858E-2</v>
      </c>
      <c r="Q70" s="7">
        <f t="shared" si="8"/>
        <v>2.1428571428571429E-2</v>
      </c>
      <c r="R70">
        <f t="shared" si="9"/>
        <v>0</v>
      </c>
    </row>
    <row r="71" spans="1:18" x14ac:dyDescent="0.2">
      <c r="A71" t="s">
        <v>921</v>
      </c>
      <c r="B71" s="10" t="s">
        <v>922</v>
      </c>
      <c r="D71" s="5">
        <f>Info!$B$17</f>
        <v>0</v>
      </c>
      <c r="E71" s="5">
        <f>Info!$B$20</f>
        <v>0.6</v>
      </c>
      <c r="F71" s="5">
        <f>Info!$B$26</f>
        <v>0.3</v>
      </c>
      <c r="G71" s="5">
        <f>Info!$B$32</f>
        <v>0</v>
      </c>
      <c r="H71" s="5">
        <f>Info!$B$37</f>
        <v>0</v>
      </c>
      <c r="I71" s="5">
        <f>Info!$B$40</f>
        <v>0</v>
      </c>
      <c r="J71" s="5">
        <f>Info!$B$44</f>
        <v>0</v>
      </c>
      <c r="P71" s="7">
        <f t="shared" si="7"/>
        <v>0.12857142857142856</v>
      </c>
      <c r="Q71" s="7">
        <f t="shared" si="8"/>
        <v>6.4285714285714279E-2</v>
      </c>
      <c r="R71">
        <f t="shared" si="9"/>
        <v>0</v>
      </c>
    </row>
    <row r="72" spans="1:18" x14ac:dyDescent="0.2">
      <c r="A72" t="s">
        <v>925</v>
      </c>
      <c r="B72" s="10" t="s">
        <v>926</v>
      </c>
      <c r="D72" s="5">
        <f>Info!$B$17</f>
        <v>0</v>
      </c>
      <c r="E72" s="5">
        <f>Info!$B$20</f>
        <v>0.6</v>
      </c>
      <c r="F72" s="5">
        <f>Info!$B$26</f>
        <v>0.3</v>
      </c>
      <c r="G72" s="5">
        <f>Info!$B$32</f>
        <v>0</v>
      </c>
      <c r="H72" s="5">
        <f>Info!$B$37</f>
        <v>0</v>
      </c>
      <c r="I72" s="5">
        <f>Info!$B$40</f>
        <v>0</v>
      </c>
      <c r="J72" s="5">
        <f>Info!$B$44</f>
        <v>0</v>
      </c>
      <c r="P72" s="7">
        <f t="shared" si="7"/>
        <v>0.12857142857142856</v>
      </c>
      <c r="Q72" s="7">
        <f t="shared" si="8"/>
        <v>6.4285714285714279E-2</v>
      </c>
      <c r="R72">
        <f t="shared" si="9"/>
        <v>0</v>
      </c>
    </row>
    <row r="73" spans="1:18" x14ac:dyDescent="0.2">
      <c r="A73" t="s">
        <v>927</v>
      </c>
      <c r="B73" s="10" t="s">
        <v>928</v>
      </c>
      <c r="D73" s="5">
        <f>Info!$B$17</f>
        <v>0</v>
      </c>
      <c r="E73" s="5">
        <f>Info!$B$21</f>
        <v>0.3</v>
      </c>
      <c r="F73" s="5">
        <f>Info!$B$26</f>
        <v>0.3</v>
      </c>
      <c r="G73" s="5">
        <f>Info!$B$32</f>
        <v>0</v>
      </c>
      <c r="H73" s="5">
        <f>Info!$B$37</f>
        <v>0</v>
      </c>
      <c r="I73" s="5">
        <f>Info!$B$40</f>
        <v>0</v>
      </c>
      <c r="J73" s="5">
        <f>Info!$B$44</f>
        <v>0</v>
      </c>
      <c r="P73" s="7">
        <f t="shared" si="7"/>
        <v>8.5714285714285715E-2</v>
      </c>
      <c r="Q73" s="7">
        <f t="shared" si="8"/>
        <v>4.2857142857142858E-2</v>
      </c>
      <c r="R73">
        <f t="shared" si="9"/>
        <v>0</v>
      </c>
    </row>
    <row r="74" spans="1:18" x14ac:dyDescent="0.2">
      <c r="A74" t="s">
        <v>929</v>
      </c>
      <c r="B74" s="10" t="s">
        <v>930</v>
      </c>
      <c r="D74" s="5">
        <f>Info!$B$17</f>
        <v>0</v>
      </c>
      <c r="E74" s="5">
        <f>Info!$B$21</f>
        <v>0.3</v>
      </c>
      <c r="F74" s="5">
        <f>Info!$B$26</f>
        <v>0.3</v>
      </c>
      <c r="G74" s="5">
        <f>Info!$B$32</f>
        <v>0</v>
      </c>
      <c r="H74" s="5">
        <f>Info!$B$37</f>
        <v>0</v>
      </c>
      <c r="I74" s="5">
        <f>Info!$B$40</f>
        <v>0</v>
      </c>
      <c r="J74" s="5">
        <f>Info!$B$44</f>
        <v>0</v>
      </c>
      <c r="P74" s="7">
        <f t="shared" si="7"/>
        <v>8.5714285714285715E-2</v>
      </c>
      <c r="Q74" s="7">
        <f t="shared" si="8"/>
        <v>4.2857142857142858E-2</v>
      </c>
      <c r="R74">
        <f t="shared" si="9"/>
        <v>0</v>
      </c>
    </row>
    <row r="75" spans="1:18" x14ac:dyDescent="0.2">
      <c r="A75" t="s">
        <v>931</v>
      </c>
      <c r="B75" s="10" t="s">
        <v>932</v>
      </c>
      <c r="D75" s="5">
        <f>Info!$B$17</f>
        <v>0</v>
      </c>
      <c r="E75" s="5">
        <f>Info!$B$22</f>
        <v>0</v>
      </c>
      <c r="F75" s="5">
        <f>Info!$B$27</f>
        <v>0</v>
      </c>
      <c r="G75" s="5">
        <f>Info!$B$32</f>
        <v>0</v>
      </c>
      <c r="H75" s="5">
        <f>Info!$B$37</f>
        <v>0</v>
      </c>
      <c r="I75" s="5">
        <f>Info!$B$40</f>
        <v>0</v>
      </c>
      <c r="J75" s="5">
        <f>Info!$B$44</f>
        <v>0</v>
      </c>
      <c r="P75" s="7">
        <f t="shared" si="7"/>
        <v>0</v>
      </c>
      <c r="Q75" s="7">
        <f t="shared" si="8"/>
        <v>0</v>
      </c>
      <c r="R75">
        <f t="shared" si="9"/>
        <v>0</v>
      </c>
    </row>
    <row r="76" spans="1:18" x14ac:dyDescent="0.2">
      <c r="A76" t="s">
        <v>933</v>
      </c>
      <c r="B76" s="10" t="s">
        <v>934</v>
      </c>
      <c r="D76" s="5">
        <f>Info!$B$17</f>
        <v>0</v>
      </c>
      <c r="E76" s="5">
        <f>Info!$B$21</f>
        <v>0.3</v>
      </c>
      <c r="F76" s="5">
        <f>Info!$B$26</f>
        <v>0.3</v>
      </c>
      <c r="G76" s="5">
        <f>Info!$B$32</f>
        <v>0</v>
      </c>
      <c r="H76" s="5">
        <f>Info!$B$37</f>
        <v>0</v>
      </c>
      <c r="I76" s="5">
        <f>Info!$B$40</f>
        <v>0</v>
      </c>
      <c r="J76" s="5">
        <f>Info!$B$44</f>
        <v>0</v>
      </c>
      <c r="P76" s="7">
        <f t="shared" si="7"/>
        <v>8.5714285714285715E-2</v>
      </c>
      <c r="Q76" s="7">
        <f t="shared" si="8"/>
        <v>4.2857142857142858E-2</v>
      </c>
      <c r="R76">
        <f t="shared" si="9"/>
        <v>0</v>
      </c>
    </row>
    <row r="77" spans="1:18" x14ac:dyDescent="0.2">
      <c r="A77" t="s">
        <v>935</v>
      </c>
      <c r="B77" s="10" t="s">
        <v>936</v>
      </c>
      <c r="D77" s="5">
        <f>Info!$B$17</f>
        <v>0</v>
      </c>
      <c r="E77" s="5">
        <f>Info!$B$22</f>
        <v>0</v>
      </c>
      <c r="F77" s="5">
        <f>Info!$B$27</f>
        <v>0</v>
      </c>
      <c r="G77" s="5">
        <f>Info!$B$32</f>
        <v>0</v>
      </c>
      <c r="H77" s="5">
        <f>Info!$B$37</f>
        <v>0</v>
      </c>
      <c r="I77" s="5">
        <f>Info!$B$40</f>
        <v>0</v>
      </c>
      <c r="J77" s="5">
        <f>Info!$B$44</f>
        <v>0</v>
      </c>
      <c r="P77" s="7">
        <f t="shared" si="7"/>
        <v>0</v>
      </c>
      <c r="Q77" s="7">
        <f t="shared" si="8"/>
        <v>0</v>
      </c>
      <c r="R77">
        <f t="shared" si="9"/>
        <v>0</v>
      </c>
    </row>
    <row r="78" spans="1:18" x14ac:dyDescent="0.2">
      <c r="A78" t="s">
        <v>939</v>
      </c>
      <c r="B78" s="10" t="s">
        <v>940</v>
      </c>
      <c r="D78" s="5">
        <f>Info!$B$17</f>
        <v>0</v>
      </c>
      <c r="E78" s="5">
        <f>Info!$B$21</f>
        <v>0.3</v>
      </c>
      <c r="F78" s="5">
        <f>Info!$B$27</f>
        <v>0</v>
      </c>
      <c r="G78" s="5">
        <f>Info!$B$32</f>
        <v>0</v>
      </c>
      <c r="H78" s="5">
        <f>Info!$B$37</f>
        <v>0</v>
      </c>
      <c r="I78" s="5">
        <f>Info!$B$40</f>
        <v>0</v>
      </c>
      <c r="J78" s="5">
        <f>Info!$B$42</f>
        <v>1</v>
      </c>
      <c r="P78" s="7">
        <f t="shared" si="7"/>
        <v>0.18571428571428572</v>
      </c>
      <c r="Q78" s="7">
        <f t="shared" si="8"/>
        <v>9.285714285714286E-2</v>
      </c>
      <c r="R78">
        <f t="shared" si="9"/>
        <v>0</v>
      </c>
    </row>
    <row r="79" spans="1:18" x14ac:dyDescent="0.2">
      <c r="A79" t="s">
        <v>941</v>
      </c>
      <c r="B79" s="10" t="s">
        <v>942</v>
      </c>
      <c r="D79" s="5">
        <f>Info!$B$17</f>
        <v>0</v>
      </c>
      <c r="E79" s="5">
        <f>Info!$B$22</f>
        <v>0</v>
      </c>
      <c r="F79" s="5">
        <f>Info!$B$27</f>
        <v>0</v>
      </c>
      <c r="G79" s="5">
        <f>Info!$B$32</f>
        <v>0</v>
      </c>
      <c r="H79" s="5">
        <f>Info!$B$37</f>
        <v>0</v>
      </c>
      <c r="I79" s="5">
        <f>Info!$B$40</f>
        <v>0</v>
      </c>
      <c r="J79" s="5">
        <f>Info!$B$42</f>
        <v>1</v>
      </c>
      <c r="P79" s="7">
        <f t="shared" si="7"/>
        <v>0.14285714285714285</v>
      </c>
      <c r="Q79" s="7">
        <f t="shared" si="8"/>
        <v>7.1428571428571425E-2</v>
      </c>
      <c r="R79">
        <f t="shared" si="9"/>
        <v>0</v>
      </c>
    </row>
    <row r="80" spans="1:18" x14ac:dyDescent="0.2">
      <c r="A80" t="s">
        <v>943</v>
      </c>
      <c r="B80" s="10" t="s">
        <v>944</v>
      </c>
      <c r="D80" s="5">
        <f>Info!$B$17</f>
        <v>0</v>
      </c>
      <c r="E80" s="5">
        <f>Info!$B$20</f>
        <v>0.6</v>
      </c>
      <c r="F80" s="5">
        <f>Info!$B$26</f>
        <v>0.3</v>
      </c>
      <c r="G80" s="5">
        <f>Info!$B$32</f>
        <v>0</v>
      </c>
      <c r="H80" s="5">
        <f>Info!$B$37</f>
        <v>0</v>
      </c>
      <c r="I80" s="5">
        <f>Info!$B$40</f>
        <v>0</v>
      </c>
      <c r="J80" s="5">
        <f>Info!$B$42</f>
        <v>1</v>
      </c>
      <c r="P80" s="7">
        <f t="shared" si="7"/>
        <v>0.27142857142857141</v>
      </c>
      <c r="Q80" s="7">
        <f t="shared" si="8"/>
        <v>0.1357142857142857</v>
      </c>
      <c r="R80">
        <f t="shared" si="9"/>
        <v>0</v>
      </c>
    </row>
    <row r="81" spans="1:18" x14ac:dyDescent="0.2">
      <c r="A81" t="s">
        <v>945</v>
      </c>
      <c r="B81" s="10" t="s">
        <v>946</v>
      </c>
      <c r="D81" s="5">
        <f>Info!$B$17</f>
        <v>0</v>
      </c>
      <c r="E81" s="5">
        <f>Info!$B$21</f>
        <v>0.3</v>
      </c>
      <c r="F81" s="5">
        <f>Info!$B$27</f>
        <v>0</v>
      </c>
      <c r="G81" s="5">
        <f>Info!$B$32</f>
        <v>0</v>
      </c>
      <c r="H81" s="5">
        <f>Info!$B$37</f>
        <v>0</v>
      </c>
      <c r="I81" s="5">
        <f>Info!$B$40</f>
        <v>0</v>
      </c>
      <c r="J81" s="5">
        <f>Info!$B$43</f>
        <v>0.5</v>
      </c>
      <c r="P81" s="7">
        <f t="shared" si="7"/>
        <v>0.1142857142857143</v>
      </c>
      <c r="Q81" s="7">
        <f t="shared" si="8"/>
        <v>5.7142857142857148E-2</v>
      </c>
      <c r="R81">
        <f t="shared" si="9"/>
        <v>0</v>
      </c>
    </row>
    <row r="82" spans="1:18" x14ac:dyDescent="0.2">
      <c r="A82" t="s">
        <v>947</v>
      </c>
      <c r="B82" s="10" t="s">
        <v>948</v>
      </c>
      <c r="D82" s="5">
        <f>Info!$B$17</f>
        <v>0</v>
      </c>
      <c r="E82" s="5">
        <f>Info!$B$20</f>
        <v>0.6</v>
      </c>
      <c r="F82" s="5">
        <f>Info!$B$26</f>
        <v>0.3</v>
      </c>
      <c r="G82" s="5">
        <f>Info!$B$32</f>
        <v>0</v>
      </c>
      <c r="H82" s="5">
        <f>Info!$B$37</f>
        <v>0</v>
      </c>
      <c r="I82" s="5">
        <f>Info!$B$40</f>
        <v>0</v>
      </c>
      <c r="J82" s="5">
        <f>Info!$B$43</f>
        <v>0.5</v>
      </c>
      <c r="P82" s="7">
        <f t="shared" si="7"/>
        <v>0.19999999999999998</v>
      </c>
      <c r="Q82" s="7">
        <f t="shared" si="8"/>
        <v>9.9999999999999992E-2</v>
      </c>
      <c r="R82">
        <f t="shared" si="9"/>
        <v>0</v>
      </c>
    </row>
    <row r="83" spans="1:18" x14ac:dyDescent="0.2">
      <c r="A83" t="s">
        <v>949</v>
      </c>
      <c r="B83" s="10" t="s">
        <v>950</v>
      </c>
      <c r="K83">
        <v>4</v>
      </c>
      <c r="P83" s="7">
        <f t="shared" si="7"/>
        <v>0</v>
      </c>
      <c r="Q83" s="7">
        <f t="shared" si="8"/>
        <v>0</v>
      </c>
      <c r="R83">
        <f t="shared" si="9"/>
        <v>0</v>
      </c>
    </row>
    <row r="84" spans="1:18" x14ac:dyDescent="0.2">
      <c r="A84" t="s">
        <v>891</v>
      </c>
      <c r="R84">
        <f t="shared" si="9"/>
        <v>0</v>
      </c>
    </row>
    <row r="85" spans="1:18" x14ac:dyDescent="0.2">
      <c r="A85" t="s">
        <v>813</v>
      </c>
      <c r="R85">
        <f t="shared" si="9"/>
        <v>0</v>
      </c>
    </row>
    <row r="86" spans="1:18" x14ac:dyDescent="0.2">
      <c r="A86" t="s">
        <v>3696</v>
      </c>
      <c r="R86">
        <f t="shared" si="9"/>
        <v>0</v>
      </c>
    </row>
    <row r="87" spans="1:18" x14ac:dyDescent="0.2">
      <c r="A87" t="s">
        <v>3701</v>
      </c>
      <c r="R87">
        <f t="shared" si="9"/>
        <v>0</v>
      </c>
    </row>
    <row r="88" spans="1:18" x14ac:dyDescent="0.2">
      <c r="A88" t="s">
        <v>3697</v>
      </c>
      <c r="R88">
        <f t="shared" si="9"/>
        <v>0</v>
      </c>
    </row>
    <row r="89" spans="1:18" x14ac:dyDescent="0.2">
      <c r="A89" t="s">
        <v>2701</v>
      </c>
      <c r="R89">
        <f t="shared" si="9"/>
        <v>0</v>
      </c>
    </row>
    <row r="90" spans="1:18" x14ac:dyDescent="0.2">
      <c r="A90" t="s">
        <v>3698</v>
      </c>
      <c r="B90" s="10"/>
      <c r="E90" s="5"/>
      <c r="K90">
        <v>1</v>
      </c>
      <c r="L90" s="2"/>
      <c r="R90">
        <f t="shared" si="9"/>
        <v>0</v>
      </c>
    </row>
    <row r="91" spans="1:18" x14ac:dyDescent="0.2">
      <c r="A91" t="s">
        <v>3700</v>
      </c>
      <c r="K91">
        <v>5</v>
      </c>
      <c r="R91">
        <f t="shared" si="9"/>
        <v>0</v>
      </c>
    </row>
    <row r="92" spans="1:18" x14ac:dyDescent="0.2">
      <c r="A92" t="s">
        <v>3702</v>
      </c>
      <c r="R92">
        <f t="shared" si="9"/>
        <v>0</v>
      </c>
    </row>
    <row r="93" spans="1:18" x14ac:dyDescent="0.2">
      <c r="A93" t="s">
        <v>3703</v>
      </c>
      <c r="R93">
        <f t="shared" si="9"/>
        <v>0</v>
      </c>
    </row>
    <row r="94" spans="1:18" x14ac:dyDescent="0.2">
      <c r="A94" t="s">
        <v>3704</v>
      </c>
      <c r="R94">
        <f t="shared" si="9"/>
        <v>0</v>
      </c>
    </row>
    <row r="95" spans="1:18" x14ac:dyDescent="0.2">
      <c r="A95" t="s">
        <v>1993</v>
      </c>
      <c r="B95" s="51" t="s">
        <v>1994</v>
      </c>
      <c r="C95" t="s">
        <v>20</v>
      </c>
      <c r="D95" s="5">
        <v>0.3</v>
      </c>
      <c r="E95" s="5">
        <v>0</v>
      </c>
      <c r="L95">
        <v>1.2</v>
      </c>
      <c r="M95" t="s">
        <v>21</v>
      </c>
      <c r="N95" t="s">
        <v>86</v>
      </c>
      <c r="O95" s="72">
        <v>1</v>
      </c>
      <c r="P95" s="7">
        <f>(D95+E95)/2</f>
        <v>0.15</v>
      </c>
      <c r="Q95" s="7">
        <f>(O95+P95)/2</f>
        <v>0.57499999999999996</v>
      </c>
      <c r="R95">
        <f t="shared" si="9"/>
        <v>0</v>
      </c>
    </row>
    <row r="96" spans="1:18" x14ac:dyDescent="0.2">
      <c r="A96" t="s">
        <v>3707</v>
      </c>
      <c r="B96" s="10" t="s">
        <v>3733</v>
      </c>
      <c r="C96" t="s">
        <v>201</v>
      </c>
      <c r="K96">
        <v>1</v>
      </c>
      <c r="R96">
        <f t="shared" si="9"/>
        <v>0</v>
      </c>
    </row>
    <row r="97" spans="1:18" x14ac:dyDescent="0.2">
      <c r="A97" t="s">
        <v>3708</v>
      </c>
      <c r="N97" s="8"/>
      <c r="R97">
        <f t="shared" si="9"/>
        <v>0</v>
      </c>
    </row>
    <row r="98" spans="1:18" x14ac:dyDescent="0.2">
      <c r="A98" t="s">
        <v>72</v>
      </c>
      <c r="R98">
        <f t="shared" ref="R98:R105" si="10">IF(_xlfn.BITAND(P98&gt;0.4999, Q98&gt;0.4999)=1,1,0)</f>
        <v>0</v>
      </c>
    </row>
    <row r="99" spans="1:18" x14ac:dyDescent="0.2">
      <c r="A99" t="s">
        <v>3708</v>
      </c>
      <c r="R99">
        <f t="shared" si="10"/>
        <v>0</v>
      </c>
    </row>
    <row r="100" spans="1:18" x14ac:dyDescent="0.2">
      <c r="A100" t="s">
        <v>3696</v>
      </c>
      <c r="R100">
        <f t="shared" si="10"/>
        <v>0</v>
      </c>
    </row>
    <row r="101" spans="1:18" x14ac:dyDescent="0.2">
      <c r="A101" s="54" t="s">
        <v>994</v>
      </c>
      <c r="R101">
        <f t="shared" si="10"/>
        <v>0</v>
      </c>
    </row>
    <row r="102" spans="1:18" x14ac:dyDescent="0.2">
      <c r="A102" s="54" t="s">
        <v>3709</v>
      </c>
      <c r="C102" t="s">
        <v>20</v>
      </c>
      <c r="D102" s="5">
        <v>0</v>
      </c>
      <c r="E102" s="5">
        <v>0</v>
      </c>
      <c r="L102" s="2" t="s">
        <v>25</v>
      </c>
      <c r="M102" t="s">
        <v>32</v>
      </c>
      <c r="N102" t="s">
        <v>3731</v>
      </c>
      <c r="O102" s="11">
        <v>1</v>
      </c>
      <c r="P102" s="7">
        <f>(D102+E102)/2</f>
        <v>0</v>
      </c>
      <c r="Q102" s="7">
        <f>(O102+P102)/2</f>
        <v>0.5</v>
      </c>
      <c r="R102">
        <f t="shared" si="10"/>
        <v>0</v>
      </c>
    </row>
    <row r="103" spans="1:18" x14ac:dyDescent="0.2">
      <c r="A103" t="s">
        <v>240</v>
      </c>
      <c r="B103" s="51" t="s">
        <v>241</v>
      </c>
      <c r="C103" t="s">
        <v>201</v>
      </c>
      <c r="D103" s="5">
        <f>Info!$B$17</f>
        <v>0</v>
      </c>
      <c r="E103" s="5">
        <f>Info!$B$20</f>
        <v>0.6</v>
      </c>
      <c r="F103" s="5">
        <f>Info!$B$26</f>
        <v>0.3</v>
      </c>
      <c r="G103" s="5">
        <f>Info!$B$32</f>
        <v>0</v>
      </c>
      <c r="H103" s="5">
        <f>Info!$B$37</f>
        <v>0</v>
      </c>
      <c r="I103" s="5">
        <f>Info!$B$40</f>
        <v>0</v>
      </c>
      <c r="P103" s="7">
        <f>(D103+E103+F103+G103+H103+I103+J103)/6</f>
        <v>0.15</v>
      </c>
      <c r="Q103" s="7">
        <f>(O103+P103)/2</f>
        <v>7.4999999999999997E-2</v>
      </c>
      <c r="R103">
        <f t="shared" si="10"/>
        <v>0</v>
      </c>
    </row>
    <row r="104" spans="1:18" x14ac:dyDescent="0.2">
      <c r="A104" t="s">
        <v>3713</v>
      </c>
      <c r="B104" s="10"/>
      <c r="D104" s="5"/>
      <c r="E104" s="5"/>
      <c r="K104">
        <v>1</v>
      </c>
      <c r="L104" s="2"/>
      <c r="R104">
        <f t="shared" si="10"/>
        <v>0</v>
      </c>
    </row>
    <row r="105" spans="1:18" x14ac:dyDescent="0.2">
      <c r="A105" t="s">
        <v>3714</v>
      </c>
      <c r="D105" s="5"/>
      <c r="E105" s="5"/>
      <c r="R105">
        <f t="shared" si="10"/>
        <v>0</v>
      </c>
    </row>
    <row r="139" spans="1:1" x14ac:dyDescent="0.2">
      <c r="A139" s="54"/>
    </row>
    <row r="140" spans="1:1" x14ac:dyDescent="0.2">
      <c r="A140" s="54"/>
    </row>
    <row r="146" spans="1:1" x14ac:dyDescent="0.2">
      <c r="A146" s="4"/>
    </row>
    <row r="147" spans="1:1" x14ac:dyDescent="0.2">
      <c r="A147" s="4"/>
    </row>
    <row r="148" spans="1:1" x14ac:dyDescent="0.2">
      <c r="A148" s="4"/>
    </row>
    <row r="149" spans="1:1" x14ac:dyDescent="0.2">
      <c r="A149" s="4"/>
    </row>
    <row r="150" spans="1:1" x14ac:dyDescent="0.2">
      <c r="A150" s="4"/>
    </row>
    <row r="151" spans="1:1" x14ac:dyDescent="0.2">
      <c r="A151" s="4"/>
    </row>
    <row r="152" spans="1:1" x14ac:dyDescent="0.2">
      <c r="A152" s="4"/>
    </row>
    <row r="153" spans="1:1" x14ac:dyDescent="0.2">
      <c r="A153" s="4"/>
    </row>
  </sheetData>
  <autoFilter ref="A1:R105" xr:uid="{A86DDB0E-E43E-414C-AC9C-D1B8B4298D4A}">
    <sortState xmlns:xlrd2="http://schemas.microsoft.com/office/spreadsheetml/2017/richdata2" ref="A2:R105">
      <sortCondition descending="1" ref="R1:R105"/>
    </sortState>
  </autoFilter>
  <sortState xmlns:xlrd2="http://schemas.microsoft.com/office/spreadsheetml/2017/richdata2" ref="A2:R91">
    <sortCondition descending="1" ref="C2:C91"/>
  </sortState>
  <hyperlinks>
    <hyperlink ref="B78" r:id="rId1" xr:uid="{041B99AD-4C0B-431C-8E8B-1736468145ED}"/>
    <hyperlink ref="B19" r:id="rId2" xr:uid="{53676ED2-71AD-4DFF-9160-93CC8AFF4CA7}"/>
    <hyperlink ref="B77" r:id="rId3" xr:uid="{180B6328-9221-41FB-9EBD-8BA66F21F792}"/>
    <hyperlink ref="B76" r:id="rId4" xr:uid="{E4ABE296-6AD4-487D-8A4C-C957B03FDC96}"/>
    <hyperlink ref="B83" r:id="rId5" xr:uid="{34E9D45F-1AF2-43C0-9038-DB361B54BA2E}"/>
    <hyperlink ref="B82" r:id="rId6" xr:uid="{F196DD66-21CF-4BEE-876B-E5B163CEACD9}"/>
    <hyperlink ref="B81" r:id="rId7" xr:uid="{E25A3B54-62BB-45BD-B89D-FF5FFB71F1BB}"/>
    <hyperlink ref="B80" r:id="rId8" xr:uid="{D00B000B-FBDA-4A41-B44A-97667EFAC02C}"/>
    <hyperlink ref="B79" r:id="rId9" xr:uid="{4FE323DF-8A94-4592-BA0E-51150A0DC7A2}"/>
    <hyperlink ref="B36" r:id="rId10" xr:uid="{EAD73D9D-457A-4296-B379-EA78EEAABD5B}"/>
    <hyperlink ref="B25" r:id="rId11" xr:uid="{2D50DAFD-F834-4F9D-ADFC-6DEB25ACD80A}"/>
    <hyperlink ref="B51" r:id="rId12" xr:uid="{5EF95174-F057-4D73-9A1B-BE461CA8CB44}"/>
    <hyperlink ref="B74" r:id="rId13" xr:uid="{D48216E0-354F-4582-A972-18FACEF4892E}"/>
    <hyperlink ref="B50" r:id="rId14" xr:uid="{0C6EF4BD-248F-4CA5-A33B-8933D0B63C10}"/>
    <hyperlink ref="B73" r:id="rId15" xr:uid="{93B934DB-DE16-4B6D-B7C3-CC0BEFC76E36}"/>
    <hyperlink ref="B29" r:id="rId16" xr:uid="{DBD97F93-459A-49C2-90F9-1D32254A37BC}"/>
    <hyperlink ref="B49" r:id="rId17" xr:uid="{C559A7B0-C072-4D3B-A1F6-C557B2B7BC18}"/>
    <hyperlink ref="B72" r:id="rId18" xr:uid="{CD567901-A25C-44CE-92C0-492EF35F5A9D}"/>
    <hyperlink ref="B48" r:id="rId19" xr:uid="{A57C7CBE-452A-4242-8C62-68448CF574D0}"/>
    <hyperlink ref="B10" r:id="rId20" xr:uid="{663FE7C6-9619-4F6C-B11C-8F89447CB2AA}"/>
    <hyperlink ref="B3" r:id="rId21" xr:uid="{353FC090-9D46-4E55-A368-3F1A0CFFEA87}"/>
    <hyperlink ref="B18" r:id="rId22" xr:uid="{FA9EAE02-BCD4-4EEE-9000-027FF30B4BE5}"/>
    <hyperlink ref="B71" r:id="rId23" xr:uid="{0E9AC5A1-F4A9-4169-90C9-500BFB2EE615}"/>
    <hyperlink ref="B17" r:id="rId24" xr:uid="{950386D1-F4A0-41DC-AE9A-99E6861CA4C9}"/>
    <hyperlink ref="B70" r:id="rId25" xr:uid="{234F0D82-4F15-4359-A0D0-425444B0D00E}"/>
    <hyperlink ref="B16" r:id="rId26" xr:uid="{70F78A96-8E0A-4682-8F2E-5B2F30E4783E}"/>
    <hyperlink ref="B33" r:id="rId27" xr:uid="{66401B71-DFAC-4D22-9AF2-654CC0282711}"/>
    <hyperlink ref="B69" r:id="rId28" xr:uid="{72D649C7-89B9-4BD7-AABB-D080940DF814}"/>
    <hyperlink ref="B27" r:id="rId29" xr:uid="{E6B28B1A-AB22-4138-8A9D-A37AE848EF65}"/>
    <hyperlink ref="B68" r:id="rId30" xr:uid="{CD638D93-0C1E-4BFD-A7FB-691F784D53CE}"/>
    <hyperlink ref="B47" r:id="rId31" xr:uid="{0DD3ABB1-ADDE-4A2A-A3D4-3FE874C31F7F}"/>
    <hyperlink ref="B46" r:id="rId32" xr:uid="{074040C3-B166-45D4-8EB4-4DEE9E7EC4E3}"/>
    <hyperlink ref="B22" r:id="rId33" xr:uid="{84D22943-B9F7-4326-A05D-5CA01D0619F3}"/>
    <hyperlink ref="B67" r:id="rId34" xr:uid="{30B9229A-00D6-47B4-BB75-271B62420F48}"/>
    <hyperlink ref="B66" r:id="rId35" xr:uid="{97AA210F-0E03-44D4-A2A0-489DDB2A45F4}"/>
    <hyperlink ref="B65" r:id="rId36" xr:uid="{C750F55D-7984-48A4-97E2-E98DE35B0897}"/>
    <hyperlink ref="B64" r:id="rId37" xr:uid="{7747BA6C-923E-4CB8-ACBF-EC1425495064}"/>
    <hyperlink ref="B4" r:id="rId38" xr:uid="{4C32A8F1-809E-4E62-BA39-388C6C2A8B32}"/>
    <hyperlink ref="B15" r:id="rId39" xr:uid="{32BCC13A-F260-4D24-A7BF-F429B176D690}"/>
    <hyperlink ref="B63" r:id="rId40" xr:uid="{4F1C8E68-3EC6-4BBB-A7CB-897FB278EFC9}"/>
    <hyperlink ref="B45" r:id="rId41" xr:uid="{88959367-B8C0-4E64-B3D6-581B55F36497}"/>
    <hyperlink ref="B12" r:id="rId42" xr:uid="{A88B35E5-324B-43B8-8874-2E1AEB1B8B4E}"/>
    <hyperlink ref="B32" r:id="rId43" xr:uid="{FE2DB448-430E-4246-B690-CFEFC362F943}"/>
    <hyperlink ref="B26" r:id="rId44" xr:uid="{EA8E84D6-954B-4A0C-B9EE-8C35BE0E17DB}"/>
    <hyperlink ref="B53" r:id="rId45" xr:uid="{E18F9020-E66E-4CFF-9B19-079E116A13B2}"/>
    <hyperlink ref="B38" r:id="rId46" xr:uid="{E0DB3D3B-5E78-4310-A6D4-A52CC33A4DAE}"/>
    <hyperlink ref="B37" r:id="rId47" xr:uid="{B8A855D9-F46E-4FBE-B1E6-AA1B08880391}"/>
    <hyperlink ref="B44" r:id="rId48" xr:uid="{E6C3419D-3CEC-4E18-AB32-E1432A544B96}"/>
    <hyperlink ref="B43" r:id="rId49" xr:uid="{FD111C78-9AA4-4079-8D20-933E4D8C9C48}"/>
    <hyperlink ref="B54" r:id="rId50" xr:uid="{8648D7A9-4E67-41D5-A8F2-B5CCE28DB3C2}"/>
    <hyperlink ref="B42" r:id="rId51" xr:uid="{8B45DF0B-723A-4529-9F01-546111498105}"/>
    <hyperlink ref="B41" r:id="rId52" xr:uid="{D62E9127-FA43-448D-8AA1-7D9876891664}"/>
    <hyperlink ref="B40" r:id="rId53" xr:uid="{CCC07FC9-7DD0-4BA0-9C96-AA756F4AA279}"/>
    <hyperlink ref="B39" r:id="rId54" xr:uid="{7FC5245C-32F3-458B-81B8-08A174804608}"/>
    <hyperlink ref="B20" r:id="rId55" xr:uid="{1B190858-BADB-4FDF-8074-F038B3F7E480}"/>
    <hyperlink ref="B30" r:id="rId56" xr:uid="{83C91CC4-9F2A-4BA5-AB53-E3D2A16AD561}"/>
    <hyperlink ref="B35" r:id="rId57" xr:uid="{C22F5BF8-337D-4777-A8FB-E5C27F15A4E3}"/>
    <hyperlink ref="B62" r:id="rId58" xr:uid="{B79CCF52-FFCF-4F5C-8972-EA9283339B99}"/>
    <hyperlink ref="B61" r:id="rId59" location="_=_" xr:uid="{A9F61A1D-1541-4652-8751-6D7286A3AEF1}"/>
    <hyperlink ref="B60" r:id="rId60" xr:uid="{C68CADB3-340B-4ED6-A15B-84D703E04671}"/>
    <hyperlink ref="B59" r:id="rId61" xr:uid="{625F9FE7-532E-41E4-824F-943D96026A02}"/>
    <hyperlink ref="B21" r:id="rId62" xr:uid="{14673925-DCB3-43B3-82BC-448E3F4E6132}"/>
    <hyperlink ref="B58" r:id="rId63" xr:uid="{3EC426EC-3F75-406B-8965-FD70B549FFAC}"/>
    <hyperlink ref="B57" r:id="rId64" xr:uid="{1A473A42-A101-41BB-93E0-947573D6C5F1}"/>
    <hyperlink ref="B56" r:id="rId65" xr:uid="{6F464B8E-2867-4A52-8371-9DE330521BA8}"/>
    <hyperlink ref="B34" r:id="rId66" xr:uid="{EBDD4B88-46AC-48E0-9340-FEB804E1027E}"/>
    <hyperlink ref="B14" r:id="rId67" xr:uid="{5F3A2958-D67C-4F80-BE84-64EB28C0C847}"/>
    <hyperlink ref="B75" r:id="rId68" xr:uid="{61456251-8CD6-4D05-84AC-7213DCBE696C}"/>
    <hyperlink ref="B52" r:id="rId69" xr:uid="{298C642A-CDE2-4817-969D-473B7A761C39}"/>
    <hyperlink ref="B55" r:id="rId70" xr:uid="{C0429898-6A79-4A64-AC9D-8CABADAB9CBF}"/>
    <hyperlink ref="B9" r:id="rId71" xr:uid="{5BFB539A-BDCC-4196-BD9B-3278A68C9076}"/>
    <hyperlink ref="B24" r:id="rId72" xr:uid="{DF1ABAAD-2A8A-4CE4-B494-1F31F1786351}"/>
    <hyperlink ref="B31" r:id="rId73" xr:uid="{C4D678AC-C47A-4A46-940D-27DB1C2DF650}"/>
    <hyperlink ref="B11" r:id="rId74" xr:uid="{BD4538A1-52B3-4576-BB4E-FBB32CB21282}"/>
    <hyperlink ref="B103" r:id="rId75" xr:uid="{9000902D-A589-4695-9D24-DD6E5E67387B}"/>
    <hyperlink ref="B28" r:id="rId76" xr:uid="{CEFC6863-AD78-4590-BD02-7BAE3E4AFC4F}"/>
    <hyperlink ref="B8" r:id="rId77" location=":~:text=In%20this%20paper,%20we%20propose%20a%20novel" xr:uid="{9832D47C-2C01-4BC4-AD84-9C27E95E0665}"/>
    <hyperlink ref="B5" r:id="rId78" xr:uid="{3A5AC27E-CAA1-41B9-BA31-1FB0FCC7D9FC}"/>
    <hyperlink ref="B96" r:id="rId79" location=":~:text=This%20paper%20presents%20a%20coverage-guided" xr:uid="{68860571-1988-411A-873C-8243126713CE}"/>
    <hyperlink ref="B95" r:id="rId80" xr:uid="{1700F83A-D86A-485D-A7C4-8E726DB865EF}"/>
    <hyperlink ref="B7" r:id="rId81" location=":~:text=At%20present,%20deep%20learning-based" xr:uid="{44DE6856-61AC-4026-8D92-DBDAD30EF327}"/>
    <hyperlink ref="B6" r:id="rId82" xr:uid="{C9CCCB2D-71E1-4430-BF45-F6DE1EFEEED1}"/>
    <hyperlink ref="B2" r:id="rId83" xr:uid="{26FA9E74-4DF5-4D0D-912B-226A2173E908}"/>
    <hyperlink ref="B13" r:id="rId84" xr:uid="{FC6C94D4-A549-4100-A9B5-9BC29B3DD985}"/>
  </hyperlinks>
  <pageMargins left="0.7" right="0.7" top="0.75" bottom="0.75" header="0.3" footer="0.3"/>
  <pageSetup paperSize="9" orientation="portrait" r:id="rId8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246D7-3405-4610-9008-DB352438A1A4}">
  <dimension ref="A1:S1843"/>
  <sheetViews>
    <sheetView tabSelected="1" zoomScaleNormal="85" workbookViewId="0">
      <pane ySplit="1" topLeftCell="A2" activePane="bottomLeft" state="frozen"/>
      <selection activeCell="A81" sqref="A81"/>
      <selection pane="bottomLeft" activeCell="A106" sqref="A106"/>
    </sheetView>
  </sheetViews>
  <sheetFormatPr baseColWidth="10" defaultColWidth="8.83203125" defaultRowHeight="15" x14ac:dyDescent="0.2"/>
  <cols>
    <col min="1" max="1" width="34.5" customWidth="1"/>
    <col min="2" max="2" width="18.83203125" style="4" customWidth="1"/>
    <col min="3" max="3" width="9.83203125" customWidth="1"/>
    <col min="4" max="4" width="3.83203125" bestFit="1" customWidth="1"/>
    <col min="5" max="5" width="4.1640625" bestFit="1" customWidth="1"/>
    <col min="6" max="10" width="3.6640625" bestFit="1" customWidth="1"/>
    <col min="15" max="15" width="4.1640625" style="5" bestFit="1" customWidth="1"/>
    <col min="16" max="17" width="4.6640625" bestFit="1" customWidth="1"/>
    <col min="18" max="18" width="10.5" bestFit="1" customWidth="1"/>
  </cols>
  <sheetData>
    <row r="1" spans="1:19" x14ac:dyDescent="0.2">
      <c r="A1" s="58" t="s">
        <v>0</v>
      </c>
      <c r="B1" s="58" t="s">
        <v>1</v>
      </c>
      <c r="C1" s="58" t="s">
        <v>2</v>
      </c>
      <c r="D1" s="58" t="s">
        <v>3</v>
      </c>
      <c r="E1" s="58" t="s">
        <v>4</v>
      </c>
      <c r="F1" s="58" t="s">
        <v>5</v>
      </c>
      <c r="G1" s="58" t="s">
        <v>6</v>
      </c>
      <c r="H1" s="58" t="s">
        <v>7</v>
      </c>
      <c r="I1" s="58" t="s">
        <v>8</v>
      </c>
      <c r="J1" s="58" t="s">
        <v>9</v>
      </c>
      <c r="K1" s="58" t="s">
        <v>10</v>
      </c>
      <c r="L1" s="58" t="s">
        <v>11</v>
      </c>
      <c r="M1" s="58" t="s">
        <v>12</v>
      </c>
      <c r="N1" s="58" t="s">
        <v>13</v>
      </c>
      <c r="O1" s="59" t="s">
        <v>14</v>
      </c>
      <c r="P1" s="58" t="s">
        <v>15</v>
      </c>
      <c r="Q1" s="58" t="s">
        <v>16</v>
      </c>
      <c r="R1" s="58" t="s">
        <v>3694</v>
      </c>
      <c r="S1" s="58" t="s">
        <v>17</v>
      </c>
    </row>
    <row r="2" spans="1:19" x14ac:dyDescent="0.2">
      <c r="A2" t="s">
        <v>3518</v>
      </c>
      <c r="B2" s="52" t="s">
        <v>3519</v>
      </c>
      <c r="C2" t="s">
        <v>20</v>
      </c>
      <c r="D2" s="5">
        <f>Info!$B$48</f>
        <v>1</v>
      </c>
      <c r="E2" s="5">
        <f>Info!$B$53</f>
        <v>1</v>
      </c>
      <c r="F2" s="5"/>
      <c r="G2" s="5"/>
      <c r="H2" s="5"/>
      <c r="I2" s="5"/>
      <c r="J2" s="5"/>
      <c r="L2" s="2" t="s">
        <v>25</v>
      </c>
      <c r="M2" t="s">
        <v>32</v>
      </c>
      <c r="N2" t="s">
        <v>3520</v>
      </c>
      <c r="O2" s="5">
        <v>1</v>
      </c>
      <c r="P2">
        <f t="shared" ref="P2:P13" si="0">(D2+E2)/2</f>
        <v>1</v>
      </c>
      <c r="Q2" s="7">
        <f t="shared" ref="Q2:Q33" si="1">(O2+P2)/2</f>
        <v>1</v>
      </c>
      <c r="R2" t="s">
        <v>3521</v>
      </c>
      <c r="S2">
        <f t="shared" ref="S2:S33" si="2">IF(_xlfn.BITAND(P2&gt;0.4999, Q2&gt;0.4999)=1,1,0)</f>
        <v>1</v>
      </c>
    </row>
    <row r="3" spans="1:19" x14ac:dyDescent="0.2">
      <c r="A3" t="s">
        <v>3522</v>
      </c>
      <c r="B3" s="52" t="s">
        <v>3523</v>
      </c>
      <c r="C3" t="s">
        <v>20</v>
      </c>
      <c r="D3" s="5">
        <f>Info!$B$51</f>
        <v>0</v>
      </c>
      <c r="E3" s="5">
        <f>Info!$B$53</f>
        <v>1</v>
      </c>
      <c r="F3" s="5"/>
      <c r="G3" s="5"/>
      <c r="H3" s="5"/>
      <c r="I3" s="5"/>
      <c r="J3" s="5"/>
      <c r="L3" s="2" t="s">
        <v>25</v>
      </c>
      <c r="M3" t="s">
        <v>32</v>
      </c>
      <c r="N3" t="s">
        <v>3520</v>
      </c>
      <c r="O3" s="5">
        <v>1</v>
      </c>
      <c r="P3" s="7">
        <f t="shared" si="0"/>
        <v>0.5</v>
      </c>
      <c r="Q3" s="7">
        <f t="shared" si="1"/>
        <v>0.75</v>
      </c>
      <c r="R3" t="s">
        <v>3524</v>
      </c>
      <c r="S3">
        <f t="shared" si="2"/>
        <v>1</v>
      </c>
    </row>
    <row r="4" spans="1:19" x14ac:dyDescent="0.2">
      <c r="A4" t="s">
        <v>3525</v>
      </c>
      <c r="B4" s="52" t="s">
        <v>3526</v>
      </c>
      <c r="C4" t="s">
        <v>20</v>
      </c>
      <c r="D4" s="5">
        <f>Info!$B$51</f>
        <v>0</v>
      </c>
      <c r="E4" s="5">
        <f>Info!$B$53</f>
        <v>1</v>
      </c>
      <c r="F4" s="5"/>
      <c r="G4" s="5"/>
      <c r="H4" s="5"/>
      <c r="I4" s="5"/>
      <c r="J4" s="5"/>
      <c r="L4" s="2" t="s">
        <v>25</v>
      </c>
      <c r="M4" t="s">
        <v>32</v>
      </c>
      <c r="N4" t="s">
        <v>3527</v>
      </c>
      <c r="O4" s="5">
        <v>1</v>
      </c>
      <c r="P4">
        <f t="shared" si="0"/>
        <v>0.5</v>
      </c>
      <c r="Q4" s="7">
        <f t="shared" si="1"/>
        <v>0.75</v>
      </c>
      <c r="R4" t="s">
        <v>3528</v>
      </c>
      <c r="S4">
        <f t="shared" si="2"/>
        <v>1</v>
      </c>
    </row>
    <row r="5" spans="1:19" x14ac:dyDescent="0.2">
      <c r="A5" t="s">
        <v>3529</v>
      </c>
      <c r="B5" s="52" t="s">
        <v>3530</v>
      </c>
      <c r="C5" t="s">
        <v>20</v>
      </c>
      <c r="D5" s="5">
        <f>Info!$B$48</f>
        <v>1</v>
      </c>
      <c r="E5" s="5">
        <f>Info!$B$53</f>
        <v>1</v>
      </c>
      <c r="F5" s="5"/>
      <c r="G5" s="5"/>
      <c r="H5" s="5"/>
      <c r="I5" s="5"/>
      <c r="J5" s="5"/>
      <c r="L5" s="2" t="s">
        <v>25</v>
      </c>
      <c r="M5" t="s">
        <v>32</v>
      </c>
      <c r="N5" t="s">
        <v>3520</v>
      </c>
      <c r="O5" s="5">
        <v>1</v>
      </c>
      <c r="P5">
        <f t="shared" si="0"/>
        <v>1</v>
      </c>
      <c r="Q5" s="7">
        <f t="shared" si="1"/>
        <v>1</v>
      </c>
      <c r="R5" t="s">
        <v>3531</v>
      </c>
      <c r="S5">
        <f t="shared" si="2"/>
        <v>1</v>
      </c>
    </row>
    <row r="6" spans="1:19" x14ac:dyDescent="0.2">
      <c r="A6" t="s">
        <v>3532</v>
      </c>
      <c r="B6" s="52" t="s">
        <v>3533</v>
      </c>
      <c r="C6" t="s">
        <v>20</v>
      </c>
      <c r="D6" s="5">
        <f>Info!$B$48</f>
        <v>1</v>
      </c>
      <c r="E6" s="5">
        <f>Info!$B$53</f>
        <v>1</v>
      </c>
      <c r="F6" s="5"/>
      <c r="G6" s="5"/>
      <c r="H6" s="5"/>
      <c r="I6" s="5"/>
      <c r="J6" s="5"/>
      <c r="L6">
        <v>1</v>
      </c>
      <c r="M6" t="s">
        <v>32</v>
      </c>
      <c r="N6" t="s">
        <v>3520</v>
      </c>
      <c r="O6" s="5">
        <v>1</v>
      </c>
      <c r="P6">
        <f t="shared" si="0"/>
        <v>1</v>
      </c>
      <c r="Q6" s="7">
        <f t="shared" si="1"/>
        <v>1</v>
      </c>
      <c r="R6" t="s">
        <v>3531</v>
      </c>
      <c r="S6">
        <f t="shared" si="2"/>
        <v>1</v>
      </c>
    </row>
    <row r="7" spans="1:19" x14ac:dyDescent="0.2">
      <c r="A7" t="s">
        <v>3537</v>
      </c>
      <c r="B7" s="52" t="s">
        <v>3846</v>
      </c>
      <c r="C7" t="s">
        <v>20</v>
      </c>
      <c r="D7" s="5">
        <v>0.3</v>
      </c>
      <c r="E7" s="5">
        <v>1</v>
      </c>
      <c r="F7" s="5"/>
      <c r="G7" s="5"/>
      <c r="H7" s="5"/>
      <c r="I7" s="5"/>
      <c r="J7" s="5"/>
      <c r="L7" s="2" t="s">
        <v>25</v>
      </c>
      <c r="M7" t="s">
        <v>32</v>
      </c>
      <c r="N7" t="s">
        <v>3837</v>
      </c>
      <c r="O7" s="5">
        <v>1</v>
      </c>
      <c r="P7">
        <f t="shared" si="0"/>
        <v>0.65</v>
      </c>
      <c r="Q7" s="7">
        <f t="shared" si="1"/>
        <v>0.82499999999999996</v>
      </c>
      <c r="R7" t="s">
        <v>3521</v>
      </c>
      <c r="S7">
        <f t="shared" si="2"/>
        <v>1</v>
      </c>
    </row>
    <row r="8" spans="1:19" x14ac:dyDescent="0.2">
      <c r="A8" t="s">
        <v>3538</v>
      </c>
      <c r="B8" s="52" t="s">
        <v>3539</v>
      </c>
      <c r="C8" t="s">
        <v>20</v>
      </c>
      <c r="D8" s="5">
        <f>Info!$B$49</f>
        <v>0.6</v>
      </c>
      <c r="E8" s="5">
        <f>Info!$B$53</f>
        <v>1</v>
      </c>
      <c r="F8" s="5"/>
      <c r="G8" s="5"/>
      <c r="H8" s="5"/>
      <c r="I8" s="5"/>
      <c r="J8" s="5"/>
      <c r="L8" s="2" t="s">
        <v>25</v>
      </c>
      <c r="M8" t="s">
        <v>32</v>
      </c>
      <c r="N8" t="s">
        <v>3540</v>
      </c>
      <c r="O8" s="5">
        <v>1</v>
      </c>
      <c r="P8">
        <f t="shared" si="0"/>
        <v>0.8</v>
      </c>
      <c r="Q8" s="7">
        <f t="shared" si="1"/>
        <v>0.9</v>
      </c>
      <c r="R8" t="s">
        <v>3521</v>
      </c>
      <c r="S8">
        <f t="shared" si="2"/>
        <v>1</v>
      </c>
    </row>
    <row r="9" spans="1:19" x14ac:dyDescent="0.2">
      <c r="A9" t="s">
        <v>3543</v>
      </c>
      <c r="C9" t="s">
        <v>20</v>
      </c>
      <c r="D9">
        <v>1</v>
      </c>
      <c r="E9">
        <v>1</v>
      </c>
      <c r="L9" s="2" t="s">
        <v>25</v>
      </c>
      <c r="M9" t="s">
        <v>32</v>
      </c>
      <c r="N9" t="s">
        <v>3847</v>
      </c>
      <c r="O9" s="5">
        <v>1</v>
      </c>
      <c r="P9">
        <f t="shared" si="0"/>
        <v>1</v>
      </c>
      <c r="Q9" s="7">
        <f t="shared" si="1"/>
        <v>1</v>
      </c>
      <c r="R9" t="s">
        <v>3521</v>
      </c>
      <c r="S9">
        <f t="shared" si="2"/>
        <v>1</v>
      </c>
    </row>
    <row r="10" spans="1:19" x14ac:dyDescent="0.2">
      <c r="A10" t="s">
        <v>1052</v>
      </c>
      <c r="B10" s="52" t="s">
        <v>3545</v>
      </c>
      <c r="C10" t="s">
        <v>20</v>
      </c>
      <c r="D10" s="5">
        <f>Info!$B$49</f>
        <v>0.6</v>
      </c>
      <c r="E10" s="5">
        <f>Info!$B$53</f>
        <v>1</v>
      </c>
      <c r="L10" s="2" t="s">
        <v>25</v>
      </c>
      <c r="M10" t="s">
        <v>32</v>
      </c>
      <c r="N10" t="s">
        <v>983</v>
      </c>
      <c r="O10" s="5">
        <v>1</v>
      </c>
      <c r="P10">
        <f t="shared" si="0"/>
        <v>0.8</v>
      </c>
      <c r="Q10" s="7">
        <f t="shared" si="1"/>
        <v>0.9</v>
      </c>
      <c r="R10" t="s">
        <v>3521</v>
      </c>
      <c r="S10">
        <f t="shared" si="2"/>
        <v>1</v>
      </c>
    </row>
    <row r="11" spans="1:19" x14ac:dyDescent="0.2">
      <c r="A11" t="s">
        <v>3555</v>
      </c>
      <c r="C11" t="s">
        <v>20</v>
      </c>
      <c r="D11">
        <v>1</v>
      </c>
      <c r="E11">
        <v>1</v>
      </c>
      <c r="L11" s="2" t="s">
        <v>25</v>
      </c>
      <c r="M11" t="s">
        <v>32</v>
      </c>
      <c r="N11" t="s">
        <v>3836</v>
      </c>
      <c r="O11" s="5">
        <v>1</v>
      </c>
      <c r="P11">
        <f t="shared" si="0"/>
        <v>1</v>
      </c>
      <c r="Q11" s="7">
        <f t="shared" si="1"/>
        <v>1</v>
      </c>
      <c r="R11" t="s">
        <v>3536</v>
      </c>
      <c r="S11">
        <f t="shared" si="2"/>
        <v>1</v>
      </c>
    </row>
    <row r="12" spans="1:19" x14ac:dyDescent="0.2">
      <c r="A12" t="s">
        <v>919</v>
      </c>
      <c r="B12" s="52" t="s">
        <v>920</v>
      </c>
      <c r="C12" t="s">
        <v>20</v>
      </c>
      <c r="D12" s="5">
        <v>1</v>
      </c>
      <c r="E12" s="5">
        <v>1</v>
      </c>
      <c r="F12" s="5"/>
      <c r="G12" s="5"/>
      <c r="H12" s="5"/>
      <c r="I12" s="5"/>
      <c r="J12" s="5"/>
      <c r="L12" s="2" t="s">
        <v>25</v>
      </c>
      <c r="O12" s="5">
        <v>1</v>
      </c>
      <c r="P12">
        <f t="shared" si="0"/>
        <v>1</v>
      </c>
      <c r="Q12" s="7">
        <f t="shared" si="1"/>
        <v>1</v>
      </c>
      <c r="R12" t="s">
        <v>3851</v>
      </c>
      <c r="S12">
        <f t="shared" si="2"/>
        <v>1</v>
      </c>
    </row>
    <row r="13" spans="1:19" x14ac:dyDescent="0.2">
      <c r="A13" t="s">
        <v>3564</v>
      </c>
      <c r="C13" t="s">
        <v>20</v>
      </c>
      <c r="D13">
        <v>1</v>
      </c>
      <c r="E13">
        <v>1</v>
      </c>
      <c r="L13">
        <v>3</v>
      </c>
      <c r="M13" t="s">
        <v>32</v>
      </c>
      <c r="N13" t="s">
        <v>3850</v>
      </c>
      <c r="O13" s="5">
        <v>1</v>
      </c>
      <c r="P13">
        <f t="shared" si="0"/>
        <v>1</v>
      </c>
      <c r="Q13" s="7">
        <f t="shared" si="1"/>
        <v>1</v>
      </c>
      <c r="R13" t="s">
        <v>3531</v>
      </c>
      <c r="S13">
        <f t="shared" si="2"/>
        <v>1</v>
      </c>
    </row>
    <row r="14" spans="1:19" x14ac:dyDescent="0.2">
      <c r="A14" t="s">
        <v>3749</v>
      </c>
      <c r="B14" s="69" t="s">
        <v>3749</v>
      </c>
      <c r="C14" t="s">
        <v>201</v>
      </c>
      <c r="D14" s="11">
        <f>Info!$B$17</f>
        <v>0</v>
      </c>
      <c r="E14" s="11">
        <f>Info!$B$20</f>
        <v>0.6</v>
      </c>
      <c r="F14" s="11">
        <f>Info!$B$25</f>
        <v>0.6</v>
      </c>
      <c r="G14" s="11">
        <f>Info!$B$27</f>
        <v>0</v>
      </c>
      <c r="H14" s="11">
        <v>0</v>
      </c>
      <c r="I14" s="11">
        <v>1</v>
      </c>
      <c r="J14" s="11">
        <f>Info!$B$42</f>
        <v>1</v>
      </c>
      <c r="L14">
        <v>2</v>
      </c>
      <c r="M14" t="s">
        <v>32</v>
      </c>
      <c r="N14" t="s">
        <v>3757</v>
      </c>
      <c r="O14" s="5">
        <v>1</v>
      </c>
      <c r="P14" s="7">
        <f>(D14+E14+F14+G14+H14+I14+J14)/6</f>
        <v>0.53333333333333333</v>
      </c>
      <c r="Q14" s="7">
        <f t="shared" si="1"/>
        <v>0.76666666666666661</v>
      </c>
      <c r="R14" t="s">
        <v>3757</v>
      </c>
      <c r="S14">
        <f t="shared" si="2"/>
        <v>1</v>
      </c>
    </row>
    <row r="15" spans="1:19" x14ac:dyDescent="0.2">
      <c r="A15" t="s">
        <v>3750</v>
      </c>
      <c r="B15" s="69" t="s">
        <v>3804</v>
      </c>
      <c r="C15" t="s">
        <v>20</v>
      </c>
      <c r="D15">
        <v>1</v>
      </c>
      <c r="E15">
        <v>1</v>
      </c>
      <c r="L15">
        <v>3</v>
      </c>
      <c r="M15" t="s">
        <v>32</v>
      </c>
      <c r="N15" t="s">
        <v>3757</v>
      </c>
      <c r="O15" s="5">
        <v>1</v>
      </c>
      <c r="P15">
        <f>(D15+E15)/2</f>
        <v>1</v>
      </c>
      <c r="Q15" s="7">
        <f t="shared" si="1"/>
        <v>1</v>
      </c>
      <c r="R15" t="s">
        <v>3757</v>
      </c>
      <c r="S15">
        <f t="shared" si="2"/>
        <v>1</v>
      </c>
    </row>
    <row r="16" spans="1:19" x14ac:dyDescent="0.2">
      <c r="A16" t="s">
        <v>3751</v>
      </c>
      <c r="B16" s="52" t="s">
        <v>3805</v>
      </c>
      <c r="C16" t="s">
        <v>201</v>
      </c>
      <c r="D16">
        <v>0</v>
      </c>
      <c r="E16" s="11">
        <f>Info!$B$20</f>
        <v>0.6</v>
      </c>
      <c r="F16" s="11">
        <f>Info!$B$25</f>
        <v>0.6</v>
      </c>
      <c r="G16" s="11">
        <f>Info!$B$30</f>
        <v>0.6</v>
      </c>
      <c r="H16">
        <v>1</v>
      </c>
      <c r="I16">
        <v>1</v>
      </c>
      <c r="J16">
        <v>1</v>
      </c>
      <c r="L16">
        <v>2</v>
      </c>
      <c r="M16" t="s">
        <v>32</v>
      </c>
      <c r="N16" t="s">
        <v>3757</v>
      </c>
      <c r="O16" s="5">
        <v>1</v>
      </c>
      <c r="P16" s="7">
        <f>(D16+E16+F16+G16+H16+I16+J16)/6</f>
        <v>0.79999999999999993</v>
      </c>
      <c r="Q16" s="7">
        <f t="shared" si="1"/>
        <v>0.89999999999999991</v>
      </c>
      <c r="R16" t="s">
        <v>3757</v>
      </c>
      <c r="S16">
        <f t="shared" si="2"/>
        <v>1</v>
      </c>
    </row>
    <row r="17" spans="1:19" x14ac:dyDescent="0.2">
      <c r="A17" t="s">
        <v>3752</v>
      </c>
      <c r="B17" s="69" t="s">
        <v>3806</v>
      </c>
      <c r="C17" t="s">
        <v>20</v>
      </c>
      <c r="D17">
        <v>0</v>
      </c>
      <c r="E17">
        <v>1</v>
      </c>
      <c r="L17">
        <v>3</v>
      </c>
      <c r="M17" t="s">
        <v>32</v>
      </c>
      <c r="N17" t="s">
        <v>3757</v>
      </c>
      <c r="O17" s="5">
        <v>1</v>
      </c>
      <c r="P17">
        <f t="shared" ref="P17:P29" si="3">(D17+E17)/2</f>
        <v>0.5</v>
      </c>
      <c r="Q17" s="7">
        <f t="shared" si="1"/>
        <v>0.75</v>
      </c>
      <c r="R17" t="s">
        <v>3757</v>
      </c>
      <c r="S17">
        <f t="shared" si="2"/>
        <v>1</v>
      </c>
    </row>
    <row r="18" spans="1:19" x14ac:dyDescent="0.2">
      <c r="A18" t="s">
        <v>3754</v>
      </c>
      <c r="B18" s="69" t="s">
        <v>3808</v>
      </c>
      <c r="C18" t="s">
        <v>20</v>
      </c>
      <c r="D18">
        <v>1</v>
      </c>
      <c r="E18">
        <v>1</v>
      </c>
      <c r="L18" s="2" t="s">
        <v>25</v>
      </c>
      <c r="M18" t="s">
        <v>32</v>
      </c>
      <c r="N18" t="s">
        <v>3757</v>
      </c>
      <c r="O18" s="5">
        <v>1</v>
      </c>
      <c r="P18">
        <f t="shared" si="3"/>
        <v>1</v>
      </c>
      <c r="Q18" s="7">
        <f t="shared" si="1"/>
        <v>1</v>
      </c>
      <c r="R18" t="s">
        <v>3757</v>
      </c>
      <c r="S18">
        <f t="shared" si="2"/>
        <v>1</v>
      </c>
    </row>
    <row r="19" spans="1:19" x14ac:dyDescent="0.2">
      <c r="A19" t="s">
        <v>3755</v>
      </c>
      <c r="B19" s="69" t="s">
        <v>3809</v>
      </c>
      <c r="C19" t="s">
        <v>20</v>
      </c>
      <c r="D19">
        <v>0.6</v>
      </c>
      <c r="E19">
        <v>1</v>
      </c>
      <c r="L19" s="2" t="s">
        <v>25</v>
      </c>
      <c r="M19" t="s">
        <v>32</v>
      </c>
      <c r="N19" t="s">
        <v>3757</v>
      </c>
      <c r="O19" s="5">
        <v>1</v>
      </c>
      <c r="P19">
        <f t="shared" si="3"/>
        <v>0.8</v>
      </c>
      <c r="Q19" s="7">
        <f t="shared" si="1"/>
        <v>0.9</v>
      </c>
      <c r="R19" t="s">
        <v>3757</v>
      </c>
      <c r="S19">
        <f t="shared" si="2"/>
        <v>1</v>
      </c>
    </row>
    <row r="20" spans="1:19" x14ac:dyDescent="0.2">
      <c r="A20" t="s">
        <v>3756</v>
      </c>
      <c r="B20" s="69" t="s">
        <v>3810</v>
      </c>
      <c r="C20" t="s">
        <v>20</v>
      </c>
      <c r="D20">
        <v>0</v>
      </c>
      <c r="E20">
        <v>1</v>
      </c>
      <c r="L20" s="2" t="s">
        <v>25</v>
      </c>
      <c r="M20" t="s">
        <v>32</v>
      </c>
      <c r="N20" t="s">
        <v>3757</v>
      </c>
      <c r="O20" s="5">
        <v>1</v>
      </c>
      <c r="P20">
        <f t="shared" si="3"/>
        <v>0.5</v>
      </c>
      <c r="Q20" s="7">
        <f t="shared" si="1"/>
        <v>0.75</v>
      </c>
      <c r="R20" t="s">
        <v>3757</v>
      </c>
      <c r="S20">
        <f t="shared" si="2"/>
        <v>1</v>
      </c>
    </row>
    <row r="21" spans="1:19" x14ac:dyDescent="0.2">
      <c r="A21" t="s">
        <v>3812</v>
      </c>
      <c r="B21" s="69" t="s">
        <v>3813</v>
      </c>
      <c r="C21" t="s">
        <v>20</v>
      </c>
      <c r="D21">
        <v>0.6</v>
      </c>
      <c r="E21">
        <v>1</v>
      </c>
      <c r="L21">
        <v>3</v>
      </c>
      <c r="M21" t="s">
        <v>32</v>
      </c>
      <c r="N21" t="s">
        <v>3757</v>
      </c>
      <c r="O21" s="5">
        <v>1</v>
      </c>
      <c r="P21">
        <f t="shared" si="3"/>
        <v>0.8</v>
      </c>
      <c r="Q21" s="7">
        <f t="shared" si="1"/>
        <v>0.9</v>
      </c>
      <c r="R21" t="s">
        <v>3757</v>
      </c>
      <c r="S21">
        <f t="shared" si="2"/>
        <v>1</v>
      </c>
    </row>
    <row r="22" spans="1:19" x14ac:dyDescent="0.2">
      <c r="A22" t="s">
        <v>3758</v>
      </c>
      <c r="B22" s="69" t="s">
        <v>3811</v>
      </c>
      <c r="C22" t="s">
        <v>20</v>
      </c>
      <c r="D22">
        <v>0</v>
      </c>
      <c r="E22">
        <v>1</v>
      </c>
      <c r="L22">
        <v>3</v>
      </c>
      <c r="M22" t="s">
        <v>32</v>
      </c>
      <c r="N22" t="s">
        <v>3757</v>
      </c>
      <c r="O22" s="5">
        <v>1</v>
      </c>
      <c r="P22">
        <f t="shared" si="3"/>
        <v>0.5</v>
      </c>
      <c r="Q22" s="7">
        <f t="shared" si="1"/>
        <v>0.75</v>
      </c>
      <c r="R22" t="s">
        <v>3765</v>
      </c>
      <c r="S22">
        <f t="shared" si="2"/>
        <v>1</v>
      </c>
    </row>
    <row r="23" spans="1:19" x14ac:dyDescent="0.2">
      <c r="A23" t="s">
        <v>3759</v>
      </c>
      <c r="B23" s="69" t="s">
        <v>3815</v>
      </c>
      <c r="C23" t="s">
        <v>20</v>
      </c>
      <c r="D23">
        <v>0</v>
      </c>
      <c r="E23">
        <v>1</v>
      </c>
      <c r="L23">
        <v>3</v>
      </c>
      <c r="M23" t="s">
        <v>32</v>
      </c>
      <c r="N23" t="s">
        <v>3757</v>
      </c>
      <c r="O23" s="5">
        <v>1</v>
      </c>
      <c r="P23">
        <f t="shared" si="3"/>
        <v>0.5</v>
      </c>
      <c r="Q23" s="7">
        <f t="shared" si="1"/>
        <v>0.75</v>
      </c>
      <c r="R23" t="s">
        <v>3765</v>
      </c>
      <c r="S23">
        <f t="shared" si="2"/>
        <v>1</v>
      </c>
    </row>
    <row r="24" spans="1:19" x14ac:dyDescent="0.2">
      <c r="A24" t="s">
        <v>3760</v>
      </c>
      <c r="B24" s="69" t="s">
        <v>3816</v>
      </c>
      <c r="C24" t="s">
        <v>20</v>
      </c>
      <c r="D24">
        <v>0</v>
      </c>
      <c r="E24">
        <v>1</v>
      </c>
      <c r="L24">
        <v>3</v>
      </c>
      <c r="M24" t="s">
        <v>32</v>
      </c>
      <c r="N24" t="s">
        <v>3757</v>
      </c>
      <c r="O24" s="5">
        <v>1</v>
      </c>
      <c r="P24">
        <f t="shared" si="3"/>
        <v>0.5</v>
      </c>
      <c r="Q24" s="7">
        <f t="shared" si="1"/>
        <v>0.75</v>
      </c>
      <c r="R24" t="s">
        <v>3765</v>
      </c>
      <c r="S24">
        <f t="shared" si="2"/>
        <v>1</v>
      </c>
    </row>
    <row r="25" spans="1:19" x14ac:dyDescent="0.2">
      <c r="A25" t="s">
        <v>3761</v>
      </c>
      <c r="B25" s="69" t="s">
        <v>3817</v>
      </c>
      <c r="C25" t="s">
        <v>20</v>
      </c>
      <c r="D25">
        <v>0</v>
      </c>
      <c r="E25">
        <v>1</v>
      </c>
      <c r="L25">
        <v>3</v>
      </c>
      <c r="M25" t="s">
        <v>32</v>
      </c>
      <c r="N25" t="s">
        <v>3757</v>
      </c>
      <c r="O25" s="5">
        <v>1</v>
      </c>
      <c r="P25">
        <f t="shared" si="3"/>
        <v>0.5</v>
      </c>
      <c r="Q25" s="7">
        <f t="shared" si="1"/>
        <v>0.75</v>
      </c>
      <c r="R25" t="s">
        <v>3765</v>
      </c>
      <c r="S25">
        <f t="shared" si="2"/>
        <v>1</v>
      </c>
    </row>
    <row r="26" spans="1:19" x14ac:dyDescent="0.2">
      <c r="A26" t="s">
        <v>3762</v>
      </c>
      <c r="B26" s="69" t="s">
        <v>3818</v>
      </c>
      <c r="C26" t="s">
        <v>20</v>
      </c>
      <c r="D26">
        <v>0</v>
      </c>
      <c r="E26">
        <v>1</v>
      </c>
      <c r="L26">
        <v>3</v>
      </c>
      <c r="M26" t="s">
        <v>32</v>
      </c>
      <c r="N26" t="s">
        <v>3757</v>
      </c>
      <c r="O26" s="5">
        <v>1</v>
      </c>
      <c r="P26">
        <f t="shared" si="3"/>
        <v>0.5</v>
      </c>
      <c r="Q26" s="7">
        <f t="shared" si="1"/>
        <v>0.75</v>
      </c>
      <c r="R26" t="s">
        <v>3765</v>
      </c>
      <c r="S26">
        <f t="shared" si="2"/>
        <v>1</v>
      </c>
    </row>
    <row r="27" spans="1:19" x14ac:dyDescent="0.2">
      <c r="A27" t="s">
        <v>3763</v>
      </c>
      <c r="B27" s="69" t="s">
        <v>3819</v>
      </c>
      <c r="C27" t="s">
        <v>20</v>
      </c>
      <c r="D27">
        <v>0</v>
      </c>
      <c r="E27">
        <v>1</v>
      </c>
      <c r="L27">
        <v>3</v>
      </c>
      <c r="M27" t="s">
        <v>32</v>
      </c>
      <c r="N27" t="s">
        <v>3757</v>
      </c>
      <c r="O27" s="5">
        <v>1</v>
      </c>
      <c r="P27">
        <f t="shared" si="3"/>
        <v>0.5</v>
      </c>
      <c r="Q27" s="7">
        <f t="shared" si="1"/>
        <v>0.75</v>
      </c>
      <c r="R27" t="s">
        <v>3765</v>
      </c>
      <c r="S27">
        <f t="shared" si="2"/>
        <v>1</v>
      </c>
    </row>
    <row r="28" spans="1:19" x14ac:dyDescent="0.2">
      <c r="A28" t="s">
        <v>3764</v>
      </c>
      <c r="B28" s="69" t="s">
        <v>3820</v>
      </c>
      <c r="C28" t="s">
        <v>20</v>
      </c>
      <c r="D28">
        <v>0</v>
      </c>
      <c r="E28">
        <v>1</v>
      </c>
      <c r="L28">
        <v>3</v>
      </c>
      <c r="M28" t="s">
        <v>32</v>
      </c>
      <c r="N28" t="s">
        <v>3757</v>
      </c>
      <c r="O28" s="5">
        <v>1</v>
      </c>
      <c r="P28">
        <f t="shared" si="3"/>
        <v>0.5</v>
      </c>
      <c r="Q28" s="7">
        <f t="shared" si="1"/>
        <v>0.75</v>
      </c>
      <c r="R28" t="s">
        <v>3765</v>
      </c>
      <c r="S28">
        <f t="shared" si="2"/>
        <v>1</v>
      </c>
    </row>
    <row r="29" spans="1:19" x14ac:dyDescent="0.2">
      <c r="A29" t="s">
        <v>3769</v>
      </c>
      <c r="B29" s="69" t="s">
        <v>3821</v>
      </c>
      <c r="C29" t="s">
        <v>20</v>
      </c>
      <c r="D29">
        <v>0.3</v>
      </c>
      <c r="E29">
        <v>1</v>
      </c>
      <c r="L29">
        <v>3</v>
      </c>
      <c r="M29" t="s">
        <v>32</v>
      </c>
      <c r="N29" t="s">
        <v>3757</v>
      </c>
      <c r="O29" s="5">
        <v>1</v>
      </c>
      <c r="P29">
        <f t="shared" si="3"/>
        <v>0.65</v>
      </c>
      <c r="Q29" s="7">
        <f t="shared" si="1"/>
        <v>0.82499999999999996</v>
      </c>
      <c r="R29" t="s">
        <v>3771</v>
      </c>
      <c r="S29">
        <f t="shared" si="2"/>
        <v>1</v>
      </c>
    </row>
    <row r="30" spans="1:19" x14ac:dyDescent="0.2">
      <c r="A30" t="s">
        <v>3770</v>
      </c>
      <c r="B30" s="69" t="s">
        <v>3822</v>
      </c>
      <c r="C30" t="s">
        <v>201</v>
      </c>
      <c r="D30">
        <v>0</v>
      </c>
      <c r="E30">
        <v>1</v>
      </c>
      <c r="F30">
        <v>1</v>
      </c>
      <c r="G30">
        <v>0</v>
      </c>
      <c r="H30">
        <v>0</v>
      </c>
      <c r="I30">
        <v>1</v>
      </c>
      <c r="J30">
        <v>1</v>
      </c>
      <c r="L30">
        <v>2.2999999999999998</v>
      </c>
      <c r="M30" t="s">
        <v>32</v>
      </c>
      <c r="N30" t="s">
        <v>3757</v>
      </c>
      <c r="O30" s="5">
        <v>1</v>
      </c>
      <c r="P30" s="7">
        <f>(D30+E30+F30+G30+H30+I30+J30)/6</f>
        <v>0.66666666666666663</v>
      </c>
      <c r="Q30" s="7">
        <f t="shared" si="1"/>
        <v>0.83333333333333326</v>
      </c>
      <c r="R30" t="s">
        <v>3771</v>
      </c>
      <c r="S30">
        <f t="shared" si="2"/>
        <v>1</v>
      </c>
    </row>
    <row r="31" spans="1:19" x14ac:dyDescent="0.2">
      <c r="A31" t="s">
        <v>3772</v>
      </c>
      <c r="B31" s="69" t="s">
        <v>3823</v>
      </c>
      <c r="C31" t="s">
        <v>20</v>
      </c>
      <c r="D31">
        <v>0</v>
      </c>
      <c r="E31">
        <v>1</v>
      </c>
      <c r="L31">
        <v>3</v>
      </c>
      <c r="M31" t="s">
        <v>32</v>
      </c>
      <c r="N31" t="s">
        <v>3757</v>
      </c>
      <c r="O31" s="5">
        <v>1</v>
      </c>
      <c r="P31">
        <f t="shared" ref="P31:P50" si="4">(D31+E31)/2</f>
        <v>0.5</v>
      </c>
      <c r="Q31" s="7">
        <f t="shared" si="1"/>
        <v>0.75</v>
      </c>
      <c r="R31" t="s">
        <v>3778</v>
      </c>
      <c r="S31">
        <f t="shared" si="2"/>
        <v>1</v>
      </c>
    </row>
    <row r="32" spans="1:19" x14ac:dyDescent="0.2">
      <c r="A32" t="s">
        <v>3773</v>
      </c>
      <c r="B32" s="69" t="s">
        <v>3824</v>
      </c>
      <c r="C32" t="s">
        <v>20</v>
      </c>
      <c r="D32">
        <v>0</v>
      </c>
      <c r="E32">
        <v>1</v>
      </c>
      <c r="L32">
        <v>3</v>
      </c>
      <c r="M32" t="s">
        <v>32</v>
      </c>
      <c r="N32" t="s">
        <v>3778</v>
      </c>
      <c r="O32" s="5">
        <v>1</v>
      </c>
      <c r="P32">
        <f t="shared" si="4"/>
        <v>0.5</v>
      </c>
      <c r="Q32" s="7">
        <f t="shared" si="1"/>
        <v>0.75</v>
      </c>
      <c r="R32" t="s">
        <v>3778</v>
      </c>
      <c r="S32">
        <f t="shared" si="2"/>
        <v>1</v>
      </c>
    </row>
    <row r="33" spans="1:19" x14ac:dyDescent="0.2">
      <c r="A33" t="s">
        <v>3775</v>
      </c>
      <c r="B33" s="69" t="s">
        <v>3826</v>
      </c>
      <c r="C33" t="s">
        <v>20</v>
      </c>
      <c r="D33">
        <v>0</v>
      </c>
      <c r="E33">
        <v>1</v>
      </c>
      <c r="L33">
        <v>3</v>
      </c>
      <c r="M33" t="s">
        <v>32</v>
      </c>
      <c r="N33" t="s">
        <v>3757</v>
      </c>
      <c r="O33" s="5">
        <v>1</v>
      </c>
      <c r="P33">
        <f t="shared" si="4"/>
        <v>0.5</v>
      </c>
      <c r="Q33" s="7">
        <f t="shared" si="1"/>
        <v>0.75</v>
      </c>
      <c r="R33" t="s">
        <v>3778</v>
      </c>
      <c r="S33">
        <f t="shared" si="2"/>
        <v>1</v>
      </c>
    </row>
    <row r="34" spans="1:19" x14ac:dyDescent="0.2">
      <c r="A34" t="s">
        <v>3776</v>
      </c>
      <c r="B34" s="69" t="s">
        <v>3827</v>
      </c>
      <c r="C34" s="55" t="s">
        <v>20</v>
      </c>
      <c r="D34">
        <v>0.3</v>
      </c>
      <c r="E34">
        <v>1</v>
      </c>
      <c r="L34">
        <v>3</v>
      </c>
      <c r="M34" t="s">
        <v>32</v>
      </c>
      <c r="N34" t="s">
        <v>3757</v>
      </c>
      <c r="O34" s="5">
        <v>1</v>
      </c>
      <c r="P34">
        <f t="shared" si="4"/>
        <v>0.65</v>
      </c>
      <c r="Q34" s="7">
        <f t="shared" ref="Q34:Q50" si="5">(O34+P34)/2</f>
        <v>0.82499999999999996</v>
      </c>
      <c r="R34" t="s">
        <v>3778</v>
      </c>
      <c r="S34">
        <f t="shared" ref="S34:S65" si="6">IF(_xlfn.BITAND(P34&gt;0.4999, Q34&gt;0.4999)=1,1,0)</f>
        <v>1</v>
      </c>
    </row>
    <row r="35" spans="1:19" x14ac:dyDescent="0.2">
      <c r="A35" t="s">
        <v>3777</v>
      </c>
      <c r="B35" s="69" t="s">
        <v>3828</v>
      </c>
      <c r="C35" t="s">
        <v>20</v>
      </c>
      <c r="D35">
        <v>0</v>
      </c>
      <c r="E35">
        <v>1</v>
      </c>
      <c r="L35">
        <v>3</v>
      </c>
      <c r="M35" t="s">
        <v>32</v>
      </c>
      <c r="N35" t="s">
        <v>3757</v>
      </c>
      <c r="O35" s="5">
        <v>1</v>
      </c>
      <c r="P35">
        <f t="shared" si="4"/>
        <v>0.5</v>
      </c>
      <c r="Q35" s="7">
        <f t="shared" si="5"/>
        <v>0.75</v>
      </c>
      <c r="R35" t="s">
        <v>3778</v>
      </c>
      <c r="S35">
        <f t="shared" si="6"/>
        <v>1</v>
      </c>
    </row>
    <row r="36" spans="1:19" x14ac:dyDescent="0.2">
      <c r="A36" t="s">
        <v>3780</v>
      </c>
      <c r="B36" s="69" t="s">
        <v>3830</v>
      </c>
      <c r="C36" t="s">
        <v>20</v>
      </c>
      <c r="D36">
        <v>0</v>
      </c>
      <c r="E36">
        <v>1</v>
      </c>
      <c r="L36">
        <v>3</v>
      </c>
      <c r="M36" t="s">
        <v>32</v>
      </c>
      <c r="N36" t="s">
        <v>3757</v>
      </c>
      <c r="O36" s="5">
        <v>1</v>
      </c>
      <c r="P36">
        <f t="shared" si="4"/>
        <v>0.5</v>
      </c>
      <c r="Q36" s="7">
        <f t="shared" si="5"/>
        <v>0.75</v>
      </c>
      <c r="R36" t="s">
        <v>3781</v>
      </c>
      <c r="S36">
        <f t="shared" si="6"/>
        <v>1</v>
      </c>
    </row>
    <row r="37" spans="1:19" x14ac:dyDescent="0.2">
      <c r="A37" t="s">
        <v>3782</v>
      </c>
      <c r="B37" s="69" t="s">
        <v>3831</v>
      </c>
      <c r="C37" t="s">
        <v>20</v>
      </c>
      <c r="D37">
        <v>0.6</v>
      </c>
      <c r="E37">
        <v>1</v>
      </c>
      <c r="O37" s="5">
        <v>1</v>
      </c>
      <c r="P37">
        <f t="shared" si="4"/>
        <v>0.8</v>
      </c>
      <c r="Q37" s="7">
        <f t="shared" si="5"/>
        <v>0.9</v>
      </c>
      <c r="R37" t="s">
        <v>3783</v>
      </c>
      <c r="S37">
        <f t="shared" si="6"/>
        <v>1</v>
      </c>
    </row>
    <row r="38" spans="1:19" x14ac:dyDescent="0.2">
      <c r="A38" t="s">
        <v>3784</v>
      </c>
      <c r="B38" s="69" t="s">
        <v>3832</v>
      </c>
      <c r="C38" t="s">
        <v>20</v>
      </c>
      <c r="D38">
        <v>1</v>
      </c>
      <c r="E38">
        <v>0</v>
      </c>
      <c r="L38">
        <v>3</v>
      </c>
      <c r="M38" t="s">
        <v>21</v>
      </c>
      <c r="N38" t="s">
        <v>3783</v>
      </c>
      <c r="O38" s="5">
        <v>1</v>
      </c>
      <c r="P38">
        <f t="shared" si="4"/>
        <v>0.5</v>
      </c>
      <c r="Q38" s="7">
        <f t="shared" si="5"/>
        <v>0.75</v>
      </c>
      <c r="R38" t="s">
        <v>3783</v>
      </c>
      <c r="S38">
        <f t="shared" si="6"/>
        <v>1</v>
      </c>
    </row>
    <row r="39" spans="1:19" x14ac:dyDescent="0.2">
      <c r="A39" t="s">
        <v>2949</v>
      </c>
      <c r="B39" s="69" t="s">
        <v>3834</v>
      </c>
      <c r="C39" t="s">
        <v>20</v>
      </c>
      <c r="D39">
        <v>0.6</v>
      </c>
      <c r="E39">
        <v>1</v>
      </c>
      <c r="L39">
        <v>3</v>
      </c>
      <c r="M39" t="s">
        <v>21</v>
      </c>
      <c r="N39" t="s">
        <v>3783</v>
      </c>
      <c r="O39" s="5">
        <v>1</v>
      </c>
      <c r="P39">
        <f t="shared" si="4"/>
        <v>0.8</v>
      </c>
      <c r="Q39" s="7">
        <f t="shared" si="5"/>
        <v>0.9</v>
      </c>
      <c r="R39" t="s">
        <v>3783</v>
      </c>
      <c r="S39">
        <f t="shared" si="6"/>
        <v>1</v>
      </c>
    </row>
    <row r="40" spans="1:19" x14ac:dyDescent="0.2">
      <c r="A40" t="s">
        <v>3786</v>
      </c>
      <c r="B40" s="69" t="s">
        <v>3787</v>
      </c>
      <c r="C40" t="s">
        <v>20</v>
      </c>
      <c r="D40">
        <v>0</v>
      </c>
      <c r="E40">
        <v>1</v>
      </c>
      <c r="L40">
        <v>3</v>
      </c>
      <c r="M40" t="s">
        <v>21</v>
      </c>
      <c r="N40" t="s">
        <v>3783</v>
      </c>
      <c r="O40" s="5">
        <v>1</v>
      </c>
      <c r="P40">
        <f t="shared" si="4"/>
        <v>0.5</v>
      </c>
      <c r="Q40" s="7">
        <f t="shared" si="5"/>
        <v>0.75</v>
      </c>
      <c r="R40" t="s">
        <v>3783</v>
      </c>
      <c r="S40">
        <f t="shared" si="6"/>
        <v>1</v>
      </c>
    </row>
    <row r="41" spans="1:19" x14ac:dyDescent="0.2">
      <c r="A41" s="8" t="s">
        <v>3838</v>
      </c>
      <c r="B41" s="52" t="s">
        <v>3842</v>
      </c>
      <c r="C41" t="s">
        <v>20</v>
      </c>
      <c r="D41">
        <v>0</v>
      </c>
      <c r="E41">
        <v>1</v>
      </c>
      <c r="L41">
        <v>3</v>
      </c>
      <c r="M41" t="s">
        <v>32</v>
      </c>
      <c r="N41" t="s">
        <v>3757</v>
      </c>
      <c r="O41" s="5">
        <v>1</v>
      </c>
      <c r="P41">
        <f t="shared" si="4"/>
        <v>0.5</v>
      </c>
      <c r="Q41" s="7">
        <f t="shared" si="5"/>
        <v>0.75</v>
      </c>
      <c r="S41">
        <f t="shared" si="6"/>
        <v>1</v>
      </c>
    </row>
    <row r="42" spans="1:19" x14ac:dyDescent="0.2">
      <c r="A42" t="s">
        <v>3794</v>
      </c>
      <c r="B42" s="52" t="s">
        <v>3793</v>
      </c>
      <c r="C42" t="s">
        <v>20</v>
      </c>
      <c r="D42">
        <v>0</v>
      </c>
      <c r="E42">
        <v>1</v>
      </c>
      <c r="L42">
        <v>3</v>
      </c>
      <c r="M42" t="s">
        <v>32</v>
      </c>
      <c r="N42" t="s">
        <v>3757</v>
      </c>
      <c r="O42" s="5">
        <v>1</v>
      </c>
      <c r="P42">
        <f t="shared" si="4"/>
        <v>0.5</v>
      </c>
      <c r="Q42" s="7">
        <f t="shared" si="5"/>
        <v>0.75</v>
      </c>
      <c r="R42" t="s">
        <v>3765</v>
      </c>
      <c r="S42">
        <f t="shared" si="6"/>
        <v>1</v>
      </c>
    </row>
    <row r="43" spans="1:19" x14ac:dyDescent="0.2">
      <c r="A43" t="s">
        <v>3795</v>
      </c>
      <c r="B43" s="52" t="s">
        <v>3796</v>
      </c>
      <c r="C43" t="s">
        <v>201</v>
      </c>
      <c r="D43">
        <v>0</v>
      </c>
      <c r="E43">
        <v>1</v>
      </c>
      <c r="F43">
        <v>1</v>
      </c>
      <c r="G43">
        <v>1</v>
      </c>
      <c r="H43">
        <v>0</v>
      </c>
      <c r="I43">
        <v>0</v>
      </c>
      <c r="J43">
        <v>1</v>
      </c>
      <c r="L43">
        <v>3</v>
      </c>
      <c r="M43" t="s">
        <v>21</v>
      </c>
      <c r="N43" t="s">
        <v>3839</v>
      </c>
      <c r="O43" s="5">
        <v>1</v>
      </c>
      <c r="P43">
        <f t="shared" si="4"/>
        <v>0.5</v>
      </c>
      <c r="Q43" s="7">
        <f t="shared" si="5"/>
        <v>0.75</v>
      </c>
      <c r="S43">
        <f t="shared" si="6"/>
        <v>1</v>
      </c>
    </row>
    <row r="44" spans="1:19" x14ac:dyDescent="0.2">
      <c r="A44" t="s">
        <v>3799</v>
      </c>
      <c r="B44" s="52" t="s">
        <v>3800</v>
      </c>
      <c r="C44" t="s">
        <v>20</v>
      </c>
      <c r="D44">
        <v>0</v>
      </c>
      <c r="E44">
        <v>1</v>
      </c>
      <c r="L44">
        <v>3</v>
      </c>
      <c r="M44" t="s">
        <v>21</v>
      </c>
      <c r="N44" t="s">
        <v>3840</v>
      </c>
      <c r="O44" s="5">
        <v>1</v>
      </c>
      <c r="P44">
        <f t="shared" si="4"/>
        <v>0.5</v>
      </c>
      <c r="Q44" s="7">
        <f t="shared" si="5"/>
        <v>0.75</v>
      </c>
      <c r="S44">
        <f t="shared" si="6"/>
        <v>1</v>
      </c>
    </row>
    <row r="45" spans="1:19" x14ac:dyDescent="0.2">
      <c r="A45" t="s">
        <v>3802</v>
      </c>
      <c r="B45" s="52" t="s">
        <v>3803</v>
      </c>
      <c r="D45">
        <v>1</v>
      </c>
      <c r="E45">
        <v>1</v>
      </c>
      <c r="L45">
        <v>3</v>
      </c>
      <c r="M45" t="s">
        <v>32</v>
      </c>
      <c r="N45" t="s">
        <v>3841</v>
      </c>
      <c r="O45" s="5">
        <v>0.8</v>
      </c>
      <c r="P45">
        <f t="shared" si="4"/>
        <v>1</v>
      </c>
      <c r="Q45" s="7">
        <f t="shared" si="5"/>
        <v>0.9</v>
      </c>
      <c r="S45">
        <f t="shared" si="6"/>
        <v>1</v>
      </c>
    </row>
    <row r="46" spans="1:19" x14ac:dyDescent="0.2">
      <c r="A46" t="s">
        <v>3814</v>
      </c>
      <c r="D46">
        <v>0</v>
      </c>
      <c r="E46">
        <v>1</v>
      </c>
      <c r="L46">
        <v>3</v>
      </c>
      <c r="M46" t="s">
        <v>32</v>
      </c>
      <c r="N46" t="s">
        <v>3757</v>
      </c>
      <c r="O46" s="5">
        <v>1</v>
      </c>
      <c r="P46">
        <f t="shared" si="4"/>
        <v>0.5</v>
      </c>
      <c r="Q46" s="7">
        <f t="shared" si="5"/>
        <v>0.75</v>
      </c>
      <c r="S46">
        <f t="shared" si="6"/>
        <v>1</v>
      </c>
    </row>
    <row r="47" spans="1:19" x14ac:dyDescent="0.2">
      <c r="A47" t="s">
        <v>3843</v>
      </c>
      <c r="B47" s="4" t="s">
        <v>3845</v>
      </c>
      <c r="C47" t="s">
        <v>20</v>
      </c>
      <c r="D47">
        <v>0.3</v>
      </c>
      <c r="E47">
        <v>1</v>
      </c>
      <c r="L47" s="2" t="s">
        <v>25</v>
      </c>
      <c r="M47" t="s">
        <v>32</v>
      </c>
      <c r="N47" t="s">
        <v>3771</v>
      </c>
      <c r="O47" s="5">
        <v>1</v>
      </c>
      <c r="P47">
        <f t="shared" si="4"/>
        <v>0.65</v>
      </c>
      <c r="Q47" s="7">
        <f t="shared" si="5"/>
        <v>0.82499999999999996</v>
      </c>
      <c r="S47">
        <f t="shared" si="6"/>
        <v>1</v>
      </c>
    </row>
    <row r="48" spans="1:19" x14ac:dyDescent="0.2">
      <c r="A48" t="s">
        <v>3844</v>
      </c>
      <c r="C48" t="s">
        <v>20</v>
      </c>
      <c r="D48">
        <v>0.3</v>
      </c>
      <c r="E48">
        <v>1</v>
      </c>
      <c r="L48" s="2" t="s">
        <v>25</v>
      </c>
      <c r="M48" t="s">
        <v>32</v>
      </c>
      <c r="N48" t="s">
        <v>3771</v>
      </c>
      <c r="O48" s="5">
        <v>1</v>
      </c>
      <c r="P48">
        <f t="shared" si="4"/>
        <v>0.65</v>
      </c>
      <c r="Q48" s="7">
        <f t="shared" si="5"/>
        <v>0.82499999999999996</v>
      </c>
      <c r="S48">
        <f t="shared" si="6"/>
        <v>1</v>
      </c>
    </row>
    <row r="49" spans="1:19" x14ac:dyDescent="0.2">
      <c r="A49" t="s">
        <v>3852</v>
      </c>
      <c r="B49" s="4" t="s">
        <v>3853</v>
      </c>
      <c r="C49" t="s">
        <v>20</v>
      </c>
      <c r="D49">
        <v>0</v>
      </c>
      <c r="E49">
        <v>1</v>
      </c>
      <c r="L49" s="2" t="s">
        <v>25</v>
      </c>
      <c r="M49" t="s">
        <v>21</v>
      </c>
      <c r="N49" t="s">
        <v>3792</v>
      </c>
      <c r="O49" s="5">
        <v>1</v>
      </c>
      <c r="P49">
        <f t="shared" si="4"/>
        <v>0.5</v>
      </c>
      <c r="Q49" s="7">
        <f t="shared" si="5"/>
        <v>0.75</v>
      </c>
      <c r="S49">
        <f t="shared" si="6"/>
        <v>1</v>
      </c>
    </row>
    <row r="50" spans="1:19" x14ac:dyDescent="0.2">
      <c r="A50" t="s">
        <v>3854</v>
      </c>
      <c r="B50" s="4" t="s">
        <v>3855</v>
      </c>
      <c r="C50" t="s">
        <v>20</v>
      </c>
      <c r="D50">
        <v>0</v>
      </c>
      <c r="E50">
        <v>1</v>
      </c>
      <c r="L50" s="2" t="s">
        <v>25</v>
      </c>
      <c r="M50" t="s">
        <v>21</v>
      </c>
      <c r="N50" t="s">
        <v>3792</v>
      </c>
      <c r="O50" s="5">
        <v>1</v>
      </c>
      <c r="P50">
        <f t="shared" si="4"/>
        <v>0.5</v>
      </c>
      <c r="Q50" s="7">
        <f t="shared" si="5"/>
        <v>0.75</v>
      </c>
      <c r="S50">
        <f t="shared" si="6"/>
        <v>1</v>
      </c>
    </row>
    <row r="51" spans="1:19" x14ac:dyDescent="0.2">
      <c r="A51" t="s">
        <v>3857</v>
      </c>
      <c r="B51" s="52" t="s">
        <v>3858</v>
      </c>
      <c r="C51" s="55" t="s">
        <v>20</v>
      </c>
      <c r="D51" s="55">
        <v>0</v>
      </c>
      <c r="E51" s="55">
        <v>1</v>
      </c>
      <c r="F51" s="5"/>
      <c r="G51" s="5"/>
      <c r="H51" s="5"/>
      <c r="I51" s="5"/>
      <c r="J51" s="5"/>
      <c r="K51" s="60"/>
      <c r="L51" s="2" t="s">
        <v>25</v>
      </c>
      <c r="M51" t="s">
        <v>21</v>
      </c>
      <c r="N51" s="55" t="s">
        <v>3839</v>
      </c>
      <c r="O51" s="61">
        <v>1</v>
      </c>
      <c r="P51" s="55">
        <v>0.5</v>
      </c>
      <c r="Q51" s="101">
        <v>0.75</v>
      </c>
      <c r="S51">
        <f t="shared" si="6"/>
        <v>1</v>
      </c>
    </row>
    <row r="52" spans="1:19" x14ac:dyDescent="0.2">
      <c r="A52" t="s">
        <v>3534</v>
      </c>
      <c r="B52" s="98"/>
      <c r="P52">
        <f t="shared" ref="P52:P94" si="7">(D52+E52)/2</f>
        <v>0</v>
      </c>
      <c r="Q52" s="7">
        <f t="shared" ref="Q52:Q94" si="8">(O52+P52)/2</f>
        <v>0</v>
      </c>
      <c r="R52" t="s">
        <v>3528</v>
      </c>
      <c r="S52">
        <f t="shared" si="6"/>
        <v>0</v>
      </c>
    </row>
    <row r="53" spans="1:19" x14ac:dyDescent="0.2">
      <c r="A53" t="s">
        <v>3535</v>
      </c>
      <c r="B53" s="98"/>
      <c r="C53" t="s">
        <v>20</v>
      </c>
      <c r="D53">
        <v>0.6</v>
      </c>
      <c r="E53">
        <v>1</v>
      </c>
      <c r="P53">
        <f t="shared" si="7"/>
        <v>0.8</v>
      </c>
      <c r="Q53" s="7">
        <f t="shared" si="8"/>
        <v>0.4</v>
      </c>
      <c r="R53" t="s">
        <v>3536</v>
      </c>
      <c r="S53">
        <f t="shared" si="6"/>
        <v>0</v>
      </c>
    </row>
    <row r="54" spans="1:19" x14ac:dyDescent="0.2">
      <c r="A54" t="s">
        <v>3541</v>
      </c>
      <c r="P54">
        <f t="shared" si="7"/>
        <v>0</v>
      </c>
      <c r="Q54" s="7">
        <f t="shared" si="8"/>
        <v>0</v>
      </c>
      <c r="R54" t="s">
        <v>3521</v>
      </c>
      <c r="S54">
        <f t="shared" si="6"/>
        <v>0</v>
      </c>
    </row>
    <row r="55" spans="1:19" x14ac:dyDescent="0.2">
      <c r="A55" t="s">
        <v>3542</v>
      </c>
      <c r="P55">
        <f t="shared" si="7"/>
        <v>0</v>
      </c>
      <c r="Q55" s="7">
        <f t="shared" si="8"/>
        <v>0</v>
      </c>
      <c r="R55" t="s">
        <v>3521</v>
      </c>
      <c r="S55">
        <f t="shared" si="6"/>
        <v>0</v>
      </c>
    </row>
    <row r="56" spans="1:19" x14ac:dyDescent="0.2">
      <c r="A56" t="s">
        <v>3544</v>
      </c>
      <c r="P56">
        <f t="shared" si="7"/>
        <v>0</v>
      </c>
      <c r="Q56" s="7">
        <f t="shared" si="8"/>
        <v>0</v>
      </c>
      <c r="R56" t="s">
        <v>3521</v>
      </c>
      <c r="S56">
        <f t="shared" si="6"/>
        <v>0</v>
      </c>
    </row>
    <row r="57" spans="1:19" x14ac:dyDescent="0.2">
      <c r="A57" t="s">
        <v>1086</v>
      </c>
      <c r="P57">
        <f t="shared" si="7"/>
        <v>0</v>
      </c>
      <c r="Q57" s="7">
        <f t="shared" si="8"/>
        <v>0</v>
      </c>
      <c r="R57" t="s">
        <v>3521</v>
      </c>
      <c r="S57">
        <f t="shared" si="6"/>
        <v>0</v>
      </c>
    </row>
    <row r="58" spans="1:19" x14ac:dyDescent="0.2">
      <c r="A58" t="s">
        <v>266</v>
      </c>
      <c r="P58">
        <f t="shared" si="7"/>
        <v>0</v>
      </c>
      <c r="Q58" s="7">
        <f t="shared" si="8"/>
        <v>0</v>
      </c>
      <c r="R58" t="s">
        <v>3521</v>
      </c>
      <c r="S58">
        <f t="shared" si="6"/>
        <v>0</v>
      </c>
    </row>
    <row r="59" spans="1:19" x14ac:dyDescent="0.2">
      <c r="A59" t="s">
        <v>1054</v>
      </c>
      <c r="P59">
        <f t="shared" si="7"/>
        <v>0</v>
      </c>
      <c r="Q59" s="7">
        <f t="shared" si="8"/>
        <v>0</v>
      </c>
      <c r="R59" t="s">
        <v>3521</v>
      </c>
      <c r="S59">
        <f t="shared" si="6"/>
        <v>0</v>
      </c>
    </row>
    <row r="60" spans="1:19" x14ac:dyDescent="0.2">
      <c r="A60" t="s">
        <v>1038</v>
      </c>
      <c r="P60">
        <f t="shared" si="7"/>
        <v>0</v>
      </c>
      <c r="Q60" s="7">
        <f t="shared" si="8"/>
        <v>0</v>
      </c>
      <c r="R60" t="s">
        <v>3521</v>
      </c>
      <c r="S60">
        <f t="shared" si="6"/>
        <v>0</v>
      </c>
    </row>
    <row r="61" spans="1:19" x14ac:dyDescent="0.2">
      <c r="A61" t="s">
        <v>981</v>
      </c>
      <c r="P61">
        <f t="shared" si="7"/>
        <v>0</v>
      </c>
      <c r="Q61" s="7">
        <f t="shared" si="8"/>
        <v>0</v>
      </c>
      <c r="R61" t="s">
        <v>3521</v>
      </c>
      <c r="S61">
        <f t="shared" si="6"/>
        <v>0</v>
      </c>
    </row>
    <row r="62" spans="1:19" x14ac:dyDescent="0.2">
      <c r="A62" t="s">
        <v>358</v>
      </c>
      <c r="P62">
        <f t="shared" si="7"/>
        <v>0</v>
      </c>
      <c r="Q62" s="7">
        <f t="shared" si="8"/>
        <v>0</v>
      </c>
      <c r="R62" t="s">
        <v>3521</v>
      </c>
      <c r="S62">
        <f t="shared" si="6"/>
        <v>0</v>
      </c>
    </row>
    <row r="63" spans="1:19" x14ac:dyDescent="0.2">
      <c r="A63" t="s">
        <v>3546</v>
      </c>
      <c r="P63">
        <f t="shared" si="7"/>
        <v>0</v>
      </c>
      <c r="Q63" s="7">
        <f t="shared" si="8"/>
        <v>0</v>
      </c>
      <c r="R63" t="s">
        <v>3521</v>
      </c>
      <c r="S63">
        <f t="shared" si="6"/>
        <v>0</v>
      </c>
    </row>
    <row r="64" spans="1:19" x14ac:dyDescent="0.2">
      <c r="A64" t="s">
        <v>3547</v>
      </c>
      <c r="P64">
        <f t="shared" si="7"/>
        <v>0</v>
      </c>
      <c r="Q64" s="7">
        <f t="shared" si="8"/>
        <v>0</v>
      </c>
      <c r="R64" t="s">
        <v>3521</v>
      </c>
      <c r="S64">
        <f t="shared" si="6"/>
        <v>0</v>
      </c>
    </row>
    <row r="65" spans="1:19" x14ac:dyDescent="0.2">
      <c r="A65" t="s">
        <v>3548</v>
      </c>
      <c r="P65">
        <f t="shared" si="7"/>
        <v>0</v>
      </c>
      <c r="Q65" s="7">
        <f t="shared" si="8"/>
        <v>0</v>
      </c>
      <c r="R65" t="s">
        <v>3521</v>
      </c>
      <c r="S65">
        <f t="shared" si="6"/>
        <v>0</v>
      </c>
    </row>
    <row r="66" spans="1:19" x14ac:dyDescent="0.2">
      <c r="A66" t="s">
        <v>3549</v>
      </c>
      <c r="B66" s="98"/>
      <c r="P66">
        <f t="shared" si="7"/>
        <v>0</v>
      </c>
      <c r="Q66" s="7">
        <f t="shared" si="8"/>
        <v>0</v>
      </c>
      <c r="R66" t="s">
        <v>3524</v>
      </c>
      <c r="S66">
        <f t="shared" ref="S66:S97" si="9">IF(_xlfn.BITAND(P66&gt;0.4999, Q66&gt;0.4999)=1,1,0)</f>
        <v>0</v>
      </c>
    </row>
    <row r="67" spans="1:19" x14ac:dyDescent="0.2">
      <c r="A67" t="s">
        <v>3550</v>
      </c>
      <c r="B67" s="98"/>
      <c r="P67">
        <f t="shared" si="7"/>
        <v>0</v>
      </c>
      <c r="Q67" s="7">
        <f t="shared" si="8"/>
        <v>0</v>
      </c>
      <c r="R67" t="s">
        <v>3524</v>
      </c>
      <c r="S67">
        <f t="shared" si="9"/>
        <v>0</v>
      </c>
    </row>
    <row r="68" spans="1:19" x14ac:dyDescent="0.2">
      <c r="A68" t="s">
        <v>1233</v>
      </c>
      <c r="P68">
        <f t="shared" si="7"/>
        <v>0</v>
      </c>
      <c r="Q68" s="7">
        <f t="shared" si="8"/>
        <v>0</v>
      </c>
      <c r="R68" t="s">
        <v>3536</v>
      </c>
      <c r="S68">
        <f t="shared" si="9"/>
        <v>0</v>
      </c>
    </row>
    <row r="69" spans="1:19" x14ac:dyDescent="0.2">
      <c r="A69" t="s">
        <v>2725</v>
      </c>
      <c r="P69">
        <f t="shared" si="7"/>
        <v>0</v>
      </c>
      <c r="Q69" s="7">
        <f t="shared" si="8"/>
        <v>0</v>
      </c>
      <c r="R69" t="s">
        <v>3536</v>
      </c>
      <c r="S69">
        <f t="shared" si="9"/>
        <v>0</v>
      </c>
    </row>
    <row r="70" spans="1:19" x14ac:dyDescent="0.2">
      <c r="A70" t="s">
        <v>927</v>
      </c>
      <c r="P70">
        <f t="shared" si="7"/>
        <v>0</v>
      </c>
      <c r="Q70" s="7">
        <f t="shared" si="8"/>
        <v>0</v>
      </c>
      <c r="R70" t="s">
        <v>3536</v>
      </c>
      <c r="S70">
        <f t="shared" si="9"/>
        <v>0</v>
      </c>
    </row>
    <row r="71" spans="1:19" x14ac:dyDescent="0.2">
      <c r="A71" t="s">
        <v>3551</v>
      </c>
      <c r="B71" s="98"/>
      <c r="P71">
        <f t="shared" si="7"/>
        <v>0</v>
      </c>
      <c r="Q71" s="7">
        <f t="shared" si="8"/>
        <v>0</v>
      </c>
      <c r="R71" t="s">
        <v>3536</v>
      </c>
      <c r="S71">
        <f t="shared" si="9"/>
        <v>0</v>
      </c>
    </row>
    <row r="72" spans="1:19" x14ac:dyDescent="0.2">
      <c r="A72" t="s">
        <v>871</v>
      </c>
      <c r="P72">
        <f t="shared" si="7"/>
        <v>0</v>
      </c>
      <c r="Q72" s="7">
        <f t="shared" si="8"/>
        <v>0</v>
      </c>
      <c r="R72" t="s">
        <v>3536</v>
      </c>
      <c r="S72">
        <f t="shared" si="9"/>
        <v>0</v>
      </c>
    </row>
    <row r="73" spans="1:19" x14ac:dyDescent="0.2">
      <c r="A73" t="s">
        <v>3552</v>
      </c>
      <c r="B73" s="98"/>
      <c r="P73">
        <f t="shared" si="7"/>
        <v>0</v>
      </c>
      <c r="Q73" s="7">
        <f t="shared" si="8"/>
        <v>0</v>
      </c>
      <c r="R73" t="s">
        <v>3536</v>
      </c>
      <c r="S73">
        <f t="shared" si="9"/>
        <v>0</v>
      </c>
    </row>
    <row r="74" spans="1:19" x14ac:dyDescent="0.2">
      <c r="A74" t="s">
        <v>3553</v>
      </c>
      <c r="P74">
        <f t="shared" si="7"/>
        <v>0</v>
      </c>
      <c r="Q74" s="7">
        <f t="shared" si="8"/>
        <v>0</v>
      </c>
      <c r="R74" t="s">
        <v>3536</v>
      </c>
      <c r="S74">
        <f t="shared" si="9"/>
        <v>0</v>
      </c>
    </row>
    <row r="75" spans="1:19" x14ac:dyDescent="0.2">
      <c r="A75" t="s">
        <v>3554</v>
      </c>
      <c r="P75">
        <f t="shared" si="7"/>
        <v>0</v>
      </c>
      <c r="Q75" s="7">
        <f t="shared" si="8"/>
        <v>0</v>
      </c>
      <c r="R75" t="s">
        <v>3536</v>
      </c>
      <c r="S75">
        <f t="shared" si="9"/>
        <v>0</v>
      </c>
    </row>
    <row r="76" spans="1:19" x14ac:dyDescent="0.2">
      <c r="A76" t="s">
        <v>3556</v>
      </c>
      <c r="P76">
        <f t="shared" si="7"/>
        <v>0</v>
      </c>
      <c r="Q76" s="7">
        <f t="shared" si="8"/>
        <v>0</v>
      </c>
      <c r="R76" t="s">
        <v>3536</v>
      </c>
      <c r="S76">
        <f t="shared" si="9"/>
        <v>0</v>
      </c>
    </row>
    <row r="77" spans="1:19" ht="15" customHeight="1" x14ac:dyDescent="0.2">
      <c r="A77" t="s">
        <v>3557</v>
      </c>
      <c r="P77">
        <f t="shared" si="7"/>
        <v>0</v>
      </c>
      <c r="Q77" s="7">
        <f t="shared" si="8"/>
        <v>0</v>
      </c>
      <c r="R77" t="s">
        <v>3536</v>
      </c>
      <c r="S77">
        <f t="shared" si="9"/>
        <v>0</v>
      </c>
    </row>
    <row r="78" spans="1:19" x14ac:dyDescent="0.2">
      <c r="A78" t="s">
        <v>3348</v>
      </c>
      <c r="P78">
        <f t="shared" si="7"/>
        <v>0</v>
      </c>
      <c r="Q78" s="7">
        <f t="shared" si="8"/>
        <v>0</v>
      </c>
      <c r="R78" t="s">
        <v>3536</v>
      </c>
      <c r="S78">
        <f t="shared" si="9"/>
        <v>0</v>
      </c>
    </row>
    <row r="79" spans="1:19" x14ac:dyDescent="0.2">
      <c r="A79" t="s">
        <v>1034</v>
      </c>
      <c r="P79">
        <f t="shared" si="7"/>
        <v>0</v>
      </c>
      <c r="Q79" s="7">
        <f t="shared" si="8"/>
        <v>0</v>
      </c>
      <c r="R79" t="s">
        <v>3536</v>
      </c>
      <c r="S79">
        <f t="shared" si="9"/>
        <v>0</v>
      </c>
    </row>
    <row r="80" spans="1:19" x14ac:dyDescent="0.2">
      <c r="A80" t="s">
        <v>1012</v>
      </c>
      <c r="P80">
        <f t="shared" si="7"/>
        <v>0</v>
      </c>
      <c r="Q80" s="7">
        <f t="shared" si="8"/>
        <v>0</v>
      </c>
      <c r="R80" t="s">
        <v>3536</v>
      </c>
      <c r="S80">
        <f t="shared" si="9"/>
        <v>0</v>
      </c>
    </row>
    <row r="81" spans="1:19" x14ac:dyDescent="0.2">
      <c r="A81" t="s">
        <v>3558</v>
      </c>
      <c r="B81" s="98"/>
      <c r="P81">
        <f t="shared" si="7"/>
        <v>0</v>
      </c>
      <c r="Q81" s="7">
        <f t="shared" si="8"/>
        <v>0</v>
      </c>
      <c r="R81" t="s">
        <v>3536</v>
      </c>
      <c r="S81">
        <f t="shared" si="9"/>
        <v>0</v>
      </c>
    </row>
    <row r="82" spans="1:19" x14ac:dyDescent="0.2">
      <c r="A82" t="s">
        <v>987</v>
      </c>
      <c r="P82">
        <f t="shared" si="7"/>
        <v>0</v>
      </c>
      <c r="Q82" s="7">
        <f t="shared" si="8"/>
        <v>0</v>
      </c>
      <c r="R82" t="s">
        <v>3536</v>
      </c>
      <c r="S82">
        <f t="shared" si="9"/>
        <v>0</v>
      </c>
    </row>
    <row r="83" spans="1:19" x14ac:dyDescent="0.2">
      <c r="A83" t="s">
        <v>990</v>
      </c>
      <c r="P83">
        <f t="shared" si="7"/>
        <v>0</v>
      </c>
      <c r="Q83" s="7">
        <f t="shared" si="8"/>
        <v>0</v>
      </c>
      <c r="R83" t="s">
        <v>3536</v>
      </c>
      <c r="S83">
        <f t="shared" si="9"/>
        <v>0</v>
      </c>
    </row>
    <row r="84" spans="1:19" x14ac:dyDescent="0.2">
      <c r="A84" t="s">
        <v>2679</v>
      </c>
      <c r="P84">
        <f t="shared" si="7"/>
        <v>0</v>
      </c>
      <c r="Q84" s="7">
        <f t="shared" si="8"/>
        <v>0</v>
      </c>
      <c r="R84" t="s">
        <v>3536</v>
      </c>
      <c r="S84">
        <f t="shared" si="9"/>
        <v>0</v>
      </c>
    </row>
    <row r="85" spans="1:19" x14ac:dyDescent="0.2">
      <c r="A85" t="s">
        <v>3559</v>
      </c>
      <c r="B85" s="98"/>
      <c r="P85">
        <f t="shared" si="7"/>
        <v>0</v>
      </c>
      <c r="Q85" s="7">
        <f t="shared" si="8"/>
        <v>0</v>
      </c>
      <c r="R85" t="s">
        <v>3536</v>
      </c>
      <c r="S85">
        <f t="shared" si="9"/>
        <v>0</v>
      </c>
    </row>
    <row r="86" spans="1:19" x14ac:dyDescent="0.2">
      <c r="A86" t="s">
        <v>356</v>
      </c>
      <c r="P86">
        <f t="shared" si="7"/>
        <v>0</v>
      </c>
      <c r="Q86" s="7">
        <f t="shared" si="8"/>
        <v>0</v>
      </c>
      <c r="R86" t="s">
        <v>3536</v>
      </c>
      <c r="S86">
        <f t="shared" si="9"/>
        <v>0</v>
      </c>
    </row>
    <row r="87" spans="1:19" x14ac:dyDescent="0.2">
      <c r="A87" t="s">
        <v>3560</v>
      </c>
      <c r="B87" s="98"/>
      <c r="P87">
        <f t="shared" si="7"/>
        <v>0</v>
      </c>
      <c r="Q87" s="7">
        <f t="shared" si="8"/>
        <v>0</v>
      </c>
      <c r="R87" t="s">
        <v>3536</v>
      </c>
      <c r="S87">
        <f t="shared" si="9"/>
        <v>0</v>
      </c>
    </row>
    <row r="88" spans="1:19" x14ac:dyDescent="0.2">
      <c r="A88" t="s">
        <v>969</v>
      </c>
      <c r="P88">
        <f t="shared" si="7"/>
        <v>0</v>
      </c>
      <c r="Q88" s="7">
        <f t="shared" si="8"/>
        <v>0</v>
      </c>
      <c r="R88" t="s">
        <v>3536</v>
      </c>
      <c r="S88">
        <f t="shared" si="9"/>
        <v>0</v>
      </c>
    </row>
    <row r="89" spans="1:19" x14ac:dyDescent="0.2">
      <c r="A89" t="s">
        <v>3561</v>
      </c>
      <c r="B89" s="98"/>
      <c r="P89">
        <f t="shared" si="7"/>
        <v>0</v>
      </c>
      <c r="Q89" s="7">
        <f t="shared" si="8"/>
        <v>0</v>
      </c>
      <c r="R89" t="s">
        <v>3536</v>
      </c>
      <c r="S89">
        <f t="shared" si="9"/>
        <v>0</v>
      </c>
    </row>
    <row r="90" spans="1:19" x14ac:dyDescent="0.2">
      <c r="A90" t="s">
        <v>1148</v>
      </c>
      <c r="B90" s="52" t="s">
        <v>1149</v>
      </c>
      <c r="D90" s="5"/>
      <c r="E90" s="5"/>
      <c r="F90" s="5"/>
      <c r="G90" s="5"/>
      <c r="H90" s="5"/>
      <c r="I90" s="5"/>
      <c r="J90" s="5"/>
      <c r="P90">
        <f t="shared" si="7"/>
        <v>0</v>
      </c>
      <c r="Q90" s="7">
        <f t="shared" si="8"/>
        <v>0</v>
      </c>
      <c r="R90" t="s">
        <v>3528</v>
      </c>
      <c r="S90">
        <f t="shared" si="9"/>
        <v>0</v>
      </c>
    </row>
    <row r="91" spans="1:19" x14ac:dyDescent="0.2">
      <c r="A91" t="s">
        <v>3562</v>
      </c>
      <c r="B91" s="98"/>
      <c r="P91">
        <f t="shared" si="7"/>
        <v>0</v>
      </c>
      <c r="Q91" s="7">
        <f t="shared" si="8"/>
        <v>0</v>
      </c>
      <c r="R91" t="s">
        <v>3528</v>
      </c>
      <c r="S91">
        <f t="shared" si="9"/>
        <v>0</v>
      </c>
    </row>
    <row r="92" spans="1:19" x14ac:dyDescent="0.2">
      <c r="A92" t="s">
        <v>3563</v>
      </c>
      <c r="B92" s="98"/>
      <c r="P92">
        <f t="shared" si="7"/>
        <v>0</v>
      </c>
      <c r="Q92" s="7">
        <f t="shared" si="8"/>
        <v>0</v>
      </c>
      <c r="R92" t="s">
        <v>3528</v>
      </c>
      <c r="S92">
        <f t="shared" si="9"/>
        <v>0</v>
      </c>
    </row>
    <row r="93" spans="1:19" x14ac:dyDescent="0.2">
      <c r="A93" t="s">
        <v>2772</v>
      </c>
      <c r="B93" s="4" t="s">
        <v>3848</v>
      </c>
      <c r="L93" s="2" t="s">
        <v>25</v>
      </c>
      <c r="M93" t="s">
        <v>21</v>
      </c>
      <c r="N93" t="s">
        <v>3849</v>
      </c>
      <c r="O93" s="5">
        <v>1</v>
      </c>
      <c r="P93">
        <f t="shared" si="7"/>
        <v>0</v>
      </c>
      <c r="Q93" s="7">
        <f t="shared" si="8"/>
        <v>0.5</v>
      </c>
      <c r="S93">
        <f t="shared" si="9"/>
        <v>0</v>
      </c>
    </row>
    <row r="94" spans="1:19" x14ac:dyDescent="0.2">
      <c r="A94" t="s">
        <v>899</v>
      </c>
      <c r="L94">
        <v>3</v>
      </c>
      <c r="M94" t="s">
        <v>32</v>
      </c>
      <c r="N94" t="s">
        <v>3835</v>
      </c>
      <c r="P94">
        <f t="shared" si="7"/>
        <v>0</v>
      </c>
      <c r="Q94" s="7">
        <f t="shared" si="8"/>
        <v>0</v>
      </c>
      <c r="R94" t="s">
        <v>3531</v>
      </c>
      <c r="S94">
        <f t="shared" si="9"/>
        <v>0</v>
      </c>
    </row>
    <row r="95" spans="1:19" x14ac:dyDescent="0.2">
      <c r="A95" t="s">
        <v>1015</v>
      </c>
      <c r="R95" t="s">
        <v>3531</v>
      </c>
      <c r="S95">
        <f t="shared" si="9"/>
        <v>0</v>
      </c>
    </row>
    <row r="96" spans="1:19" x14ac:dyDescent="0.2">
      <c r="A96" t="s">
        <v>2626</v>
      </c>
      <c r="R96" t="s">
        <v>3531</v>
      </c>
      <c r="S96">
        <f t="shared" si="9"/>
        <v>0</v>
      </c>
    </row>
    <row r="97" spans="1:19" x14ac:dyDescent="0.2">
      <c r="A97" t="s">
        <v>215</v>
      </c>
      <c r="R97" t="s">
        <v>3531</v>
      </c>
      <c r="S97">
        <f t="shared" si="9"/>
        <v>0</v>
      </c>
    </row>
    <row r="98" spans="1:19" x14ac:dyDescent="0.2">
      <c r="A98" t="s">
        <v>3565</v>
      </c>
      <c r="B98" s="98"/>
      <c r="R98" t="s">
        <v>3531</v>
      </c>
      <c r="S98">
        <f t="shared" ref="S98:S117" si="10">IF(_xlfn.BITAND(P98&gt;0.4999, Q98&gt;0.4999)=1,1,0)</f>
        <v>0</v>
      </c>
    </row>
    <row r="99" spans="1:19" x14ac:dyDescent="0.2">
      <c r="A99" t="s">
        <v>3746</v>
      </c>
      <c r="B99" s="69" t="s">
        <v>3746</v>
      </c>
      <c r="K99">
        <v>1</v>
      </c>
      <c r="R99" t="s">
        <v>3757</v>
      </c>
      <c r="S99">
        <f t="shared" si="10"/>
        <v>0</v>
      </c>
    </row>
    <row r="100" spans="1:19" x14ac:dyDescent="0.2">
      <c r="A100" s="94" t="s">
        <v>3684</v>
      </c>
      <c r="B100" s="69" t="s">
        <v>3684</v>
      </c>
      <c r="C100" t="s">
        <v>201</v>
      </c>
      <c r="R100" t="s">
        <v>3757</v>
      </c>
      <c r="S100">
        <f t="shared" si="10"/>
        <v>0</v>
      </c>
    </row>
    <row r="101" spans="1:19" x14ac:dyDescent="0.2">
      <c r="A101" t="s">
        <v>3747</v>
      </c>
      <c r="B101" s="69" t="s">
        <v>3747</v>
      </c>
      <c r="L101">
        <v>3</v>
      </c>
      <c r="M101" t="s">
        <v>32</v>
      </c>
      <c r="N101" t="s">
        <v>3757</v>
      </c>
      <c r="O101" s="5">
        <v>1</v>
      </c>
      <c r="R101" t="s">
        <v>3757</v>
      </c>
      <c r="S101">
        <f t="shared" si="10"/>
        <v>0</v>
      </c>
    </row>
    <row r="102" spans="1:19" x14ac:dyDescent="0.2">
      <c r="A102" t="s">
        <v>3748</v>
      </c>
      <c r="B102" s="69" t="s">
        <v>3748</v>
      </c>
      <c r="C102" t="s">
        <v>20</v>
      </c>
      <c r="D102">
        <v>0</v>
      </c>
      <c r="E102">
        <v>0</v>
      </c>
      <c r="L102">
        <v>3</v>
      </c>
      <c r="M102" t="s">
        <v>32</v>
      </c>
      <c r="N102" t="s">
        <v>3757</v>
      </c>
      <c r="O102" s="5">
        <v>1</v>
      </c>
      <c r="P102">
        <f>(D102+E102)/2</f>
        <v>0</v>
      </c>
      <c r="Q102" s="7">
        <f>(O102+P102)/2</f>
        <v>0.5</v>
      </c>
      <c r="R102" t="s">
        <v>3757</v>
      </c>
      <c r="S102">
        <f t="shared" si="10"/>
        <v>0</v>
      </c>
    </row>
    <row r="103" spans="1:19" x14ac:dyDescent="0.2">
      <c r="A103" s="94" t="s">
        <v>318</v>
      </c>
      <c r="B103" s="69" t="s">
        <v>318</v>
      </c>
      <c r="R103" t="s">
        <v>3757</v>
      </c>
      <c r="S103">
        <f t="shared" si="10"/>
        <v>0</v>
      </c>
    </row>
    <row r="104" spans="1:19" x14ac:dyDescent="0.2">
      <c r="A104" t="s">
        <v>3753</v>
      </c>
      <c r="B104" s="69" t="s">
        <v>3807</v>
      </c>
      <c r="C104" t="s">
        <v>20</v>
      </c>
      <c r="L104">
        <v>3</v>
      </c>
      <c r="M104" t="s">
        <v>32</v>
      </c>
      <c r="N104" t="s">
        <v>3757</v>
      </c>
      <c r="P104">
        <f>(D104+E104)/2</f>
        <v>0</v>
      </c>
      <c r="Q104" s="7">
        <f>(O104+P104)/2</f>
        <v>0</v>
      </c>
      <c r="R104" t="s">
        <v>3757</v>
      </c>
      <c r="S104">
        <f t="shared" si="10"/>
        <v>0</v>
      </c>
    </row>
    <row r="105" spans="1:19" x14ac:dyDescent="0.2">
      <c r="A105" s="94" t="s">
        <v>3705</v>
      </c>
      <c r="B105" s="69" t="s">
        <v>3705</v>
      </c>
      <c r="C105" t="s">
        <v>20</v>
      </c>
      <c r="P105">
        <f>(D105+E105)/2</f>
        <v>0</v>
      </c>
      <c r="Q105" s="7">
        <f>(O105+P105)/2</f>
        <v>0</v>
      </c>
      <c r="R105" t="s">
        <v>3765</v>
      </c>
      <c r="S105">
        <f t="shared" si="10"/>
        <v>0</v>
      </c>
    </row>
    <row r="106" spans="1:19" x14ac:dyDescent="0.2">
      <c r="A106" t="s">
        <v>3766</v>
      </c>
      <c r="B106" s="69" t="s">
        <v>3766</v>
      </c>
      <c r="C106" t="s">
        <v>3801</v>
      </c>
      <c r="L106">
        <v>3</v>
      </c>
      <c r="M106" t="s">
        <v>32</v>
      </c>
      <c r="N106" t="s">
        <v>3757</v>
      </c>
      <c r="O106" s="5">
        <v>1</v>
      </c>
      <c r="P106">
        <f>(D106+E106)/2</f>
        <v>0</v>
      </c>
      <c r="Q106" s="7">
        <f>(O106+P106)/2</f>
        <v>0.5</v>
      </c>
      <c r="R106" t="s">
        <v>3771</v>
      </c>
      <c r="S106">
        <f t="shared" si="10"/>
        <v>0</v>
      </c>
    </row>
    <row r="107" spans="1:19" x14ac:dyDescent="0.2">
      <c r="A107" t="s">
        <v>3767</v>
      </c>
      <c r="B107" s="69" t="s">
        <v>3767</v>
      </c>
      <c r="C107" t="s">
        <v>3801</v>
      </c>
      <c r="R107" t="s">
        <v>3771</v>
      </c>
      <c r="S107">
        <f t="shared" si="10"/>
        <v>0</v>
      </c>
    </row>
    <row r="108" spans="1:19" x14ac:dyDescent="0.2">
      <c r="A108" t="s">
        <v>3768</v>
      </c>
      <c r="B108" s="69" t="s">
        <v>3768</v>
      </c>
      <c r="C108" t="s">
        <v>201</v>
      </c>
      <c r="D108">
        <v>0</v>
      </c>
      <c r="E108">
        <v>0.3</v>
      </c>
      <c r="F108">
        <v>0</v>
      </c>
      <c r="G108">
        <v>0</v>
      </c>
      <c r="H108">
        <v>0</v>
      </c>
      <c r="I108">
        <v>1</v>
      </c>
      <c r="J108">
        <v>0</v>
      </c>
      <c r="L108">
        <v>2.2999999999999998</v>
      </c>
      <c r="M108" t="s">
        <v>32</v>
      </c>
      <c r="N108" t="s">
        <v>3757</v>
      </c>
      <c r="O108" s="5">
        <v>1</v>
      </c>
      <c r="P108" s="7">
        <f>(D108+E108+F108+G108+H108+I108+J108)/6</f>
        <v>0.21666666666666667</v>
      </c>
      <c r="Q108" s="7">
        <f>(O108+P108)/2</f>
        <v>0.60833333333333339</v>
      </c>
      <c r="R108" t="s">
        <v>3771</v>
      </c>
      <c r="S108">
        <f t="shared" si="10"/>
        <v>0</v>
      </c>
    </row>
    <row r="109" spans="1:19" x14ac:dyDescent="0.2">
      <c r="A109" t="s">
        <v>3774</v>
      </c>
      <c r="B109" s="69" t="s">
        <v>3825</v>
      </c>
      <c r="K109">
        <v>1</v>
      </c>
      <c r="R109" t="s">
        <v>3778</v>
      </c>
      <c r="S109">
        <f t="shared" si="10"/>
        <v>0</v>
      </c>
    </row>
    <row r="110" spans="1:19" x14ac:dyDescent="0.2">
      <c r="A110" t="s">
        <v>3779</v>
      </c>
      <c r="B110" s="69" t="s">
        <v>3829</v>
      </c>
      <c r="C110" t="s">
        <v>20</v>
      </c>
      <c r="D110">
        <v>0</v>
      </c>
      <c r="E110">
        <v>0</v>
      </c>
      <c r="L110">
        <v>3</v>
      </c>
      <c r="M110" t="s">
        <v>32</v>
      </c>
      <c r="N110" t="s">
        <v>3757</v>
      </c>
      <c r="O110" s="5">
        <v>0.5</v>
      </c>
      <c r="P110">
        <f>(D110+E110)/2</f>
        <v>0</v>
      </c>
      <c r="Q110" s="7">
        <f>(O110+P110)/2</f>
        <v>0.25</v>
      </c>
      <c r="R110" t="s">
        <v>3781</v>
      </c>
      <c r="S110">
        <f t="shared" si="10"/>
        <v>0</v>
      </c>
    </row>
    <row r="111" spans="1:19" x14ac:dyDescent="0.2">
      <c r="A111" t="s">
        <v>3550</v>
      </c>
      <c r="B111" s="69" t="s">
        <v>3550</v>
      </c>
      <c r="R111" t="s">
        <v>3781</v>
      </c>
      <c r="S111">
        <f t="shared" si="10"/>
        <v>0</v>
      </c>
    </row>
    <row r="112" spans="1:19" x14ac:dyDescent="0.2">
      <c r="A112" t="s">
        <v>3785</v>
      </c>
      <c r="B112" s="69" t="s">
        <v>3833</v>
      </c>
      <c r="C112" t="s">
        <v>20</v>
      </c>
      <c r="D112">
        <v>0</v>
      </c>
      <c r="E112">
        <v>0</v>
      </c>
      <c r="L112">
        <v>3</v>
      </c>
      <c r="M112" t="s">
        <v>21</v>
      </c>
      <c r="N112" t="s">
        <v>3783</v>
      </c>
      <c r="O112" s="5">
        <v>1</v>
      </c>
      <c r="P112">
        <f>(D112+E112)/2</f>
        <v>0</v>
      </c>
      <c r="Q112" s="7">
        <f>(O112+P112)/2</f>
        <v>0.5</v>
      </c>
      <c r="R112" t="s">
        <v>3783</v>
      </c>
      <c r="S112">
        <f t="shared" si="10"/>
        <v>0</v>
      </c>
    </row>
    <row r="113" spans="1:19" x14ac:dyDescent="0.2">
      <c r="A113" t="s">
        <v>1102</v>
      </c>
      <c r="B113" s="69" t="s">
        <v>3788</v>
      </c>
      <c r="C113" t="s">
        <v>20</v>
      </c>
      <c r="D113">
        <v>0.3</v>
      </c>
      <c r="E113">
        <v>0</v>
      </c>
      <c r="L113">
        <v>3</v>
      </c>
      <c r="M113" t="s">
        <v>21</v>
      </c>
      <c r="N113" t="s">
        <v>3783</v>
      </c>
      <c r="O113" s="5">
        <v>1</v>
      </c>
      <c r="P113">
        <f>(D113+E113)/2</f>
        <v>0.15</v>
      </c>
      <c r="Q113" s="7">
        <f>(O113+P113)/2</f>
        <v>0.57499999999999996</v>
      </c>
      <c r="R113" t="s">
        <v>3789</v>
      </c>
      <c r="S113">
        <f t="shared" si="10"/>
        <v>0</v>
      </c>
    </row>
    <row r="114" spans="1:19" x14ac:dyDescent="0.2">
      <c r="A114" t="s">
        <v>3790</v>
      </c>
      <c r="B114" s="69" t="s">
        <v>3791</v>
      </c>
      <c r="C114" t="s">
        <v>20</v>
      </c>
      <c r="D114">
        <v>0</v>
      </c>
      <c r="E114">
        <v>0</v>
      </c>
      <c r="L114">
        <v>3</v>
      </c>
      <c r="M114" t="s">
        <v>21</v>
      </c>
      <c r="N114" t="s">
        <v>3792</v>
      </c>
      <c r="O114" s="5">
        <v>1</v>
      </c>
      <c r="P114">
        <f>(D114+E114)/2</f>
        <v>0</v>
      </c>
      <c r="Q114" s="7">
        <f>(O114+P114)/2</f>
        <v>0.5</v>
      </c>
      <c r="R114" t="s">
        <v>3792</v>
      </c>
      <c r="S114">
        <f t="shared" si="10"/>
        <v>0</v>
      </c>
    </row>
    <row r="115" spans="1:19" x14ac:dyDescent="0.2">
      <c r="A115" t="s">
        <v>3797</v>
      </c>
      <c r="B115" s="52" t="s">
        <v>3798</v>
      </c>
      <c r="C115" t="s">
        <v>20</v>
      </c>
      <c r="D115">
        <v>0</v>
      </c>
      <c r="E115">
        <v>0</v>
      </c>
      <c r="L115">
        <v>3</v>
      </c>
      <c r="M115" t="s">
        <v>32</v>
      </c>
      <c r="N115" t="s">
        <v>3757</v>
      </c>
      <c r="O115" s="5">
        <v>1</v>
      </c>
      <c r="P115">
        <f>(D115+E115)/2</f>
        <v>0</v>
      </c>
      <c r="Q115" s="7">
        <f>(O115+P115)/2</f>
        <v>0.5</v>
      </c>
      <c r="S115">
        <f t="shared" si="10"/>
        <v>0</v>
      </c>
    </row>
    <row r="116" spans="1:19" x14ac:dyDescent="0.2">
      <c r="A116" t="s">
        <v>943</v>
      </c>
      <c r="B116" s="4" t="s">
        <v>944</v>
      </c>
      <c r="L116" s="2" t="s">
        <v>25</v>
      </c>
      <c r="M116" t="s">
        <v>21</v>
      </c>
      <c r="N116" t="s">
        <v>3792</v>
      </c>
      <c r="O116" s="5">
        <v>1</v>
      </c>
      <c r="P116">
        <f>(D116+E116)/2</f>
        <v>0</v>
      </c>
      <c r="Q116" s="7">
        <f>(O116+P116)/2</f>
        <v>0.5</v>
      </c>
      <c r="S116">
        <f t="shared" si="10"/>
        <v>0</v>
      </c>
    </row>
    <row r="117" spans="1:19" x14ac:dyDescent="0.2">
      <c r="A117" t="s">
        <v>3856</v>
      </c>
      <c r="L117" s="2" t="s">
        <v>25</v>
      </c>
      <c r="M117" t="s">
        <v>21</v>
      </c>
      <c r="N117" t="s">
        <v>3792</v>
      </c>
      <c r="O117" s="5">
        <v>1</v>
      </c>
      <c r="S117">
        <f t="shared" si="10"/>
        <v>0</v>
      </c>
    </row>
    <row r="122" spans="1:19" x14ac:dyDescent="0.2">
      <c r="A122" s="55"/>
    </row>
    <row r="123" spans="1:19" x14ac:dyDescent="0.2">
      <c r="A123" s="95"/>
    </row>
    <row r="124" spans="1:19" x14ac:dyDescent="0.2">
      <c r="A124" s="99"/>
    </row>
    <row r="125" spans="1:19" x14ac:dyDescent="0.2">
      <c r="A125" s="99"/>
    </row>
    <row r="126" spans="1:19" x14ac:dyDescent="0.2">
      <c r="A126" s="99"/>
    </row>
    <row r="127" spans="1:19" x14ac:dyDescent="0.2">
      <c r="A127" s="99"/>
    </row>
    <row r="128" spans="1:19" x14ac:dyDescent="0.2">
      <c r="A128" s="99"/>
    </row>
    <row r="129" spans="1:1" x14ac:dyDescent="0.2">
      <c r="A129" s="99"/>
    </row>
    <row r="613" spans="1:1" x14ac:dyDescent="0.2">
      <c r="A613" s="91"/>
    </row>
    <row r="615" spans="1:1" x14ac:dyDescent="0.2">
      <c r="A615" s="91"/>
    </row>
    <row r="616" spans="1:1" x14ac:dyDescent="0.2">
      <c r="A616" s="91"/>
    </row>
    <row r="617" spans="1:1" x14ac:dyDescent="0.2">
      <c r="A617" s="91"/>
    </row>
    <row r="618" spans="1:1" x14ac:dyDescent="0.2">
      <c r="A618" s="91"/>
    </row>
    <row r="620" spans="1:1" x14ac:dyDescent="0.2">
      <c r="A620" s="91"/>
    </row>
    <row r="621" spans="1:1" x14ac:dyDescent="0.2">
      <c r="A621" s="91"/>
    </row>
    <row r="622" spans="1:1" x14ac:dyDescent="0.2">
      <c r="A622" s="91"/>
    </row>
    <row r="624" spans="1:1" x14ac:dyDescent="0.2">
      <c r="A624" s="91"/>
    </row>
    <row r="626" spans="1:1" x14ac:dyDescent="0.2">
      <c r="A626" s="91"/>
    </row>
    <row r="628" spans="1:1" x14ac:dyDescent="0.2">
      <c r="A628" s="91"/>
    </row>
    <row r="631" spans="1:1" x14ac:dyDescent="0.2">
      <c r="A631" s="91"/>
    </row>
    <row r="632" spans="1:1" x14ac:dyDescent="0.2">
      <c r="A632" s="91"/>
    </row>
    <row r="633" spans="1:1" x14ac:dyDescent="0.2">
      <c r="A633" s="91"/>
    </row>
    <row r="634" spans="1:1" x14ac:dyDescent="0.2">
      <c r="A634" s="91"/>
    </row>
    <row r="636" spans="1:1" x14ac:dyDescent="0.2">
      <c r="A636" s="91"/>
    </row>
    <row r="638" spans="1:1" x14ac:dyDescent="0.2">
      <c r="A638" s="91"/>
    </row>
    <row r="643" spans="1:1" x14ac:dyDescent="0.2">
      <c r="A643" s="91"/>
    </row>
    <row r="674" spans="1:1" x14ac:dyDescent="0.2">
      <c r="A674" s="4"/>
    </row>
    <row r="675" spans="1:1" x14ac:dyDescent="0.2">
      <c r="A675" s="4"/>
    </row>
    <row r="676" spans="1:1" x14ac:dyDescent="0.2">
      <c r="A676" s="4"/>
    </row>
    <row r="677" spans="1:1" x14ac:dyDescent="0.2">
      <c r="A677" s="4"/>
    </row>
    <row r="678" spans="1:1" x14ac:dyDescent="0.2">
      <c r="A678" s="4"/>
    </row>
    <row r="679" spans="1:1" x14ac:dyDescent="0.2">
      <c r="A679" s="4"/>
    </row>
    <row r="680" spans="1:1" x14ac:dyDescent="0.2">
      <c r="A680" s="4"/>
    </row>
    <row r="681" spans="1:1" x14ac:dyDescent="0.2">
      <c r="A681" s="4"/>
    </row>
    <row r="685" spans="1:1" x14ac:dyDescent="0.2">
      <c r="A685" s="4"/>
    </row>
    <row r="686" spans="1:1" x14ac:dyDescent="0.2">
      <c r="A686" s="4"/>
    </row>
    <row r="688" spans="1:1" x14ac:dyDescent="0.2">
      <c r="A688" s="4"/>
    </row>
    <row r="689" spans="1:1" x14ac:dyDescent="0.2">
      <c r="A689" s="4"/>
    </row>
    <row r="691" spans="1:1" x14ac:dyDescent="0.2">
      <c r="A691" s="4"/>
    </row>
    <row r="730" spans="1:1" x14ac:dyDescent="0.2">
      <c r="A730" s="93"/>
    </row>
    <row r="731" spans="1:1" x14ac:dyDescent="0.2">
      <c r="A731" s="93"/>
    </row>
    <row r="732" spans="1:1" x14ac:dyDescent="0.2">
      <c r="A732" s="94"/>
    </row>
    <row r="733" spans="1:1" x14ac:dyDescent="0.2">
      <c r="A733" s="94"/>
    </row>
    <row r="734" spans="1:1" x14ac:dyDescent="0.2">
      <c r="A734" s="94"/>
    </row>
    <row r="736" spans="1:1" x14ac:dyDescent="0.2">
      <c r="A736" s="94"/>
    </row>
    <row r="810" spans="1:1" x14ac:dyDescent="0.2">
      <c r="A810" s="94"/>
    </row>
    <row r="873" spans="1:1" x14ac:dyDescent="0.2">
      <c r="A873" s="94"/>
    </row>
    <row r="874" spans="1:1" x14ac:dyDescent="0.2">
      <c r="A874" s="94"/>
    </row>
    <row r="920" spans="1:1" x14ac:dyDescent="0.2">
      <c r="A920" s="94"/>
    </row>
    <row r="987" spans="1:1" x14ac:dyDescent="0.2">
      <c r="A987" s="94"/>
    </row>
    <row r="993" spans="1:1" x14ac:dyDescent="0.2">
      <c r="A993" s="94"/>
    </row>
    <row r="1006" spans="1:1" x14ac:dyDescent="0.2">
      <c r="A1006" s="94"/>
    </row>
    <row r="1065" spans="1:1" x14ac:dyDescent="0.2">
      <c r="A1065" s="94"/>
    </row>
    <row r="1079" spans="1:1" x14ac:dyDescent="0.2">
      <c r="A1079" s="94"/>
    </row>
    <row r="1167" spans="1:1" x14ac:dyDescent="0.2">
      <c r="A1167" s="93"/>
    </row>
    <row r="1168" spans="1:1" x14ac:dyDescent="0.2">
      <c r="A1168" s="93"/>
    </row>
    <row r="1169" spans="1:1" x14ac:dyDescent="0.2">
      <c r="A1169" s="93"/>
    </row>
    <row r="1170" spans="1:1" x14ac:dyDescent="0.2">
      <c r="A1170" s="93"/>
    </row>
    <row r="1171" spans="1:1" x14ac:dyDescent="0.2">
      <c r="A1171" s="93"/>
    </row>
    <row r="1172" spans="1:1" x14ac:dyDescent="0.2">
      <c r="A1172" s="93"/>
    </row>
    <row r="1173" spans="1:1" x14ac:dyDescent="0.2">
      <c r="A1173" s="93"/>
    </row>
    <row r="1174" spans="1:1" x14ac:dyDescent="0.2">
      <c r="A1174" s="93"/>
    </row>
    <row r="1175" spans="1:1" x14ac:dyDescent="0.2">
      <c r="A1175" s="93"/>
    </row>
    <row r="1176" spans="1:1" x14ac:dyDescent="0.2">
      <c r="A1176" s="93"/>
    </row>
    <row r="1177" spans="1:1" x14ac:dyDescent="0.2">
      <c r="A1177" s="94"/>
    </row>
    <row r="1178" spans="1:1" x14ac:dyDescent="0.2">
      <c r="A1178" s="94"/>
    </row>
    <row r="1180" spans="1:1" x14ac:dyDescent="0.2">
      <c r="A1180" s="94"/>
    </row>
    <row r="1183" spans="1:1" x14ac:dyDescent="0.2">
      <c r="A1183" s="94"/>
    </row>
    <row r="1326" spans="1:1" x14ac:dyDescent="0.2">
      <c r="A1326" s="8"/>
    </row>
    <row r="1327" spans="1:1" x14ac:dyDescent="0.2">
      <c r="A1327" s="8"/>
    </row>
    <row r="1328" spans="1:1" x14ac:dyDescent="0.2">
      <c r="A1328" s="8"/>
    </row>
    <row r="1372" spans="1:1" x14ac:dyDescent="0.2">
      <c r="A1372" s="8"/>
    </row>
    <row r="1373" spans="1:1" x14ac:dyDescent="0.2">
      <c r="A1373" s="8"/>
    </row>
    <row r="1379" spans="1:1" x14ac:dyDescent="0.2">
      <c r="A1379" s="8"/>
    </row>
    <row r="1382" spans="1:1" x14ac:dyDescent="0.2">
      <c r="A1382" s="8"/>
    </row>
    <row r="1383" spans="1:1" x14ac:dyDescent="0.2">
      <c r="A1383" s="8"/>
    </row>
    <row r="1384" spans="1:1" x14ac:dyDescent="0.2">
      <c r="A1384" s="8"/>
    </row>
    <row r="1385" spans="1:1" x14ac:dyDescent="0.2">
      <c r="A1385" s="8"/>
    </row>
    <row r="1386" spans="1:1" x14ac:dyDescent="0.2">
      <c r="A1386" s="8"/>
    </row>
    <row r="1389" spans="1:1" x14ac:dyDescent="0.2">
      <c r="A1389" s="94"/>
    </row>
    <row r="1395" spans="1:1" x14ac:dyDescent="0.2">
      <c r="A1395" s="94"/>
    </row>
    <row r="1396" spans="1:1" x14ac:dyDescent="0.2">
      <c r="A1396" s="100"/>
    </row>
    <row r="1397" spans="1:1" x14ac:dyDescent="0.2">
      <c r="A1397" s="100"/>
    </row>
    <row r="1398" spans="1:1" x14ac:dyDescent="0.2">
      <c r="A1398" s="100"/>
    </row>
    <row r="1399" spans="1:1" x14ac:dyDescent="0.2">
      <c r="A1399" s="100"/>
    </row>
    <row r="1400" spans="1:1" x14ac:dyDescent="0.2">
      <c r="A1400" s="100"/>
    </row>
    <row r="1401" spans="1:1" x14ac:dyDescent="0.2">
      <c r="A1401" s="100"/>
    </row>
    <row r="1402" spans="1:1" x14ac:dyDescent="0.2">
      <c r="A1402" s="100"/>
    </row>
    <row r="1403" spans="1:1" x14ac:dyDescent="0.2">
      <c r="A1403" s="100"/>
    </row>
    <row r="1404" spans="1:1" x14ac:dyDescent="0.2">
      <c r="A1404" s="100"/>
    </row>
    <row r="1405" spans="1:1" x14ac:dyDescent="0.2">
      <c r="A1405" s="100"/>
    </row>
    <row r="1406" spans="1:1" x14ac:dyDescent="0.2">
      <c r="A1406" s="100"/>
    </row>
    <row r="1407" spans="1:1" x14ac:dyDescent="0.2">
      <c r="A1407" s="100"/>
    </row>
    <row r="1408" spans="1:1" x14ac:dyDescent="0.2">
      <c r="A1408" s="8"/>
    </row>
    <row r="1409" spans="1:1" x14ac:dyDescent="0.2">
      <c r="A1409" s="100"/>
    </row>
    <row r="1410" spans="1:1" x14ac:dyDescent="0.2">
      <c r="A1410" s="8"/>
    </row>
    <row r="1411" spans="1:1" x14ac:dyDescent="0.2">
      <c r="A1411" s="8"/>
    </row>
    <row r="1412" spans="1:1" x14ac:dyDescent="0.2">
      <c r="A1412" s="8"/>
    </row>
    <row r="1413" spans="1:1" x14ac:dyDescent="0.2">
      <c r="A1413" s="100"/>
    </row>
    <row r="1414" spans="1:1" x14ac:dyDescent="0.2">
      <c r="A1414" s="100"/>
    </row>
    <row r="1415" spans="1:1" x14ac:dyDescent="0.2">
      <c r="A1415" s="8"/>
    </row>
    <row r="1416" spans="1:1" x14ac:dyDescent="0.2">
      <c r="A1416" s="8"/>
    </row>
    <row r="1417" spans="1:1" x14ac:dyDescent="0.2">
      <c r="A1417" s="8"/>
    </row>
    <row r="1418" spans="1:1" x14ac:dyDescent="0.2">
      <c r="A1418" s="8"/>
    </row>
    <row r="1419" spans="1:1" x14ac:dyDescent="0.2">
      <c r="A1419" s="100"/>
    </row>
    <row r="1420" spans="1:1" x14ac:dyDescent="0.2">
      <c r="A1420" s="100"/>
    </row>
    <row r="1421" spans="1:1" x14ac:dyDescent="0.2">
      <c r="A1421" s="100"/>
    </row>
    <row r="1422" spans="1:1" x14ac:dyDescent="0.2">
      <c r="A1422" s="8"/>
    </row>
    <row r="1423" spans="1:1" x14ac:dyDescent="0.2">
      <c r="A1423" s="8"/>
    </row>
    <row r="1424" spans="1:1" x14ac:dyDescent="0.2">
      <c r="A1424" s="100"/>
    </row>
    <row r="1425" spans="1:1" x14ac:dyDescent="0.2">
      <c r="A1425" s="8"/>
    </row>
    <row r="1426" spans="1:1" x14ac:dyDescent="0.2">
      <c r="A1426" s="8"/>
    </row>
    <row r="1427" spans="1:1" x14ac:dyDescent="0.2">
      <c r="A1427" s="8"/>
    </row>
    <row r="1428" spans="1:1" x14ac:dyDescent="0.2">
      <c r="A1428" s="8"/>
    </row>
    <row r="1429" spans="1:1" x14ac:dyDescent="0.2">
      <c r="A1429" s="8"/>
    </row>
    <row r="1430" spans="1:1" x14ac:dyDescent="0.2">
      <c r="A1430" s="100"/>
    </row>
    <row r="1431" spans="1:1" x14ac:dyDescent="0.2">
      <c r="A1431" s="100"/>
    </row>
    <row r="1432" spans="1:1" x14ac:dyDescent="0.2">
      <c r="A1432" s="100"/>
    </row>
    <row r="1433" spans="1:1" x14ac:dyDescent="0.2">
      <c r="A1433" s="100"/>
    </row>
    <row r="1435" spans="1:1" x14ac:dyDescent="0.2">
      <c r="A1435" s="94"/>
    </row>
    <row r="1438" spans="1:1" x14ac:dyDescent="0.2">
      <c r="A1438" s="94"/>
    </row>
    <row r="1439" spans="1:1" x14ac:dyDescent="0.2">
      <c r="A1439" s="94"/>
    </row>
    <row r="1440" spans="1:1" x14ac:dyDescent="0.2">
      <c r="A1440" s="94"/>
    </row>
    <row r="1441" spans="1:1" x14ac:dyDescent="0.2">
      <c r="A1441" s="94"/>
    </row>
    <row r="1442" spans="1:1" x14ac:dyDescent="0.2">
      <c r="A1442" s="94"/>
    </row>
    <row r="1443" spans="1:1" x14ac:dyDescent="0.2">
      <c r="A1443" s="94"/>
    </row>
    <row r="1445" spans="1:1" x14ac:dyDescent="0.2">
      <c r="A1445" s="94"/>
    </row>
    <row r="1449" spans="1:1" x14ac:dyDescent="0.2">
      <c r="A1449" s="94"/>
    </row>
    <row r="1450" spans="1:1" x14ac:dyDescent="0.2">
      <c r="A1450" s="94"/>
    </row>
    <row r="1452" spans="1:1" x14ac:dyDescent="0.2">
      <c r="A1452" s="94"/>
    </row>
    <row r="1455" spans="1:1" x14ac:dyDescent="0.2">
      <c r="A1455" s="94"/>
    </row>
    <row r="1456" spans="1:1" x14ac:dyDescent="0.2">
      <c r="A1456" s="94"/>
    </row>
    <row r="1458" spans="1:1" x14ac:dyDescent="0.2">
      <c r="A1458" s="94"/>
    </row>
    <row r="1459" spans="1:1" x14ac:dyDescent="0.2">
      <c r="A1459" s="94"/>
    </row>
    <row r="1460" spans="1:1" x14ac:dyDescent="0.2">
      <c r="A1460" s="94"/>
    </row>
    <row r="1461" spans="1:1" x14ac:dyDescent="0.2">
      <c r="A1461" s="94"/>
    </row>
    <row r="1462" spans="1:1" x14ac:dyDescent="0.2">
      <c r="A1462" s="94"/>
    </row>
    <row r="1463" spans="1:1" x14ac:dyDescent="0.2">
      <c r="A1463" s="94"/>
    </row>
    <row r="1464" spans="1:1" x14ac:dyDescent="0.2">
      <c r="A1464" s="94"/>
    </row>
    <row r="1470" spans="1:1" x14ac:dyDescent="0.2">
      <c r="A1470" s="94"/>
    </row>
    <row r="1473" spans="1:1" x14ac:dyDescent="0.2">
      <c r="A1473" s="94"/>
    </row>
    <row r="1475" spans="1:1" x14ac:dyDescent="0.2">
      <c r="A1475" s="94"/>
    </row>
    <row r="1477" spans="1:1" x14ac:dyDescent="0.2">
      <c r="A1477" s="94"/>
    </row>
    <row r="1478" spans="1:1" x14ac:dyDescent="0.2">
      <c r="A1478" s="94"/>
    </row>
    <row r="1481" spans="1:1" x14ac:dyDescent="0.2">
      <c r="A1481" s="94"/>
    </row>
    <row r="1483" spans="1:1" x14ac:dyDescent="0.2">
      <c r="A1483" s="94"/>
    </row>
    <row r="1488" spans="1:1" x14ac:dyDescent="0.2">
      <c r="A1488" s="94"/>
    </row>
    <row r="1489" spans="1:1" x14ac:dyDescent="0.2">
      <c r="A1489" s="94"/>
    </row>
    <row r="1490" spans="1:1" x14ac:dyDescent="0.2">
      <c r="A1490" s="94"/>
    </row>
    <row r="1493" spans="1:1" x14ac:dyDescent="0.2">
      <c r="A1493" s="94"/>
    </row>
    <row r="1495" spans="1:1" x14ac:dyDescent="0.2">
      <c r="A1495" s="94"/>
    </row>
    <row r="1497" spans="1:1" x14ac:dyDescent="0.2">
      <c r="A1497" s="94"/>
    </row>
    <row r="1502" spans="1:1" x14ac:dyDescent="0.2">
      <c r="A1502" s="94"/>
    </row>
    <row r="1504" spans="1:1" x14ac:dyDescent="0.2">
      <c r="A1504" s="94"/>
    </row>
    <row r="1506" spans="1:1" x14ac:dyDescent="0.2">
      <c r="A1506" s="94"/>
    </row>
    <row r="1509" spans="1:1" x14ac:dyDescent="0.2">
      <c r="A1509" s="94"/>
    </row>
    <row r="1511" spans="1:1" x14ac:dyDescent="0.2">
      <c r="A1511" s="94"/>
    </row>
    <row r="1512" spans="1:1" x14ac:dyDescent="0.2">
      <c r="A1512" s="94"/>
    </row>
    <row r="1515" spans="1:1" x14ac:dyDescent="0.2">
      <c r="A1515" s="94"/>
    </row>
    <row r="1516" spans="1:1" x14ac:dyDescent="0.2">
      <c r="A1516" s="94"/>
    </row>
    <row r="1517" spans="1:1" x14ac:dyDescent="0.2">
      <c r="A1517" s="94"/>
    </row>
    <row r="1524" spans="1:1" x14ac:dyDescent="0.2">
      <c r="A1524" s="94"/>
    </row>
    <row r="1526" spans="1:1" x14ac:dyDescent="0.2">
      <c r="A1526" s="94"/>
    </row>
    <row r="1527" spans="1:1" x14ac:dyDescent="0.2">
      <c r="A1527" s="94"/>
    </row>
    <row r="1533" spans="1:1" x14ac:dyDescent="0.2">
      <c r="A1533" s="94"/>
    </row>
    <row r="1534" spans="1:1" x14ac:dyDescent="0.2">
      <c r="A1534" s="94"/>
    </row>
    <row r="1536" spans="1:1" x14ac:dyDescent="0.2">
      <c r="A1536" s="94"/>
    </row>
    <row r="1538" spans="1:1" x14ac:dyDescent="0.2">
      <c r="A1538" s="94"/>
    </row>
    <row r="1542" spans="1:1" x14ac:dyDescent="0.2">
      <c r="A1542" s="94"/>
    </row>
    <row r="1545" spans="1:1" x14ac:dyDescent="0.2">
      <c r="A1545" s="94"/>
    </row>
    <row r="1546" spans="1:1" x14ac:dyDescent="0.2">
      <c r="A1546" s="94"/>
    </row>
    <row r="1548" spans="1:1" x14ac:dyDescent="0.2">
      <c r="A1548" s="94"/>
    </row>
    <row r="1562" spans="1:1" x14ac:dyDescent="0.2">
      <c r="A1562" s="94"/>
    </row>
    <row r="1566" spans="1:1" x14ac:dyDescent="0.2">
      <c r="A1566" s="94"/>
    </row>
    <row r="1567" spans="1:1" x14ac:dyDescent="0.2">
      <c r="A1567" s="94"/>
    </row>
    <row r="1568" spans="1:1" x14ac:dyDescent="0.2">
      <c r="A1568" s="94"/>
    </row>
    <row r="1574" spans="1:1" x14ac:dyDescent="0.2">
      <c r="A1574" s="94"/>
    </row>
    <row r="1575" spans="1:1" x14ac:dyDescent="0.2">
      <c r="A1575" s="94"/>
    </row>
    <row r="1576" spans="1:1" x14ac:dyDescent="0.2">
      <c r="A1576" s="94"/>
    </row>
    <row r="1577" spans="1:1" x14ac:dyDescent="0.2">
      <c r="A1577" s="94"/>
    </row>
    <row r="1579" spans="1:1" x14ac:dyDescent="0.2">
      <c r="A1579" s="94"/>
    </row>
    <row r="1584" spans="1:1" x14ac:dyDescent="0.2">
      <c r="A1584" s="94"/>
    </row>
    <row r="1585" spans="1:1" x14ac:dyDescent="0.2">
      <c r="A1585" s="94"/>
    </row>
    <row r="1586" spans="1:1" x14ac:dyDescent="0.2">
      <c r="A1586" s="94"/>
    </row>
    <row r="1588" spans="1:1" x14ac:dyDescent="0.2">
      <c r="A1588" s="94"/>
    </row>
    <row r="1592" spans="1:1" x14ac:dyDescent="0.2">
      <c r="A1592" s="94"/>
    </row>
    <row r="1593" spans="1:1" x14ac:dyDescent="0.2">
      <c r="A1593" s="94"/>
    </row>
    <row r="1594" spans="1:1" x14ac:dyDescent="0.2">
      <c r="A1594" s="94"/>
    </row>
    <row r="1595" spans="1:1" x14ac:dyDescent="0.2">
      <c r="A1595" s="94"/>
    </row>
    <row r="1596" spans="1:1" x14ac:dyDescent="0.2">
      <c r="A1596" s="94"/>
    </row>
    <row r="1598" spans="1:1" x14ac:dyDescent="0.2">
      <c r="A1598" s="94"/>
    </row>
    <row r="1600" spans="1:1" x14ac:dyDescent="0.2">
      <c r="A1600" s="94"/>
    </row>
    <row r="1601" spans="1:1" x14ac:dyDescent="0.2">
      <c r="A1601" s="94"/>
    </row>
    <row r="1606" spans="1:1" x14ac:dyDescent="0.2">
      <c r="A1606" s="94"/>
    </row>
    <row r="1610" spans="1:1" x14ac:dyDescent="0.2">
      <c r="A1610" s="94"/>
    </row>
    <row r="1612" spans="1:1" x14ac:dyDescent="0.2">
      <c r="A1612" s="94"/>
    </row>
    <row r="1613" spans="1:1" x14ac:dyDescent="0.2">
      <c r="A1613" s="94"/>
    </row>
    <row r="1614" spans="1:1" x14ac:dyDescent="0.2">
      <c r="A1614" s="94"/>
    </row>
    <row r="1615" spans="1:1" x14ac:dyDescent="0.2">
      <c r="A1615" s="94"/>
    </row>
    <row r="1622" spans="1:1" x14ac:dyDescent="0.2">
      <c r="A1622" s="94"/>
    </row>
    <row r="1628" spans="1:1" x14ac:dyDescent="0.2">
      <c r="A1628" s="94"/>
    </row>
    <row r="1631" spans="1:1" x14ac:dyDescent="0.2">
      <c r="A1631" s="94"/>
    </row>
    <row r="1638" spans="1:1" x14ac:dyDescent="0.2">
      <c r="A1638" s="94"/>
    </row>
    <row r="1643" spans="1:1" x14ac:dyDescent="0.2">
      <c r="A1643" s="94"/>
    </row>
    <row r="1644" spans="1:1" x14ac:dyDescent="0.2">
      <c r="A1644" s="94"/>
    </row>
    <row r="1648" spans="1:1" x14ac:dyDescent="0.2">
      <c r="A1648" s="94"/>
    </row>
    <row r="1651" spans="1:1" x14ac:dyDescent="0.2">
      <c r="A1651" s="94"/>
    </row>
    <row r="1665" spans="1:1" x14ac:dyDescent="0.2">
      <c r="A1665" s="94"/>
    </row>
    <row r="1666" spans="1:1" x14ac:dyDescent="0.2">
      <c r="A1666" s="94"/>
    </row>
    <row r="1669" spans="1:1" x14ac:dyDescent="0.2">
      <c r="A1669" s="94"/>
    </row>
    <row r="1671" spans="1:1" x14ac:dyDescent="0.2">
      <c r="A1671" s="94"/>
    </row>
    <row r="1679" spans="1:1" x14ac:dyDescent="0.2">
      <c r="A1679" s="94"/>
    </row>
    <row r="1681" spans="1:1" x14ac:dyDescent="0.2">
      <c r="A1681" s="94"/>
    </row>
    <row r="1683" spans="1:1" x14ac:dyDescent="0.2">
      <c r="A1683" s="94"/>
    </row>
    <row r="1686" spans="1:1" x14ac:dyDescent="0.2">
      <c r="A1686" s="94"/>
    </row>
    <row r="1689" spans="1:1" x14ac:dyDescent="0.2">
      <c r="A1689" s="94"/>
    </row>
    <row r="1694" spans="1:1" x14ac:dyDescent="0.2">
      <c r="A1694" s="94"/>
    </row>
    <row r="1696" spans="1:1" x14ac:dyDescent="0.2">
      <c r="A1696" s="94"/>
    </row>
    <row r="1706" spans="1:1" x14ac:dyDescent="0.2">
      <c r="A1706" s="94"/>
    </row>
    <row r="1710" spans="1:1" x14ac:dyDescent="0.2">
      <c r="A1710" s="94"/>
    </row>
    <row r="1721" spans="1:1" x14ac:dyDescent="0.2">
      <c r="A1721" s="94"/>
    </row>
    <row r="1728" spans="1:1" x14ac:dyDescent="0.2">
      <c r="A1728" s="94"/>
    </row>
    <row r="1734" spans="1:1" x14ac:dyDescent="0.2">
      <c r="A1734" s="94"/>
    </row>
    <row r="1736" spans="1:1" x14ac:dyDescent="0.2">
      <c r="A1736" s="94"/>
    </row>
    <row r="1739" spans="1:1" x14ac:dyDescent="0.2">
      <c r="A1739" s="94"/>
    </row>
    <row r="1740" spans="1:1" x14ac:dyDescent="0.2">
      <c r="A1740" s="94"/>
    </row>
    <row r="1753" spans="1:1" x14ac:dyDescent="0.2">
      <c r="A1753" s="94"/>
    </row>
    <row r="1756" spans="1:1" x14ac:dyDescent="0.2">
      <c r="A1756" s="94"/>
    </row>
    <row r="1757" spans="1:1" x14ac:dyDescent="0.2">
      <c r="A1757" s="94"/>
    </row>
    <row r="1761" spans="1:1" x14ac:dyDescent="0.2">
      <c r="A1761" s="94"/>
    </row>
    <row r="1762" spans="1:1" x14ac:dyDescent="0.2">
      <c r="A1762" s="94"/>
    </row>
    <row r="1763" spans="1:1" x14ac:dyDescent="0.2">
      <c r="A1763" s="94"/>
    </row>
    <row r="1765" spans="1:1" x14ac:dyDescent="0.2">
      <c r="A1765" s="94"/>
    </row>
    <row r="1766" spans="1:1" x14ac:dyDescent="0.2">
      <c r="A1766" s="94"/>
    </row>
    <row r="1771" spans="1:1" x14ac:dyDescent="0.2">
      <c r="A1771" s="94"/>
    </row>
    <row r="1795" spans="1:1" x14ac:dyDescent="0.2">
      <c r="A1795" s="94"/>
    </row>
    <row r="1796" spans="1:1" x14ac:dyDescent="0.2">
      <c r="A1796" s="94"/>
    </row>
    <row r="1814" spans="1:1" x14ac:dyDescent="0.2">
      <c r="A1814" s="94"/>
    </row>
    <row r="1822" spans="1:1" x14ac:dyDescent="0.2">
      <c r="A1822" s="94"/>
    </row>
    <row r="1826" spans="1:1" x14ac:dyDescent="0.2">
      <c r="A1826" s="94"/>
    </row>
    <row r="1828" spans="1:1" x14ac:dyDescent="0.2">
      <c r="A1828" s="94"/>
    </row>
    <row r="1841" spans="1:1" x14ac:dyDescent="0.2">
      <c r="A1841" s="94"/>
    </row>
    <row r="1843" spans="1:1" x14ac:dyDescent="0.2">
      <c r="A1843" s="94"/>
    </row>
  </sheetData>
  <autoFilter ref="A1:S1" xr:uid="{31D246D7-3405-4610-9008-DB352438A1A4}">
    <sortState xmlns:xlrd2="http://schemas.microsoft.com/office/spreadsheetml/2017/richdata2" ref="A2:S117">
      <sortCondition descending="1" ref="S1:S117"/>
    </sortState>
  </autoFilter>
  <sortState xmlns:xlrd2="http://schemas.microsoft.com/office/spreadsheetml/2017/richdata2" ref="A2:S1864">
    <sortCondition descending="1" ref="L2:L1864"/>
  </sortState>
  <hyperlinks>
    <hyperlink ref="B2" r:id="rId1" xr:uid="{752CF0E6-17BC-459B-B4DA-A453DF0C5906}"/>
    <hyperlink ref="B3" r:id="rId2" xr:uid="{BC50230C-763D-474D-B03D-756E977609DA}"/>
    <hyperlink ref="B12" r:id="rId3" xr:uid="{ABD8EF13-639A-48E9-9BA5-5EF4166B77D3}"/>
    <hyperlink ref="B90" r:id="rId4" xr:uid="{271F99DE-3E7E-4E79-B6B2-B675CA381F28}"/>
    <hyperlink ref="B4" r:id="rId5" xr:uid="{4AECC28A-969A-4CD8-B57B-FD33C6C31EAA}"/>
    <hyperlink ref="B5" r:id="rId6" xr:uid="{3BBA1DF8-B98E-4847-ADE7-595A62D8185F}"/>
    <hyperlink ref="B6" r:id="rId7" xr:uid="{7E32272D-04E1-4E23-A107-FB72093B2AB5}"/>
    <hyperlink ref="B8" r:id="rId8" xr:uid="{C05756DC-895D-4920-B408-776679E2EE29}"/>
    <hyperlink ref="B10" r:id="rId9" xr:uid="{FA7BDAC2-990A-4E4A-B2E6-FDA856568922}"/>
    <hyperlink ref="B99" r:id="rId10" display="https://conf.researchr.org/program/icse-2024/program-icse-2024/" xr:uid="{BCA7CC79-619C-364D-8CC3-C51B2A755124}"/>
    <hyperlink ref="B100" r:id="rId11" display="https://conf.researchr.org/program/icse-2024/program-icse-2024/" xr:uid="{FAAC98D3-48B8-F042-A89E-CD98F40A62D6}"/>
    <hyperlink ref="B101" r:id="rId12" display="https://conf.researchr.org/program/icse-2024/program-icse-2024/" xr:uid="{A9B111DC-2F09-534A-9155-C69BC61FF23A}"/>
    <hyperlink ref="B102" r:id="rId13" display="https://conf.researchr.org/program/icse-2024/program-icse-2024/" xr:uid="{BC543657-B92F-7D4A-9B67-A4908E89D733}"/>
    <hyperlink ref="B103" r:id="rId14" display="https://conf.researchr.org/program/icse-2024/program-icse-2024/" xr:uid="{B6B72D89-1F83-574B-9E01-7076319D1944}"/>
    <hyperlink ref="B14" r:id="rId15" display="https://conf.researchr.org/program/icse-2024/program-icse-2024/" xr:uid="{A2490B09-29A6-264D-B981-C95EB47E27EA}"/>
    <hyperlink ref="B15" r:id="rId16" xr:uid="{31444E5F-BC7D-4243-8D52-6BE5C4684D18}"/>
    <hyperlink ref="B105" r:id="rId17" display="https://conf.researchr.org/program/ase-2024/program-ase-2024/" xr:uid="{27D80F7F-28B3-B449-AF8E-05C694A21FE8}"/>
    <hyperlink ref="B106" r:id="rId18" display="https://2024.esec-fse.org/program/program-fse-2024/" xr:uid="{0A2B5A9D-A9DA-7845-8B1B-01C06D11A81E}"/>
    <hyperlink ref="B107" r:id="rId19" display="https://2024.esec-fse.org/program/program-fse-2024/" xr:uid="{4A6ED6DD-FCE6-E441-8B64-E2EEB75FB29F}"/>
    <hyperlink ref="B108" r:id="rId20" display="https://2024.esec-fse.org/program/program-fse-2024/" xr:uid="{AF94A014-31CC-BA4C-B6D8-86629DA40BF2}"/>
    <hyperlink ref="B111" r:id="rId21" display="https://conf.researchr.org/program/icst-2024/program-icst-2024/" xr:uid="{08C0D4CB-90FC-8F42-BC7B-447FDCEF278D}"/>
    <hyperlink ref="B40" r:id="rId22" display="https://dl.acm.org/doi/10.1145/3674725" xr:uid="{DDDF78AA-1E86-CC40-BD5B-4E6DC4C42B16}"/>
    <hyperlink ref="B113" r:id="rId23" display="https://dl.acm.org/doi/10.1145/3597206" xr:uid="{165015A0-5019-BC4F-BB9E-6F4C1AD0507F}"/>
    <hyperlink ref="B114" r:id="rId24" display="https://ieeexplore.ieee.org/document/10470681/" xr:uid="{8CE9C855-7747-DC49-B1F8-52E94AC6045E}"/>
    <hyperlink ref="B43" r:id="rId25" xr:uid="{B7AC911C-375C-B44C-BB81-3AAEE44D75B2}"/>
    <hyperlink ref="B42" r:id="rId26" xr:uid="{52604D13-4FC5-684F-BD80-E2650B5B7C60}"/>
    <hyperlink ref="B115" r:id="rId27" xr:uid="{51C5590C-78A8-AF48-BCF4-5C99BA7D7685}"/>
    <hyperlink ref="B44" r:id="rId28" xr:uid="{826A5E5E-D1C2-044E-8355-BCC9E25652EC}"/>
    <hyperlink ref="B45" r:id="rId29" xr:uid="{B9F7C26A-1356-0A4B-B908-AC12B2B257C2}"/>
    <hyperlink ref="B16" r:id="rId30" xr:uid="{C44910FB-559C-E047-AFED-2C94C9963FD5}"/>
    <hyperlink ref="B41" r:id="rId31" xr:uid="{BE53DD56-7AA6-8349-AFFE-28BEC1ACA4E0}"/>
    <hyperlink ref="B32" r:id="rId32" xr:uid="{44CF46BA-40C8-EC47-9BE6-593519E2958C}"/>
    <hyperlink ref="B109" r:id="rId33" xr:uid="{0B00ECA2-2D63-BC4B-B0A4-D12C1278007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0AF0B-0F65-40A7-B7FE-E0FC13CD5A9B}">
  <dimension ref="A1:R24"/>
  <sheetViews>
    <sheetView zoomScale="133" zoomScaleNormal="85" workbookViewId="0">
      <selection activeCell="K34" sqref="K34"/>
    </sheetView>
  </sheetViews>
  <sheetFormatPr baseColWidth="10" defaultColWidth="8.83203125" defaultRowHeight="15" x14ac:dyDescent="0.2"/>
  <cols>
    <col min="1" max="1" width="91.6640625" bestFit="1" customWidth="1"/>
    <col min="2" max="2" width="18.83203125" style="4" customWidth="1"/>
    <col min="3" max="3" width="16.6640625" bestFit="1" customWidth="1"/>
    <col min="4" max="10" width="3.6640625" bestFit="1" customWidth="1"/>
    <col min="11" max="12" width="9" bestFit="1" customWidth="1"/>
    <col min="15" max="15" width="4.33203125" style="5" bestFit="1" customWidth="1"/>
    <col min="16" max="17" width="4.83203125" bestFit="1" customWidth="1"/>
    <col min="18" max="18" width="9" bestFit="1" customWidth="1"/>
  </cols>
  <sheetData>
    <row r="1" spans="1:18" x14ac:dyDescent="0.2">
      <c r="A1" s="66" t="s">
        <v>0</v>
      </c>
      <c r="B1" s="58" t="s">
        <v>1</v>
      </c>
      <c r="C1" s="58" t="s">
        <v>2</v>
      </c>
      <c r="D1" s="58" t="s">
        <v>3</v>
      </c>
      <c r="E1" s="58" t="s">
        <v>4</v>
      </c>
      <c r="F1" s="58" t="s">
        <v>5</v>
      </c>
      <c r="G1" s="58" t="s">
        <v>6</v>
      </c>
      <c r="H1" s="58" t="s">
        <v>7</v>
      </c>
      <c r="I1" s="58" t="s">
        <v>8</v>
      </c>
      <c r="J1" s="58" t="s">
        <v>9</v>
      </c>
      <c r="K1" s="58" t="s">
        <v>10</v>
      </c>
      <c r="L1" s="58" t="s">
        <v>11</v>
      </c>
      <c r="M1" s="58" t="s">
        <v>12</v>
      </c>
      <c r="N1" s="58" t="s">
        <v>13</v>
      </c>
      <c r="O1" s="59" t="s">
        <v>14</v>
      </c>
      <c r="P1" s="58" t="s">
        <v>15</v>
      </c>
      <c r="Q1" s="58" t="s">
        <v>16</v>
      </c>
      <c r="R1" s="58" t="s">
        <v>17</v>
      </c>
    </row>
    <row r="2" spans="1:18" x14ac:dyDescent="0.2">
      <c r="A2" s="67" t="s">
        <v>3654</v>
      </c>
      <c r="B2" s="10" t="s">
        <v>3655</v>
      </c>
      <c r="C2" t="s">
        <v>20</v>
      </c>
      <c r="D2" s="5">
        <v>0</v>
      </c>
      <c r="E2" s="5">
        <v>1</v>
      </c>
      <c r="J2" s="60"/>
      <c r="L2">
        <v>2</v>
      </c>
      <c r="M2" t="s">
        <v>32</v>
      </c>
      <c r="N2" t="s">
        <v>3656</v>
      </c>
      <c r="O2" s="5">
        <v>0.8</v>
      </c>
      <c r="P2" s="7">
        <f>(D2+E2)/2</f>
        <v>0.5</v>
      </c>
      <c r="Q2" s="7">
        <f t="shared" ref="Q2:Q24" si="0">(O2+P2)/2</f>
        <v>0.65</v>
      </c>
      <c r="R2">
        <f t="shared" ref="R2:R24" si="1">IF(_xlfn.BITAND(P2&gt;0.4999, Q2&gt;0.4999)=1,1,0)</f>
        <v>1</v>
      </c>
    </row>
    <row r="3" spans="1:18" x14ac:dyDescent="0.2">
      <c r="A3" s="67" t="s">
        <v>3657</v>
      </c>
      <c r="B3" s="10" t="s">
        <v>3658</v>
      </c>
      <c r="C3" t="s">
        <v>201</v>
      </c>
      <c r="D3" s="5">
        <v>0</v>
      </c>
      <c r="E3" s="5">
        <v>1</v>
      </c>
      <c r="F3" s="5">
        <v>0.3</v>
      </c>
      <c r="G3" s="5">
        <v>0.6</v>
      </c>
      <c r="H3" s="5">
        <v>1</v>
      </c>
      <c r="I3" s="5">
        <v>1</v>
      </c>
      <c r="J3" s="5">
        <v>1</v>
      </c>
      <c r="L3">
        <v>2.2999999999999998</v>
      </c>
      <c r="M3" t="s">
        <v>21</v>
      </c>
      <c r="N3" t="s">
        <v>29</v>
      </c>
      <c r="O3" s="5">
        <v>1</v>
      </c>
      <c r="P3" s="7">
        <f>(D3+E3+F3+G3+H3+I3+J3)/7</f>
        <v>0.70000000000000007</v>
      </c>
      <c r="Q3" s="7">
        <f t="shared" si="0"/>
        <v>0.85000000000000009</v>
      </c>
      <c r="R3">
        <f t="shared" si="1"/>
        <v>1</v>
      </c>
    </row>
    <row r="4" spans="1:18" x14ac:dyDescent="0.2">
      <c r="A4" s="67" t="s">
        <v>3659</v>
      </c>
      <c r="B4" s="10" t="s">
        <v>3660</v>
      </c>
      <c r="C4" t="s">
        <v>201</v>
      </c>
      <c r="D4" s="5">
        <v>1</v>
      </c>
      <c r="E4" s="5">
        <v>0.3</v>
      </c>
      <c r="F4" s="5">
        <v>0.3</v>
      </c>
      <c r="G4" s="5">
        <v>0.3</v>
      </c>
      <c r="H4" s="5">
        <v>0</v>
      </c>
      <c r="I4" s="5">
        <v>1</v>
      </c>
      <c r="J4" s="5">
        <v>1</v>
      </c>
      <c r="L4" s="60">
        <v>3</v>
      </c>
      <c r="M4" t="s">
        <v>32</v>
      </c>
      <c r="N4" t="s">
        <v>3661</v>
      </c>
      <c r="O4" s="5">
        <v>1</v>
      </c>
      <c r="P4" s="7">
        <f>(D4+E4+F4+G4+H4+I4+J4)/7</f>
        <v>0.55714285714285716</v>
      </c>
      <c r="Q4" s="7">
        <f t="shared" si="0"/>
        <v>0.77857142857142858</v>
      </c>
      <c r="R4">
        <f t="shared" si="1"/>
        <v>1</v>
      </c>
    </row>
    <row r="5" spans="1:18" x14ac:dyDescent="0.2">
      <c r="A5" s="67" t="s">
        <v>3662</v>
      </c>
      <c r="B5" s="10" t="s">
        <v>792</v>
      </c>
      <c r="C5" t="s">
        <v>201</v>
      </c>
      <c r="D5" s="5">
        <v>1</v>
      </c>
      <c r="E5" s="5">
        <v>1</v>
      </c>
      <c r="F5" s="5">
        <v>1</v>
      </c>
      <c r="G5" s="5">
        <v>1</v>
      </c>
      <c r="H5" s="5">
        <v>0</v>
      </c>
      <c r="I5" s="5">
        <v>0</v>
      </c>
      <c r="J5" s="5">
        <v>1</v>
      </c>
      <c r="L5" s="60">
        <v>1</v>
      </c>
      <c r="M5" t="s">
        <v>80</v>
      </c>
      <c r="O5" s="5">
        <v>0.2</v>
      </c>
      <c r="P5" s="7">
        <f>(D5+E5+F5+G5+H5+I5+J5)/6</f>
        <v>0.83333333333333337</v>
      </c>
      <c r="Q5" s="7">
        <f t="shared" si="0"/>
        <v>0.51666666666666672</v>
      </c>
      <c r="R5">
        <f t="shared" si="1"/>
        <v>1</v>
      </c>
    </row>
    <row r="6" spans="1:18" x14ac:dyDescent="0.2">
      <c r="A6" s="67" t="s">
        <v>3663</v>
      </c>
      <c r="B6" s="10" t="s">
        <v>3664</v>
      </c>
      <c r="C6" t="s">
        <v>201</v>
      </c>
      <c r="D6" s="5">
        <v>1</v>
      </c>
      <c r="E6" s="5">
        <v>1</v>
      </c>
      <c r="F6" s="5">
        <v>0.6</v>
      </c>
      <c r="G6" s="5">
        <v>0.6</v>
      </c>
      <c r="H6" s="5">
        <v>0.6</v>
      </c>
      <c r="I6" s="5">
        <v>1</v>
      </c>
      <c r="J6" s="5">
        <v>1</v>
      </c>
      <c r="L6" s="60">
        <v>1</v>
      </c>
      <c r="M6" t="s">
        <v>80</v>
      </c>
      <c r="O6" s="5">
        <v>0.2</v>
      </c>
      <c r="P6" s="7">
        <f>(D6+E6+F6+G6+H6+I6+J6)/7</f>
        <v>0.82857142857142863</v>
      </c>
      <c r="Q6" s="7">
        <f t="shared" si="0"/>
        <v>0.51428571428571435</v>
      </c>
      <c r="R6">
        <f t="shared" si="1"/>
        <v>1</v>
      </c>
    </row>
    <row r="7" spans="1:18" x14ac:dyDescent="0.2">
      <c r="A7" s="67" t="s">
        <v>3665</v>
      </c>
      <c r="B7" s="10" t="s">
        <v>3666</v>
      </c>
      <c r="C7" t="s">
        <v>20</v>
      </c>
      <c r="D7" s="5">
        <v>0</v>
      </c>
      <c r="E7" s="5">
        <v>1</v>
      </c>
      <c r="J7" s="60"/>
      <c r="L7">
        <v>2</v>
      </c>
      <c r="M7" t="s">
        <v>80</v>
      </c>
      <c r="O7" s="5">
        <v>0.2</v>
      </c>
      <c r="P7" s="7">
        <f>(D7+E7)/2</f>
        <v>0.5</v>
      </c>
      <c r="Q7" s="7">
        <f t="shared" si="0"/>
        <v>0.35</v>
      </c>
      <c r="R7">
        <f t="shared" si="1"/>
        <v>0</v>
      </c>
    </row>
    <row r="8" spans="1:18" x14ac:dyDescent="0.2">
      <c r="A8" s="67" t="s">
        <v>3667</v>
      </c>
      <c r="B8" s="10" t="s">
        <v>3668</v>
      </c>
      <c r="C8" t="s">
        <v>201</v>
      </c>
      <c r="D8" s="5">
        <v>0</v>
      </c>
      <c r="E8" s="5">
        <v>1</v>
      </c>
      <c r="F8" s="5">
        <v>1</v>
      </c>
      <c r="G8" s="5">
        <v>1</v>
      </c>
      <c r="H8" s="5">
        <v>0</v>
      </c>
      <c r="I8" s="5">
        <v>0</v>
      </c>
      <c r="J8" s="5">
        <v>1</v>
      </c>
      <c r="M8" t="s">
        <v>80</v>
      </c>
      <c r="O8" s="5">
        <v>0.2</v>
      </c>
      <c r="P8" s="7">
        <f>(D8+E8+F8+G8+H8+I8+J8)/6</f>
        <v>0.66666666666666663</v>
      </c>
      <c r="Q8" s="7">
        <f t="shared" si="0"/>
        <v>0.43333333333333335</v>
      </c>
      <c r="R8">
        <f t="shared" si="1"/>
        <v>0</v>
      </c>
    </row>
    <row r="9" spans="1:18" x14ac:dyDescent="0.2">
      <c r="A9" s="67" t="s">
        <v>3669</v>
      </c>
      <c r="B9" s="10" t="s">
        <v>3670</v>
      </c>
      <c r="C9" t="s">
        <v>201</v>
      </c>
      <c r="D9" s="5">
        <v>0</v>
      </c>
      <c r="E9" s="5">
        <v>0.6</v>
      </c>
      <c r="F9" s="5">
        <v>0.3</v>
      </c>
      <c r="G9" s="5">
        <v>0.6</v>
      </c>
      <c r="H9" s="5">
        <v>0.6</v>
      </c>
      <c r="I9" s="5">
        <v>0</v>
      </c>
      <c r="J9" s="5">
        <v>1</v>
      </c>
      <c r="M9" t="s">
        <v>80</v>
      </c>
      <c r="O9" s="5">
        <v>0.2</v>
      </c>
      <c r="P9" s="7">
        <f t="shared" ref="P9:P24" si="2">(D9+E9+F9+G9+H9+I9+J9)/7</f>
        <v>0.44285714285714289</v>
      </c>
      <c r="Q9" s="7">
        <f t="shared" si="0"/>
        <v>0.32142857142857145</v>
      </c>
      <c r="R9">
        <f t="shared" si="1"/>
        <v>0</v>
      </c>
    </row>
    <row r="10" spans="1:18" x14ac:dyDescent="0.2">
      <c r="A10" s="67" t="s">
        <v>3671</v>
      </c>
      <c r="B10" s="10" t="s">
        <v>3672</v>
      </c>
      <c r="C10" t="s">
        <v>201</v>
      </c>
      <c r="D10" s="5">
        <v>0</v>
      </c>
      <c r="E10" s="5">
        <v>1</v>
      </c>
      <c r="F10" s="5">
        <v>1</v>
      </c>
      <c r="G10" s="5">
        <v>0.6</v>
      </c>
      <c r="H10" s="5">
        <v>0.6</v>
      </c>
      <c r="I10" s="5">
        <v>0</v>
      </c>
      <c r="J10" s="5">
        <v>0.5</v>
      </c>
      <c r="L10" s="2" t="s">
        <v>185</v>
      </c>
      <c r="M10" t="s">
        <v>128</v>
      </c>
      <c r="O10" s="5">
        <v>0.2</v>
      </c>
      <c r="P10" s="7">
        <f t="shared" si="2"/>
        <v>0.52857142857142858</v>
      </c>
      <c r="Q10" s="7">
        <f t="shared" si="0"/>
        <v>0.36428571428571432</v>
      </c>
      <c r="R10">
        <f t="shared" si="1"/>
        <v>0</v>
      </c>
    </row>
    <row r="11" spans="1:18" x14ac:dyDescent="0.2">
      <c r="A11" s="67" t="s">
        <v>240</v>
      </c>
      <c r="B11" s="10"/>
      <c r="D11" s="5"/>
      <c r="E11" s="5"/>
      <c r="F11" s="5"/>
      <c r="G11" s="5"/>
      <c r="H11" s="5"/>
      <c r="I11" s="5"/>
      <c r="J11" s="5"/>
      <c r="L11" s="2"/>
      <c r="M11" s="2"/>
      <c r="N11" s="2"/>
      <c r="P11" s="7">
        <f t="shared" si="2"/>
        <v>0</v>
      </c>
      <c r="Q11" s="7">
        <f t="shared" si="0"/>
        <v>0</v>
      </c>
      <c r="R11">
        <f t="shared" si="1"/>
        <v>0</v>
      </c>
    </row>
    <row r="12" spans="1:18" x14ac:dyDescent="0.2">
      <c r="A12" s="67" t="s">
        <v>603</v>
      </c>
      <c r="B12" s="10"/>
      <c r="D12" s="5"/>
      <c r="E12" s="5"/>
      <c r="F12" s="5"/>
      <c r="G12" s="5"/>
      <c r="H12" s="5"/>
      <c r="I12" s="5"/>
      <c r="J12" s="5"/>
      <c r="P12" s="7">
        <f t="shared" si="2"/>
        <v>0</v>
      </c>
      <c r="Q12" s="7">
        <f t="shared" si="0"/>
        <v>0</v>
      </c>
      <c r="R12">
        <f t="shared" si="1"/>
        <v>0</v>
      </c>
    </row>
    <row r="13" spans="1:18" x14ac:dyDescent="0.2">
      <c r="A13" s="67" t="s">
        <v>3673</v>
      </c>
      <c r="P13" s="7">
        <f t="shared" si="2"/>
        <v>0</v>
      </c>
      <c r="Q13" s="7">
        <f t="shared" si="0"/>
        <v>0</v>
      </c>
      <c r="R13">
        <f t="shared" si="1"/>
        <v>0</v>
      </c>
    </row>
    <row r="14" spans="1:18" x14ac:dyDescent="0.2">
      <c r="A14" s="67" t="s">
        <v>2717</v>
      </c>
      <c r="B14" s="10" t="s">
        <v>3674</v>
      </c>
      <c r="P14" s="7">
        <f t="shared" si="2"/>
        <v>0</v>
      </c>
      <c r="Q14" s="7">
        <f t="shared" si="0"/>
        <v>0</v>
      </c>
      <c r="R14">
        <f t="shared" si="1"/>
        <v>0</v>
      </c>
    </row>
    <row r="15" spans="1:18" x14ac:dyDescent="0.2">
      <c r="A15" s="67" t="s">
        <v>3675</v>
      </c>
      <c r="B15" s="10" t="s">
        <v>3676</v>
      </c>
      <c r="P15" s="7">
        <f t="shared" si="2"/>
        <v>0</v>
      </c>
      <c r="Q15" s="7">
        <f t="shared" si="0"/>
        <v>0</v>
      </c>
      <c r="R15">
        <f t="shared" si="1"/>
        <v>0</v>
      </c>
    </row>
    <row r="16" spans="1:18" x14ac:dyDescent="0.2">
      <c r="A16" s="67" t="s">
        <v>3677</v>
      </c>
      <c r="B16" s="10" t="s">
        <v>3678</v>
      </c>
      <c r="C16" t="s">
        <v>201</v>
      </c>
      <c r="D16" s="5">
        <v>0</v>
      </c>
      <c r="E16" s="5">
        <v>1</v>
      </c>
      <c r="F16" s="5">
        <v>1</v>
      </c>
      <c r="G16" s="5">
        <v>0</v>
      </c>
      <c r="H16" s="5">
        <v>0</v>
      </c>
      <c r="I16" s="5">
        <v>0</v>
      </c>
      <c r="J16" s="5">
        <v>1</v>
      </c>
      <c r="L16" s="60">
        <v>2</v>
      </c>
      <c r="M16" t="s">
        <v>21</v>
      </c>
      <c r="N16" t="s">
        <v>3679</v>
      </c>
      <c r="O16" s="5">
        <v>0.5</v>
      </c>
      <c r="P16" s="7">
        <f t="shared" si="2"/>
        <v>0.42857142857142855</v>
      </c>
      <c r="Q16" s="7">
        <f t="shared" si="0"/>
        <v>0.4642857142857143</v>
      </c>
      <c r="R16">
        <f t="shared" si="1"/>
        <v>0</v>
      </c>
    </row>
    <row r="17" spans="1:18" x14ac:dyDescent="0.2">
      <c r="A17" s="67" t="s">
        <v>3680</v>
      </c>
      <c r="B17" s="10" t="s">
        <v>3681</v>
      </c>
      <c r="C17" t="s">
        <v>201</v>
      </c>
      <c r="D17" s="5">
        <v>0</v>
      </c>
      <c r="E17" s="5">
        <v>1</v>
      </c>
      <c r="F17" s="5">
        <v>0.6</v>
      </c>
      <c r="G17" s="5">
        <v>0.6</v>
      </c>
      <c r="H17" s="5">
        <v>0</v>
      </c>
      <c r="I17" s="5">
        <v>0</v>
      </c>
      <c r="J17" s="5">
        <v>1</v>
      </c>
      <c r="L17" s="60">
        <v>1</v>
      </c>
      <c r="M17" t="s">
        <v>128</v>
      </c>
      <c r="O17" s="5">
        <v>0.2</v>
      </c>
      <c r="P17" s="7">
        <f t="shared" si="2"/>
        <v>0.45714285714285718</v>
      </c>
      <c r="Q17" s="7">
        <f t="shared" si="0"/>
        <v>0.32857142857142863</v>
      </c>
      <c r="R17">
        <f t="shared" si="1"/>
        <v>0</v>
      </c>
    </row>
    <row r="18" spans="1:18" x14ac:dyDescent="0.2">
      <c r="A18" s="67" t="s">
        <v>3682</v>
      </c>
      <c r="B18" s="10" t="s">
        <v>3683</v>
      </c>
      <c r="P18" s="7">
        <f t="shared" si="2"/>
        <v>0</v>
      </c>
      <c r="Q18" s="7">
        <f t="shared" si="0"/>
        <v>0</v>
      </c>
      <c r="R18">
        <f t="shared" si="1"/>
        <v>0</v>
      </c>
    </row>
    <row r="19" spans="1:18" x14ac:dyDescent="0.2">
      <c r="A19" s="67" t="s">
        <v>3684</v>
      </c>
      <c r="B19" s="10" t="s">
        <v>3685</v>
      </c>
      <c r="C19" t="s">
        <v>201</v>
      </c>
      <c r="D19" s="5">
        <v>0</v>
      </c>
      <c r="E19" s="5">
        <v>0.3</v>
      </c>
      <c r="F19" s="5">
        <v>0.3</v>
      </c>
      <c r="G19" s="5">
        <v>0</v>
      </c>
      <c r="H19" s="5">
        <v>0</v>
      </c>
      <c r="I19" s="5">
        <v>0</v>
      </c>
      <c r="J19" s="5">
        <v>1</v>
      </c>
      <c r="L19" s="60">
        <v>1</v>
      </c>
      <c r="M19" t="s">
        <v>80</v>
      </c>
      <c r="O19" s="5">
        <v>0.2</v>
      </c>
      <c r="P19" s="7">
        <f t="shared" si="2"/>
        <v>0.22857142857142859</v>
      </c>
      <c r="Q19" s="7">
        <f t="shared" si="0"/>
        <v>0.2142857142857143</v>
      </c>
      <c r="R19">
        <f t="shared" si="1"/>
        <v>0</v>
      </c>
    </row>
    <row r="20" spans="1:18" x14ac:dyDescent="0.2">
      <c r="A20" s="67" t="s">
        <v>126</v>
      </c>
      <c r="P20" s="7">
        <f t="shared" si="2"/>
        <v>0</v>
      </c>
      <c r="Q20" s="7">
        <f t="shared" si="0"/>
        <v>0</v>
      </c>
      <c r="R20">
        <f t="shared" si="1"/>
        <v>0</v>
      </c>
    </row>
    <row r="21" spans="1:18" x14ac:dyDescent="0.2">
      <c r="A21" s="67" t="s">
        <v>3686</v>
      </c>
      <c r="B21" s="10" t="s">
        <v>3687</v>
      </c>
      <c r="P21" s="7">
        <f t="shared" si="2"/>
        <v>0</v>
      </c>
      <c r="Q21" s="7">
        <f t="shared" si="0"/>
        <v>0</v>
      </c>
      <c r="R21">
        <f t="shared" si="1"/>
        <v>0</v>
      </c>
    </row>
    <row r="22" spans="1:18" x14ac:dyDescent="0.2">
      <c r="A22" s="67" t="s">
        <v>3688</v>
      </c>
      <c r="B22" s="10" t="s">
        <v>3689</v>
      </c>
      <c r="P22" s="7">
        <f t="shared" si="2"/>
        <v>0</v>
      </c>
      <c r="Q22" s="7">
        <f t="shared" si="0"/>
        <v>0</v>
      </c>
      <c r="R22">
        <f t="shared" si="1"/>
        <v>0</v>
      </c>
    </row>
    <row r="23" spans="1:18" x14ac:dyDescent="0.2">
      <c r="A23" s="67" t="s">
        <v>3690</v>
      </c>
      <c r="K23">
        <v>2</v>
      </c>
      <c r="P23" s="7">
        <f t="shared" si="2"/>
        <v>0</v>
      </c>
      <c r="Q23" s="7">
        <f t="shared" si="0"/>
        <v>0</v>
      </c>
      <c r="R23">
        <f t="shared" si="1"/>
        <v>0</v>
      </c>
    </row>
    <row r="24" spans="1:18" x14ac:dyDescent="0.2">
      <c r="A24" s="67" t="s">
        <v>3691</v>
      </c>
      <c r="B24" s="10" t="s">
        <v>3692</v>
      </c>
      <c r="P24" s="7">
        <f t="shared" si="2"/>
        <v>0</v>
      </c>
      <c r="Q24" s="7">
        <f t="shared" si="0"/>
        <v>0</v>
      </c>
      <c r="R24">
        <f t="shared" si="1"/>
        <v>0</v>
      </c>
    </row>
  </sheetData>
  <autoFilter ref="A1:R1" xr:uid="{1390AF0B-0F65-40A7-B7FE-E0FC13CD5A9B}"/>
  <sortState xmlns:xlrd2="http://schemas.microsoft.com/office/spreadsheetml/2017/richdata2" ref="A2:R24">
    <sortCondition descending="1" ref="R2:R24"/>
  </sortState>
  <hyperlinks>
    <hyperlink ref="B2" r:id="rId1" xr:uid="{D3432DE0-83DA-4877-A147-765A20B0AD29}"/>
    <hyperlink ref="B5" r:id="rId2" xr:uid="{94B2DFAA-7B0D-477D-9322-2A8F7EB87E80}"/>
    <hyperlink ref="B10" r:id="rId3" xr:uid="{BCB474AA-DCD7-4E77-804A-959E28E7B67F}"/>
    <hyperlink ref="B24" r:id="rId4" xr:uid="{0BA29B01-00D9-437D-8398-17ECF302CBDC}"/>
    <hyperlink ref="B22" r:id="rId5" xr:uid="{5BD1885C-52B3-4713-B446-AC01C58B6647}"/>
    <hyperlink ref="B21" r:id="rId6" xr:uid="{0E30E2A7-8EE2-4CA1-849F-EB05F73AF76A}"/>
    <hyperlink ref="B7" r:id="rId7" xr:uid="{EB68D570-6779-4EC5-9A42-BCBDFA289FA4}"/>
    <hyperlink ref="B6" r:id="rId8" xr:uid="{7FE027F5-D3AF-47DE-9302-82E657EA155E}"/>
    <hyperlink ref="B19" r:id="rId9" xr:uid="{F356D17B-4FB4-4C40-9989-136DE8C2E406}"/>
    <hyperlink ref="B18" r:id="rId10" xr:uid="{4C53DF61-8ABB-458D-AA09-9FB209AFA353}"/>
    <hyperlink ref="B17" r:id="rId11" xr:uid="{F0445345-6948-4457-AEFC-88E7BFCC1E8D}"/>
    <hyperlink ref="B16" r:id="rId12" xr:uid="{517E11D3-76CB-417A-AA09-150C99371684}"/>
    <hyperlink ref="B9" r:id="rId13" xr:uid="{387B9CFA-0903-43D4-AC71-980C07881CA1}"/>
    <hyperlink ref="B15" r:id="rId14" location="authors" xr:uid="{8B92486C-D0DD-4922-B5F1-D2DCB6B7BEA1}"/>
    <hyperlink ref="B14" r:id="rId15" xr:uid="{05F4232B-1C33-439D-92A1-97AF2551BFFF}"/>
    <hyperlink ref="B8" r:id="rId16" xr:uid="{479C195D-2442-4480-BCEC-04D8A8E6447E}"/>
    <hyperlink ref="B4" r:id="rId17" xr:uid="{900487D6-FA05-4AFE-8C11-6DB313AB8914}"/>
    <hyperlink ref="B3" r:id="rId18" xr:uid="{A165FB7F-9A09-4D58-AFB8-8D26D71C97D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4059-49AD-4580-A225-B9769AC67882}">
  <dimension ref="B1:I104"/>
  <sheetViews>
    <sheetView zoomScale="140" zoomScaleNormal="85" workbookViewId="0">
      <selection activeCell="K32" sqref="K32"/>
    </sheetView>
  </sheetViews>
  <sheetFormatPr baseColWidth="10" defaultColWidth="8.83203125" defaultRowHeight="15" x14ac:dyDescent="0.2"/>
  <cols>
    <col min="1" max="1" width="2.83203125" customWidth="1"/>
    <col min="2" max="2" width="3.6640625" bestFit="1" customWidth="1"/>
    <col min="3" max="3" width="162.5" bestFit="1" customWidth="1"/>
    <col min="4" max="4" width="8.33203125" customWidth="1"/>
    <col min="5" max="5" width="12.33203125" customWidth="1"/>
    <col min="6" max="6" width="10.1640625" customWidth="1"/>
    <col min="7" max="7" width="18" customWidth="1"/>
    <col min="8" max="8" width="5.6640625" bestFit="1" customWidth="1"/>
  </cols>
  <sheetData>
    <row r="1" spans="2:9" ht="16" thickBot="1" x14ac:dyDescent="0.25"/>
    <row r="2" spans="2:9" ht="16" thickBot="1" x14ac:dyDescent="0.25">
      <c r="B2" s="12"/>
      <c r="C2" s="45" t="s">
        <v>3566</v>
      </c>
      <c r="D2" s="13"/>
      <c r="E2" s="14"/>
      <c r="F2" s="14"/>
      <c r="G2" s="14"/>
      <c r="H2" s="14"/>
      <c r="I2" s="15"/>
    </row>
    <row r="3" spans="2:9" x14ac:dyDescent="0.2">
      <c r="B3" s="16">
        <v>1</v>
      </c>
      <c r="C3" s="18" t="s">
        <v>3567</v>
      </c>
      <c r="D3" s="17"/>
      <c r="E3" s="109" t="s">
        <v>3739</v>
      </c>
      <c r="F3" s="110"/>
      <c r="G3" s="110"/>
      <c r="H3" s="111"/>
      <c r="I3" s="18"/>
    </row>
    <row r="4" spans="2:9" x14ac:dyDescent="0.2">
      <c r="B4" s="16">
        <v>2</v>
      </c>
      <c r="C4" s="18" t="s">
        <v>3568</v>
      </c>
      <c r="D4" s="17"/>
      <c r="E4" s="112"/>
      <c r="F4" s="113"/>
      <c r="G4" s="113"/>
      <c r="H4" s="114"/>
      <c r="I4" s="18"/>
    </row>
    <row r="5" spans="2:9" x14ac:dyDescent="0.2">
      <c r="B5" s="16">
        <v>3</v>
      </c>
      <c r="C5" s="18" t="s">
        <v>3569</v>
      </c>
      <c r="D5" s="17"/>
      <c r="E5" s="112"/>
      <c r="F5" s="113"/>
      <c r="G5" s="113"/>
      <c r="H5" s="114"/>
      <c r="I5" s="18"/>
    </row>
    <row r="6" spans="2:9" ht="16" thickBot="1" x14ac:dyDescent="0.25">
      <c r="B6" s="16">
        <v>4</v>
      </c>
      <c r="C6" s="18" t="s">
        <v>3740</v>
      </c>
      <c r="D6" s="17"/>
      <c r="E6" s="115"/>
      <c r="F6" s="116"/>
      <c r="G6" s="116"/>
      <c r="H6" s="117"/>
      <c r="I6" s="18"/>
    </row>
    <row r="7" spans="2:9" x14ac:dyDescent="0.2">
      <c r="B7" s="16">
        <v>5</v>
      </c>
      <c r="C7" s="18" t="s">
        <v>3570</v>
      </c>
      <c r="D7" s="17"/>
      <c r="E7" s="17"/>
      <c r="F7" s="17"/>
      <c r="G7" s="17"/>
      <c r="H7" s="17"/>
      <c r="I7" s="18"/>
    </row>
    <row r="8" spans="2:9" x14ac:dyDescent="0.2">
      <c r="B8" s="19"/>
      <c r="C8" s="18"/>
      <c r="D8" s="17"/>
      <c r="E8" s="17"/>
      <c r="F8" s="17"/>
      <c r="G8" s="17"/>
      <c r="H8" s="17"/>
      <c r="I8" s="18"/>
    </row>
    <row r="9" spans="2:9" x14ac:dyDescent="0.2">
      <c r="B9" s="16"/>
      <c r="C9" s="46" t="s">
        <v>3571</v>
      </c>
      <c r="D9" s="3"/>
      <c r="E9" s="17"/>
      <c r="F9" s="17"/>
      <c r="G9" s="17"/>
      <c r="H9" s="17"/>
      <c r="I9" s="18"/>
    </row>
    <row r="10" spans="2:9" x14ac:dyDescent="0.2">
      <c r="B10" s="16">
        <v>1</v>
      </c>
      <c r="C10" s="18" t="s">
        <v>3572</v>
      </c>
      <c r="D10" s="17"/>
      <c r="E10" s="17"/>
      <c r="F10" s="17"/>
      <c r="G10" s="17"/>
      <c r="H10" s="17"/>
      <c r="I10" s="18"/>
    </row>
    <row r="11" spans="2:9" x14ac:dyDescent="0.2">
      <c r="B11" s="16">
        <v>2</v>
      </c>
      <c r="C11" s="18" t="s">
        <v>3573</v>
      </c>
      <c r="D11" s="17"/>
      <c r="E11" s="17"/>
      <c r="F11" s="17"/>
      <c r="G11" s="17"/>
      <c r="H11" s="17"/>
      <c r="I11" s="18"/>
    </row>
    <row r="12" spans="2:9" ht="16" thickBot="1" x14ac:dyDescent="0.25">
      <c r="B12" s="33">
        <v>3</v>
      </c>
      <c r="C12" s="28" t="s">
        <v>3574</v>
      </c>
      <c r="D12" s="17"/>
      <c r="E12" s="17"/>
      <c r="F12" s="17"/>
      <c r="G12" s="17"/>
      <c r="H12" s="17"/>
      <c r="I12" s="18"/>
    </row>
    <row r="13" spans="2:9" ht="16" thickBot="1" x14ac:dyDescent="0.25">
      <c r="B13" s="39"/>
      <c r="C13" s="38"/>
      <c r="D13" s="17"/>
      <c r="E13" s="17"/>
      <c r="F13" s="17"/>
      <c r="G13" s="17"/>
      <c r="H13" s="17"/>
      <c r="I13" s="18"/>
    </row>
    <row r="14" spans="2:9" ht="16" thickBot="1" x14ac:dyDescent="0.25">
      <c r="B14" s="12"/>
      <c r="C14" s="44" t="s">
        <v>3575</v>
      </c>
      <c r="D14" s="6"/>
      <c r="E14" s="106" t="s">
        <v>3576</v>
      </c>
      <c r="F14" s="107"/>
      <c r="G14" s="107"/>
      <c r="H14" s="108"/>
      <c r="I14" s="18"/>
    </row>
    <row r="15" spans="2:9" x14ac:dyDescent="0.2">
      <c r="B15" s="21"/>
      <c r="C15" s="18" t="s">
        <v>3577</v>
      </c>
      <c r="D15" s="17"/>
      <c r="E15" s="16" t="s">
        <v>3578</v>
      </c>
      <c r="F15" s="3" t="s">
        <v>3579</v>
      </c>
      <c r="G15" s="3" t="s">
        <v>3580</v>
      </c>
      <c r="H15" s="29" t="s">
        <v>3581</v>
      </c>
      <c r="I15" s="18"/>
    </row>
    <row r="16" spans="2:9" x14ac:dyDescent="0.2">
      <c r="B16" s="22">
        <v>1</v>
      </c>
      <c r="C16" s="18" t="s">
        <v>3582</v>
      </c>
      <c r="D16" s="17"/>
      <c r="E16" s="30" t="s">
        <v>3</v>
      </c>
      <c r="F16" s="23" t="s">
        <v>3583</v>
      </c>
      <c r="G16" s="23" t="s">
        <v>3584</v>
      </c>
      <c r="H16" s="31" t="s">
        <v>3585</v>
      </c>
      <c r="I16" s="18"/>
    </row>
    <row r="17" spans="2:9" x14ac:dyDescent="0.2">
      <c r="B17" s="22">
        <v>0</v>
      </c>
      <c r="C17" s="18" t="s">
        <v>3586</v>
      </c>
      <c r="D17" s="17"/>
      <c r="E17" s="30" t="s">
        <v>4</v>
      </c>
      <c r="F17" s="23" t="s">
        <v>3587</v>
      </c>
      <c r="G17" s="23" t="s">
        <v>3588</v>
      </c>
      <c r="H17" s="31" t="s">
        <v>3589</v>
      </c>
      <c r="I17" s="18"/>
    </row>
    <row r="18" spans="2:9" x14ac:dyDescent="0.2">
      <c r="B18" s="22"/>
      <c r="C18" s="18" t="s">
        <v>3590</v>
      </c>
      <c r="D18" s="17"/>
      <c r="E18" s="30" t="s">
        <v>3591</v>
      </c>
      <c r="F18" s="23" t="s">
        <v>3592</v>
      </c>
      <c r="G18" s="23" t="s">
        <v>3593</v>
      </c>
      <c r="H18" s="31" t="s">
        <v>3594</v>
      </c>
      <c r="I18" s="18"/>
    </row>
    <row r="19" spans="2:9" x14ac:dyDescent="0.2">
      <c r="B19" s="22">
        <v>1</v>
      </c>
      <c r="C19" s="18" t="s">
        <v>3595</v>
      </c>
      <c r="D19" s="17"/>
      <c r="E19" s="102" t="s">
        <v>3596</v>
      </c>
      <c r="F19" s="103"/>
      <c r="G19" s="103"/>
      <c r="H19" s="31" t="s">
        <v>3597</v>
      </c>
      <c r="I19" s="18"/>
    </row>
    <row r="20" spans="2:9" x14ac:dyDescent="0.2">
      <c r="B20" s="22">
        <v>0.6</v>
      </c>
      <c r="C20" s="18" t="s">
        <v>3598</v>
      </c>
      <c r="D20" s="17"/>
      <c r="E20" s="20"/>
      <c r="F20" s="17"/>
      <c r="G20" s="23" t="s">
        <v>3599</v>
      </c>
      <c r="H20" s="31" t="s">
        <v>3600</v>
      </c>
      <c r="I20" s="18"/>
    </row>
    <row r="21" spans="2:9" ht="16" thickBot="1" x14ac:dyDescent="0.25">
      <c r="B21" s="22">
        <v>0.3</v>
      </c>
      <c r="C21" s="18" t="s">
        <v>3601</v>
      </c>
      <c r="D21" s="17"/>
      <c r="E21" s="104" t="s">
        <v>3602</v>
      </c>
      <c r="F21" s="105"/>
      <c r="G21" s="105"/>
      <c r="H21" s="32" t="s">
        <v>3600</v>
      </c>
      <c r="I21" s="18"/>
    </row>
    <row r="22" spans="2:9" x14ac:dyDescent="0.2">
      <c r="B22" s="22">
        <v>0</v>
      </c>
      <c r="C22" s="18" t="s">
        <v>3603</v>
      </c>
      <c r="D22" s="17"/>
      <c r="E22" s="17"/>
      <c r="F22" s="17"/>
      <c r="G22" s="17"/>
      <c r="H22" s="17"/>
      <c r="I22" s="18"/>
    </row>
    <row r="23" spans="2:9" x14ac:dyDescent="0.2">
      <c r="B23" s="22"/>
      <c r="C23" s="18" t="s">
        <v>3604</v>
      </c>
      <c r="D23" s="17"/>
      <c r="E23" s="17"/>
      <c r="F23" s="17"/>
      <c r="G23" s="17"/>
      <c r="H23" s="17"/>
      <c r="I23" s="18"/>
    </row>
    <row r="24" spans="2:9" x14ac:dyDescent="0.2">
      <c r="B24" s="22">
        <v>1</v>
      </c>
      <c r="C24" s="18" t="s">
        <v>3605</v>
      </c>
      <c r="D24" s="17"/>
      <c r="E24" s="17"/>
      <c r="F24" s="17"/>
      <c r="G24" s="17"/>
      <c r="H24" s="17"/>
      <c r="I24" s="18"/>
    </row>
    <row r="25" spans="2:9" x14ac:dyDescent="0.2">
      <c r="B25" s="22">
        <v>0.6</v>
      </c>
      <c r="C25" s="18" t="s">
        <v>3606</v>
      </c>
      <c r="D25" s="17"/>
      <c r="E25" s="17"/>
      <c r="F25" s="17"/>
      <c r="G25" s="17"/>
      <c r="H25" s="17"/>
      <c r="I25" s="18"/>
    </row>
    <row r="26" spans="2:9" x14ac:dyDescent="0.2">
      <c r="B26" s="22">
        <v>0.3</v>
      </c>
      <c r="C26" s="18" t="s">
        <v>3607</v>
      </c>
      <c r="D26" s="17"/>
      <c r="E26" s="17"/>
      <c r="F26" s="17"/>
      <c r="G26" s="17"/>
      <c r="H26" s="17"/>
      <c r="I26" s="18"/>
    </row>
    <row r="27" spans="2:9" ht="16" thickBot="1" x14ac:dyDescent="0.25">
      <c r="B27" s="22">
        <v>0</v>
      </c>
      <c r="C27" s="18" t="s">
        <v>3608</v>
      </c>
      <c r="D27" s="17"/>
      <c r="E27" s="17"/>
      <c r="F27" s="17"/>
      <c r="G27" s="17"/>
      <c r="H27" s="17"/>
      <c r="I27" s="18"/>
    </row>
    <row r="28" spans="2:9" ht="16" thickBot="1" x14ac:dyDescent="0.25">
      <c r="B28" s="22"/>
      <c r="C28" s="18" t="s">
        <v>3609</v>
      </c>
      <c r="D28" s="17"/>
      <c r="E28" s="106" t="s">
        <v>3610</v>
      </c>
      <c r="F28" s="107"/>
      <c r="G28" s="107"/>
      <c r="H28" s="108"/>
      <c r="I28" s="18"/>
    </row>
    <row r="29" spans="2:9" x14ac:dyDescent="0.2">
      <c r="B29" s="22">
        <v>1</v>
      </c>
      <c r="C29" s="18" t="s">
        <v>3611</v>
      </c>
      <c r="D29" s="17"/>
      <c r="E29" s="17"/>
      <c r="F29" s="17"/>
      <c r="G29" s="17"/>
      <c r="H29" s="17"/>
      <c r="I29" s="18"/>
    </row>
    <row r="30" spans="2:9" x14ac:dyDescent="0.2">
      <c r="B30" s="22">
        <v>0.6</v>
      </c>
      <c r="C30" s="18" t="s">
        <v>3612</v>
      </c>
      <c r="D30" s="17"/>
      <c r="E30" s="17"/>
      <c r="F30" s="17"/>
      <c r="G30" s="17"/>
      <c r="H30" s="17"/>
      <c r="I30" s="18"/>
    </row>
    <row r="31" spans="2:9" x14ac:dyDescent="0.2">
      <c r="B31" s="22">
        <v>0.3</v>
      </c>
      <c r="C31" s="18" t="s">
        <v>3613</v>
      </c>
      <c r="D31" s="17"/>
      <c r="E31" s="17"/>
      <c r="F31" s="17"/>
      <c r="G31" s="17"/>
      <c r="H31" s="17"/>
      <c r="I31" s="18"/>
    </row>
    <row r="32" spans="2:9" x14ac:dyDescent="0.2">
      <c r="B32" s="22">
        <v>0</v>
      </c>
      <c r="C32" s="18" t="s">
        <v>3614</v>
      </c>
      <c r="D32" s="17"/>
      <c r="E32" s="17"/>
      <c r="F32" s="17"/>
      <c r="G32" s="17"/>
      <c r="H32" s="17"/>
      <c r="I32" s="18"/>
    </row>
    <row r="33" spans="2:9" x14ac:dyDescent="0.2">
      <c r="B33" s="22"/>
      <c r="C33" s="18" t="s">
        <v>3615</v>
      </c>
      <c r="D33" s="17"/>
      <c r="E33" s="17"/>
      <c r="F33" s="17"/>
      <c r="G33" s="17"/>
      <c r="H33" s="17"/>
      <c r="I33" s="18"/>
    </row>
    <row r="34" spans="2:9" x14ac:dyDescent="0.2">
      <c r="B34" s="22">
        <v>1</v>
      </c>
      <c r="C34" s="18" t="s">
        <v>3616</v>
      </c>
      <c r="D34" s="17"/>
      <c r="E34" s="17"/>
      <c r="F34" s="17"/>
      <c r="G34" s="17"/>
      <c r="H34" s="17"/>
      <c r="I34" s="18"/>
    </row>
    <row r="35" spans="2:9" x14ac:dyDescent="0.2">
      <c r="B35" s="22">
        <v>0.6</v>
      </c>
      <c r="C35" s="18" t="s">
        <v>3617</v>
      </c>
      <c r="D35" s="17"/>
      <c r="E35" s="17"/>
      <c r="F35" s="17"/>
      <c r="G35" s="17"/>
      <c r="H35" s="17"/>
      <c r="I35" s="18"/>
    </row>
    <row r="36" spans="2:9" x14ac:dyDescent="0.2">
      <c r="B36" s="22">
        <v>0.3</v>
      </c>
      <c r="C36" s="18" t="s">
        <v>3618</v>
      </c>
      <c r="D36" s="17"/>
      <c r="E36" s="17"/>
      <c r="F36" s="17"/>
      <c r="G36" s="17"/>
      <c r="H36" s="17"/>
      <c r="I36" s="18"/>
    </row>
    <row r="37" spans="2:9" x14ac:dyDescent="0.2">
      <c r="B37" s="22">
        <v>0</v>
      </c>
      <c r="C37" s="18" t="s">
        <v>3619</v>
      </c>
      <c r="D37" s="17"/>
      <c r="E37" s="17"/>
      <c r="F37" s="17"/>
      <c r="G37" s="17"/>
      <c r="H37" s="17"/>
      <c r="I37" s="18"/>
    </row>
    <row r="38" spans="2:9" x14ac:dyDescent="0.2">
      <c r="B38" s="22"/>
      <c r="C38" s="18" t="s">
        <v>3620</v>
      </c>
      <c r="D38" s="17"/>
      <c r="E38" s="17"/>
      <c r="F38" s="17"/>
      <c r="G38" s="17"/>
      <c r="H38" s="17"/>
      <c r="I38" s="18"/>
    </row>
    <row r="39" spans="2:9" x14ac:dyDescent="0.2">
      <c r="B39" s="22">
        <v>1</v>
      </c>
      <c r="C39" s="18" t="s">
        <v>3621</v>
      </c>
      <c r="D39" s="17"/>
      <c r="E39" s="17"/>
      <c r="F39" s="17"/>
      <c r="G39" s="17"/>
      <c r="H39" s="17"/>
      <c r="I39" s="18"/>
    </row>
    <row r="40" spans="2:9" x14ac:dyDescent="0.2">
      <c r="B40" s="22">
        <v>0</v>
      </c>
      <c r="C40" s="18" t="s">
        <v>3622</v>
      </c>
      <c r="D40" s="17"/>
      <c r="E40" s="17"/>
      <c r="F40" s="17"/>
      <c r="G40" s="17"/>
      <c r="H40" s="17"/>
      <c r="I40" s="18"/>
    </row>
    <row r="41" spans="2:9" x14ac:dyDescent="0.2">
      <c r="B41" s="22"/>
      <c r="C41" s="18" t="s">
        <v>3623</v>
      </c>
      <c r="D41" s="17"/>
      <c r="E41" s="17"/>
      <c r="F41" s="17"/>
      <c r="G41" s="17"/>
      <c r="H41" s="17"/>
      <c r="I41" s="18"/>
    </row>
    <row r="42" spans="2:9" x14ac:dyDescent="0.2">
      <c r="B42" s="22">
        <v>1</v>
      </c>
      <c r="C42" s="18" t="s">
        <v>3624</v>
      </c>
      <c r="D42" s="17"/>
      <c r="E42" s="17"/>
      <c r="F42" s="17"/>
      <c r="G42" s="17"/>
      <c r="H42" s="17"/>
      <c r="I42" s="18"/>
    </row>
    <row r="43" spans="2:9" x14ac:dyDescent="0.2">
      <c r="B43" s="22">
        <v>0.5</v>
      </c>
      <c r="C43" s="18" t="s">
        <v>3625</v>
      </c>
      <c r="D43" s="17"/>
      <c r="E43" s="17"/>
      <c r="F43" s="17"/>
      <c r="G43" s="17"/>
      <c r="H43" s="17"/>
      <c r="I43" s="18"/>
    </row>
    <row r="44" spans="2:9" ht="16" thickBot="1" x14ac:dyDescent="0.25">
      <c r="B44" s="34">
        <v>0</v>
      </c>
      <c r="C44" s="28" t="s">
        <v>3626</v>
      </c>
      <c r="D44" s="17"/>
      <c r="E44" s="17"/>
      <c r="F44" s="17"/>
      <c r="G44" s="17"/>
      <c r="H44" s="17"/>
      <c r="I44" s="18"/>
    </row>
    <row r="45" spans="2:9" ht="16" thickBot="1" x14ac:dyDescent="0.25">
      <c r="B45" s="37"/>
      <c r="C45" s="38"/>
      <c r="D45" s="17"/>
      <c r="E45" s="17"/>
      <c r="F45" s="17"/>
      <c r="G45" s="17"/>
      <c r="H45" s="17"/>
      <c r="I45" s="18"/>
    </row>
    <row r="46" spans="2:9" x14ac:dyDescent="0.2">
      <c r="B46" s="12"/>
      <c r="C46" s="44" t="s">
        <v>3627</v>
      </c>
      <c r="D46" s="6"/>
      <c r="E46" s="17"/>
      <c r="F46" s="17"/>
      <c r="G46" s="17"/>
      <c r="H46" s="17"/>
      <c r="I46" s="18"/>
    </row>
    <row r="47" spans="2:9" x14ac:dyDescent="0.2">
      <c r="B47" s="21"/>
      <c r="C47" s="18" t="s">
        <v>3628</v>
      </c>
      <c r="D47" s="17"/>
      <c r="E47" s="17"/>
      <c r="F47" s="17"/>
      <c r="G47" s="17"/>
      <c r="H47" s="17"/>
      <c r="I47" s="18"/>
    </row>
    <row r="48" spans="2:9" x14ac:dyDescent="0.2">
      <c r="B48" s="22">
        <v>1</v>
      </c>
      <c r="C48" s="18" t="s">
        <v>3629</v>
      </c>
      <c r="D48" s="17"/>
      <c r="E48" s="17"/>
      <c r="F48" s="17"/>
      <c r="G48" s="17"/>
      <c r="H48" s="17"/>
      <c r="I48" s="18"/>
    </row>
    <row r="49" spans="2:9" x14ac:dyDescent="0.2">
      <c r="B49" s="22">
        <v>0.6</v>
      </c>
      <c r="C49" s="18" t="s">
        <v>3630</v>
      </c>
      <c r="D49" s="17"/>
      <c r="E49" s="17"/>
      <c r="F49" s="17"/>
      <c r="G49" s="17"/>
      <c r="H49" s="17"/>
      <c r="I49" s="18"/>
    </row>
    <row r="50" spans="2:9" x14ac:dyDescent="0.2">
      <c r="B50" s="22">
        <v>0.3</v>
      </c>
      <c r="C50" s="18" t="s">
        <v>3631</v>
      </c>
      <c r="D50" s="17"/>
      <c r="E50" s="17"/>
      <c r="F50" s="17"/>
      <c r="G50" s="17"/>
      <c r="H50" s="17"/>
      <c r="I50" s="18"/>
    </row>
    <row r="51" spans="2:9" x14ac:dyDescent="0.2">
      <c r="B51" s="22">
        <v>0</v>
      </c>
      <c r="C51" s="18" t="s">
        <v>3632</v>
      </c>
      <c r="D51" s="17"/>
      <c r="E51" s="17"/>
      <c r="F51" s="17"/>
      <c r="G51" s="17"/>
      <c r="H51" s="17"/>
      <c r="I51" s="18"/>
    </row>
    <row r="52" spans="2:9" x14ac:dyDescent="0.2">
      <c r="B52" s="22"/>
      <c r="C52" s="18" t="s">
        <v>3633</v>
      </c>
      <c r="D52" s="17"/>
      <c r="E52" s="17"/>
      <c r="F52" s="17"/>
      <c r="G52" s="17"/>
      <c r="H52" s="17"/>
      <c r="I52" s="18"/>
    </row>
    <row r="53" spans="2:9" x14ac:dyDescent="0.2">
      <c r="B53" s="22">
        <v>1</v>
      </c>
      <c r="C53" s="18" t="s">
        <v>3634</v>
      </c>
      <c r="D53" s="17"/>
      <c r="E53" s="17"/>
      <c r="F53" s="17"/>
      <c r="G53" s="17"/>
      <c r="H53" s="17"/>
      <c r="I53" s="18"/>
    </row>
    <row r="54" spans="2:9" ht="16" thickBot="1" x14ac:dyDescent="0.25">
      <c r="B54" s="36">
        <v>0</v>
      </c>
      <c r="C54" s="43" t="s">
        <v>3635</v>
      </c>
      <c r="D54" s="35"/>
      <c r="E54" s="17"/>
      <c r="F54" s="17"/>
      <c r="G54" s="17"/>
      <c r="H54" s="17"/>
      <c r="I54" s="18"/>
    </row>
    <row r="55" spans="2:9" x14ac:dyDescent="0.2">
      <c r="B55" s="21"/>
      <c r="C55" s="17"/>
      <c r="D55" s="17"/>
      <c r="E55" s="17"/>
      <c r="F55" s="17"/>
      <c r="G55" s="17"/>
      <c r="H55" s="17"/>
      <c r="I55" s="18"/>
    </row>
    <row r="56" spans="2:9" ht="16" thickBot="1" x14ac:dyDescent="0.25">
      <c r="B56" s="20"/>
      <c r="C56" s="40"/>
      <c r="D56" s="3"/>
      <c r="E56" s="17"/>
      <c r="F56" s="17"/>
      <c r="G56" s="17"/>
      <c r="H56" s="17"/>
      <c r="I56" s="18"/>
    </row>
    <row r="57" spans="2:9" x14ac:dyDescent="0.2">
      <c r="B57" s="20"/>
      <c r="C57" s="48" t="s">
        <v>3636</v>
      </c>
      <c r="D57" s="6"/>
      <c r="E57" s="17"/>
      <c r="F57" s="17"/>
      <c r="G57" s="17"/>
      <c r="H57" s="17"/>
      <c r="I57" s="18"/>
    </row>
    <row r="58" spans="2:9" ht="16" x14ac:dyDescent="0.2">
      <c r="B58" s="20"/>
      <c r="C58" s="49" t="s">
        <v>3637</v>
      </c>
      <c r="D58" s="24"/>
      <c r="E58" s="17"/>
      <c r="F58" s="17"/>
      <c r="G58" s="17"/>
      <c r="H58" s="17"/>
      <c r="I58" s="18"/>
    </row>
    <row r="59" spans="2:9" ht="21" customHeight="1" x14ac:dyDescent="0.2">
      <c r="B59" s="20"/>
      <c r="C59" s="50" t="s">
        <v>3638</v>
      </c>
      <c r="D59" s="3"/>
      <c r="E59" s="17"/>
      <c r="F59" s="17"/>
      <c r="G59" s="17"/>
      <c r="H59" s="17"/>
      <c r="I59" s="18"/>
    </row>
    <row r="60" spans="2:9" x14ac:dyDescent="0.2">
      <c r="B60" s="20"/>
      <c r="C60" s="41" t="s">
        <v>7133</v>
      </c>
      <c r="D60" s="17"/>
      <c r="E60" s="17"/>
      <c r="F60" s="17"/>
      <c r="G60" s="17"/>
      <c r="H60" s="17"/>
      <c r="I60" s="18"/>
    </row>
    <row r="61" spans="2:9" x14ac:dyDescent="0.2">
      <c r="B61" s="20"/>
      <c r="C61" s="41" t="s">
        <v>3741</v>
      </c>
      <c r="D61" s="17"/>
      <c r="E61" s="17"/>
      <c r="F61" s="17"/>
      <c r="G61" s="17"/>
      <c r="H61" s="17"/>
      <c r="I61" s="18"/>
    </row>
    <row r="62" spans="2:9" x14ac:dyDescent="0.2">
      <c r="B62" s="20"/>
      <c r="C62" s="41" t="s">
        <v>3742</v>
      </c>
      <c r="D62" s="17"/>
      <c r="E62" s="17"/>
      <c r="F62" s="17"/>
      <c r="G62" s="17"/>
      <c r="H62" s="17"/>
      <c r="I62" s="18"/>
    </row>
    <row r="63" spans="2:9" x14ac:dyDescent="0.2">
      <c r="B63" s="20"/>
      <c r="C63" s="41" t="s">
        <v>3743</v>
      </c>
      <c r="D63" s="17"/>
      <c r="E63" s="17"/>
      <c r="F63" s="17"/>
      <c r="G63" s="17"/>
      <c r="H63" s="17"/>
      <c r="I63" s="18"/>
    </row>
    <row r="64" spans="2:9" x14ac:dyDescent="0.2">
      <c r="B64" s="20"/>
      <c r="C64" s="41" t="s">
        <v>3744</v>
      </c>
      <c r="D64" s="17"/>
      <c r="E64" s="17"/>
      <c r="F64" s="17"/>
      <c r="G64" s="17"/>
      <c r="H64" s="17"/>
      <c r="I64" s="18"/>
    </row>
    <row r="65" spans="2:9" ht="16" thickBot="1" x14ac:dyDescent="0.25">
      <c r="B65" s="20"/>
      <c r="C65" s="42" t="s">
        <v>3745</v>
      </c>
      <c r="D65" s="17"/>
      <c r="E65" s="17"/>
      <c r="F65" s="17"/>
      <c r="G65" s="17"/>
      <c r="H65" s="17"/>
      <c r="I65" s="18"/>
    </row>
    <row r="66" spans="2:9" ht="16" thickBot="1" x14ac:dyDescent="0.25">
      <c r="B66" s="20"/>
      <c r="C66" s="38"/>
      <c r="D66" s="17"/>
      <c r="E66" s="17"/>
      <c r="F66" s="17"/>
      <c r="G66" s="17"/>
      <c r="H66" s="17"/>
      <c r="I66" s="18"/>
    </row>
    <row r="67" spans="2:9" ht="14" customHeight="1" x14ac:dyDescent="0.2">
      <c r="B67" s="20"/>
      <c r="C67" s="48" t="s">
        <v>3639</v>
      </c>
      <c r="D67" s="6"/>
      <c r="E67" s="17"/>
      <c r="F67" s="17"/>
      <c r="G67" s="17"/>
      <c r="H67" s="17"/>
      <c r="I67" s="18"/>
    </row>
    <row r="68" spans="2:9" ht="20" customHeight="1" x14ac:dyDescent="0.2">
      <c r="B68" s="20"/>
      <c r="C68" s="49" t="s">
        <v>3640</v>
      </c>
      <c r="D68" s="24"/>
      <c r="E68" s="17"/>
      <c r="F68" s="17"/>
      <c r="G68" s="17"/>
      <c r="H68" s="17"/>
      <c r="I68" s="18"/>
    </row>
    <row r="69" spans="2:9" ht="21" customHeight="1" x14ac:dyDescent="0.2">
      <c r="B69" s="20"/>
      <c r="C69" s="50" t="s">
        <v>3641</v>
      </c>
      <c r="D69" s="3"/>
      <c r="E69" s="17"/>
      <c r="F69" s="17"/>
      <c r="G69" s="17"/>
      <c r="H69" s="17"/>
      <c r="I69" s="18"/>
    </row>
    <row r="70" spans="2:9" x14ac:dyDescent="0.2">
      <c r="B70" s="20"/>
      <c r="C70" s="41" t="s">
        <v>7133</v>
      </c>
      <c r="D70" s="17"/>
      <c r="E70" s="17"/>
      <c r="F70" s="17"/>
      <c r="G70" s="17"/>
      <c r="H70" s="17"/>
      <c r="I70" s="18"/>
    </row>
    <row r="71" spans="2:9" ht="16" thickBot="1" x14ac:dyDescent="0.25">
      <c r="B71" s="20"/>
      <c r="C71" s="17"/>
      <c r="D71" s="17"/>
      <c r="E71" s="17"/>
      <c r="F71" s="17"/>
      <c r="G71" s="17"/>
      <c r="H71" s="17"/>
      <c r="I71" s="18"/>
    </row>
    <row r="72" spans="2:9" x14ac:dyDescent="0.2">
      <c r="B72" s="20"/>
      <c r="C72" s="48" t="s">
        <v>3642</v>
      </c>
      <c r="D72" s="6"/>
      <c r="E72" s="17"/>
      <c r="F72" s="17"/>
      <c r="G72" s="17"/>
      <c r="H72" s="17"/>
      <c r="I72" s="18"/>
    </row>
    <row r="73" spans="2:9" ht="16" x14ac:dyDescent="0.2">
      <c r="B73" s="20"/>
      <c r="C73" s="49" t="s">
        <v>3643</v>
      </c>
      <c r="D73" s="24"/>
      <c r="E73" s="17"/>
      <c r="F73" s="17"/>
      <c r="G73" s="17"/>
      <c r="H73" s="17"/>
      <c r="I73" s="18"/>
    </row>
    <row r="74" spans="2:9" x14ac:dyDescent="0.2">
      <c r="B74" s="20"/>
      <c r="C74" s="50" t="s">
        <v>3641</v>
      </c>
      <c r="D74" s="3"/>
      <c r="E74" s="17"/>
      <c r="F74" s="17"/>
      <c r="G74" s="17"/>
      <c r="H74" s="17"/>
      <c r="I74" s="18"/>
    </row>
    <row r="75" spans="2:9" x14ac:dyDescent="0.2">
      <c r="B75" s="20"/>
      <c r="C75" s="41" t="s">
        <v>7133</v>
      </c>
      <c r="D75" s="17"/>
      <c r="E75" s="17"/>
      <c r="F75" s="17"/>
      <c r="G75" s="17"/>
      <c r="H75" s="17"/>
      <c r="I75" s="18"/>
    </row>
    <row r="76" spans="2:9" ht="16" thickBot="1" x14ac:dyDescent="0.25">
      <c r="B76" s="20"/>
      <c r="C76" s="17"/>
      <c r="D76" s="17"/>
      <c r="E76" s="17"/>
      <c r="F76" s="17"/>
      <c r="G76" s="17"/>
      <c r="H76" s="17"/>
      <c r="I76" s="18"/>
    </row>
    <row r="77" spans="2:9" ht="15.75" customHeight="1" x14ac:dyDescent="0.2">
      <c r="B77" s="20"/>
      <c r="C77" s="48" t="s">
        <v>3644</v>
      </c>
      <c r="D77" s="6"/>
      <c r="E77" s="17"/>
      <c r="F77" s="17"/>
      <c r="G77" s="17"/>
      <c r="H77" s="17"/>
      <c r="I77" s="18"/>
    </row>
    <row r="78" spans="2:9" ht="22.25" customHeight="1" x14ac:dyDescent="0.2">
      <c r="B78" s="20"/>
      <c r="C78" s="41" t="s">
        <v>3645</v>
      </c>
      <c r="D78" s="17"/>
      <c r="E78" s="17"/>
      <c r="F78" s="17"/>
      <c r="G78" s="17"/>
      <c r="H78" s="17"/>
      <c r="I78" s="18"/>
    </row>
    <row r="79" spans="2:9" ht="23" customHeight="1" x14ac:dyDescent="0.2">
      <c r="B79" s="20"/>
      <c r="C79" s="50" t="s">
        <v>3646</v>
      </c>
      <c r="D79" s="3"/>
      <c r="E79" s="17"/>
      <c r="F79" s="17"/>
      <c r="G79" s="17"/>
      <c r="H79" s="17"/>
      <c r="I79" s="18"/>
    </row>
    <row r="80" spans="2:9" ht="13.25" customHeight="1" x14ac:dyDescent="0.2">
      <c r="B80" s="20"/>
      <c r="C80" s="41" t="s">
        <v>7133</v>
      </c>
      <c r="D80" s="17"/>
      <c r="E80" s="17"/>
      <c r="F80" s="17"/>
      <c r="G80" s="17"/>
      <c r="H80" s="17"/>
      <c r="I80" s="18"/>
    </row>
    <row r="81" spans="2:9" ht="16" thickBot="1" x14ac:dyDescent="0.25">
      <c r="B81" s="20"/>
      <c r="C81" s="17"/>
      <c r="D81" s="17"/>
      <c r="E81" s="17"/>
      <c r="F81" s="17"/>
      <c r="G81" s="17"/>
      <c r="H81" s="17"/>
      <c r="I81" s="18"/>
    </row>
    <row r="82" spans="2:9" x14ac:dyDescent="0.2">
      <c r="B82" s="20"/>
      <c r="C82" s="48" t="s">
        <v>3647</v>
      </c>
      <c r="D82" s="6"/>
      <c r="E82" s="17"/>
      <c r="F82" s="17"/>
      <c r="G82" s="17"/>
      <c r="H82" s="17"/>
      <c r="I82" s="18"/>
    </row>
    <row r="83" spans="2:9" x14ac:dyDescent="0.2">
      <c r="B83" s="20"/>
      <c r="C83" s="41" t="s">
        <v>3648</v>
      </c>
      <c r="D83" s="17"/>
      <c r="E83" s="17"/>
      <c r="F83" s="17"/>
      <c r="G83" s="17"/>
      <c r="H83" s="17"/>
      <c r="I83" s="18"/>
    </row>
    <row r="84" spans="2:9" x14ac:dyDescent="0.2">
      <c r="B84" s="20"/>
      <c r="C84" s="50" t="s">
        <v>3649</v>
      </c>
      <c r="D84" s="3"/>
      <c r="E84" s="17"/>
      <c r="F84" s="17"/>
      <c r="G84" s="17"/>
      <c r="H84" s="17"/>
      <c r="I84" s="18"/>
    </row>
    <row r="85" spans="2:9" x14ac:dyDescent="0.2">
      <c r="B85" s="20"/>
      <c r="C85" s="41" t="s">
        <v>7133</v>
      </c>
      <c r="D85" s="17"/>
      <c r="E85" s="17"/>
      <c r="F85" s="17"/>
      <c r="G85" s="17"/>
      <c r="H85" s="17"/>
      <c r="I85" s="18"/>
    </row>
    <row r="86" spans="2:9" x14ac:dyDescent="0.2">
      <c r="B86" s="20"/>
      <c r="C86" s="17"/>
      <c r="D86" s="17"/>
      <c r="E86" s="17"/>
      <c r="F86" s="17"/>
      <c r="G86" s="17"/>
      <c r="H86" s="17"/>
      <c r="I86" s="18"/>
    </row>
    <row r="87" spans="2:9" x14ac:dyDescent="0.2">
      <c r="B87" s="20"/>
      <c r="C87" s="17"/>
      <c r="D87" s="17"/>
      <c r="E87" s="17"/>
      <c r="F87" s="17"/>
      <c r="G87" s="17"/>
      <c r="H87" s="17"/>
      <c r="I87" s="18"/>
    </row>
    <row r="88" spans="2:9" ht="16" thickBot="1" x14ac:dyDescent="0.25">
      <c r="B88" s="20"/>
      <c r="C88" s="17"/>
      <c r="D88" s="17"/>
      <c r="E88" s="17"/>
      <c r="F88" s="17"/>
      <c r="G88" s="17"/>
      <c r="H88" s="17"/>
      <c r="I88" s="18"/>
    </row>
    <row r="89" spans="2:9" x14ac:dyDescent="0.2">
      <c r="B89" s="20"/>
      <c r="C89" s="47" t="s">
        <v>2</v>
      </c>
      <c r="D89" s="25"/>
      <c r="E89" s="17"/>
      <c r="F89" s="17"/>
      <c r="G89" s="17"/>
      <c r="H89" s="17"/>
      <c r="I89" s="18"/>
    </row>
    <row r="90" spans="2:9" x14ac:dyDescent="0.2">
      <c r="B90" s="20"/>
      <c r="C90" s="41" t="s">
        <v>3650</v>
      </c>
      <c r="D90" s="17"/>
      <c r="E90" s="17"/>
      <c r="F90" s="17"/>
      <c r="G90" s="17"/>
      <c r="H90" s="17"/>
      <c r="I90" s="18"/>
    </row>
    <row r="91" spans="2:9" x14ac:dyDescent="0.2">
      <c r="B91" s="20"/>
      <c r="C91" s="41" t="s">
        <v>3651</v>
      </c>
      <c r="D91" s="17"/>
      <c r="E91" s="17"/>
      <c r="F91" s="17"/>
      <c r="G91" s="17"/>
      <c r="H91" s="17"/>
      <c r="I91" s="18"/>
    </row>
    <row r="92" spans="2:9" ht="16" thickBot="1" x14ac:dyDescent="0.25">
      <c r="B92" s="20"/>
      <c r="C92" s="42" t="s">
        <v>3652</v>
      </c>
      <c r="D92" s="17"/>
      <c r="E92" s="17"/>
      <c r="F92" s="17"/>
      <c r="G92" s="17"/>
      <c r="H92" s="17"/>
      <c r="I92" s="18"/>
    </row>
    <row r="93" spans="2:9" ht="16" thickBot="1" x14ac:dyDescent="0.25">
      <c r="B93" s="20"/>
      <c r="C93" s="17"/>
      <c r="D93" s="17"/>
      <c r="E93" s="17"/>
      <c r="F93" s="17"/>
      <c r="G93" s="17"/>
      <c r="H93" s="17"/>
      <c r="I93" s="18"/>
    </row>
    <row r="94" spans="2:9" x14ac:dyDescent="0.2">
      <c r="B94" s="20"/>
      <c r="C94" s="47" t="s">
        <v>12</v>
      </c>
      <c r="D94" s="25"/>
      <c r="E94" s="17"/>
      <c r="F94" s="17"/>
      <c r="G94" s="17"/>
      <c r="H94" s="17"/>
      <c r="I94" s="18"/>
    </row>
    <row r="95" spans="2:9" x14ac:dyDescent="0.2">
      <c r="B95" s="20"/>
      <c r="C95" s="41" t="s">
        <v>21</v>
      </c>
      <c r="D95" s="17"/>
      <c r="E95" s="17"/>
      <c r="F95" s="17"/>
      <c r="G95" s="17"/>
      <c r="H95" s="17"/>
      <c r="I95" s="18"/>
    </row>
    <row r="96" spans="2:9" x14ac:dyDescent="0.2">
      <c r="B96" s="20"/>
      <c r="C96" s="41" t="s">
        <v>32</v>
      </c>
      <c r="D96" s="17"/>
      <c r="E96" s="17"/>
      <c r="F96" s="17"/>
      <c r="G96" s="17"/>
      <c r="H96" s="17"/>
      <c r="I96" s="18"/>
    </row>
    <row r="97" spans="2:9" x14ac:dyDescent="0.2">
      <c r="B97" s="20"/>
      <c r="C97" s="41" t="s">
        <v>70</v>
      </c>
      <c r="D97" s="17"/>
      <c r="E97" s="17"/>
      <c r="F97" s="17"/>
      <c r="G97" s="17"/>
      <c r="H97" s="17"/>
      <c r="I97" s="18"/>
    </row>
    <row r="98" spans="2:9" x14ac:dyDescent="0.2">
      <c r="B98" s="20"/>
      <c r="C98" s="41" t="s">
        <v>80</v>
      </c>
      <c r="D98" s="17"/>
      <c r="E98" s="17"/>
      <c r="F98" s="17"/>
      <c r="G98" s="17"/>
      <c r="H98" s="17"/>
      <c r="I98" s="18"/>
    </row>
    <row r="99" spans="2:9" x14ac:dyDescent="0.2">
      <c r="B99" s="20"/>
      <c r="C99" s="41" t="s">
        <v>128</v>
      </c>
      <c r="D99" s="17"/>
      <c r="E99" s="17"/>
      <c r="F99" s="17"/>
      <c r="G99" s="17"/>
      <c r="H99" s="17"/>
      <c r="I99" s="18"/>
    </row>
    <row r="100" spans="2:9" ht="16" thickBot="1" x14ac:dyDescent="0.25">
      <c r="B100" s="20"/>
      <c r="C100" s="42" t="s">
        <v>3653</v>
      </c>
      <c r="D100" s="17"/>
      <c r="E100" s="17"/>
      <c r="F100" s="17"/>
      <c r="G100" s="17"/>
      <c r="H100" s="17"/>
      <c r="I100" s="18"/>
    </row>
    <row r="101" spans="2:9" x14ac:dyDescent="0.2">
      <c r="B101" s="20"/>
      <c r="C101" s="17"/>
      <c r="D101" s="17"/>
      <c r="E101" s="17"/>
      <c r="F101" s="17"/>
      <c r="G101" s="17"/>
      <c r="H101" s="17"/>
      <c r="I101" s="18"/>
    </row>
    <row r="102" spans="2:9" ht="16" thickBot="1" x14ac:dyDescent="0.25">
      <c r="B102" s="20"/>
      <c r="C102" s="17"/>
      <c r="D102" s="17"/>
      <c r="E102" s="17"/>
      <c r="F102" s="17"/>
      <c r="G102" s="17"/>
      <c r="H102" s="17"/>
      <c r="I102" s="18"/>
    </row>
    <row r="103" spans="2:9" ht="16" thickBot="1" x14ac:dyDescent="0.25">
      <c r="B103" s="20"/>
      <c r="C103" s="53" t="s">
        <v>3730</v>
      </c>
      <c r="D103" s="17"/>
      <c r="E103" s="17"/>
      <c r="F103" s="17"/>
      <c r="G103" s="17"/>
      <c r="H103" s="17"/>
      <c r="I103" s="18"/>
    </row>
    <row r="104" spans="2:9" ht="16" thickBot="1" x14ac:dyDescent="0.25">
      <c r="B104" s="26"/>
      <c r="C104" s="27"/>
      <c r="D104" s="27"/>
      <c r="E104" s="27"/>
      <c r="F104" s="27"/>
      <c r="G104" s="27"/>
      <c r="H104" s="27"/>
      <c r="I104" s="28"/>
    </row>
  </sheetData>
  <mergeCells count="5">
    <mergeCell ref="E19:G19"/>
    <mergeCell ref="E21:G21"/>
    <mergeCell ref="E14:H14"/>
    <mergeCell ref="E3:H6"/>
    <mergeCell ref="E28:H2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Scholar</vt:lpstr>
      <vt:lpstr>ACM_DL</vt:lpstr>
      <vt:lpstr>IEEE_Xplore</vt:lpstr>
      <vt:lpstr>Science_Direct</vt:lpstr>
      <vt:lpstr>TU_Wien_CatalogPlus</vt:lpstr>
      <vt:lpstr>DL_snowball</vt:lpstr>
      <vt:lpstr>Conferences</vt:lpstr>
      <vt:lpstr>Paper_forward_snowball</vt:lpstr>
      <vt:lpstr>Info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IULIANO</dc:creator>
  <cp:keywords/>
  <dc:description/>
  <cp:lastModifiedBy>Gerardo IULIANO</cp:lastModifiedBy>
  <cp:revision/>
  <dcterms:created xsi:type="dcterms:W3CDTF">2024-01-22T08:45:43Z</dcterms:created>
  <dcterms:modified xsi:type="dcterms:W3CDTF">2025-10-01T11:31:25Z</dcterms:modified>
  <cp:category/>
  <cp:contentStatus/>
</cp:coreProperties>
</file>