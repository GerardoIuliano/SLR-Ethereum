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https://unisalerno-my.sharepoint.com/personal/geiuliano_unisa_it/Documents/SMARTITUDE/WP_2/T2_1/TaxonomyValidation/"/>
    </mc:Choice>
  </mc:AlternateContent>
  <xr:revisionPtr revIDLastSave="1125" documentId="13_ncr:1_{5EC4C243-06DD-5349-A123-427866D821F8}" xr6:coauthVersionLast="47" xr6:coauthVersionMax="47" xr10:uidLastSave="{706D3BEB-D6BE-6449-AE68-CABD03EACC9E}"/>
  <bookViews>
    <workbookView xWindow="0" yWindow="500" windowWidth="28800" windowHeight="15720" activeTab="4" xr2:uid="{00000000-000D-0000-FFFF-FFFF00000000}"/>
  </bookViews>
  <sheets>
    <sheet name="Partecipant_1_1" sheetId="10" r:id="rId1"/>
    <sheet name="Partecipant_1_2" sheetId="13" r:id="rId2"/>
    <sheet name="Partecipant_2_1" sheetId="14" r:id="rId3"/>
    <sheet name="Partecipant_2_2" sheetId="12" r:id="rId4"/>
    <sheet name="Cohen's Kappa" sheetId="19" r:id="rId5"/>
    <sheet name="Taxonomy_Before_Validation" sheetId="20" r:id="rId6"/>
    <sheet name="Taxonomy_After_Validation" sheetId="22" r:id="rId7"/>
    <sheet name="Category_Validation_1" sheetId="4" state="hidden" r:id="rId8"/>
    <sheet name="Hierarchy_Validation_1" sheetId="6" state="hidden" r:id="rId9"/>
    <sheet name="Category_Validation_2" sheetId="5" state="hidden" r:id="rId10"/>
    <sheet name="Hierarchy_Validation_2" sheetId="7"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9" l="1"/>
  <c r="B14" i="19"/>
  <c r="D13" i="19"/>
  <c r="D12" i="19"/>
  <c r="C4" i="19"/>
  <c r="B4" i="19"/>
  <c r="D3" i="19"/>
  <c r="D2" i="19"/>
  <c r="D14" i="19" l="1"/>
  <c r="B16" i="19" s="1"/>
  <c r="B17" i="19"/>
  <c r="B18" i="19" s="1"/>
  <c r="L18" i="19" s="1"/>
  <c r="D4" i="19"/>
  <c r="B7" i="19" s="1"/>
  <c r="B6" i="19" l="1"/>
  <c r="B8" i="19"/>
  <c r="L8" i="19" s="1"/>
  <c r="L21"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tc={ADB31F66-2F6F-314A-BDFC-1846B2991AEB}</author>
  </authors>
  <commentList>
    <comment ref="A9" authorId="0" shapeId="0" xr:uid="{ADB31F66-2F6F-314A-BDFC-1846B2991AEB}">
      <text>
        <t xml:space="preserve">[Threaded comment]
Your version of Excel allows you to read this threaded comment; however, any edits to it will get removed if the file is opened in a newer version of Excel. Learn more: https://go.microsoft.com/fwlink/?linkid=870924
Comment:
    Alessandro l'ha spostata in DoS, Ori l'ha spostata in Resource Consumption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B132" authorId="0" shapeId="0" xr:uid="{9E23D529-0F52-4942-A708-A525B3B9F9F4}">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C126" authorId="0" shapeId="0" xr:uid="{B0B92383-48BC-374C-9795-6783792DAFCF}">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sharedStrings.xml><?xml version="1.0" encoding="utf-8"?>
<sst xmlns="http://schemas.openxmlformats.org/spreadsheetml/2006/main" count="2078" uniqueCount="921">
  <si>
    <t>1A1.3</t>
  </si>
  <si>
    <t>1A1.4</t>
  </si>
  <si>
    <t>2A</t>
  </si>
  <si>
    <t>2C1</t>
  </si>
  <si>
    <t>2E1</t>
  </si>
  <si>
    <t>2E2</t>
  </si>
  <si>
    <t>2E4</t>
  </si>
  <si>
    <t>4C1</t>
  </si>
  <si>
    <t>4C2</t>
  </si>
  <si>
    <t>4C3</t>
  </si>
  <si>
    <t>4F</t>
  </si>
  <si>
    <t>4G</t>
  </si>
  <si>
    <t>4J</t>
  </si>
  <si>
    <t>5C</t>
  </si>
  <si>
    <t>High gas consumption of variable data type or declaration</t>
  </si>
  <si>
    <t>6A</t>
  </si>
  <si>
    <t>Prodigal contract</t>
  </si>
  <si>
    <t>6B3</t>
  </si>
  <si>
    <t>6B4</t>
  </si>
  <si>
    <t>6B5</t>
  </si>
  <si>
    <t>6B7</t>
  </si>
  <si>
    <t>6C6</t>
  </si>
  <si>
    <t>6D</t>
  </si>
  <si>
    <t>6E</t>
  </si>
  <si>
    <t>7B</t>
  </si>
  <si>
    <t>7B2</t>
  </si>
  <si>
    <t>7C1</t>
  </si>
  <si>
    <t>8H2</t>
  </si>
  <si>
    <t>8I3</t>
  </si>
  <si>
    <t>8I4</t>
  </si>
  <si>
    <t>8M</t>
  </si>
  <si>
    <t>8N</t>
  </si>
  <si>
    <t>9G</t>
  </si>
  <si>
    <t>10D</t>
  </si>
  <si>
    <t>11A</t>
  </si>
  <si>
    <t>11B</t>
  </si>
  <si>
    <t>11C</t>
  </si>
  <si>
    <t>11D</t>
  </si>
  <si>
    <t>11E</t>
  </si>
  <si>
    <t>11F</t>
  </si>
  <si>
    <t>11G</t>
  </si>
  <si>
    <t>11H</t>
  </si>
  <si>
    <t>12A</t>
  </si>
  <si>
    <t>12A1</t>
  </si>
  <si>
    <t>12A2</t>
  </si>
  <si>
    <t>12B</t>
  </si>
  <si>
    <t>12C</t>
  </si>
  <si>
    <t>12D</t>
  </si>
  <si>
    <t>12E</t>
  </si>
  <si>
    <t>12F</t>
  </si>
  <si>
    <t>12G</t>
  </si>
  <si>
    <t>12H</t>
  </si>
  <si>
    <t>12I</t>
  </si>
  <si>
    <t>13A</t>
  </si>
  <si>
    <t>13B</t>
  </si>
  <si>
    <t>13C</t>
  </si>
  <si>
    <t>13D</t>
  </si>
  <si>
    <t>Dangerous usage of msg.value inside a Loop</t>
  </si>
  <si>
    <t>14A</t>
  </si>
  <si>
    <t>14B</t>
  </si>
  <si>
    <t>14C</t>
  </si>
  <si>
    <t>14D</t>
  </si>
  <si>
    <t>14E</t>
  </si>
  <si>
    <t>14F</t>
  </si>
  <si>
    <t>14G</t>
  </si>
  <si>
    <t>14H</t>
  </si>
  <si>
    <t>14I</t>
  </si>
  <si>
    <t>14J</t>
  </si>
  <si>
    <t>14K</t>
  </si>
  <si>
    <t>14L</t>
  </si>
  <si>
    <t>14M</t>
  </si>
  <si>
    <t>14N</t>
  </si>
  <si>
    <t>14O</t>
  </si>
  <si>
    <t>14P</t>
  </si>
  <si>
    <t>14Q</t>
  </si>
  <si>
    <t>ID</t>
  </si>
  <si>
    <t>Name</t>
  </si>
  <si>
    <t>Authentication &amp; Access Control Vulnerabilities</t>
  </si>
  <si>
    <t>Storage &amp; Memory</t>
  </si>
  <si>
    <t>Environment Configuration Issues</t>
  </si>
  <si>
    <t>Denial of Service</t>
  </si>
  <si>
    <t>Id</t>
  </si>
  <si>
    <t>Description</t>
  </si>
  <si>
    <t>Alternate Names</t>
  </si>
  <si>
    <t>Token standard incompatibility, Unmatched ERC-20 Standard</t>
  </si>
  <si>
    <t>Missing Reminder, Fake Deposit</t>
  </si>
  <si>
    <t>1 - Malicious Environment, Transactions or Input</t>
  </si>
  <si>
    <t>Improper or missing event handling</t>
  </si>
  <si>
    <t xml:space="preserve">Reentrancy with same effect </t>
  </si>
  <si>
    <t>This form of reentrancy occurs when the reentrancy leads to multiple calls with the same effect</t>
  </si>
  <si>
    <t xml:space="preserve">Reentrancy Benign </t>
  </si>
  <si>
    <t xml:space="preserve">Reentrancy Vulnerability with Negative Events </t>
  </si>
  <si>
    <t>This form of reentrancy involves an attacker triggering negative or destructive events (like causing a contract to fail or exploit the contract’s vulnerability to cause undesirable outcomes such as loss of funds, or altered contract states).</t>
  </si>
  <si>
    <t xml:space="preserve">Reentrancy Events </t>
  </si>
  <si>
    <t>2 - Blockchain/Environment Dependency</t>
  </si>
  <si>
    <t>Block State Dependency</t>
  </si>
  <si>
    <t>The contract logic should not use block information for precise calculations or critical time dependencies. Miners have control over these values and can manipulate them to a certain extent, or they may be subject to changes for other reasons.</t>
  </si>
  <si>
    <t>Block Info Dependency</t>
  </si>
  <si>
    <t>Randomness Using Block Hash</t>
  </si>
  <si>
    <t>Sometimes, randomness is required in operations, and block hash can be used for this purpose. However, it can be manipulated like a timestamp because the miners can predict the same.</t>
  </si>
  <si>
    <t>Dynamic Library</t>
  </si>
  <si>
    <t>This vulnerability happens when a smart contract depends on updatable components (other smart contracts). Therefore, the attacker can change the contract logic if he controls those contracts.</t>
  </si>
  <si>
    <t>References to destroyed contracts</t>
  </si>
  <si>
    <t>In the context of Ethereum smart contracts, a destroyed contract refers to a contract that has been terminated or self-destructed via the selfdestruct function, also known as suicide in earlier versions of Solidity. When a contract is destroyed, its code and state are erased from the blockchain, and any remaining Ether (ETH) in the contract is sent to a specified address.</t>
  </si>
  <si>
    <t>External Contract Referencing</t>
  </si>
  <si>
    <t>Solidity allows programmers to use any address to refer to a specific contract, enabling attacker contracts to conceal malicious code by providing an incorrect address to a smart contract constructor as a parameter. This misuse of address parameters in the constructor underscores the importance of address parameter avoidance. Smart contracts often need to reuse other contracts' code by referencing their addresses. For instance, a developer may initialize an external library in their contract's constructor, with the library's address provided during deployment. While this approach may seem legitimate and pass a code audit, providing the wrong address during deployment can create a security vulnerability. In such cases, a malicious contract (such as a honey pot) could be called from the incorrect address, posing a significant risk.</t>
  </si>
  <si>
    <t>Misuse of address parameters in the constructor, Value assigned to contract address</t>
  </si>
  <si>
    <t>3 - Exception &amp; Error Handling Disorders</t>
  </si>
  <si>
    <t>4 - Denial of Service</t>
  </si>
  <si>
    <t>Performing calls inside a loop, for example, could create a DOS. If one call throws, the whole execution stops. So if there is a loop on the user address and one of them is a contract that implements a fallback function that simply reverts, a DOS attack will occur.</t>
  </si>
  <si>
    <t>Array length manipulation</t>
  </si>
  <si>
    <t>For older versions of solidity, it is possible to manipulate the “length” field of an array with standard arithmetic functions. A simple code to decrement the value of this field can bring the value to an underflow. “anArray.length--;” can make the array size set to max int. This vulnerability can disable a contract.</t>
  </si>
  <si>
    <t xml:space="preserve">Unsafe Array Length Assignment </t>
  </si>
  <si>
    <t>Infinite Loop</t>
  </si>
  <si>
    <t>In a loop’s termination condition, an unchecked input from a user or a comparison of integers of different sizes can cause the loop to exceed the block gas limit or be too expensive to complete and result in transaction failures with non-terminating loops or unbounded mass operations errors.</t>
  </si>
  <si>
    <t>Unbounded mass operation</t>
  </si>
  <si>
    <t>Overpowered Role</t>
  </si>
  <si>
    <t>In Solidity smart contracts, an "overpowered role" refers to a role with extensive control over contract functions, like an administrator role with broad privileges such as modifying parameters, freezing accounts, or accessing sensitive data unchecked. Such roles pose risks like centralization, abuse, and security vulnerabilities. It's crucial for developers to design access controls to ensure roles are balanced and prevent any single role from having excessive power. This safeguards the integrity, security, and fairness of decentralized systems.</t>
  </si>
  <si>
    <t>Check on overpowered role</t>
  </si>
  <si>
    <t>Missed to implement a fallback function</t>
  </si>
  <si>
    <t>Using call.value(x) can be problematic when the recipient function is not explicitly specified in the call's arguments. By default, call invokes the default fallback function of the target contract. Suppose a malicious contract deliberately does not implement a fallback function. In that case, any deposit made to it will not succeed, and the sender contract will not be able to function as intended due to failed transfers. This vulnerability can lead to DoS issues in the sender contract.</t>
  </si>
  <si>
    <t xml:space="preserve">Unsafe send() in the require() Condition </t>
  </si>
  <si>
    <t>If there is send in require logic, the logic may revert from recipient by return false, cause dos attack.</t>
  </si>
  <si>
    <t>5 - Resurce Consumption &amp; Gas Related Issues</t>
  </si>
  <si>
    <t>In Solidity, certain data types consume more gas than others, and a variable's visibility also influences gas consumption. Similarly, choosing inefficient access modifiers for functions, such as declaring public instead of external when unnecessary, can increase resource usage. These characteristics can contribute to excessive gas costs.</t>
  </si>
  <si>
    <t>6 - Authentication &amp; Access Control Vulnerabilities</t>
  </si>
  <si>
    <t>Using msg.sender might not always be appropriate; for instance, if a contract is called by another contract to refund a transaction to a specific investor account specified in the parameters. In such cases, relying on msg.sender means that the calling contract could receive the refund instead of the intended recipient specified in the parameters. However, specifying the recipient in the parameters can also be problematic. If any arbitrary contract can initiate the transaction, it might provide an address of a contract that never submitted any funds, thus making it ineligible for a refund. This scenario describes a "prodigal contract," which can incorrectly send refunds to arbitrary contracts.
To address these issues, it is crucial to validate the transfer address. Ensure that while authenticating a transaction, tx.origin is not used, and if recipient addresses are provided in the parameters, they must be verified against a list of eligible contracts. If the recipient address is not provided, default to using msg.sender.</t>
  </si>
  <si>
    <t xml:space="preserve">Initializing Method without Permission Check </t>
  </si>
  <si>
    <t>This vulnerability occurs when a smart contract’s initialization function, typically used to set key variables like the owner or admin, can be called by anyone because it lacks access control. This usually happens in proxy-based or upgradeable contracts that do not use constructors and instead rely on a public initialize() method.</t>
  </si>
  <si>
    <t xml:space="preserve">Missing msg.sender Check for transferFrom() </t>
  </si>
  <si>
    <t>This vulnerability arises when a smart contract allows anyone to invoke the transferFrom() function without verifying that the caller (msg.sender) is authorized to transfer tokens or funds on behalf of someone else.</t>
  </si>
  <si>
    <t xml:space="preserve">Arbitrary from in transferFrom() without msg.sender Check </t>
  </si>
  <si>
    <t xml:space="preserve">Sending Ether to Arbitrary Destinations </t>
  </si>
  <si>
    <t>When we use function `call` to send ether, the target address should be carefully checked, and an arbitrary address may lead to exploitability.</t>
  </si>
  <si>
    <t>Bypassable Modifier</t>
  </si>
  <si>
    <t>Insecure modifiers that could be bypassed from one or more unprotected smart contract functions.</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</si>
  <si>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</si>
  <si>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We propose a new terminology map overlap for this vulnerability since hash collision is a standard term for a collision of hash values within one hash table. It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In this case, an attacker can manipulate the position of elements while registering as a regular user so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</si>
  <si>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Identity verification</t>
  </si>
  <si>
    <t>This vulnerability happens when the smart contract tries to verify if the caller is a wallet or a smart contract based on its code size. Unfortunately, this can be bypassed by calling the vulnerable contract in the constructor of the smart contract attacker, as the source code of the smart contract while executing the constructor is still 0</t>
  </si>
  <si>
    <t xml:space="preserve">Usage of public mint or burn </t>
  </si>
  <si>
    <t>If a token contract exposes mint or burn functions as public or external without access restrictions, any external user can call them. Public mint allows anyone to create unlimited tokens, potentially inflating the supply and devaluing the token. Public burn could allow attackers to destroy other users’ tokens or manipulate token balance logic, especially if combined with logic that doesn't verify ownership.</t>
  </si>
  <si>
    <t>7 - Arithmetic bugs</t>
  </si>
  <si>
    <t>Unchecked division</t>
  </si>
  <si>
    <t>Handling floating point numbers, represented as integers, incorrectly may lead to inaccuracies, errors, and vulnerabilities.</t>
  </si>
  <si>
    <t xml:space="preserve">Integer Division before Multiplication </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</si>
  <si>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incorrect if a division is performed before multiplication. Therefore, performing multiplication before division mitigates rounding-off errors in a smart contract.</t>
  </si>
  <si>
    <t>Arithmetic Precision</t>
  </si>
  <si>
    <t>Incorrect calculation</t>
  </si>
  <si>
    <t>CVE-2023-36980 is a vulnerability identified in Ethereum Blockchain version 0.1.1+commit.6ff4cd6. This issue arises when the combined value of a bet size and the casino's balance exceeds a certain threshold, causing the balance to be zeroed out. This flaw could potentially lead to financial losses for users interacting with affected Ethereum-based contracts.</t>
  </si>
  <si>
    <t>8 - Bad Coding Quality and Programming Language Specifics</t>
  </si>
  <si>
    <t>Misleading data location</t>
  </si>
  <si>
    <t>Do not clarify the reference types of local variables of struct, array, or mapping.</t>
  </si>
  <si>
    <t xml:space="preserve">Modifying storage array by value </t>
  </si>
  <si>
    <t xml:space="preserve">Unused return </t>
  </si>
  <si>
    <t>In Solidity, some functions return values (e.g., call, send, delegatecall) indicating success or failure. If a contract ignores or does not use these return values, it may proceed under false assumptions — for instance, that a transfer succeeded when it didn’t.</t>
  </si>
  <si>
    <t>Unused statement</t>
  </si>
  <si>
    <t>An unused statement is a line of code that executes but has no effect on the program — e.g., expressions that compute a value but do not store or return it.</t>
  </si>
  <si>
    <t>Send to zero address</t>
  </si>
  <si>
    <t>This vulnerability happens when the smart contract does not check if the receiver is a Zero address.</t>
  </si>
  <si>
    <t>Double constructor</t>
  </si>
  <si>
    <t>The 0.4.22 version of the solidity compiler allows smart contracts to have a double constructor. This could lead to unexpected behavior in the contract.</t>
  </si>
  <si>
    <t>9 - Environment Configuration Issues</t>
  </si>
  <si>
    <t>Missing Interrupter</t>
  </si>
  <si>
    <t>Missing backdoor mechanism in order to handle emergencies.</t>
  </si>
  <si>
    <t>10 - Eliminated/Deprecated syntax</t>
  </si>
  <si>
    <t>Deprecated APIs</t>
  </si>
  <si>
    <t>Using discarded or unrecommended APIs or instructions.Using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</si>
  <si>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11 - Library Misuses</t>
  </si>
  <si>
    <t>12 - Unauditable functional vulnerabilities</t>
  </si>
  <si>
    <t>13 - Storage &amp; Memory</t>
  </si>
  <si>
    <t xml:space="preserve">Memory Manipulation </t>
  </si>
  <si>
    <t>Static array out-of-bounds</t>
  </si>
  <si>
    <t>Occurs when a contract tries to access an index in a statically-sized array that exceeds its declared size. This results in a runtime exception, potentially reverting the transaction and causing denial-of-service conditions.</t>
  </si>
  <si>
    <t>Dynamic array out-of-bounds</t>
  </si>
  <si>
    <t>14 - Cross-Chain System Vulnerabilities</t>
  </si>
  <si>
    <t>Level 1:</t>
  </si>
  <si>
    <t>Level 2:</t>
  </si>
  <si>
    <t>Level 3:</t>
  </si>
  <si>
    <t>Vulnerabilities:</t>
  </si>
  <si>
    <t>Synonyms:</t>
  </si>
  <si>
    <t>Total identifiers:</t>
  </si>
  <si>
    <t xml:space="preserve">Name </t>
  </si>
  <si>
    <t>Synonyms</t>
  </si>
  <si>
    <t>Malicious Environment, Transactions or Input</t>
  </si>
  <si>
    <t>Blockchain/Environment Dependency</t>
  </si>
  <si>
    <t>Resurce Consumption &amp; Gas Related Issues</t>
  </si>
  <si>
    <t>Arithmetic bugs</t>
  </si>
  <si>
    <t>Bad Coding Quality and Programming Language Specifics</t>
  </si>
  <si>
    <t>Eliminated/Deprecated syntax</t>
  </si>
  <si>
    <t>Example_ID</t>
  </si>
  <si>
    <t>Timestamp Dependency</t>
  </si>
  <si>
    <t>Time manipulation, Block values as a proxy for time</t>
  </si>
  <si>
    <t>The block's timestamp should not be used for precise calculations or critical time dependencies in the contract logic. Miners have control over this value and can manipulate it to a certain extent, or the value may be subject to changes for other reasons.</t>
  </si>
  <si>
    <t>Block State Dependency -&gt; Timestamp Dependency</t>
  </si>
  <si>
    <t>DoS Costly Pattern and Loops</t>
  </si>
  <si>
    <t>Multiple calls in a single transaction, Multiple calls, Transfer in loop, Nested Call</t>
  </si>
  <si>
    <t>DoS with block gas limit reached</t>
  </si>
  <si>
    <t>Division Issues</t>
  </si>
  <si>
    <t>Reentrancy</t>
  </si>
  <si>
    <t>Signature based vulnerabilities</t>
  </si>
  <si>
    <t>1A</t>
  </si>
  <si>
    <t>Call to the unknown</t>
  </si>
  <si>
    <t>An unrestricted CALL to an unknown address may lead to the execution of malicious code, e.g. the fallback function of the called contract. This vulnerability is a generalization of 1A1 Reentrancy, where the callee executes a call back to the caller.</t>
  </si>
  <si>
    <t xml:space="preserve">Unexpected fallback function, Malicious Fallback Function </t>
  </si>
  <si>
    <t>1A1</t>
  </si>
  <si>
    <t>The callee calls the caller back before the initial call has been completed and relevant checks and state changes have been performed. The classical example is an Ether transfer to a contract, whose fallback function is specifically crafted to call back the function emitting the original call.</t>
  </si>
  <si>
    <t>Cross function race condition, race to empty, recursive call vulnerability, reentrancy-eth</t>
  </si>
  <si>
    <t>1A1.1</t>
  </si>
  <si>
    <t xml:space="preserve">Reentrancy with ETH transfer </t>
  </si>
  <si>
    <t>This occurs when an external contract calls back into the contract that initiated the ETH transfer before the state changes (such as balance updates) are finalized. This can allow the attacker to withdraw more funds than intended.</t>
  </si>
  <si>
    <t xml:space="preserve">Reentrancy Eth , Unsafe Credit Transfer </t>
  </si>
  <si>
    <t>1A1.2</t>
  </si>
  <si>
    <t xml:space="preserve">Reentrancy without ETH transfer </t>
  </si>
  <si>
    <t>In this case, the contract does not transfer ETH directly but may still have a reentrancy vulnerability because of a recursive call, which might allow attackers to modify states or perform unintended operations.</t>
  </si>
  <si>
    <t xml:space="preserve">Reentrancy No Eth , Unsafe System State Changes </t>
  </si>
  <si>
    <t>1B</t>
  </si>
  <si>
    <t>Exact balance dependency</t>
  </si>
  <si>
    <t>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 mining reward, or by predicting the contract’s address and sending Ether before the contract gets deployed.</t>
  </si>
  <si>
    <t xml:space="preserve">Unexpected Ether, Manipulated balance, Unexpected Balance, Unexpected Ether balance, Unprotected Ether Balance, Balance equality, Strict Balance Equality, Improper Locking </t>
  </si>
  <si>
    <t>1B1</t>
  </si>
  <si>
    <t>Forcing Ether to contracts</t>
  </si>
  <si>
    <t>Forcing Ether to contracts can be achieved by using the contract’s address as the beneficiary of a SELFDESTRUCT operation or as the receiver of a mining reward.</t>
  </si>
  <si>
    <t xml:space="preserve">Check on force to receive balance, Force Sending Ether with this.balance check in require() or assert() </t>
  </si>
  <si>
    <t>1B2</t>
  </si>
  <si>
    <t>Pre-sent Ether</t>
  </si>
  <si>
    <t>Pre-sent Ether can be achieved by predicting the contract’s address and sending Ether before the contract gets deployed.</t>
  </si>
  <si>
    <t>1C</t>
  </si>
  <si>
    <t>Improper data validation</t>
  </si>
  <si>
    <t>Failure to check data obtained from untrusted sources, such as external libraries or contracts, before using it.</t>
  </si>
  <si>
    <t>Untrustworthy data feeds</t>
  </si>
  <si>
    <t>1D</t>
  </si>
  <si>
    <t>Vulnerable Delegatecall</t>
  </si>
  <si>
    <t>Performing a DELEGATECALL or CALLCODE instruction to an untrusted address. Code invoked via these types of calls is run in the caller’s context. A malicious callee can manipulate the caller’s state variables and fully control the balance.</t>
  </si>
  <si>
    <t>Delegate call to Untrusted Callee , Delegate call to Insecure Contracts, Unsafe delegatecall , Check on target address in delegatecall, Delegate call</t>
  </si>
  <si>
    <t>2A1</t>
  </si>
  <si>
    <t>Timestamp dependency</t>
  </si>
  <si>
    <t xml:space="preserve">Time constraints, Time manipulation, Time restrictions, Block values as a proxy for time, Incorrect Use of Event Blockchain variables for Time </t>
  </si>
  <si>
    <t>2A2</t>
  </si>
  <si>
    <t>Block number dependency</t>
  </si>
  <si>
    <t>Using the block number bears similar risks as using other block information like the timestamp and should not be used in critical operations, as miners can also manipulate the block number.</t>
  </si>
  <si>
    <t>2A3</t>
  </si>
  <si>
    <t>Blockhash dependency</t>
  </si>
  <si>
    <t>Blockhash usage vulnerability results from the usage, in critical operations, of blockhash variables. A malicious miner can manipulate this value.</t>
  </si>
  <si>
    <t>Blockhash usage</t>
  </si>
  <si>
    <t>2B</t>
  </si>
  <si>
    <t>Transaction-ordering dependency</t>
  </si>
  <si>
    <t>The logic of a contract should not depend on the order in which a block's transactions are executed, as miners can compose the block in any order and may do so deliberately for malicious reasons. Moreover, the state of a contract may change between the time a transaction is submitted to the network and the time it is included in a block, as other transactions, even when submitted later, may be prioritized by miners.</t>
  </si>
  <si>
    <t xml:space="preserve">Event-ordering bugs, Incorrect Function Call Order </t>
  </si>
  <si>
    <t>2B1</t>
  </si>
  <si>
    <t>Front-running attack</t>
  </si>
  <si>
    <t>Transactions are ordered by miners based on their gas prices. Take, for example, a contract that rewards a player with Ether if he guesses an answer. Suppose a player guesses the answer and sends it. An attacker can check the transaction pool (mempool) and find this solution. The attacker can send an equivalent transaction with a much higher gas price than the original one. Because of the higher gas, the second transaction will be processed first, causing a front-running attack.</t>
  </si>
  <si>
    <t>Race condition</t>
  </si>
  <si>
    <t>2B2</t>
  </si>
  <si>
    <t xml:space="preserve">Transfer Pre-Condition Dependent on Transaction Order </t>
  </si>
  <si>
    <t>In the case of this vulnerability, the order in which transactions are executed influence a pre- condition that guards the execution of the transfer. This influence may erroneously result in, for instance, a transaction not being executed at all</t>
  </si>
  <si>
    <t>2B3</t>
  </si>
  <si>
    <t xml:space="preserve">Transfer Amount Depending on Transaction Order </t>
  </si>
  <si>
    <t>This issue refers to the case where the value of the variable that stores or determines an amount of a digital asset (to be transferred) is modified before it is sent to the recipient due to transaction ordering within a block. The amount may be changed due to the effect of multiple transactions being grouped in a block and executed in a specific order having the effect of producing unexpected changes in the value being transferred</t>
  </si>
  <si>
    <t>2B4</t>
  </si>
  <si>
    <t xml:space="preserve">Transfer Recipient Depending on Transaction Order </t>
  </si>
  <si>
    <t>In the case of this defect, the transfer recipient is modified before the send event due to transaction ordering within a block. As an example, if the intended recipient address is stored as a storage variable and a transfer is to execute based on this address, there is a chance the address may be changed or overwritten by another transaction prior to the transfer</t>
  </si>
  <si>
    <t>2C</t>
  </si>
  <si>
    <t>Bad random number generation</t>
  </si>
  <si>
    <t>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t>
  </si>
  <si>
    <t xml:space="preserve">Generating Randomness, Bad randomness, Weak Sources of Randomness from Chain Attributes, random numbers, Weak PRNG </t>
  </si>
  <si>
    <t>2D</t>
  </si>
  <si>
    <t>Leakage of confidential information</t>
  </si>
  <si>
    <t>All transactions and the state of all contracts are visible to all miners and the world outside of the blockchain, even if the visibility of variables is set to private or internal in the source code. Therefore, encryption and commitment schemes are important to protect secret information.</t>
  </si>
  <si>
    <t>Lack of transaction privacy, Private information leakage, Nothing is secret, Confidentiality failure, Keeping secrets, Data exposure, On-chain oracle manipulation, Secrecy failure, Exposed secret, Unencrypted private data on-chain, Secrets</t>
  </si>
  <si>
    <t>2E</t>
  </si>
  <si>
    <t>Unpredictable state</t>
  </si>
  <si>
    <t xml:space="preserve">Calling contracts or libraries in the business logic of a contract can lead to unpredictable effects. They can self-destruct, be updated later, and contain known vulnerabilities or, more simply, be an error when referring to them. The results are unpredictable effects. </t>
  </si>
  <si>
    <t xml:space="preserve">Unsafe External Library Call, External Library Calling </t>
  </si>
  <si>
    <t>2E3</t>
  </si>
  <si>
    <t>Using components with known vulnerabilities</t>
  </si>
  <si>
    <t>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</si>
  <si>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 xml:space="preserve">Use of Malicious Libraries </t>
  </si>
  <si>
    <t>2F</t>
  </si>
  <si>
    <t xml:space="preserve">Unsafe Non-Blockchain External Call </t>
  </si>
  <si>
    <t>Like external command execution, smart contracts also enable access to external files, but it cannot be assured that the nodes will receive identical results.</t>
  </si>
  <si>
    <t>2F1</t>
  </si>
  <si>
    <t xml:space="preserve">Unsafe External Web Service Call </t>
  </si>
  <si>
    <t>Sometimes, contracts may opt to streamline the development process and reduce effort by reusing external web services through API calls. Nevertheless, this approach can potentially lead to security issues if the returned values vary across different peer nodes. This vulnerability is also known in the literature as Web service</t>
  </si>
  <si>
    <t xml:space="preserve">web service </t>
  </si>
  <si>
    <t>2F2</t>
  </si>
  <si>
    <t xml:space="preserve">Unsafe External Command Execution </t>
  </si>
  <si>
    <t>Executing external commands within smart contracts is possible; however, it does not ensure consistent results across all peer nodes.</t>
  </si>
  <si>
    <t xml:space="preserve">system command execution </t>
  </si>
  <si>
    <t>2F3</t>
  </si>
  <si>
    <t xml:space="preserve">Unsafe External File Access </t>
  </si>
  <si>
    <t>Like external command execution, smart contracts also enable access to external files, but it cannot be assured that the nodes will receive identical result</t>
  </si>
  <si>
    <t xml:space="preserve">External File Accessing </t>
  </si>
  <si>
    <t>2G</t>
  </si>
  <si>
    <t xml:space="preserve">Cross Channel Invocation </t>
  </si>
  <si>
    <t>Certain blockchain platforms like Hyperledger Fabric permit contracts to call each other. However, when two contracts interact through different channels, inconsistencies can arise in message reception.</t>
  </si>
  <si>
    <t>cross channel chaincode invocation</t>
  </si>
  <si>
    <t>3A</t>
  </si>
  <si>
    <t>Unchecked low level call/send return values</t>
  </si>
  <si>
    <t>Low-level calls do not raise an exception on failure but return a Boolean status. Failing to check the return status and to handle errors adequately may lead to critical vulnerabilities.</t>
  </si>
  <si>
    <t xml:space="preserve">Unhandled exception, Improper handling of exceptions, Improper Check of Low-Level Call Return Value,  Mishandled Exception, Unchecked external call, Check on external call, Improper Check of External Call Return Value , Improper Exception Handling of External Calls </t>
  </si>
  <si>
    <t>3A1</t>
  </si>
  <si>
    <t xml:space="preserve">Unchecked call </t>
  </si>
  <si>
    <t>The call function is used to send Ether or execute low-level function calls.
If the return value of call (a boolean indicating success) is not checked, the contract might behave as if the call succeeded even if it failed.</t>
  </si>
  <si>
    <t>Unchecked call return values</t>
  </si>
  <si>
    <t>3A2</t>
  </si>
  <si>
    <t xml:space="preserve">Unchecked send </t>
  </si>
  <si>
    <t>Function send is an older way to transfer Ether that forwards only 2300 gas. Like call, it returns a boolean, and if this is not checked, you don’t know whether the transfer succeeded.</t>
  </si>
  <si>
    <t>Unchecked/unsafe send</t>
  </si>
  <si>
    <t>3A3</t>
  </si>
  <si>
    <t>Unchecked transfer</t>
  </si>
  <si>
    <t>In older versions (before 0.8.0), transfer was considered safe. However, in certain contexts (e.g., when catch blocks are used), its behavior could be misinterpreted or ignored.</t>
  </si>
  <si>
    <t xml:space="preserve">Improper Check on Transfer Credit </t>
  </si>
  <si>
    <t>3B</t>
  </si>
  <si>
    <t>Unexpected throw or revert</t>
  </si>
  <si>
    <t>Calls to other contracts may fail and throw exceptions or revert the transaction. Not handling these situations adequately can lead to critical issues, such as DoS or lost funds.</t>
  </si>
  <si>
    <t>Improper Use of Exception Handling Functions</t>
  </si>
  <si>
    <t>3B1</t>
  </si>
  <si>
    <t>Mishandled out-of-gas exception</t>
  </si>
  <si>
    <t>Calling another contract with too little gas will cause an out-of-gas exception, possibly resulting in a vulnerability if handled inadequately. A typical situation is the transfer of funds with Solidity’s send method: The amount of 2300 gas supplied with the call will lead to an out-of-gas exception if the callee executes more than a few simple instructions.</t>
  </si>
  <si>
    <t>Gasless send (subcategory of 3B)</t>
  </si>
  <si>
    <t>3C</t>
  </si>
  <si>
    <t>Assert, require or revert violation</t>
  </si>
  <si>
    <t>Solidity’s error handling via assert, require, and revert (or its bytecode counterparts) must be used correctly to avoid abnormal function behavior.</t>
  </si>
  <si>
    <t>Assert violation, Assertion failure, Requirement violation, Requirement violation by the called smart contract, Require on input variable, Revert require, Exception state</t>
  </si>
  <si>
    <t>3C1</t>
  </si>
  <si>
    <t xml:space="preserve">Wrong Selection of Guard Function </t>
  </si>
  <si>
    <t>Assert is a Solidity function, which is recommended to be used only in the development phase. Intentionally, the programmer inserts the function at a specific point in the program where a bug is suspected. If running the program results in gas depletion, the suspicion is confirmed. Thus, this defect refers to the cases in which the assert function is implemented with the wrong purpose, not having the expected effect. In more severe cases, in which the programmer forgets to remove it from the code or does not replace it with require, the impact of this defect can be serious</t>
  </si>
  <si>
    <t>3D</t>
  </si>
  <si>
    <t>Send instead of transfer</t>
  </si>
  <si>
    <t>The choice of ether transfer function affects not only the transfer of gas but also the execution of the caller (sender) contract because call.value(x) and send(x) do not return an exception in case of a failed transfer. In contrast, transfer(x) does throw an exception if the transaction is unsuccessful. This makes the use of send instead of transfer a vulnerability.</t>
  </si>
  <si>
    <t xml:space="preserve">Wrong use of Transfer Credit Function </t>
  </si>
  <si>
    <t>4A</t>
  </si>
  <si>
    <t>Greedy contract</t>
  </si>
  <si>
    <t>A smart contract can access assets through an external library, which may self-destruct accidentally or maliciously or lack the implementation of functions for asset withdrawal, providing only deposit functions.</t>
  </si>
  <si>
    <t>Locked Ether, Freezing Ether</t>
  </si>
  <si>
    <t>4A1</t>
  </si>
  <si>
    <t>Locked Money</t>
  </si>
  <si>
    <t>Smart contracts that implement payable functions but no withdrawal ones are vulnerable because they can lock money without the ability to get it back. Locking money in the smart contract could also result from a bug in the business logic of the smart contract.</t>
  </si>
  <si>
    <t xml:space="preserve">Unreachable Payable Function </t>
  </si>
  <si>
    <t>4A2</t>
  </si>
  <si>
    <t>Frozen Ether</t>
  </si>
  <si>
    <t>If a contract uses library code to access its assets, then accidental or malicious self-destruction of the library contract may render the assets inaccessible.</t>
  </si>
  <si>
    <t>4B</t>
  </si>
  <si>
    <t>Ether lost in transfer</t>
  </si>
  <si>
    <t>Ether sent to an unused address becomes inaccessible as there is no matching private key.</t>
  </si>
  <si>
    <t>Transfer to orphan address, Lost of Ether, Loss of Ether</t>
  </si>
  <si>
    <t>4C</t>
  </si>
  <si>
    <t>The total gas spent by a block's transactions is bounded by the block gas limit. Transactions exceeding this limit will not get processed.</t>
  </si>
  <si>
    <t xml:space="preserve">Check on gas Limit, Gas limit in loops, Extra Gas in loop, DoS with Block Gas Limit </t>
  </si>
  <si>
    <t>4D</t>
  </si>
  <si>
    <t>DoS by Exception inside loop</t>
  </si>
  <si>
    <t>Operations inside loops that may throw exceptions and depend on external transactions to succeed are open to DoS attacks by malicious users.</t>
  </si>
  <si>
    <t xml:space="preserve">DoS under external influence, Wallet griefing causing out of gas exception, Improper Exception Handling in a Loop </t>
  </si>
  <si>
    <t>4E</t>
  </si>
  <si>
    <t>Insufficient gas griefing</t>
  </si>
  <si>
    <t>Insufficient gas griefing occurs when a function call, typically to an external contract or address, is forwarded insufficient gas, preventing the callee from executing their logic properly. This can be used maliciously to block or disrupt operations, especially in systems that depend on user interaction, like token transfers or payment distributions.</t>
  </si>
  <si>
    <t xml:space="preserve">Incorrect Revert Implementation in a Loop </t>
  </si>
  <si>
    <t>4H</t>
  </si>
  <si>
    <t xml:space="preserve">Improper locking during external calls </t>
  </si>
  <si>
    <t>A vulnerable contract uses a lock mechanism in an erroneous manner, which may cause deadlocks. This may result, for instance, in the impossibility of executing transfers and eventually in Denial of Service</t>
  </si>
  <si>
    <t>4I</t>
  </si>
  <si>
    <t>DoS with failed call</t>
  </si>
  <si>
    <t>DoS with Failed Call occurs when a single failed external call causes the entire transaction or loop to revert or stop, effectively allowing a malicious participant to block functionality for everyone else.</t>
  </si>
  <si>
    <t>unexpected-throw-DoS, DoS with unexpected revert/throw, Dos by External contracts</t>
  </si>
  <si>
    <t>5A</t>
  </si>
  <si>
    <t>Gas costly loops</t>
  </si>
  <si>
    <t>Unbounded and costly operations in loops should be avoided to avoid inefficiency and potential DoS.</t>
  </si>
  <si>
    <t>Invariants in loops</t>
  </si>
  <si>
    <t>5B</t>
  </si>
  <si>
    <t>Gas costly pattern</t>
  </si>
  <si>
    <t>Smart contract code should generally avoid inefficient operations and gas-costly patterns that consume more gas than necessary.</t>
  </si>
  <si>
    <t xml:space="preserve">Inefficient Operation Sequence </t>
  </si>
  <si>
    <t>5C1</t>
  </si>
  <si>
    <t>Byte Array</t>
  </si>
  <si>
    <t>In Solidity, the data type byte[] consumes more gas than a byte array due to padding rules.</t>
  </si>
  <si>
    <t xml:space="preserve">Variable type, Bytes Variables Risk , Wrong Type in Variable Declaration </t>
  </si>
  <si>
    <t>5C2</t>
  </si>
  <si>
    <t>Invariant State variables not declared constant</t>
  </si>
  <si>
    <t>Invariants not declared constant consume more gas than necessary.</t>
  </si>
  <si>
    <t xml:space="preserve">Declaration of invariant state variable,  Missing Constant Modifier in Variable Declaration </t>
  </si>
  <si>
    <t>5D</t>
  </si>
  <si>
    <t>High gas consumption function type</t>
  </si>
  <si>
    <t>In Solidity, functions not used in the contract but declared public instead of external require more gas on deployment than necessary.</t>
  </si>
  <si>
    <t>Function declaration public instead of external</t>
  </si>
  <si>
    <t>5E</t>
  </si>
  <si>
    <t>Under-priced opcodes</t>
  </si>
  <si>
    <t>Contracts executing numerous under-prized opcodes may consume large amounts of computing resources, as the resource consumption is not reflected in the gas cost, which may lead to DoS attacks.</t>
  </si>
  <si>
    <t xml:space="preserve">Improper Gas Requirements Checking </t>
  </si>
  <si>
    <t>5F</t>
  </si>
  <si>
    <t>Transfer of all the gas</t>
  </si>
  <si>
    <t>Solidity provides three built-in functions to transfer ethers: transfer(x), send(x), and call(x). Along with x ethers, transfer(x) and send(x) transfer (the Ethereum-specified minimum required) 2300 units of gas for the receiver contract to process the transaction. The call() function is the one recommended by Solidity but does not provide parameters with the addr. call.value(x)() redirects all the gas the transaction provides to the recipient, transferring all the gas. Gas transfer viability asserts that if a specific gas amount is required to be transferred, then addr.call.value(x)() is substituted with that amount; otherwise, transfer(x) or preferably addr.call.value(x) is used.</t>
  </si>
  <si>
    <t>6A1</t>
  </si>
  <si>
    <t>Authorization via transaction origin</t>
  </si>
  <si>
    <t>If a contract uses the external address initiating the transaction, tx.origin, for authentication purposes instead of the address of the immediate caller, contracts situated in the call chain between tx.origin and the vulnerable contract gain access to the assets of the contract.</t>
  </si>
  <si>
    <t xml:space="preserve">Authentication through tx.origin, Transaction state dependency  , Transaction origin use, Dangerous Usage of tx.origin , Wrong Caller Identification </t>
  </si>
  <si>
    <t>6B</t>
  </si>
  <si>
    <t>Access control management</t>
  </si>
  <si>
    <t>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</si>
  <si>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Improper Access Control</t>
  </si>
  <si>
    <t>6B1</t>
  </si>
  <si>
    <t>Unprotected selfdestruction</t>
  </si>
  <si>
    <t>Insufficient access control to a SELFDESTRUCT instruction may lead to a contract's accidental or malicious destruction.</t>
  </si>
  <si>
    <t xml:space="preserve">Unexpected kill, Destroyable contract, Suicidal contract, Unsafe suicide, Check on suicide functionality, Unprotected Contract Destruction , Missing verification for program termination  Parity Multisig </t>
  </si>
  <si>
    <t>6B2</t>
  </si>
  <si>
    <t>Unauthorized Ether withdrawal</t>
  </si>
  <si>
    <t>Insufficient access control to a contract's withdrawal functionality can lead to asset theft.</t>
  </si>
  <si>
    <t xml:space="preserve">Unprotected Ether withdrawal , Check on balance withdrawal, Ether leak, Unprotected Transfer Value </t>
  </si>
  <si>
    <t>6B6</t>
  </si>
  <si>
    <t>Unauthorized accessibility due to wrong function or state variable visibility</t>
  </si>
  <si>
    <t>In Solidity, functions inadvertently declared public/external will expose an entry point that may lead to unauthorized access by malicious users.</t>
  </si>
  <si>
    <t>Visibility of exposed functions, Function or state variable default visibility, Function/State visibility error, Unspecified visibility level, Bad visibility, Default visibility, No restricted write, Implicit visibility level, Non-public variables accessed by public/external functions, Default/Unintended/Erroneous visibility</t>
  </si>
  <si>
    <t>6B6.1</t>
  </si>
  <si>
    <t>Function default visibility</t>
  </si>
  <si>
    <t>In Solidity, if no visibility is explicitly declared for a function, it defaults to public in versions prior to 0.5.0. This means anyone can call the function externally, even if the developer intended it to be private or internal.</t>
  </si>
  <si>
    <t xml:space="preserve">Default Function Visibility , Wrong Function Modifier </t>
  </si>
  <si>
    <t>6B6.2</t>
  </si>
  <si>
    <t>State variable default visibility</t>
  </si>
  <si>
    <t>In Solidity, state variables must have an explicitly declared visibility (public, internal, or private). If none is specified, it defaults to internal.</t>
  </si>
  <si>
    <t xml:space="preserve">Missing Visibility Modifier in Variable Declaration </t>
  </si>
  <si>
    <t>6C</t>
  </si>
  <si>
    <t>This vulnerability includes issues like missing protection against signature replay attacks, lack of proper signature verification, hash collisions with multiple variable length arguments, signature malleability, signatures with a wrong parameter, and any related vulnerabilities.</t>
  </si>
  <si>
    <t>Insufficient signature information</t>
  </si>
  <si>
    <t>6C1</t>
  </si>
  <si>
    <t>Missing protection against signature replay attack</t>
  </si>
  <si>
    <t>Signature verification may occasionally be required in smart contracts to improve usability or reduce gas costs. By maintaining a list of all digested message hashes and only allowing fresh message hashes to be processed, developers can prevent multiple processing of the same message hash supplied by different users. The vulnerabilities 6D1 and 6D5 may seem the same, but in the 6D5, the attacker creates a valid signature with different information to bypass the verification. However, with 6D1, the attacker only uses an existing and already executed transaction to make a replay attack.</t>
  </si>
  <si>
    <t xml:space="preserve">Improper Check against Signature Replay Attacks </t>
  </si>
  <si>
    <t>6C2</t>
  </si>
  <si>
    <t>Lack of proper signature verification</t>
  </si>
  <si>
    <t>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their authenticity before continuing to process them. Smart contracts cannot directly engage with such systems since they cannot sign messages, which is a constraint for them. Some signature verification systems try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t>
  </si>
  <si>
    <t xml:space="preserve">Method permit() Used for Arbitrary from in transferFrom() , Improper authenticity check </t>
  </si>
  <si>
    <t>6C3</t>
  </si>
  <si>
    <t>Hash collision with multiple variable length arguments</t>
  </si>
  <si>
    <t>Hash collision is possible when the abi.encodePacked() function is used with several parameters with different lengths.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t>
  </si>
  <si>
    <t xml:space="preserve">Incorrect Argument Encoding </t>
  </si>
  <si>
    <t>6C4</t>
  </si>
  <si>
    <t>Function Clashing</t>
  </si>
  <si>
    <t>To call a function in some Blockchains like Ethereum, the user sends a function hash in the data field of his transaction. Then, based on that hash, the EVM chooses what function to execute. As the hash used in this operation is very weak, collisions are more likely to happen. The existence of the function clashing vulnerability could result in executing functions unconsciously, which then may lead to financial losses</t>
  </si>
  <si>
    <t>6C5</t>
  </si>
  <si>
    <t>Signature Malleability</t>
  </si>
  <si>
    <t>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t>
  </si>
  <si>
    <t xml:space="preserve">Incorrect Verification of Cryptographic Signature </t>
  </si>
  <si>
    <t>7A</t>
  </si>
  <si>
    <t>Integer over- or underflow</t>
  </si>
  <si>
    <t>Integer over- and underflows occur when arithmetic operations exceed the maximum or minimum of integer types. Unless this exception is caught, a wrap-around occurs.</t>
  </si>
  <si>
    <t>Arithmetic UnderflowOverflow, Integer bug, Value assignment with too many digits</t>
  </si>
  <si>
    <t>7A1</t>
  </si>
  <si>
    <t xml:space="preserve">Integer Overflow </t>
  </si>
  <si>
    <t>Integer overflow occurs when arithmetic operations exceed the maximum value representable by an integer type in Solidity.</t>
  </si>
  <si>
    <t>7A2</t>
  </si>
  <si>
    <t xml:space="preserve">Integer Underflow </t>
  </si>
  <si>
    <t>Integer underflow occurs when arithmetic operations exceed the minimum value representable by an integer type in Solidity.</t>
  </si>
  <si>
    <t>7B1</t>
  </si>
  <si>
    <t xml:space="preserve">Integer division </t>
  </si>
  <si>
    <t>Solidity does not admit floating-point or decimal types and integer division is always rounded toward zero. This choice of rounding method can produce results other than what some users might expect.</t>
  </si>
  <si>
    <t>Money leak, Floating point &amp; Precision</t>
  </si>
  <si>
    <t>7B3</t>
  </si>
  <si>
    <t xml:space="preserve">Divide by Zero </t>
  </si>
  <si>
    <t>This code is vulnerable to a non-checked division, like dividing by zero.</t>
  </si>
  <si>
    <t>7C</t>
  </si>
  <si>
    <t>Integer bugs or Arithmetic Issues</t>
  </si>
  <si>
    <t>The conversion between signed and unsigned integers or between integers of different lengths may lead to incorrect results, as can the use of arithmetic operators.</t>
  </si>
  <si>
    <t xml:space="preserve"> Check on arithmetic operation, Unchecked Math, Wrong operator</t>
  </si>
  <si>
    <t>7C2</t>
  </si>
  <si>
    <t xml:space="preserve">Truncation Bugs </t>
  </si>
  <si>
    <t>This vulnerability refers to the case where a variable declared in a certain type is converted to a smaller type, which means that data is lost during the conversion process</t>
  </si>
  <si>
    <t>Integer Truncation</t>
  </si>
  <si>
    <t>7C3</t>
  </si>
  <si>
    <t xml:space="preserve">Signedness bugs </t>
  </si>
  <si>
    <t>The conversion of a signed integer type to an unsigned type of the same width may change a negative value to a positive one (the opposite may also happen)</t>
  </si>
  <si>
    <t>Integer sign</t>
  </si>
  <si>
    <t>8A</t>
  </si>
  <si>
    <t>Type cast</t>
  </si>
  <si>
    <t xml:space="preserve"> To interact with another contract, the programmer specifies its interface and uses it to typecast addresses. This allows the Solidity compiler to construct appropriate low-level calls. However, the compiler does not (cannot) check whether the interface actually matches the other contract, even though the programmer might have the false impression that the contract is correctly typed. Calling a contract with a wrong interface specification may invoke unintended entry points, with arguments interpreted differently than expected.</t>
  </si>
  <si>
    <t xml:space="preserve">Unsafe type declaration, Type conversion, Wrong Function Call </t>
  </si>
  <si>
    <t>8B</t>
  </si>
  <si>
    <t>Coding error</t>
  </si>
  <si>
    <t xml:space="preserve"> Coding errors, including typos and other developer errors.</t>
  </si>
  <si>
    <t>Immutable bugs, typographical error , coding bug</t>
  </si>
  <si>
    <t>8C</t>
  </si>
  <si>
    <t>Bad coding pattern</t>
  </si>
  <si>
    <t>Use of various coding patterns that are regarded as bad style.</t>
  </si>
  <si>
    <t>8D</t>
  </si>
  <si>
    <t>Deprecated source language features</t>
  </si>
  <si>
    <t>The use of deprecated language features is discouraged, as it may lead to known errors and vulnerabilities that were the cause for deprecation.</t>
  </si>
  <si>
    <t xml:space="preserve">Use of deprecated Solidity function, Use of Deprecated Functions </t>
  </si>
  <si>
    <t>8E</t>
  </si>
  <si>
    <t>Use of assembly</t>
  </si>
  <si>
    <t>The use of assembly instructions in high-level code is discouraged, as it can lead to various critical vulnerabilities.</t>
  </si>
  <si>
    <t>Assembly-based vulnerabilities, Usage of assembly, Error-prone Assembly Usage</t>
  </si>
  <si>
    <t>8E1</t>
  </si>
  <si>
    <t>Arbitrary jump with function type variable</t>
  </si>
  <si>
    <t xml:space="preserve">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t>
  </si>
  <si>
    <t xml:space="preserve">Arbitrary jump, Control-Flow hijack, Function type variables assignment using arbitrary values, Specify function variable as any type, Arbitrary Function Jump via Inline Assembly </t>
  </si>
  <si>
    <t>8E2</t>
  </si>
  <si>
    <t>Constant functions using assembly code</t>
  </si>
  <si>
    <t>Functions declared as constant/pure/view using assembly code. Constant/Pure/View was not enforced before Solidity 0.5. Starting from Solidity 0.5, a call to a constant/pure/view function uses the STATICCALL opcode, which reverts in case of state modification.</t>
  </si>
  <si>
    <t xml:space="preserve">Constant functions, Interoperability issues with other contracts </t>
  </si>
  <si>
    <t>8E3</t>
  </si>
  <si>
    <t>Returning results using assembly code in constructor</t>
  </si>
  <si>
    <t>The use of assembly within a Solidity constructor to manipulate the contract's deployment process can significantly alter the deployed bytecode from what is expected based on the source code. This approach exploits the flexibility of the EVM to execute low-level operation that bypass standar compilation and deployment procedures</t>
  </si>
  <si>
    <t>8F</t>
  </si>
  <si>
    <t>Incorrect inheritance order</t>
  </si>
  <si>
    <t>Solidity supports multiple inheritance, which can lead to an ambiguity called the Diamond Problem if two or more base contracts define the same function. This is resolved using C3 Linearization, which leads to a deterministic method resolution order. Programmers unaware of this aspect may base their code on wrong assumptions, leading to unexpected behavior and vulnerabilities</t>
  </si>
  <si>
    <t xml:space="preserve">Wrong class inheritance order </t>
  </si>
  <si>
    <t>8G</t>
  </si>
  <si>
    <t>Variable shadowing</t>
  </si>
  <si>
    <t>Solidity allows for ambiguous naming of variables when inheritance is used, leading to errors and vulnerabilities that are difficult to identify in complex contract systems.</t>
  </si>
  <si>
    <t>Hidden state variable, Shadowing state variables, Variable name, Tained memory, Shadowing state, Shadowing abstract, Shadowing builtin, Shadowing local</t>
  </si>
  <si>
    <t>8G1</t>
  </si>
  <si>
    <t xml:space="preserve">Use of Same Variable or Function Name In Inherited Contract </t>
  </si>
  <si>
    <t>When using the same name as a local variable, which was previously declared by an inherited contract, the program loses the reference of the inherited variable, causing the local variable to assume the role of the other variable</t>
  </si>
  <si>
    <t>8G2</t>
  </si>
  <si>
    <t xml:space="preserve">Variables or Functions Named After Reserved Words </t>
  </si>
  <si>
    <t>This bug occurs when creating variables named after keywords of the language itself. For example, in Solidity, creating a variable with the name now conflicts with the function that returns the date and time.</t>
  </si>
  <si>
    <t>8G3</t>
  </si>
  <si>
    <t xml:space="preserve">Use of the Same Variable or Function Name In a Single Contract </t>
  </si>
  <si>
    <t>This vulnerability refers to cases where the same name is used for more than one variable or function inside the contract. This makes the program lose the reference of the variable of the class, assuming the variable of the function as its role</t>
  </si>
  <si>
    <t>8H</t>
  </si>
  <si>
    <t>Misleading source code</t>
  </si>
  <si>
    <t>Malicious actors may apply various strategies to confuse or hide malicious contract code behavior and trick users.</t>
  </si>
  <si>
    <t>API inconsistency</t>
  </si>
  <si>
    <t>8H1</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</si>
  <si>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</si>
  <si>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behavior in a hidden way. This way, the logic of the contract can be completely altered without a user being aware of it.</t>
  </si>
  <si>
    <t xml:space="preserve">Function Call with Wrong Arguments </t>
  </si>
  <si>
    <t>8H3</t>
  </si>
  <si>
    <t>Hidden built-in symbols</t>
  </si>
  <si>
    <t>This vulnerability happens when the developer uses a built-in symbol of the solidity language. This action could change the default behavior of the smart contract development language and cause business logic bugs</t>
  </si>
  <si>
    <t>Built-in symbol shadowing, Use of deprecated built-in symbols</t>
  </si>
  <si>
    <t>8I</t>
  </si>
  <si>
    <t>Missing logic, logical errors or dead code</t>
  </si>
  <si>
    <t>Missing logic, logical errors, or dead code can confuse or lead to unwanted behavior and vulnerabilities.</t>
  </si>
  <si>
    <t xml:space="preserve">Logical errors or dead code, Business logic vulnerabilities, Wrong Logic </t>
  </si>
  <si>
    <t>8I1</t>
  </si>
  <si>
    <t>Code with no effects</t>
  </si>
  <si>
    <t>In Solidity, a "code with no effects" vulnerability refers to a situation where a contract includes a function that performs computations or makes decisions but does not have any impact on the contract's state or the blockchain in general.</t>
  </si>
  <si>
    <t xml:space="preserve">No effect code execution </t>
  </si>
  <si>
    <t>8I2</t>
  </si>
  <si>
    <t xml:space="preserve">Unused variable </t>
  </si>
  <si>
    <t>This defect refers to the declaration of variables that are not used in the contract, which results directly in the allocation of unnecessary space in memory. As a consequence, the gas cost of executing the contract increases as well as the attack surface of the contract. Other effects are related to the readability or maintainability of the code.</t>
  </si>
  <si>
    <t>Presence of unused variables</t>
  </si>
  <si>
    <t>8I5</t>
  </si>
  <si>
    <t xml:space="preserve">Missing return type on function </t>
  </si>
  <si>
    <t>This vulnerability refers to a missing return type in the definition of a smart contract interface. At runtime, if a contract that implements that interface contains two functions with the same name and arguments but have different return types, there is a chance that the wrong function will be called. This may lead to unexpected results once the calling contract receives the wrong data type</t>
  </si>
  <si>
    <t>8I6</t>
  </si>
  <si>
    <t xml:space="preserve">Missing type in variable declaration </t>
  </si>
  <si>
    <t>In Solidity, whenever a variable is declared without an associated type, the compiler infers the data type based on the assigned value. This additional computation may lead to higher costs (i.e., in gas) and memory usage and especially allows for overflow or underflow problems to occur. For instance, the compiler may infer that a signed integer is the right datatype for a certain variable, where an unsigned integer should be used</t>
  </si>
  <si>
    <t>Unsafe type inference,  Insecure inference</t>
  </si>
  <si>
    <t>8I7</t>
  </si>
  <si>
    <t xml:space="preserve">Missing Variable initialization </t>
  </si>
  <si>
    <t>This defect refers to the lack of initialization of variables that are used throughout the contract. Obviously, the effects can largely vary, depending on the variable itself and on the context in which is being used</t>
  </si>
  <si>
    <t>Uninitializad local/state variable, Uninitialized state variables, Uninitialized state, Uninitialized local, Initialization of local variables, Initialization of state variables, Missing initialization</t>
  </si>
  <si>
    <t>8I8</t>
  </si>
  <si>
    <t xml:space="preserve">Missing Input Validation </t>
  </si>
  <si>
    <t>Missing Input Validation refers to not verifying user input or parameters passed to functions before using them in logic or state changes.</t>
  </si>
  <si>
    <t xml:space="preserve">Improper Input Validation </t>
  </si>
  <si>
    <t>8I9</t>
  </si>
  <si>
    <t xml:space="preserve">Function return type mismatch </t>
  </si>
  <si>
    <t>The developer implemented a function (starting from an interface), but it selected the wrong data type for the value to be returned (i.e., it differs from what is specified in the interface)</t>
  </si>
  <si>
    <t>8I10</t>
  </si>
  <si>
    <t xml:space="preserve">Parameter type mismatch </t>
  </si>
  <si>
    <t>This issue refers to a divergence regarding the types of arguments used in a function that implements an interface. In this situation, even if the call is done with the right function name and arguments, the EVM considers it to be a non-existent function error</t>
  </si>
  <si>
    <t>8I11</t>
  </si>
  <si>
    <t xml:space="preserve">Wrong Type of Function </t>
  </si>
  <si>
    <t>In Solidity, it is possible to specify a type for each function. Functions of type view can read data from state variables but cannot modify them, and no gas costs are involved, whereas functions of type pure neither can read nor modify state variables and similarly to view functions, no gas costs are associated with this type of function. This vulnerability occurs when a developer uses the wrong type for a function. For instance, there is an issue reported in Ethereum’s GitHub (Ethereum’s Github, 2022) in which a state variable conversion operation (from storage to memory) inside a pure function results in a problem (i.e., to avoid this problem, the function type should be view)</t>
  </si>
  <si>
    <t>8I12</t>
  </si>
  <si>
    <t xml:space="preserve">Redundant Functionality </t>
  </si>
  <si>
    <t>Contracts that are written with redundant functionality increase code size and make maintainability difficult. In a simple scenario, a programmer creates a function and later (by bad practices) ends up creating the same functionality again in a new function. He/she identifies a vulnerability in the new function and fixes it, but the old function with the defect is used by the caller.</t>
  </si>
  <si>
    <t>8J</t>
  </si>
  <si>
    <t>Insecure contract upgrading</t>
  </si>
  <si>
    <t>Even though upgrading contracts allow for fixing existing vulnerabilities, it counters the goal of completely decentralized smart contracts. If a contract developer becomes malicious or is compromised, the updated contract can become malicious. The updating methods themselves are also hard to implement correctly and without flaws.</t>
  </si>
  <si>
    <t>Upgradable contract, Patching</t>
  </si>
  <si>
    <t>8K</t>
  </si>
  <si>
    <t>Inadequate or incorrect logging or documentation</t>
  </si>
  <si>
    <t>Inadequate logging and documentation can confuse, lead to logical errors or unexpected behavior, and hamper auditing or testing the code for vulnerabilities.</t>
  </si>
  <si>
    <t>8L</t>
  </si>
  <si>
    <t xml:space="preserve">Hardcoded addresses </t>
  </si>
  <si>
    <t>Using a hard coded address could make the smart contract useless in the future if one of those addresses did change</t>
  </si>
  <si>
    <t>8O</t>
  </si>
  <si>
    <t xml:space="preserve">Missing Constructor </t>
  </si>
  <si>
    <t>A smart contract constructor is a function that is executed exactly once during the lifetime of a contract. It executes at deployment time and initializes state variables, performs a few necessary tasks that the specific contract requires, and sets the contract owner. If there is no constructor, the developer will have to implement such tasks manually, which is prone to security issues (e.g., variables may be set with incorrect values or forgotten, which may result in security problems)</t>
  </si>
  <si>
    <t>8P</t>
  </si>
  <si>
    <t xml:space="preserve">Extraneous Field Declaration </t>
  </si>
  <si>
    <t>This vulnerability occurs when a struct or contract contains unused or unnecessary field declarations, and these fields are publicly accessible or can be accidentally accessed or manipulated. This can lead to inconsistent state across nodes or unexpected behavior during upgrades</t>
  </si>
  <si>
    <t>8Q</t>
  </si>
  <si>
    <t xml:space="preserve">Inadequate Data Representation </t>
  </si>
  <si>
    <t>The numbers to represent the credits (e.g., Ether) can be very large (i.e., literals with many digits are difficult to read and review). Thus it is recommended that the programmer use the native resources of the language to make this representation (e.g., Solidity 10000000000000000000 for 1 ether).</t>
  </si>
  <si>
    <t>9A</t>
  </si>
  <si>
    <t>Short address</t>
  </si>
  <si>
    <t>The EVM pads with zeroes if the provided address is shorter than the required length. Certain addresses with trailing zeroes are vulnerable to attackers if client sanitation checks are inadequate.</t>
  </si>
  <si>
    <t>Check on input address length, Address shortening</t>
  </si>
  <si>
    <t>9B</t>
  </si>
  <si>
    <t xml:space="preserve">Outdated compiler version </t>
  </si>
  <si>
    <t>Using outdated compiler versions is strongly discouraged, as old compiler bugs or updates can lead to vulnerabilities in compiled smart contract code.</t>
  </si>
  <si>
    <t>Pragmas version, Unspecified Compiler version, Compiler version</t>
  </si>
  <si>
    <t>9C</t>
  </si>
  <si>
    <t>Floating or no pragma</t>
  </si>
  <si>
    <t>The same compiler version and flags that were originally used for tests should be used when deploying the smart contract. Therefore, the pragma should be locked to the correct compiler version.</t>
  </si>
  <si>
    <t xml:space="preserve">Floating compiler version, Undetermined Program Version Prevalence </t>
  </si>
  <si>
    <t>9D</t>
  </si>
  <si>
    <t>Token API violation</t>
  </si>
  <si>
    <t>Some smart contract-based tokens do not adhere to standard smart contracts proposed by the community, such as those from OpenZeppelin, which can introduce serious vulnerabilities with potentially critical impacts. For example, some tokens' transfer functions throw errors where they should return a boolean value. To avoid such vulnerabilities and ensure compatibility with other contracts, token contracts should comply with applicable standards like ERC20 or ERC721.</t>
  </si>
  <si>
    <t xml:space="preserve">Token standard incompatibility, Unmatched ERC-20 Standard, Extraneous Exception Handling </t>
  </si>
  <si>
    <t>9D1</t>
  </si>
  <si>
    <t>In the Ethereum ecosystem, smart contracts interact with other programs using the Application Binary Interface (ABI). While the ABI defines the inputs and outputs of functions, it does not indicate the success of function calls. Emitting events can notify users of the success or failure of these calls, reducing errors and gas waste. This issue is particularly relevant for ERC-20 tokens, where the absence of events in manually created transfer functions prevents proper error handling.</t>
  </si>
  <si>
    <t xml:space="preserve">Missing Reminder, Fake Deposit, Missing Token Verification of Exchange </t>
  </si>
  <si>
    <t>9D2</t>
  </si>
  <si>
    <t xml:space="preserve">ERC-20 transfer </t>
  </si>
  <si>
    <t>the ERC-20 standard recommends to the developer throw an exception when a condition of the caller’s account balance does not have enough tokens to spend. This allows the caller to understand the reason for which the transfer is not completed and take appropriate action</t>
  </si>
  <si>
    <t>9E</t>
  </si>
  <si>
    <t>Ethereum update incompatibility</t>
  </si>
  <si>
    <t>Gas cost for opcodes might change significantly in future Ethereum hard forks and break already deployed contract systems with fixed gas cost assumptions. If a pre-compiled contract takes only a certain amount of hard-coded gas units as input, it should not take more or less than those units, even if the user provides more gas with the transaction. Thus, hard-coded gas unit amounts may be insufficient when a future hard fork increases the gas fee schedule. The pre-compiled contract, in this case, will not be able to accept a new deposit, even if it is valid, and will always fail in such a future hard fork due to the out-of-gas exception.</t>
  </si>
  <si>
    <t>Failing to accept new deposit, Deposit Acceptance, Message call with hardcoded gas amount</t>
  </si>
  <si>
    <t>9E1</t>
  </si>
  <si>
    <t xml:space="preserve">Call with hardcoded gas amount </t>
  </si>
  <si>
    <t>When smart contracts use transfer() or send(), or manually forward Ether using .call{gas: X} with a hardcoded gas amount, they limit the gas available to the recipient contract. This can break functionality or cause reverts in recipients with higher gas costs (e.g., due to logic, new opcodes, or fallback functions).</t>
  </si>
  <si>
    <t>9E2</t>
  </si>
  <si>
    <t xml:space="preserve">transfer() and send()  with Hardcoded Gas Amount. </t>
  </si>
  <si>
    <t>This vulnerability occurs when a contract performs a low-level function and specifies a hardcoded amount of gas to forward to the callee.</t>
  </si>
  <si>
    <t>9F</t>
  </si>
  <si>
    <t>Configuration error</t>
  </si>
  <si>
    <t>Bad configuration of the smart contract application toolchain can lead to errors and vulnerabilities, even if the smart contract itself is correct.</t>
  </si>
  <si>
    <t>10A</t>
  </si>
  <si>
    <t>Callstack depth limit</t>
  </si>
  <si>
    <t>The call stack in the Ethereum Virtual Machine (EVM) had a maximum depth of 1024, limiting nested function calls in a single transaction. Recursive calls up to 1024 would fail due to this limit, with the safe maximum being 1023. However, the Ethereum upgrade on Oct 18, 2016, eliminated this constraint. Developers should still be mindful of recursion and deep nesting to avoid potential issues and optimize contract efficiency.</t>
  </si>
  <si>
    <t xml:space="preserve">Stack size limit, Limited stack size, Stack size, Stack-based Buffer Overflow </t>
  </si>
  <si>
    <t>10B</t>
  </si>
  <si>
    <t xml:space="preserve">Uninitialized storage pointer </t>
  </si>
  <si>
    <t>An uninitialized storage pointer in Solidity refers to a variable declared to point to storage but not assigned a specific location, potentially causing vulnerabilities. This can lead to unexpected storage reads or writes. However, starting from Solidity version 0.5.0, the compiler eliminated this risk by requiring storage pointers to be explicitly initialized before use, enhancing contract security and reliability.</t>
  </si>
  <si>
    <t>Uninitialized storage, Initialization of storage pointer</t>
  </si>
  <si>
    <t>10C</t>
  </si>
  <si>
    <t>Erroneous constructor name</t>
  </si>
  <si>
    <t xml:space="preserve">Incorrect constructor name, Constructor name, Wrong Constructor Name </t>
  </si>
  <si>
    <t xml:space="preserve">Invalid Wrapper Check in Library </t>
  </si>
  <si>
    <t xml:space="preserve">Unhandled Exceptions in Library </t>
  </si>
  <si>
    <t>It occurs when the library lacks exception handling. During library development, the library developer may not consider the robustness and security requirements of Solidity and may only implement the core business feature. Example, the ERC165Checker library decodes the return value of the supportsInterface function by constructing a STATICCALL to the target contract and using the returned value as the basis for its determination. In Solidity 0.8.0 and later, abi.decode will revert if the raw data overflows the target type. Since the expected return type is bool (1 byte), a malicious contract can return more than 1 byte, causing an overflow and an unhandled exception.</t>
  </si>
  <si>
    <t xml:space="preserve">Inappropriate Library Extension </t>
  </si>
  <si>
    <t>Occurs when multiple independent features are implemented in one method. For example, the ECDSA library is used to recover the address of the signature. The recover function in the ECDSA library supports both 27/28 and 0/1 formats for v. Instead of creating a separate function for 0/1 format, additional logic was added to the existing function. This introduces a risk where adversaries can forge a (r, s, 0/1) signature based on a previously valid (r, s, 27/28) signature. This unintended behavior can lead to signature replay attacks. The example can be found in openzeppelin-contract before committing 547a5f2.</t>
  </si>
  <si>
    <t xml:space="preserve">Inappropriate Using For </t>
  </si>
  <si>
    <t>The issue arises from misusing the using L for T statement in Solidity when the specified library does not support the given data type. Since the compiler does not issue warnings, unsupported types can still invoke library functions after forced type conversion, which reduces code readability and introduces risks, particularly during unsafe downcasting. For example, using the SafeMath library with int256 is ineffective since SafeMath is designed for uint256. The unnecessary using for statement in such cases is misleading, and it is not recommended to invoke libraries by forcing type conversions, as it is unsafe in Solidity.</t>
  </si>
  <si>
    <t xml:space="preserve">Incomplete Function Replacement </t>
  </si>
  <si>
    <t>It occurs when developers fail to fully replace original Solidity operations with secure wrapper functions from libraries like SafeMath or SafeERC20. Even when a library is properly introduced, developers may inadvertently use unsafe native operations due to similar function names. For example, in the SafeERC20 library, the token.safeApprove function is similar to the original token.approve function.</t>
  </si>
  <si>
    <t xml:space="preserve">Overestimated Library Capability </t>
  </si>
  <si>
    <t xml:space="preserve">Underestimated Library Capability </t>
  </si>
  <si>
    <t xml:space="preserve">This issue arises when developers correctly invoke a library function but overlook part of its internal logic, leading to redundant or incorrect operations. In the UniswapV2Router01 contract, the getAmountIn function is implemented using getAmountOut in reverse, assuming it calculates the required token amount accurately. However, the developer ignored that getAmountOut already accounts for transaction fees, causing getAmountIn to return a slightly lower value than expected. While the 0.3% fee makes the error subtle, it can still impact calculations. </t>
  </si>
  <si>
    <t xml:space="preserve">Unnecessary Library Using </t>
  </si>
  <si>
    <t>It occurs when developers use unnecessary libraries in smart contracts, leading to inefficient gas consumption. As Solidity has evolved, built-in security checks have made certain libraries redundant. For example, from Solidity v0.8, arithmetic operations include automatic overflow checks, making SafeMath unnecessary. However, many widely used libraries, such as Counters and SafeERC20, still rely on SafeMath, making refactoring difficult. Developers should ensure they import optimized versions of these libraries, such as OpenZeppelin’s updated SafeMath, which removes redundant checks to minimize gas costs while maintaining security.</t>
  </si>
  <si>
    <t xml:space="preserve">Price oracle manipulation </t>
  </si>
  <si>
    <t>Price Manipulation</t>
  </si>
  <si>
    <t xml:space="preserve">Price oracle manipulation with AMM </t>
  </si>
  <si>
    <t>It occurs when an attacker exploits the pricing mechanism of an Automated Market Maker to alter asset prices and profit from the distortion artificially. Since AMMs determine prices based on liquidity pool ratios, attackers can manipulate prices by executing large trades (e.g., a flash loan attack to swap massive amounts of tokens), temporarily distorting the price in the pool.</t>
  </si>
  <si>
    <t xml:space="preserve">Price oracle manipulation by buying token </t>
  </si>
  <si>
    <t xml:space="preserve">Erroneus Accounting </t>
  </si>
  <si>
    <t>Many smart contracts implement complex business logic that relies heavily on intricate numerical computations. When the formulas encoding the underlying business model are implemented incorrectly, they result in what we refer to as erroneous accounting bugs. These bugs typically introduce small inaccuracies with each execution, but over time, the errors can accumulate, potentially leading to significant financial losses.</t>
  </si>
  <si>
    <t xml:space="preserve">ID Uniqueness Violation </t>
  </si>
  <si>
    <t>Smart contract functionalities often involve an entity (e.g., a user or another contract) interacting with an asset (e.g., an NFT). These interactions require proper access control, and both entities and assets should be uniquely identifiable. Typically, they are represented as data structures with an ID field meant to ensure uniqueness. However, developers may neglect to enforce uniqueness or mistakenly rely on non-unique fields as identifiers. As a result, an attacker could impersonate a legitimate entity or create a fake or duplicate asset with the same field values, bypassing access control checks and performing unauthorized actions.</t>
  </si>
  <si>
    <t xml:space="preserve">Inconsistent State Upadates </t>
  </si>
  <si>
    <t>Smart contracts often contain state variables with implicit correlations. For instance, in a lending contract, a user’s credit limit may depend on the amount of collateral they provide. However, developers may forget to update all related variables consistently or incorrectly, leading to inconsistent or faulty contract states.</t>
  </si>
  <si>
    <t xml:space="preserve">Privilage Escalation </t>
  </si>
  <si>
    <t xml:space="preserve">A business flow typically consists of a sequence of transactions executed in temporal order. Within this flow, sensitive operations are usually protected by access control checks. However, it is possible for alternative or unexpected paths to lead to these sensitive operations, where the access control may be weaker than required.
</t>
  </si>
  <si>
    <t xml:space="preserve">Atomicity Violation </t>
  </si>
  <si>
    <t>Multiple business flows may interleave and access shared state variables, potentially interfering with each other. Some flows require business-level atomicity, meaning certain state variables should not be accessed or modified by other flows while the current flow is in progress. However, developers often overlook such interference scenarios and fail to enforce the necessary atomicity at the business logic level.</t>
  </si>
  <si>
    <t xml:space="preserve">Contracts Implementation Specific Bugs </t>
  </si>
  <si>
    <t>These bugs are specific to the implementation of a smart contract and not necessarily tied to the language or platform itself. They often arise from mistakes in coding logic, poor understanding of protocol specifications, or incorrect assumptions.</t>
  </si>
  <si>
    <t>Business Logic Flaw</t>
  </si>
  <si>
    <t>This refers to errors in the design of the contract’s intended behavior, not necessarily a coding error. Even if a smart contract executes as coded, it may not fulfill its intended economic or security goals due to flaws in the underlying logic.</t>
  </si>
  <si>
    <t>Cross-Bridge</t>
  </si>
  <si>
    <t>These arise in cross-chain bridges, which facilitate token or data transfers between blockchains. Vulnerabilities here can have devastating effects, often due to weak message validation, replay attacks, or inconsistent assumptions about finality or consensus.</t>
  </si>
  <si>
    <t>13A1</t>
  </si>
  <si>
    <t xml:space="preserve">Write to arbitrary storage location </t>
  </si>
  <si>
    <t>Due to quirks of the programming language (most notably Solidity) and programming mistakes, an attacker is able to modify arbitrary storage locations, like an owner variable used for access control. For example, Solidity allocates complex data types like structs, mappings, and arrays statically in storage, even when declaring a local variable of such a type in a function. Using the variable before initializing it will give access to the first storage cell.</t>
  </si>
  <si>
    <t>Arbitrary send, Arbitrary write</t>
  </si>
  <si>
    <t>13A2</t>
  </si>
  <si>
    <t xml:space="preserve">Read from Arbitrary Storage Location </t>
  </si>
  <si>
    <t>This vulnerability may cause both underflow and overflow issues. Underflow happens when the program accesses a resource in the buffer area, such as an index, before reaching the intended buffer location. On the other hand, overflow occurs when the program accesses a resource in the buffer area, like an index, beyond the intended buffer location</t>
  </si>
  <si>
    <t>Block expansion attack</t>
  </si>
  <si>
    <t>Block expansion attack occurs because blockchain has the characteristic of permanent storage, which makes running a full node challenging.</t>
  </si>
  <si>
    <t>Data synchronization timeout attack</t>
  </si>
  <si>
    <t>Data synchronization time-out attack arises when different chains must meet specific synchronization conditions, and failure to do so paralyzes the entire multi-chain system.</t>
  </si>
  <si>
    <t>Failure diffusion</t>
  </si>
  <si>
    <t>Failure diffusion is based on the idea that any one component can affect the entire system, which can lead to a larger system failure.</t>
  </si>
  <si>
    <t>Privacy leakage attack</t>
  </si>
  <si>
    <t>Privacy leakage attack exploits the transaction tracking technology, ultimately destroying the anonymity of the cross-chain system.</t>
  </si>
  <si>
    <t>Unauthorized access</t>
  </si>
  <si>
    <t>Unauthorized access happens when key operations are executed by non-administrators, resulting in unpredictable risks.</t>
  </si>
  <si>
    <t>Disguised and untrusted notary</t>
  </si>
  <si>
    <t>Disguised and untrusted notary stems from the centralization of notaries, which can lead to unpredictable risks.</t>
  </si>
  <si>
    <t>Transaction forgery attack</t>
  </si>
  <si>
    <t>Transaction forgery attack exploits differences between the system chaincode and the user chaincode in Fabric, allowing attackers to forge transactions.</t>
  </si>
  <si>
    <t>Denial of service attack</t>
  </si>
  <si>
    <t>Denial of service attack involves malicious nodes setting up multiple overtime transactions, which affects the normal operation of the entire network.</t>
  </si>
  <si>
    <t>Hot wallet attack</t>
  </si>
  <si>
    <t>Hot wallet attack is based on the ability of hackers to steal the private key of the hot wallet by various means, allowing them to steal the funds in the user’s wallet.</t>
  </si>
  <si>
    <t>Wormhole attack</t>
  </si>
  <si>
    <t>Wormhole attack happens when two nodes exclude their intermediate nodes and successfully unlock the assets, enabling attackers to steal the fees of the intermediate nodes.</t>
  </si>
  <si>
    <t>Sore loser attack</t>
  </si>
  <si>
    <t>Sore loser attack occurs when a party abandons a swap midway, which causes assets to be locked for a long time.</t>
  </si>
  <si>
    <t>Routing attack</t>
  </si>
  <si>
    <t>Routing attack exploits anonymity, allowing hackers to intercept data information.</t>
  </si>
  <si>
    <t>Replay attack</t>
  </si>
  <si>
    <t>Replay attack takes advantage of the fact that everyone can access a user’s signature information, enabling attackers to forge transactions and gain profits.</t>
  </si>
  <si>
    <t>Collusion attack</t>
  </si>
  <si>
    <t>Collusion attack involves multiple attackers working together, gaining unauthorized access to resources.</t>
  </si>
  <si>
    <t>Unrestricted Deposit Emitting</t>
  </si>
  <si>
    <t>Typically, the router contract should lock senders’ tokens before emitting the deposit event. The relayer will regard the deposit event as proof of locked tokens and authorize unlocking on the destination chain. However, mishandling complex contract interfaces, like using unsafe transfer functions, may let attackers bypass the lock procedure and trigger a valid deposit event directly. It will provide proof of non-existent locked tokens to the relayer and cause a false deposit on the destination chain. This bug caused the exploits of Qubit, Meter.io, Wormhole, and Multichain bridges.</t>
  </si>
  <si>
    <t>Inconsistent Event Parsing</t>
  </si>
  <si>
    <t>The parser may recognize invalid events emitted by malicious contracts as valid deposit events. Second, even with a valid event, the parser may parse out invalid lock action with wrong token types or amounts, e.g., recognize a fake token named "ETH" as native ETH. This bug resulted in three attacks on THORChain and one attack on pNetwork.</t>
  </si>
  <si>
    <t>Unauthorized Unlocking</t>
  </si>
  <si>
    <t>Typically, only the trusted off-chain relayer can authorize unlock actions on the destination chain. However, key leakage caused by traditional cyberattacks or improper access control in on-chain/off-chain codes may allow unauthorized attackers to successfully call the unlock function of the router contract and transfer out assets. This bug caused Robin Bridge, Anyswap, and PolyNetwork’s exploits.</t>
  </si>
  <si>
    <r>
      <t xml:space="preserve">Before Solidity version 0.4.22, constructors were defined by writing a function with the same name as the contract class containing it. However, starting from Solidity version 0.4.22, the </t>
    </r>
    <r>
      <rPr>
        <sz val="10"/>
        <color rgb="FF000000"/>
        <rFont val="Arial Unicode MS"/>
        <family val="2"/>
      </rPr>
      <t>constructor</t>
    </r>
    <r>
      <rPr>
        <sz val="11"/>
        <color rgb="FF000000"/>
        <rFont val="Aptos Narrow"/>
        <family val="2"/>
      </rPr>
      <t xml:space="preserve"> keyword was introduced as a new method for defining constructors.</t>
    </r>
  </si>
  <si>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rgb="FF000000"/>
        <rFont val="Aptos Narrow"/>
      </rPr>
      <t>approve</t>
    </r>
    <r>
      <rPr>
        <sz val="11"/>
        <color rgb="FF000000"/>
        <rFont val="Aptos Narrow"/>
        <family val="2"/>
      </rPr>
      <t xml:space="preserve"> function in the </t>
    </r>
    <r>
      <rPr>
        <i/>
        <sz val="11"/>
        <color rgb="FF000000"/>
        <rFont val="Aptos Narrow"/>
      </rPr>
      <t>safeApprove</t>
    </r>
    <r>
      <rPr>
        <sz val="11"/>
        <color rgb="FF000000"/>
        <rFont val="Aptos Narrow"/>
        <family val="2"/>
      </rPr>
      <t xml:space="preserve"> function. Before the commit fc17a1d, </t>
    </r>
    <r>
      <rPr>
        <i/>
        <sz val="11"/>
        <color rgb="FF000000"/>
        <rFont val="Aptos Narrow"/>
      </rPr>
      <t>safeApprove</t>
    </r>
    <r>
      <rPr>
        <sz val="11"/>
        <color rgb="FF000000"/>
        <rFont val="Aptos Narrow"/>
        <family val="2"/>
      </rPr>
      <t xml:space="preserve"> can directly reset the allowance, which is not permitted according to the design goal.</t>
    </r>
  </si>
  <si>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Aptos Narrow"/>
        <family val="2"/>
      </rPr>
      <t>isContract</t>
    </r>
    <r>
      <rPr>
        <sz val="11"/>
        <color rgb="FF000000"/>
        <rFont val="Aptos Narrow"/>
        <family val="2"/>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</si>
  <si>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r>
      <t>A</t>
    </r>
    <r>
      <rPr>
        <sz val="11"/>
        <color rgb="FF000000"/>
        <rFont val="Aptos Narrow"/>
        <family val="2"/>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</si>
  <si>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r>
      <t>Price manipulation by buying tokens</t>
    </r>
    <r>
      <rPr>
        <sz val="11"/>
        <color rgb="FF000000"/>
        <rFont val="Aptos Narrow"/>
      </rPr>
      <t xml:space="preserve"> occurs when an attacker or trader purchases large amounts of a token to inflate its price artificially and then sells it off, i.e., p</t>
    </r>
    <r>
      <rPr>
        <sz val="11"/>
        <color rgb="FF0E101A"/>
        <rFont val="Aptos Narrow"/>
      </rPr>
      <t>ump and dump.</t>
    </r>
    <r>
      <rPr>
        <sz val="11"/>
        <color rgb="FF000000"/>
        <rFont val="Aptos Narrow"/>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</si>
  <si>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r>
      <t xml:space="preserve">Occurs when a dynamically-sized array (e.g., created with </t>
    </r>
    <r>
      <rPr>
        <sz val="10"/>
        <color rgb="FF000000"/>
        <rFont val="Arial Unicode MS"/>
        <family val="2"/>
      </rPr>
      <t>new</t>
    </r>
    <r>
      <rPr>
        <sz val="11"/>
        <color rgb="FF000000"/>
        <rFont val="Aptos Narrow"/>
        <family val="2"/>
      </rPr>
      <t xml:space="preserve"> or modified with </t>
    </r>
    <r>
      <rPr>
        <sz val="10"/>
        <color rgb="FF000000"/>
        <rFont val="Arial Unicode MS"/>
        <family val="2"/>
      </rPr>
      <t>.push()</t>
    </r>
    <r>
      <rPr>
        <sz val="11"/>
        <color rgb="FF000000"/>
        <rFont val="Aptos Narrow"/>
        <family val="2"/>
      </rPr>
      <t>) is accessed at an index that doesn’t exist. While Solidity typically throws and reverts on such errors, failure to validate indices can lead to unexpected behavior or vulnerabilities when combined with external calls.</t>
    </r>
  </si>
  <si>
    <r>
      <t xml:space="preserve">Refers to using </t>
    </r>
    <r>
      <rPr>
        <sz val="10"/>
        <color rgb="FF000000"/>
        <rFont val="Arial Unicode MS"/>
        <family val="2"/>
      </rPr>
      <t>msg.value</t>
    </r>
    <r>
      <rPr>
        <sz val="11"/>
        <color rgb="FF000000"/>
        <rFont val="Aptos Narrow"/>
        <family val="2"/>
      </rPr>
      <t xml:space="preserve"> in a way that distributes ether inside a loop, which can lead to unexpected results if the logic doesn’t properly scale with the number of iterations, or if individual iterations fail (e.g., failed </t>
    </r>
    <r>
      <rPr>
        <sz val="10"/>
        <color rgb="FF000000"/>
        <rFont val="Arial Unicode MS"/>
        <family val="2"/>
      </rPr>
      <t>send()</t>
    </r>
    <r>
      <rPr>
        <sz val="11"/>
        <color rgb="FF000000"/>
        <rFont val="Aptos Narrow"/>
        <family val="2"/>
      </rPr>
      <t xml:space="preserve"> or </t>
    </r>
    <r>
      <rPr>
        <sz val="10"/>
        <color rgb="FF000000"/>
        <rFont val="Arial Unicode MS"/>
        <family val="2"/>
      </rPr>
      <t>call()</t>
    </r>
    <r>
      <rPr>
        <sz val="11"/>
        <color rgb="FF000000"/>
        <rFont val="Aptos Narrow"/>
        <family val="2"/>
      </rPr>
      <t>). This can also cause denial-of-service if the loop runs out of gas.</t>
    </r>
  </si>
  <si>
    <t>Is there a relation with other vulnerabilities?</t>
  </si>
  <si>
    <t>What is the relation?</t>
  </si>
  <si>
    <t>Yes</t>
  </si>
  <si>
    <t>Hierarchy validation needed?</t>
  </si>
  <si>
    <t>No</t>
  </si>
  <si>
    <t>This vulnerability happens when a smart contract depends on updatable components (other smart contracts). Therefore, the attacker can change the contract logic if he controls those contracts. External sources should be verified before creating a dependency.</t>
  </si>
  <si>
    <t>This form of Reentrancy occurs when a reentrant function results in multiple calls with the same effect. It is like the normal Reentrancy, but in this case, the Reentrancy does not have a negative impact, and its execution is benign.</t>
  </si>
  <si>
    <t>This form of Reentrancy involves an attacker triggering negative or destructive events. It is like the normal Reentrancy, but in this case, the Reentrancy produces negative events (such as causing a contract to fail or exploiting the contract’s vulnerability to trigger undesirable outcomes, such as loss of funds or altered contract states).</t>
  </si>
  <si>
    <t>The contract logic should not use block information for precise calculations. The contract should not depend on the block state. There are different block information values, and miners control them to some extent, or they may change for other reasons.</t>
  </si>
  <si>
    <t>Sometimes, randomness is required in operations, and a block hash can be used for this purpose. However, blockhash is a block state property, and it can be manipulated like a timestamp because miners can predict it.</t>
  </si>
  <si>
    <t>In the context of Ethereum smart contracts, a contract is destroyed or self-destructed via the selfdestruct function, also known as suicide in earlier versions of Solidity. When a contract is destroyed, its code and state are erased from the blockchain, and any remaining Ether (ETH) is sent to a specified address. Contracts that depend on the destroyed contract could be negatively affected. The dependency should be updated to a different provider.</t>
  </si>
  <si>
    <t>The smart contract constructor takes an address parameter (for example, the address of a library or another contract). The contract logic depends on that address to call external code. If a malicious address is provided instead of the intended legitimate contract, the deployed contract may execute malicious code. The security and correctness of the contract depend on the external environment.</t>
  </si>
  <si>
    <t>In some versions of Solidity, it is possible to manipulate the “length” field of an array with standard arithmetic functions. A simple code to decrement the value of this field can bring the value to an underflow. “anArray.length--;” can make the array size set to max int. Functions that iterate over or otherwise depend on array.length may cause infinite loops or consume too much gas, effectively disabling contract functionality and creating a DoS.</t>
  </si>
  <si>
    <t>In a loop’s termination condition, an unchecked input from a user or a comparison of integers of different sizes can make the loop iterate far more times than expected, potentially exceeding the block gas limit. In this case, an attacker could provide input that causes loops to run excessively, making the function impossible to complete. So the contract is denied service, even though the code itself might appear correct.</t>
  </si>
  <si>
    <t>In Solidity smart contracts, an "overpowered role" is one with extensive control over contract functions, such as an administrator role with unchecked privileges to modify parameters, freeze accounts, or access sensitive data. Such roles pose risks like centralization, abuse, and security vulnerabilities. Developers must design access controls to ensure roles are balanced and prevent any single role from having excessive power. This safeguards the integrity, security, and fairness of decentralized systems. If the overpowered role is malicious or compromised, it can perform actions that prevent other users from interacting with the contract, leaving the contract unavailable.</t>
  </si>
  <si>
    <t xml:space="preserve"> If there is send() in require() logic, the logic may revert from the recipient by returning false, causing a DoS attack.</t>
  </si>
  <si>
    <t>Insecure modifiers that could be bypassed from one or more unprotected smart contract functions. Suppose a modifier intended to restrict access can be bypassed (or some functions are left unprotected). In that case, the contract does not correctly enforce who may call sensitive functionality, breaking access control/authorization.</t>
  </si>
  <si>
    <t>This vulnerability occurs when a smart contract attempts to distinguish between an externally owned account (EOA) and a contract by checking the caller’s code size (e.g., using extcodesize or Address.isContract). An attacker can bypass this check by invoking the vulnerable contract from within the constructor of a malicious contract, because a contract’s code size is zero while its constructor is executing. As a result, any authorization or safety guarantees that rely on this check become ineffective, allowing the attacker to perform actions intended only for EOAs.</t>
  </si>
  <si>
    <t>In Solidity, division issues generally arise from integer division, division by zero, operators priority, and precision loss, which can lead to unexpected results, bugs, or vulnerabilities.</t>
  </si>
  <si>
    <t>CVE-2023-36980 is a vulnerability identified in Ethereum Blockchain version 0.1.1+commit.6ff4cd6. This issue arises when the combined value of a bet size and the casino's balance exceeds a certain threshold, causing the balance to be zeroed out. Incorrect calculations could potentially lead to financial losses for users interacting with affected Ethereum-based contracts.</t>
  </si>
  <si>
    <t>The 0.4.22 version of the solidity compiler allows smart contracts to have a double constructor. The unexpected behavior arose if a developer included both a function with the contract's name (old style) and a function with the constructor keyword (new style) in the same contract. Only one implementation should be provided as a constructor. This could lead to unexpected behavior in the contract.</t>
  </si>
  <si>
    <t>The functions and state variables required to implement pause/upgrade/admin control are absent from the written code. The absence of a backdoor mechanism may hinder the ability to handle emergencies.</t>
  </si>
  <si>
    <t>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</si>
  <si>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Occurs when a contract tries to access an index in a statically-sized array that exceeds its declared size.</t>
  </si>
  <si>
    <t>Memory Manipulation occurs when a contract's memory-related operations are improperly handled, leading to unintended behavior or potential security risks. Memory manipulation vulnerabilities can arise from incorrect access or modification of memory storage, leading to unexpected outcomes.</t>
  </si>
  <si>
    <t>Occurs when a dynamically-sized array (e.g., created with new or modified with .push()) is accessed at an index that doesn’t exist. While Solidity typically throws and reverts on such errors, failure to validate indices can lead to unexpected behavior.</t>
  </si>
  <si>
    <t>Refers to using msg.value in a way that distributes ether inside a loop, which can lead to unexpected results if the logic doesn’t properly scale with the number of iterations, or if individual iterations fail (e.g., failed send() or call()). This can also cause denial-of-service if the loop runs out of gas.</t>
  </si>
  <si>
    <t>Partecipant</t>
  </si>
  <si>
    <t>Year of Experience with Solidity</t>
  </si>
  <si>
    <t>Role</t>
  </si>
  <si>
    <t>Affilation</t>
  </si>
  <si>
    <t>AstraKode Blockchain</t>
  </si>
  <si>
    <t>University of Luxemburg</t>
  </si>
  <si>
    <t>Notes</t>
  </si>
  <si>
    <t>Interview ID</t>
  </si>
  <si>
    <t>1_1</t>
  </si>
  <si>
    <t xml:space="preserve">From </t>
  </si>
  <si>
    <t>To</t>
  </si>
  <si>
    <t xml:space="preserve">Blockchain/Environment Dependency </t>
  </si>
  <si>
    <t xml:space="preserve">External Contract Referencing  </t>
  </si>
  <si>
    <t>Malicious Environment, Transaction or Input</t>
  </si>
  <si>
    <t>Why</t>
  </si>
  <si>
    <t>L'input malevolo ci ha portato a considerare non il malicious environment e non solo l'environment dependency</t>
  </si>
  <si>
    <t>Vulnerability that changes category</t>
  </si>
  <si>
    <t>Use of outdated or no longer supported versions</t>
  </si>
  <si>
    <t>Rational</t>
  </si>
  <si>
    <t>There is a missing part of code, so it is not a DoS but a bad quality programming</t>
  </si>
  <si>
    <t>API do not exist in a smart contracts but their are related to the dApp that use the decentralized solution. So it is a configuration issues</t>
  </si>
  <si>
    <t>There is no relation with memory, it cause DoS</t>
  </si>
  <si>
    <t>Vulnerability that changes relation</t>
  </si>
  <si>
    <t>it changes category and we did not found relation in the new category</t>
  </si>
  <si>
    <t>It is not clear if there is an overflow or an integer bugs. No enougth info to find a relation</t>
  </si>
  <si>
    <t>-</t>
  </si>
  <si>
    <t>Unpredictable State</t>
  </si>
  <si>
    <t>OVER ALL</t>
  </si>
  <si>
    <t>1_2</t>
  </si>
  <si>
    <t>Developer</t>
  </si>
  <si>
    <t>DoS</t>
  </si>
  <si>
    <t>Resource Consumption &amp; Gas Related issues</t>
  </si>
  <si>
    <t>Team Leader/Developer</t>
  </si>
  <si>
    <t>Unused return</t>
  </si>
  <si>
    <t>Post Doc</t>
  </si>
  <si>
    <t>Map Overlap</t>
  </si>
  <si>
    <t>Bad Coding Quality &amp; Programming Language Specifics</t>
  </si>
  <si>
    <t>Resource Consumption &amp; Gas Related Issues</t>
  </si>
  <si>
    <t>Unauthorized Ether Withdrawal</t>
  </si>
  <si>
    <t>2_1</t>
  </si>
  <si>
    <t>Malicious Environment</t>
  </si>
  <si>
    <t>Bad Coding Quality</t>
  </si>
  <si>
    <t>1E</t>
  </si>
  <si>
    <t>1F</t>
  </si>
  <si>
    <t>1G</t>
  </si>
  <si>
    <t>1H</t>
  </si>
  <si>
    <t>1I</t>
  </si>
  <si>
    <t>1J</t>
  </si>
  <si>
    <t>1J1</t>
  </si>
  <si>
    <t>3E</t>
  </si>
  <si>
    <t>3F</t>
  </si>
  <si>
    <t>7D</t>
  </si>
  <si>
    <t>Total</t>
  </si>
  <si>
    <t>P_0</t>
  </si>
  <si>
    <t>P_e</t>
  </si>
  <si>
    <t>1_1 Good</t>
  </si>
  <si>
    <t>1_1 Bad</t>
  </si>
  <si>
    <t>1_2 Good</t>
  </si>
  <si>
    <t>1_2 Bad</t>
  </si>
  <si>
    <t>Cohen's Kappa</t>
  </si>
  <si>
    <t>Proportion of observed agreement (how often the two raters actually agree).</t>
  </si>
  <si>
    <t>Proportion of agreement expected by chance, calculated based on the marginal distributions.</t>
  </si>
  <si>
    <t>Cohen's Kappa of Category Validation</t>
  </si>
  <si>
    <t>Cohen's Kappa of Hierarchy Validation</t>
  </si>
  <si>
    <t>2_1 Good</t>
  </si>
  <si>
    <t>2_1 Bad</t>
  </si>
  <si>
    <t>2_2 Good</t>
  </si>
  <si>
    <t>2_2 Bad</t>
  </si>
  <si>
    <t>Developers</t>
  </si>
  <si>
    <t>2_2</t>
  </si>
  <si>
    <t>4I1</t>
  </si>
  <si>
    <t>5A1</t>
  </si>
  <si>
    <t>5B1</t>
  </si>
  <si>
    <t>5B2</t>
  </si>
  <si>
    <t>5B3</t>
  </si>
  <si>
    <t>5B4</t>
  </si>
  <si>
    <t>5B5</t>
  </si>
  <si>
    <t>5B5.1</t>
  </si>
  <si>
    <t>5B5.2</t>
  </si>
  <si>
    <t>5B6</t>
  </si>
  <si>
    <t>5C3</t>
  </si>
  <si>
    <t>5C4</t>
  </si>
  <si>
    <t>5C5</t>
  </si>
  <si>
    <t>6A2</t>
  </si>
  <si>
    <t>7E</t>
  </si>
  <si>
    <t>7E1</t>
  </si>
  <si>
    <t>7E2</t>
  </si>
  <si>
    <t>7E3</t>
  </si>
  <si>
    <t>7F</t>
  </si>
  <si>
    <t>7G</t>
  </si>
  <si>
    <t>7G1</t>
  </si>
  <si>
    <t>7G2</t>
  </si>
  <si>
    <t>7G3</t>
  </si>
  <si>
    <t>7H</t>
  </si>
  <si>
    <t>7H1</t>
  </si>
  <si>
    <t>7H2</t>
  </si>
  <si>
    <t>7I</t>
  </si>
  <si>
    <t>7I1</t>
  </si>
  <si>
    <t>7I2</t>
  </si>
  <si>
    <t>7I3</t>
  </si>
  <si>
    <t>7I4</t>
  </si>
  <si>
    <t>7I5</t>
  </si>
  <si>
    <t>7I6</t>
  </si>
  <si>
    <t>7I7</t>
  </si>
  <si>
    <t>7I8</t>
  </si>
  <si>
    <t>7I9</t>
  </si>
  <si>
    <t>7I10</t>
  </si>
  <si>
    <t>7I11</t>
  </si>
  <si>
    <t>7J</t>
  </si>
  <si>
    <t>7K</t>
  </si>
  <si>
    <t>7L</t>
  </si>
  <si>
    <t>7M</t>
  </si>
  <si>
    <t>7N</t>
  </si>
  <si>
    <t>7O</t>
  </si>
  <si>
    <t>7P</t>
  </si>
  <si>
    <t>7Q</t>
  </si>
  <si>
    <t>7R</t>
  </si>
  <si>
    <t>7S</t>
  </si>
  <si>
    <t>7T</t>
  </si>
  <si>
    <t>7U</t>
  </si>
  <si>
    <t>7V</t>
  </si>
  <si>
    <t>8D1</t>
  </si>
  <si>
    <t>8D2</t>
  </si>
  <si>
    <t>10E</t>
  </si>
  <si>
    <t>10F</t>
  </si>
  <si>
    <t>10G</t>
  </si>
  <si>
    <t>10H</t>
  </si>
  <si>
    <t>11A1</t>
  </si>
  <si>
    <t>11A2</t>
  </si>
  <si>
    <t>11I</t>
  </si>
  <si>
    <t>13E</t>
  </si>
  <si>
    <t>13F</t>
  </si>
  <si>
    <t>13G</t>
  </si>
  <si>
    <t>13H</t>
  </si>
  <si>
    <t>13I</t>
  </si>
  <si>
    <t>13J</t>
  </si>
  <si>
    <t>13K</t>
  </si>
  <si>
    <t>13L</t>
  </si>
  <si>
    <t>13M</t>
  </si>
  <si>
    <t>13N</t>
  </si>
  <si>
    <t>13O</t>
  </si>
  <si>
    <t>13P</t>
  </si>
  <si>
    <t>13Q</t>
  </si>
  <si>
    <t>4 - Resurce Consumption &amp; Gas Related Issues</t>
  </si>
  <si>
    <t>5 - Authentication &amp; Access Control Vulnerabilities</t>
  </si>
  <si>
    <t>In this case, what causes DoS is gas consumption. Since the loop sends ether using msg.sender it may consume too much and go out of gas</t>
  </si>
  <si>
    <t>Malicious input led us to consider the malicious environment, not just dependence on it.</t>
  </si>
  <si>
    <t>He was initially unable to identify a direct relationship. I then helped by suggesting he look for sibling categories rather than a parent. He successfully identified the siblings but pointed out that, although they are siblings, they differ in nature. The reason is that an unused return implicitly indicates that something was executed but its return value was ignored. In the previous classification, unused return was placed as a sibling of unused statement and unused variable. However, unlike these two, which represent dead code that has no impact on execution, unused return is not dead code.</t>
  </si>
  <si>
    <t>Cluster 1 - Average Cohen's Kappa</t>
  </si>
  <si>
    <t>Cluster 2 - Average Cohen's Kappa</t>
  </si>
  <si>
    <t>Both of us agree that classifying vulnerabilities related to DoS is complex. Each of them can always be placed under DoS if considered from the perspective of its effect, but they certainly have a cause that can be classified within other categories.</t>
  </si>
  <si>
    <t>For this to be a vulnerability, it is necessary that someone provides a zero address—i.e., an unhandled malicious behavior. Cause: Malicious input.</t>
  </si>
  <si>
    <t>There are missing functions such as pausable and upgradable, which are indicators of good quality and allow for emergency handling.</t>
  </si>
  <si>
    <t>For it to be vulnerable, the call must be directed to a malicious address and a malicious fallback must be implemented. Requirements: malicious input and a malicious transaction.</t>
  </si>
  <si>
    <t>Rationale</t>
  </si>
  <si>
    <t>It occurs because of excessive privileges in terms of access and roles.
The effect is DoS; the root cause is access control.</t>
  </si>
  <si>
    <t>It is a language feature that causes the problem, namely the incorrect handling of multiple mappings.</t>
  </si>
  <si>
    <t>If the function does not modify state variables, there is computation but no impact on gas consumption. Functions that are not view consume gas; otherwise, they do not.</t>
  </si>
  <si>
    <t>This occurs when an attacker can route the call to an address that will cause it to fail consistently.</t>
  </si>
  <si>
    <t>Deeper relation. It represent a specific case of Unauthorized Ether Withdrawal</t>
  </si>
  <si>
    <t>Array Length Manipulation Example: Attack Vector: Malicious environment --  Cause: Arithmetics Bugs --  Effect: DoS</t>
  </si>
  <si>
    <t>The participant pointed out an alternative classification approach: the attack vector. Considering cause, effect, and attack vector produces three distinct classifications. They also identified a root cause for every DoS case.</t>
  </si>
  <si>
    <t>6 in Security - 2 in Solidity</t>
  </si>
  <si>
    <t>Participant</t>
  </si>
  <si>
    <t>AS</t>
  </si>
  <si>
    <t>OB</t>
  </si>
  <si>
    <t>DC</t>
  </si>
  <si>
    <t>MX</t>
  </si>
  <si>
    <r>
      <t xml:space="preserve">Before Solidity version 0.4.22, constructors were defined by writing a function with the same name as the contract class containing it. However, starting from Solidity version 0.4.22, the </t>
    </r>
    <r>
      <rPr>
        <sz val="10"/>
        <color theme="1"/>
        <rFont val="Arial Unicode MS"/>
        <family val="2"/>
      </rPr>
      <t>constructor</t>
    </r>
    <r>
      <rPr>
        <sz val="12"/>
        <color theme="1"/>
        <rFont val="Calibri"/>
        <family val="2"/>
        <scheme val="minor"/>
      </rPr>
      <t xml:space="preserve"> keyword was introduced as a new method for defining constructors.</t>
    </r>
  </si>
  <si>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theme="1"/>
        <rFont val="Calibri"/>
        <family val="2"/>
        <scheme val="minor"/>
      </rPr>
      <t>approve</t>
    </r>
    <r>
      <rPr>
        <sz val="12"/>
        <color theme="1"/>
        <rFont val="Calibri"/>
        <family val="2"/>
        <scheme val="minor"/>
      </rPr>
      <t xml:space="preserve"> function in the </t>
    </r>
    <r>
      <rPr>
        <i/>
        <sz val="11"/>
        <color theme="1"/>
        <rFont val="Calibri"/>
        <family val="2"/>
        <scheme val="minor"/>
      </rPr>
      <t>safeApprove</t>
    </r>
    <r>
      <rPr>
        <sz val="12"/>
        <color theme="1"/>
        <rFont val="Calibri"/>
        <family val="2"/>
        <scheme val="minor"/>
      </rPr>
      <t xml:space="preserve"> function. Before the commit fc17a1d, </t>
    </r>
    <r>
      <rPr>
        <i/>
        <sz val="11"/>
        <color theme="1"/>
        <rFont val="Calibri"/>
        <family val="2"/>
        <scheme val="minor"/>
      </rPr>
      <t>safeApprove</t>
    </r>
    <r>
      <rPr>
        <sz val="12"/>
        <color theme="1"/>
        <rFont val="Calibri"/>
        <family val="2"/>
        <scheme val="minor"/>
      </rPr>
      <t xml:space="preserve"> can directly reset the allowance, which is not permitted according to the design goal.</t>
    </r>
  </si>
  <si>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Calibri"/>
        <family val="2"/>
        <scheme val="minor"/>
      </rPr>
      <t>isContract</t>
    </r>
    <r>
      <rPr>
        <sz val="12"/>
        <color theme="1"/>
        <rFont val="Calibri"/>
        <family val="2"/>
        <scheme val="minor"/>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</si>
  <si>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r>
      <t>A</t>
    </r>
    <r>
      <rPr>
        <sz val="12"/>
        <color theme="1"/>
        <rFont val="Calibri"/>
        <family val="2"/>
        <scheme val="minor"/>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</si>
  <si>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r>
      <t>Price manipulation by buying tokens</t>
    </r>
    <r>
      <rPr>
        <sz val="11"/>
        <color theme="1"/>
        <rFont val="Calibri"/>
        <family val="2"/>
        <scheme val="minor"/>
      </rPr>
      <t xml:space="preserve"> occurs when an attacker or trader purchases large amounts of a token to inflate its price artificially and then sells it off, i.e., p</t>
    </r>
    <r>
      <rPr>
        <sz val="11"/>
        <color rgb="FF0E101A"/>
        <rFont val="Calibri"/>
        <family val="2"/>
        <scheme val="minor"/>
      </rPr>
      <t>ump and dump.</t>
    </r>
    <r>
      <rPr>
        <sz val="11"/>
        <color theme="1"/>
        <rFont val="Calibri"/>
        <family val="2"/>
        <scheme val="minor"/>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</si>
  <si>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r>
      <t xml:space="preserve">Occurs when a dynamically-sized array (e.g., created with </t>
    </r>
    <r>
      <rPr>
        <sz val="10"/>
        <color theme="1"/>
        <rFont val="Arial Unicode MS"/>
        <family val="2"/>
      </rPr>
      <t>new</t>
    </r>
    <r>
      <rPr>
        <sz val="12"/>
        <color theme="1"/>
        <rFont val="Calibri"/>
        <family val="2"/>
        <scheme val="minor"/>
      </rPr>
      <t xml:space="preserve"> or modified with </t>
    </r>
    <r>
      <rPr>
        <sz val="10"/>
        <color theme="1"/>
        <rFont val="Arial Unicode MS"/>
        <family val="2"/>
      </rPr>
      <t>.push()</t>
    </r>
    <r>
      <rPr>
        <sz val="12"/>
        <color theme="1"/>
        <rFont val="Calibri"/>
        <family val="2"/>
        <scheme val="minor"/>
      </rPr>
      <t>) is accessed at an index that doesn’t exist. While Solidity typically throws and reverts on such errors, failure to validate indices can lead to unexpected behavior or vulnerabilities when combined with external calls.</t>
    </r>
  </si>
  <si>
    <r>
      <t xml:space="preserve">Refers to using </t>
    </r>
    <r>
      <rPr>
        <sz val="10"/>
        <color theme="1"/>
        <rFont val="Arial Unicode MS"/>
        <family val="2"/>
      </rPr>
      <t>msg.value</t>
    </r>
    <r>
      <rPr>
        <sz val="12"/>
        <color theme="1"/>
        <rFont val="Calibri"/>
        <family val="2"/>
        <scheme val="minor"/>
      </rPr>
      <t xml:space="preserve"> in a way that distributes ether inside a loop, which can lead to unexpected results if the logic doesn’t properly scale with the number of iterations, or if individual iterations fail (e.g., failed </t>
    </r>
    <r>
      <rPr>
        <sz val="10"/>
        <color theme="1"/>
        <rFont val="Arial Unicode MS"/>
        <family val="2"/>
      </rPr>
      <t>send()</t>
    </r>
    <r>
      <rPr>
        <sz val="12"/>
        <color theme="1"/>
        <rFont val="Calibri"/>
        <family val="2"/>
        <scheme val="minor"/>
      </rPr>
      <t xml:space="preserve"> or </t>
    </r>
    <r>
      <rPr>
        <sz val="10"/>
        <color theme="1"/>
        <rFont val="Arial Unicode MS"/>
        <family val="2"/>
      </rPr>
      <t>call()</t>
    </r>
    <r>
      <rPr>
        <sz val="12"/>
        <color theme="1"/>
        <rFont val="Calibri"/>
        <family val="2"/>
        <scheme val="minor"/>
      </rPr>
      <t>). This can also cause denial-of-service if the loop runs out of gas.</t>
    </r>
  </si>
  <si>
    <t>Previous_ID</t>
  </si>
  <si>
    <t>Validated_ID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</si>
</sst>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b/>
      <i/>
      <sz val="12"/>
      <color theme="1"/>
      <name val="Calibri"/>
      <family val="2"/>
      <scheme val="minor"/>
    </font>
    <font>
      <i/>
      <sz val="12"/>
      <color theme="1"/>
      <name val="Calibri"/>
      <family val="2"/>
      <scheme val="minor"/>
    </font>
    <font>
      <sz val="8"/>
      <name val="Calibri"/>
      <family val="2"/>
      <scheme val="minor"/>
    </font>
    <font>
      <b/>
      <i/>
      <sz val="12"/>
      <color rgb="FF000000"/>
      <name val="Calibri"/>
      <family val="2"/>
      <scheme val="minor"/>
    </font>
    <font>
      <i/>
      <sz val="12"/>
      <color rgb="FF000000"/>
      <name val="Calibri"/>
      <family val="2"/>
      <scheme val="minor"/>
    </font>
    <font>
      <sz val="12"/>
      <color rgb="FF000000"/>
      <name val="Calibri"/>
      <family val="2"/>
      <scheme val="minor"/>
    </font>
    <font>
      <b/>
      <sz val="10"/>
      <color rgb="FF000000"/>
      <name val="Tahoma"/>
      <family val="2"/>
    </font>
    <font>
      <sz val="10"/>
      <color rgb="FF000000"/>
      <name val="Tahoma"/>
      <family val="2"/>
    </font>
    <font>
      <b/>
      <sz val="11"/>
      <color rgb="FF000000"/>
      <name val="Aptos Narrow"/>
      <family val="2"/>
    </font>
    <font>
      <sz val="11"/>
      <color rgb="FF000000"/>
      <name val="Aptos Narrow"/>
      <family val="2"/>
    </font>
    <font>
      <b/>
      <i/>
      <sz val="11"/>
      <color rgb="FF000000"/>
      <name val="Aptos Narrow"/>
      <family val="2"/>
    </font>
    <font>
      <sz val="11"/>
      <color rgb="FF000000"/>
      <name val="Calibri"/>
      <family val="2"/>
      <scheme val="minor"/>
    </font>
    <font>
      <sz val="11"/>
      <color rgb="FFFF0000"/>
      <name val="Aptos Narrow"/>
      <family val="2"/>
    </font>
    <font>
      <sz val="11"/>
      <name val="Aptos Narrow"/>
      <family val="2"/>
    </font>
    <font>
      <sz val="10"/>
      <color rgb="FF000000"/>
      <name val="Arial Unicode MS"/>
      <family val="2"/>
    </font>
    <font>
      <i/>
      <sz val="11"/>
      <color rgb="FF000000"/>
      <name val="Aptos Narrow"/>
    </font>
    <font>
      <i/>
      <sz val="11"/>
      <color rgb="FF0E101A"/>
      <name val="Aptos Narrow"/>
      <family val="2"/>
    </font>
    <font>
      <b/>
      <sz val="11"/>
      <color rgb="FF0E101A"/>
      <name val="Aptos Narrow"/>
      <family val="2"/>
    </font>
    <font>
      <sz val="11"/>
      <color rgb="FF0E101A"/>
      <name val="Aptos Narrow"/>
      <family val="2"/>
    </font>
    <font>
      <sz val="11"/>
      <color rgb="FF000000"/>
      <name val="Aptos Narrow"/>
    </font>
    <font>
      <sz val="11"/>
      <color rgb="FF0E101A"/>
      <name val="Aptos Narrow"/>
    </font>
    <font>
      <b/>
      <sz val="11"/>
      <color rgb="FF000000"/>
      <name val="Aptos Narrow"/>
    </font>
    <font>
      <sz val="12"/>
      <color theme="1"/>
      <name val="Calibri"/>
      <family val="2"/>
      <scheme val="minor"/>
    </font>
    <font>
      <sz val="11"/>
      <color theme="1"/>
      <name val="Calibri"/>
      <family val="2"/>
      <scheme val="minor"/>
    </font>
    <font>
      <b/>
      <i/>
      <sz val="11"/>
      <color theme="1"/>
      <name val="Calibri"/>
      <family val="2"/>
      <scheme val="minor"/>
    </font>
    <font>
      <sz val="11"/>
      <color theme="1"/>
      <name val="Aptos Narrow (Body)"/>
    </font>
    <font>
      <sz val="11"/>
      <color rgb="FFFF0000"/>
      <name val="Calibri"/>
      <family val="2"/>
      <scheme val="minor"/>
    </font>
    <font>
      <sz val="11"/>
      <name val="Calibri"/>
      <family val="2"/>
      <scheme val="minor"/>
    </font>
    <font>
      <u val="double"/>
      <sz val="11"/>
      <color rgb="FFFF0000"/>
      <name val="Aptos Narrow (Body)"/>
    </font>
    <font>
      <sz val="10"/>
      <color theme="1"/>
      <name val="Arial Unicode MS"/>
      <family val="2"/>
    </font>
    <font>
      <i/>
      <sz val="11"/>
      <color theme="1"/>
      <name val="Calibri"/>
      <family val="2"/>
      <scheme val="minor"/>
    </font>
    <font>
      <i/>
      <sz val="11"/>
      <color rgb="FF0E101A"/>
      <name val="Calibri"/>
      <family val="2"/>
      <scheme val="minor"/>
    </font>
    <font>
      <b/>
      <sz val="11"/>
      <color rgb="FF0E101A"/>
      <name val="Calibri"/>
      <family val="2"/>
      <scheme val="minor"/>
    </font>
    <font>
      <sz val="11"/>
      <color rgb="FF0E101A"/>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1" tint="0.14999847407452621"/>
        <bgColor indexed="64"/>
      </patternFill>
    </fill>
    <fill>
      <patternFill patternType="solid">
        <fgColor rgb="FFDCE6F1"/>
        <bgColor rgb="FF000000"/>
      </patternFill>
    </fill>
    <fill>
      <patternFill patternType="solid">
        <fgColor rgb="FFC0E6F5"/>
        <bgColor rgb="FF000000"/>
      </patternFill>
    </fill>
    <fill>
      <patternFill patternType="solid">
        <fgColor rgb="FFD9D9D9"/>
        <bgColor rgb="FFD9D9D9"/>
      </patternFill>
    </fill>
    <fill>
      <patternFill patternType="solid">
        <fgColor theme="3" tint="0.79998168889431442"/>
        <bgColor indexed="64"/>
      </patternFill>
    </fill>
    <fill>
      <patternFill patternType="solid">
        <fgColor theme="9" tint="0.59999389629810485"/>
        <bgColor indexed="64"/>
      </patternFill>
    </fill>
    <fill>
      <patternFill patternType="solid">
        <fgColor theme="4" tint="0.59999389629810485"/>
        <bgColor indexed="64"/>
      </patternFill>
    </fill>
  </fills>
  <borders count="1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
      <left/>
      <right/>
      <top style="medium">
        <color indexed="64"/>
      </top>
      <bottom/>
      <diagonal/>
    </border>
  </borders>
  <cellStyleXfs count="3">
    <xf numFmtId="0" fontId="0" fillId="0" borderId="0"/>
    <xf numFmtId="0" fontId="28" fillId="0" borderId="0"/>
    <xf numFmtId="0" fontId="27" fillId="0" borderId="0"/>
  </cellStyleXfs>
  <cellXfs count="176">
    <xf numFmtId="0" fontId="0" fillId="0" borderId="0" xfId="0"/>
    <xf numFmtId="0" fontId="0" fillId="0" borderId="0" xfId="0"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0" fillId="2" borderId="0" xfId="0" applyFill="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2" borderId="0" xfId="0" applyFill="1" applyAlignment="1">
      <alignment horizontal="center" vertical="center" wrapText="1"/>
    </xf>
    <xf numFmtId="0" fontId="0" fillId="0" borderId="0" xfId="0" applyAlignment="1">
      <alignment horizontal="center" vertical="center" wrapText="1"/>
    </xf>
    <xf numFmtId="0" fontId="5" fillId="2" borderId="0" xfId="0" applyFont="1" applyFill="1" applyAlignment="1">
      <alignment horizontal="center" vertical="center"/>
    </xf>
    <xf numFmtId="0" fontId="6" fillId="0" borderId="0" xfId="0" applyFont="1" applyAlignment="1">
      <alignment horizontal="center" vertical="center"/>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8" fillId="4" borderId="0" xfId="0" applyFont="1" applyFill="1" applyAlignment="1">
      <alignment horizontal="center" vertical="center"/>
    </xf>
    <xf numFmtId="0" fontId="9" fillId="4" borderId="0" xfId="0" applyFont="1" applyFill="1" applyAlignment="1">
      <alignment horizontal="center" vertical="center" wrapText="1"/>
    </xf>
    <xf numFmtId="0" fontId="10" fillId="4" borderId="0" xfId="0" applyFont="1" applyFill="1" applyAlignment="1">
      <alignment horizontal="center" vertical="center" wrapText="1"/>
    </xf>
    <xf numFmtId="0" fontId="2" fillId="7" borderId="0" xfId="0" applyFont="1" applyFill="1"/>
    <xf numFmtId="0" fontId="2" fillId="7" borderId="0" xfId="0" applyFont="1" applyFill="1" applyAlignment="1">
      <alignment horizontal="center"/>
    </xf>
    <xf numFmtId="16" fontId="0" fillId="0" borderId="0" xfId="0" applyNumberFormat="1"/>
    <xf numFmtId="0" fontId="0" fillId="0" borderId="0" xfId="0" applyAlignment="1">
      <alignment wrapText="1"/>
    </xf>
    <xf numFmtId="0" fontId="2" fillId="7" borderId="0" xfId="0" applyFont="1" applyFill="1" applyAlignment="1">
      <alignment horizontal="center"/>
    </xf>
    <xf numFmtId="0" fontId="0" fillId="0" borderId="0" xfId="0" applyAlignment="1">
      <alignment horizontal="center"/>
    </xf>
    <xf numFmtId="0" fontId="0" fillId="0" borderId="0" xfId="0" applyAlignment="1">
      <alignment horizontal="center" vertical="center" wrapText="1"/>
    </xf>
    <xf numFmtId="0" fontId="2" fillId="9" borderId="0" xfId="0" applyFont="1" applyFill="1" applyBorder="1"/>
    <xf numFmtId="0" fontId="0" fillId="0" borderId="0" xfId="0" applyBorder="1"/>
    <xf numFmtId="0" fontId="6" fillId="9" borderId="0" xfId="0" applyFont="1" applyFill="1" applyBorder="1"/>
    <xf numFmtId="0" fontId="2" fillId="9" borderId="0" xfId="0" applyFont="1" applyFill="1" applyBorder="1" applyAlignment="1">
      <alignment horizontal="left"/>
    </xf>
    <xf numFmtId="0" fontId="2" fillId="7" borderId="0" xfId="0" applyFont="1" applyFill="1" applyBorder="1" applyAlignment="1">
      <alignment horizontal="center"/>
    </xf>
    <xf numFmtId="0" fontId="2" fillId="7" borderId="0" xfId="0" applyFont="1" applyFill="1" applyBorder="1"/>
    <xf numFmtId="0" fontId="2" fillId="9" borderId="1" xfId="0" applyFont="1" applyFill="1" applyBorder="1"/>
    <xf numFmtId="0" fontId="2" fillId="9" borderId="14" xfId="0" applyFont="1" applyFill="1" applyBorder="1"/>
    <xf numFmtId="0" fontId="0" fillId="0" borderId="14" xfId="0" applyBorder="1"/>
    <xf numFmtId="0" fontId="0" fillId="0" borderId="2" xfId="0" applyBorder="1"/>
    <xf numFmtId="0" fontId="2" fillId="9" borderId="3" xfId="0" applyFont="1" applyFill="1" applyBorder="1"/>
    <xf numFmtId="0" fontId="2" fillId="9" borderId="4" xfId="0" applyFont="1" applyFill="1" applyBorder="1" applyAlignment="1">
      <alignment horizontal="left"/>
    </xf>
    <xf numFmtId="0" fontId="0" fillId="0" borderId="4" xfId="0" applyBorder="1"/>
    <xf numFmtId="0" fontId="0" fillId="0" borderId="3" xfId="0" applyBorder="1"/>
    <xf numFmtId="0" fontId="0" fillId="8" borderId="5" xfId="0" applyFill="1" applyBorder="1"/>
    <xf numFmtId="0" fontId="0" fillId="8" borderId="6" xfId="0" applyFill="1" applyBorder="1"/>
    <xf numFmtId="0" fontId="2" fillId="8" borderId="6" xfId="0" applyFont="1" applyFill="1" applyBorder="1" applyAlignment="1">
      <alignment horizontal="center"/>
    </xf>
    <xf numFmtId="0" fontId="2" fillId="8" borderId="6" xfId="0" applyFont="1" applyFill="1" applyBorder="1"/>
    <xf numFmtId="0" fontId="0" fillId="8" borderId="7" xfId="0" applyFill="1" applyBorder="1"/>
    <xf numFmtId="0" fontId="2" fillId="9" borderId="2" xfId="0" applyFont="1" applyFill="1" applyBorder="1"/>
    <xf numFmtId="0" fontId="2" fillId="9" borderId="5" xfId="0" applyFont="1" applyFill="1" applyBorder="1"/>
    <xf numFmtId="0" fontId="0" fillId="0" borderId="6" xfId="0" applyBorder="1"/>
    <xf numFmtId="0" fontId="0" fillId="0" borderId="7" xfId="0" applyBorder="1"/>
    <xf numFmtId="0" fontId="0" fillId="0" borderId="1" xfId="0" applyBorder="1"/>
    <xf numFmtId="0" fontId="0" fillId="9" borderId="3" xfId="0" applyFill="1" applyBorder="1"/>
    <xf numFmtId="0" fontId="0" fillId="9" borderId="0" xfId="0" applyFill="1" applyBorder="1"/>
    <xf numFmtId="0" fontId="0" fillId="0" borderId="0" xfId="0" applyAlignment="1">
      <alignment horizontal="center" wrapText="1"/>
    </xf>
    <xf numFmtId="0" fontId="4" fillId="2" borderId="1" xfId="1" applyFont="1" applyFill="1" applyBorder="1" applyAlignment="1">
      <alignment horizontal="center" vertical="center"/>
    </xf>
    <xf numFmtId="0" fontId="4" fillId="2" borderId="14" xfId="1" applyFont="1" applyFill="1" applyBorder="1" applyAlignment="1">
      <alignment horizontal="center" vertical="center"/>
    </xf>
    <xf numFmtId="0" fontId="4" fillId="2" borderId="14" xfId="1" applyFont="1" applyFill="1" applyBorder="1" applyAlignment="1">
      <alignment horizontal="center" vertical="center" wrapText="1"/>
    </xf>
    <xf numFmtId="0" fontId="4" fillId="2" borderId="2" xfId="1" applyFont="1" applyFill="1" applyBorder="1" applyAlignment="1">
      <alignment horizontal="center" vertical="center"/>
    </xf>
    <xf numFmtId="0" fontId="28" fillId="0" borderId="0" xfId="1" applyAlignment="1">
      <alignment horizontal="center" vertical="center"/>
    </xf>
    <xf numFmtId="0" fontId="28" fillId="0" borderId="0" xfId="1"/>
    <xf numFmtId="0" fontId="29" fillId="2" borderId="3" xfId="1" applyFont="1" applyFill="1" applyBorder="1" applyAlignment="1">
      <alignment horizontal="center" vertical="center"/>
    </xf>
    <xf numFmtId="0" fontId="29" fillId="2" borderId="0" xfId="1" applyFont="1" applyFill="1" applyAlignment="1">
      <alignment vertical="center"/>
    </xf>
    <xf numFmtId="0" fontId="29" fillId="2" borderId="0" xfId="1" applyFont="1" applyFill="1" applyAlignment="1">
      <alignment horizontal="center" vertical="center"/>
    </xf>
    <xf numFmtId="0" fontId="29" fillId="2" borderId="4" xfId="1" applyFont="1" applyFill="1" applyBorder="1" applyAlignment="1">
      <alignment horizontal="center" vertical="center"/>
    </xf>
    <xf numFmtId="0" fontId="4" fillId="0" borderId="3" xfId="1" applyFont="1" applyBorder="1" applyAlignment="1">
      <alignment horizontal="left" vertical="center" wrapText="1"/>
    </xf>
    <xf numFmtId="0" fontId="28" fillId="0" borderId="0" xfId="1" applyAlignment="1">
      <alignment horizontal="left" vertical="center" wrapText="1"/>
    </xf>
    <xf numFmtId="0" fontId="28" fillId="0" borderId="4" xfId="1" applyBorder="1" applyAlignment="1">
      <alignment horizontal="left" vertical="center" wrapText="1"/>
    </xf>
    <xf numFmtId="0" fontId="28" fillId="0" borderId="0" xfId="1" applyAlignment="1">
      <alignment horizontal="left" vertical="justify"/>
    </xf>
    <xf numFmtId="0" fontId="29" fillId="2" borderId="3" xfId="1" applyFont="1" applyFill="1" applyBorder="1" applyAlignment="1">
      <alignment horizontal="center"/>
    </xf>
    <xf numFmtId="0" fontId="29" fillId="2" borderId="0" xfId="1" applyFont="1" applyFill="1"/>
    <xf numFmtId="0" fontId="29" fillId="2" borderId="0" xfId="1" applyFont="1" applyFill="1" applyAlignment="1">
      <alignment horizontal="center"/>
    </xf>
    <xf numFmtId="0" fontId="29" fillId="2" borderId="4" xfId="1" applyFont="1" applyFill="1" applyBorder="1" applyAlignment="1">
      <alignment horizontal="center"/>
    </xf>
    <xf numFmtId="49" fontId="4" fillId="0" borderId="3" xfId="1" applyNumberFormat="1" applyFont="1" applyBorder="1" applyAlignment="1">
      <alignment horizontal="left" vertical="center" wrapText="1"/>
    </xf>
    <xf numFmtId="0" fontId="30" fillId="0" borderId="4" xfId="1" applyFont="1" applyBorder="1" applyAlignment="1">
      <alignment horizontal="left" vertical="center" wrapText="1"/>
    </xf>
    <xf numFmtId="0" fontId="31" fillId="0" borderId="0" xfId="1" applyFont="1" applyAlignment="1">
      <alignment horizontal="left" vertical="justify"/>
    </xf>
    <xf numFmtId="0" fontId="32" fillId="0" borderId="0" xfId="1" applyFont="1" applyAlignment="1">
      <alignment horizontal="left" vertical="center" wrapText="1"/>
    </xf>
    <xf numFmtId="0" fontId="28" fillId="0" borderId="4" xfId="1" applyBorder="1" applyAlignment="1">
      <alignment horizontal="left" vertical="center"/>
    </xf>
    <xf numFmtId="0" fontId="28" fillId="0" borderId="0" xfId="1" applyAlignment="1">
      <alignment horizontal="left" vertical="center"/>
    </xf>
    <xf numFmtId="0" fontId="28" fillId="0" borderId="0" xfId="1" applyAlignment="1">
      <alignment horizontal="left" vertical="center" wrapText="1" readingOrder="1"/>
    </xf>
    <xf numFmtId="0" fontId="31" fillId="0" borderId="0" xfId="1" applyFont="1" applyAlignment="1">
      <alignment horizontal="left" vertical="center"/>
    </xf>
    <xf numFmtId="0" fontId="28" fillId="0" borderId="4" xfId="1" applyBorder="1"/>
    <xf numFmtId="0" fontId="30" fillId="0" borderId="0" xfId="1" applyFont="1" applyAlignment="1">
      <alignment horizontal="left" vertical="center" wrapText="1"/>
    </xf>
    <xf numFmtId="0" fontId="33" fillId="0" borderId="4" xfId="1" applyFont="1" applyBorder="1" applyAlignment="1">
      <alignment horizontal="left" vertical="center" wrapText="1"/>
    </xf>
    <xf numFmtId="0" fontId="28" fillId="0" borderId="4" xfId="1" applyBorder="1" applyAlignment="1">
      <alignment horizontal="left" vertical="justify"/>
    </xf>
    <xf numFmtId="0" fontId="29" fillId="2" borderId="3" xfId="1" applyFont="1" applyFill="1" applyBorder="1"/>
    <xf numFmtId="0" fontId="4" fillId="2" borderId="3" xfId="1" applyFont="1" applyFill="1" applyBorder="1"/>
    <xf numFmtId="0" fontId="4" fillId="2" borderId="0" xfId="1" applyFont="1" applyFill="1"/>
    <xf numFmtId="0" fontId="4" fillId="2" borderId="0" xfId="1" applyFont="1" applyFill="1" applyAlignment="1">
      <alignment horizontal="center"/>
    </xf>
    <xf numFmtId="0" fontId="4" fillId="2" borderId="4" xfId="1" applyFont="1" applyFill="1" applyBorder="1" applyAlignment="1">
      <alignment horizontal="center"/>
    </xf>
    <xf numFmtId="0" fontId="4" fillId="0" borderId="3" xfId="1" applyFont="1" applyBorder="1" applyAlignment="1">
      <alignment horizontal="left" vertical="center"/>
    </xf>
    <xf numFmtId="0" fontId="28" fillId="0" borderId="0" xfId="1" applyAlignment="1">
      <alignment vertical="center"/>
    </xf>
    <xf numFmtId="0" fontId="37" fillId="0" borderId="0" xfId="1" applyFont="1" applyAlignment="1">
      <alignment horizontal="left" vertical="center" wrapText="1"/>
    </xf>
    <xf numFmtId="0" fontId="38" fillId="0" borderId="0" xfId="1" applyFont="1" applyAlignment="1">
      <alignment horizontal="left" vertical="center" wrapText="1"/>
    </xf>
    <xf numFmtId="49" fontId="4" fillId="0" borderId="3" xfId="1" applyNumberFormat="1" applyFont="1" applyBorder="1" applyAlignment="1">
      <alignment horizontal="left" vertical="center"/>
    </xf>
    <xf numFmtId="0" fontId="4" fillId="2" borderId="5" xfId="1" applyFont="1" applyFill="1" applyBorder="1" applyAlignment="1">
      <alignment horizontal="center"/>
    </xf>
    <xf numFmtId="0" fontId="4" fillId="2" borderId="6" xfId="1" applyFont="1" applyFill="1" applyBorder="1" applyAlignment="1">
      <alignment horizontal="center"/>
    </xf>
    <xf numFmtId="0" fontId="4" fillId="2" borderId="6" xfId="1" applyFont="1" applyFill="1" applyBorder="1" applyAlignment="1">
      <alignment horizontal="left" vertical="center" wrapText="1"/>
    </xf>
    <xf numFmtId="0" fontId="4" fillId="2" borderId="7" xfId="1" applyFont="1" applyFill="1" applyBorder="1" applyAlignment="1">
      <alignment horizontal="center"/>
    </xf>
    <xf numFmtId="0" fontId="4" fillId="0" borderId="0" xfId="1" applyFont="1" applyAlignment="1">
      <alignment horizontal="center"/>
    </xf>
    <xf numFmtId="0" fontId="27" fillId="0" borderId="0" xfId="2"/>
    <xf numFmtId="0" fontId="13" fillId="5" borderId="8" xfId="2" applyFont="1" applyFill="1" applyBorder="1" applyAlignment="1">
      <alignment horizontal="center" vertical="center"/>
    </xf>
    <xf numFmtId="0" fontId="13" fillId="5" borderId="9" xfId="2" applyFont="1" applyFill="1" applyBorder="1" applyAlignment="1">
      <alignment horizontal="center" vertical="center"/>
    </xf>
    <xf numFmtId="0" fontId="13" fillId="5" borderId="9" xfId="2" applyFont="1" applyFill="1" applyBorder="1" applyAlignment="1">
      <alignment horizontal="center" vertical="center" wrapText="1"/>
    </xf>
    <xf numFmtId="0" fontId="13" fillId="5" borderId="10" xfId="2" applyFont="1" applyFill="1" applyBorder="1" applyAlignment="1">
      <alignment horizontal="center" vertical="center"/>
    </xf>
    <xf numFmtId="0" fontId="14" fillId="0" borderId="0" xfId="2" applyFont="1" applyAlignment="1">
      <alignment horizontal="center" vertical="center"/>
    </xf>
    <xf numFmtId="0" fontId="14" fillId="0" borderId="0" xfId="2" applyFont="1"/>
    <xf numFmtId="0" fontId="27" fillId="0" borderId="0" xfId="2" applyAlignment="1">
      <alignment horizontal="center" vertical="center"/>
    </xf>
    <xf numFmtId="0" fontId="15" fillId="5" borderId="3" xfId="2" applyFont="1" applyFill="1" applyBorder="1" applyAlignment="1">
      <alignment horizontal="center" vertical="center"/>
    </xf>
    <xf numFmtId="0" fontId="15" fillId="5" borderId="0" xfId="2" applyFont="1" applyFill="1" applyAlignment="1">
      <alignment vertical="center"/>
    </xf>
    <xf numFmtId="0" fontId="15" fillId="5" borderId="0" xfId="2" applyFont="1" applyFill="1" applyAlignment="1">
      <alignment horizontal="center" vertical="center"/>
    </xf>
    <xf numFmtId="0" fontId="15" fillId="5" borderId="4" xfId="2" applyFont="1" applyFill="1" applyBorder="1" applyAlignment="1">
      <alignment horizontal="center" vertical="center"/>
    </xf>
    <xf numFmtId="0" fontId="13" fillId="0" borderId="3" xfId="2" applyFont="1" applyBorder="1" applyAlignment="1">
      <alignment horizontal="left" vertical="center" wrapText="1"/>
    </xf>
    <xf numFmtId="0" fontId="14" fillId="0" borderId="0" xfId="2" applyFont="1" applyAlignment="1">
      <alignment horizontal="left" vertical="center" wrapText="1"/>
    </xf>
    <xf numFmtId="0" fontId="14" fillId="0" borderId="4" xfId="2" applyFont="1" applyBorder="1" applyAlignment="1">
      <alignment horizontal="left" vertical="center" wrapText="1"/>
    </xf>
    <xf numFmtId="0" fontId="14" fillId="0" borderId="0" xfId="2" applyFont="1" applyAlignment="1">
      <alignment horizontal="left" vertical="justify"/>
    </xf>
    <xf numFmtId="0" fontId="13" fillId="6" borderId="3" xfId="2" applyFont="1" applyFill="1" applyBorder="1" applyAlignment="1">
      <alignment horizontal="left" vertical="center" wrapText="1"/>
    </xf>
    <xf numFmtId="0" fontId="14" fillId="6" borderId="0" xfId="2" applyFont="1" applyFill="1" applyAlignment="1">
      <alignment horizontal="left" vertical="center" wrapText="1"/>
    </xf>
    <xf numFmtId="0" fontId="14" fillId="6" borderId="4" xfId="2" applyFont="1" applyFill="1" applyBorder="1" applyAlignment="1">
      <alignment horizontal="left" vertical="center" wrapText="1"/>
    </xf>
    <xf numFmtId="49" fontId="13" fillId="0" borderId="3" xfId="2" applyNumberFormat="1" applyFont="1" applyBorder="1" applyAlignment="1">
      <alignment horizontal="left" vertical="center" wrapText="1"/>
    </xf>
    <xf numFmtId="0" fontId="27" fillId="0" borderId="0" xfId="2" applyAlignment="1">
      <alignment horizontal="left" vertical="justify"/>
    </xf>
    <xf numFmtId="0" fontId="14" fillId="6" borderId="0" xfId="2" applyFont="1" applyFill="1" applyAlignment="1">
      <alignment horizontal="left" vertical="center"/>
    </xf>
    <xf numFmtId="0" fontId="14" fillId="6" borderId="0" xfId="2" applyFont="1" applyFill="1" applyAlignment="1">
      <alignment horizontal="left" vertical="center" wrapText="1" readingOrder="1"/>
    </xf>
    <xf numFmtId="0" fontId="15" fillId="5" borderId="3" xfId="2" applyFont="1" applyFill="1" applyBorder="1" applyAlignment="1">
      <alignment horizontal="center"/>
    </xf>
    <xf numFmtId="0" fontId="15" fillId="5" borderId="0" xfId="2" applyFont="1" applyFill="1"/>
    <xf numFmtId="0" fontId="15" fillId="5" borderId="0" xfId="2" applyFont="1" applyFill="1" applyAlignment="1">
      <alignment horizontal="center"/>
    </xf>
    <xf numFmtId="0" fontId="15" fillId="5" borderId="4" xfId="2" applyFont="1" applyFill="1" applyBorder="1" applyAlignment="1">
      <alignment horizontal="center"/>
    </xf>
    <xf numFmtId="49" fontId="13" fillId="6" borderId="3" xfId="2" applyNumberFormat="1" applyFont="1" applyFill="1" applyBorder="1" applyAlignment="1">
      <alignment horizontal="left" vertical="center" wrapText="1"/>
    </xf>
    <xf numFmtId="0" fontId="16" fillId="6" borderId="4" xfId="2" applyFont="1" applyFill="1" applyBorder="1" applyAlignment="1">
      <alignment horizontal="left" vertical="center" wrapText="1"/>
    </xf>
    <xf numFmtId="0" fontId="17" fillId="0" borderId="0" xfId="2" applyFont="1" applyAlignment="1">
      <alignment horizontal="left" vertical="justify"/>
    </xf>
    <xf numFmtId="0" fontId="18" fillId="0" borderId="0" xfId="2" applyFont="1" applyAlignment="1">
      <alignment horizontal="left" vertical="center" wrapText="1"/>
    </xf>
    <xf numFmtId="0" fontId="13" fillId="0" borderId="3" xfId="2" applyFont="1" applyBorder="1" applyAlignment="1">
      <alignment horizontal="left" vertical="center"/>
    </xf>
    <xf numFmtId="0" fontId="14" fillId="0" borderId="0" xfId="2" applyFont="1" applyAlignment="1">
      <alignment vertical="center"/>
    </xf>
    <xf numFmtId="0" fontId="14" fillId="0" borderId="4" xfId="2" applyFont="1" applyBorder="1" applyAlignment="1">
      <alignment horizontal="left" vertical="center"/>
    </xf>
    <xf numFmtId="0" fontId="14" fillId="0" borderId="0" xfId="2" applyFont="1" applyAlignment="1">
      <alignment horizontal="left" vertical="center"/>
    </xf>
    <xf numFmtId="0" fontId="17" fillId="0" borderId="0" xfId="2" applyFont="1" applyAlignment="1">
      <alignment horizontal="left" vertical="center"/>
    </xf>
    <xf numFmtId="0" fontId="18" fillId="6" borderId="0" xfId="2" applyFont="1" applyFill="1" applyAlignment="1">
      <alignment horizontal="left" vertical="center" wrapText="1"/>
    </xf>
    <xf numFmtId="0" fontId="14" fillId="6" borderId="4" xfId="2" applyFont="1" applyFill="1" applyBorder="1" applyAlignment="1">
      <alignment horizontal="left" vertical="center"/>
    </xf>
    <xf numFmtId="0" fontId="14" fillId="0" borderId="4" xfId="2" applyFont="1" applyBorder="1"/>
    <xf numFmtId="0" fontId="16" fillId="0" borderId="0" xfId="2" applyFont="1" applyAlignment="1">
      <alignment horizontal="left" vertical="center" wrapText="1"/>
    </xf>
    <xf numFmtId="0" fontId="14" fillId="0" borderId="4" xfId="2" applyFont="1" applyBorder="1" applyAlignment="1">
      <alignment horizontal="left" vertical="justify"/>
    </xf>
    <xf numFmtId="0" fontId="15" fillId="5" borderId="3" xfId="2" applyFont="1" applyFill="1" applyBorder="1"/>
    <xf numFmtId="0" fontId="13" fillId="5" borderId="3" xfId="2" applyFont="1" applyFill="1" applyBorder="1"/>
    <xf numFmtId="0" fontId="13" fillId="5" borderId="0" xfId="2" applyFont="1" applyFill="1"/>
    <xf numFmtId="0" fontId="13" fillId="5" borderId="0" xfId="2" applyFont="1" applyFill="1" applyAlignment="1">
      <alignment horizontal="center"/>
    </xf>
    <xf numFmtId="0" fontId="13" fillId="5" borderId="4" xfId="2" applyFont="1" applyFill="1" applyBorder="1" applyAlignment="1">
      <alignment horizontal="center"/>
    </xf>
    <xf numFmtId="0" fontId="13" fillId="6" borderId="3" xfId="2" applyFont="1" applyFill="1" applyBorder="1" applyAlignment="1">
      <alignment horizontal="left" vertical="center"/>
    </xf>
    <xf numFmtId="0" fontId="14" fillId="6" borderId="0" xfId="2" applyFont="1" applyFill="1" applyAlignment="1">
      <alignment vertical="center"/>
    </xf>
    <xf numFmtId="0" fontId="14" fillId="6" borderId="0" xfId="2" applyFont="1" applyFill="1"/>
    <xf numFmtId="0" fontId="22" fillId="6" borderId="0" xfId="2" applyFont="1" applyFill="1" applyAlignment="1">
      <alignment horizontal="left" vertical="center" wrapText="1"/>
    </xf>
    <xf numFmtId="0" fontId="23" fillId="0" borderId="0" xfId="2" applyFont="1" applyAlignment="1">
      <alignment horizontal="left" vertical="center" wrapText="1"/>
    </xf>
    <xf numFmtId="0" fontId="23" fillId="6" borderId="0" xfId="2" applyFont="1" applyFill="1" applyAlignment="1">
      <alignment horizontal="left" vertical="center" wrapText="1"/>
    </xf>
    <xf numFmtId="49" fontId="13" fillId="0" borderId="3" xfId="2" applyNumberFormat="1" applyFont="1" applyBorder="1" applyAlignment="1">
      <alignment horizontal="left" vertical="center"/>
    </xf>
    <xf numFmtId="49" fontId="13" fillId="6" borderId="3" xfId="2" applyNumberFormat="1" applyFont="1" applyFill="1" applyBorder="1" applyAlignment="1">
      <alignment horizontal="left" vertical="center"/>
    </xf>
    <xf numFmtId="0" fontId="27" fillId="0" borderId="0" xfId="2" applyAlignment="1">
      <alignment horizontal="left" vertical="center"/>
    </xf>
    <xf numFmtId="0" fontId="13" fillId="0" borderId="11" xfId="2" applyFont="1" applyBorder="1" applyAlignment="1">
      <alignment horizontal="left" vertical="center"/>
    </xf>
    <xf numFmtId="0" fontId="14" fillId="0" borderId="12" xfId="2" applyFont="1" applyBorder="1"/>
    <xf numFmtId="0" fontId="14" fillId="0" borderId="12" xfId="2" applyFont="1" applyBorder="1" applyAlignment="1">
      <alignment horizontal="left" vertical="center" wrapText="1"/>
    </xf>
    <xf numFmtId="0" fontId="14" fillId="0" borderId="13" xfId="2" applyFont="1" applyBorder="1" applyAlignment="1">
      <alignment horizontal="left" vertical="center"/>
    </xf>
    <xf numFmtId="0" fontId="13" fillId="5" borderId="5" xfId="2" applyFont="1" applyFill="1" applyBorder="1" applyAlignment="1">
      <alignment horizontal="center"/>
    </xf>
    <xf numFmtId="0" fontId="13" fillId="5" borderId="6" xfId="2" applyFont="1" applyFill="1" applyBorder="1" applyAlignment="1">
      <alignment horizontal="center"/>
    </xf>
    <xf numFmtId="0" fontId="13" fillId="5" borderId="6" xfId="2" applyFont="1" applyFill="1" applyBorder="1" applyAlignment="1">
      <alignment horizontal="left" vertical="center" wrapText="1"/>
    </xf>
    <xf numFmtId="0" fontId="13" fillId="5" borderId="7" xfId="2" applyFont="1" applyFill="1" applyBorder="1" applyAlignment="1">
      <alignment horizontal="center"/>
    </xf>
    <xf numFmtId="0" fontId="13" fillId="0" borderId="0" xfId="2" applyFont="1" applyAlignment="1">
      <alignment horizontal="center"/>
    </xf>
    <xf numFmtId="0" fontId="13" fillId="5" borderId="1" xfId="2" applyFont="1" applyFill="1" applyBorder="1" applyAlignment="1">
      <alignment horizontal="right"/>
    </xf>
    <xf numFmtId="0" fontId="14" fillId="0" borderId="2" xfId="2" applyFont="1" applyBorder="1" applyAlignment="1">
      <alignment horizontal="left" vertical="center"/>
    </xf>
    <xf numFmtId="0" fontId="13" fillId="5" borderId="3" xfId="2" applyFont="1" applyFill="1" applyBorder="1" applyAlignment="1">
      <alignment horizontal="right"/>
    </xf>
    <xf numFmtId="0" fontId="13" fillId="5" borderId="5" xfId="2" applyFont="1" applyFill="1" applyBorder="1" applyAlignment="1">
      <alignment horizontal="right"/>
    </xf>
    <xf numFmtId="0" fontId="14" fillId="0" borderId="7" xfId="2" applyFont="1" applyBorder="1" applyAlignment="1">
      <alignment horizontal="left" vertical="center"/>
    </xf>
    <xf numFmtId="0" fontId="14" fillId="0" borderId="0" xfId="2" applyFont="1" applyAlignment="1">
      <alignment horizontal="right" vertical="center"/>
    </xf>
    <xf numFmtId="0" fontId="26" fillId="0" borderId="0" xfId="2" applyFont="1" applyAlignment="1">
      <alignment vertical="center" wrapText="1"/>
    </xf>
    <xf numFmtId="0" fontId="26" fillId="5" borderId="1" xfId="2" applyFont="1" applyFill="1" applyBorder="1" applyAlignment="1">
      <alignment horizontal="right" vertical="center" wrapText="1"/>
    </xf>
    <xf numFmtId="0" fontId="14" fillId="0" borderId="2" xfId="2" applyFont="1" applyBorder="1" applyAlignment="1">
      <alignment horizontal="left" vertical="center" wrapText="1"/>
    </xf>
    <xf numFmtId="0" fontId="26" fillId="5" borderId="3" xfId="2" applyFont="1" applyFill="1" applyBorder="1" applyAlignment="1">
      <alignment horizontal="right" vertical="center" wrapText="1"/>
    </xf>
    <xf numFmtId="0" fontId="26" fillId="5" borderId="5" xfId="2" applyFont="1" applyFill="1" applyBorder="1" applyAlignment="1">
      <alignment horizontal="right" vertical="center" wrapText="1"/>
    </xf>
    <xf numFmtId="0" fontId="14" fillId="0" borderId="7" xfId="2" applyFont="1" applyBorder="1" applyAlignment="1">
      <alignment horizontal="left" vertical="center" wrapText="1"/>
    </xf>
    <xf numFmtId="0" fontId="4" fillId="0" borderId="0" xfId="2" applyFont="1" applyAlignment="1">
      <alignment horizontal="center"/>
    </xf>
    <xf numFmtId="0" fontId="27" fillId="0" borderId="0" xfId="2" applyAlignment="1">
      <alignment vertical="center"/>
    </xf>
    <xf numFmtId="0" fontId="27" fillId="0" borderId="0" xfId="2" applyAlignment="1">
      <alignment horizontal="left" vertical="center" wrapText="1"/>
    </xf>
  </cellXfs>
  <cellStyles count="3">
    <cellStyle name="Normal" xfId="0" builtinId="0"/>
    <cellStyle name="Normal 2" xfId="1" xr:uid="{C4FD738A-94AF-464A-840A-E7D74F0D5ABD}"/>
    <cellStyle name="Normal 2 2" xfId="2" xr:uid="{42A123BA-1837-8C4E-A596-E1D22830AE5D}"/>
  </cellStyles>
  <dxfs count="54">
    <dxf>
      <alignment horizontal="left" vertical="center" textRotation="0" wrapText="0"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center" vertical="center" textRotation="0" wrapText="0" indent="0" justifyLastLine="0" shrinkToFit="0" readingOrder="0"/>
    </dxf>
    <dxf>
      <alignment horizontal="center" vertical="center" textRotation="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numFmt numFmtId="0" formatCode="General"/>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alignment horizontal="center" vertical="center" textRotation="0" wrapText="1"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bagId>2</bagId>
    </a>
  </bag>
</FeaturePropertyBags>
</file>

<file path=xl/persons/person.xml><?xml version="1.0" encoding="utf-8"?>
<personList xmlns="http://schemas.microsoft.com/office/spreadsheetml/2018/threadedcomments" xmlns:x="http://schemas.openxmlformats.org/spreadsheetml/2006/main">
  <person displayName="Gerardo IULIANO" id="{C601773E-DA25-1345-B506-131F06B23BB5}" userId="S::geiuliano@unisa.it::69cc09a9-0d4b-452a-bc37-646b2a7a454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85D06-E7DB-CE4D-8AA4-ECEA7E64C5F1}" name="Table4" displayName="Table4" ref="A1:D207" totalsRowShown="0" headerRowDxfId="3">
  <autoFilter ref="A1:D207" xr:uid="{4A51BB59-68BC-F845-8428-83ABBE1B8234}"/>
  <tableColumns count="4">
    <tableColumn id="1" xr3:uid="{F2A59813-463B-9342-80CF-66A952FC41A3}" name="Id" dataDxfId="2"/>
    <tableColumn id="2" xr3:uid="{4A02E11C-28B6-1244-B265-48481E66483D}" name="Name"/>
    <tableColumn id="3" xr3:uid="{E41E1432-D293-B740-9CE4-A4BC12D68887}" name="Description" dataDxfId="1"/>
    <tableColumn id="4" xr3:uid="{91831E30-548E-5840-B6DC-E1AB5B13A4E1}" name="Alternate Name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152590-6A57-7445-8A6C-552A93D44C7A}" name="Table5" displayName="Table5" ref="A1:O20" totalsRowShown="0" headerRowDxfId="53" dataDxfId="52">
  <autoFilter ref="A1:O20" xr:uid="{1C152590-6A57-7445-8A6C-552A93D44C7A}"/>
  <tableColumns count="15">
    <tableColumn id="1" xr3:uid="{6E2DA4F8-7C31-3146-931E-CF7AB5A691C8}" name="ID" dataDxfId="51"/>
    <tableColumn id="2" xr3:uid="{7B3CDF93-85BB-C140-BBA3-D85BEF9D444F}" name="Name " dataDxfId="50"/>
    <tableColumn id="3" xr3:uid="{84239F34-2287-374B-AB92-BB3849891225}" name="Synonyms" dataDxfId="49"/>
    <tableColumn id="4" xr3:uid="{7833D586-CDD4-DC4E-A4A3-00B260B62602}" name="Description" dataDxfId="48"/>
    <tableColumn id="5" xr3:uid="{695FF21A-ECE7-D047-9CA7-E4C3588C0AAD}" name="Malicious Environment, Transactions or Input" dataDxfId="47"/>
    <tableColumn id="6" xr3:uid="{5B37E1AD-89BF-3348-9731-D1AB0716C983}" name="Blockchain/Environment Dependency" dataDxfId="46"/>
    <tableColumn id="7" xr3:uid="{B27FD65A-9853-4040-80C2-B4D448ED9FAD}" name="Denial of Service" dataDxfId="45"/>
    <tableColumn id="8" xr3:uid="{1A5EC5A2-92D7-4E41-AF05-D85E7115F9A9}" name="Resurce Consumption &amp; Gas Related Issues" dataDxfId="44"/>
    <tableColumn id="9" xr3:uid="{E2015E5B-63E8-2E4E-8293-789B294FF099}" name="Authentication &amp; Access Control Vulnerabilities" dataDxfId="43"/>
    <tableColumn id="10" xr3:uid="{AB363203-47FD-164B-AF3F-3BB9BA293FD7}" name="Arithmetic bugs" dataDxfId="42"/>
    <tableColumn id="11" xr3:uid="{725A5369-4D2C-B54B-8051-105ACD9B9B8C}" name="Bad Coding Quality and Programming Language Specifics" dataDxfId="41"/>
    <tableColumn id="12" xr3:uid="{70447B8D-6933-DF41-B671-B29EE24809A0}" name="Environment Configuration Issues" dataDxfId="40"/>
    <tableColumn id="13" xr3:uid="{06CD54E6-E981-0940-9838-7430A76A8F85}" name="Eliminated/Deprecated syntax" dataDxfId="39"/>
    <tableColumn id="14" xr3:uid="{3894FC1C-5611-D740-B3FC-6DDFE856BAD5}" name="Storage &amp; Memory" dataDxfId="38"/>
    <tableColumn id="15" xr3:uid="{8DB18DEA-D0EB-8540-902E-98505FF4A73B}" name="Hierarchy validation needed?" dataDxfId="3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CAB152-06E6-134C-876E-6FB22C769653}" name="Table53" displayName="Table53" ref="A1:F11" totalsRowShown="0" headerRowDxfId="36" dataDxfId="35">
  <autoFilter ref="A1:F11" xr:uid="{1C152590-6A57-7445-8A6C-552A93D44C7A}"/>
  <tableColumns count="6">
    <tableColumn id="1" xr3:uid="{62FBE85F-9D8F-7A48-8E7A-A35F24D77740}" name="ID" dataDxfId="34"/>
    <tableColumn id="2" xr3:uid="{04B2E3BE-771B-DF46-9A09-047A59CAE0E7}" name="Name " dataDxfId="33"/>
    <tableColumn id="3" xr3:uid="{DE760E69-D166-5349-AB8B-B24FBAF67ABD}" name="Synonyms" dataDxfId="32"/>
    <tableColumn id="4" xr3:uid="{7BFC834F-68D6-0848-B80B-5C10EC75FC14}" name="Description" dataDxfId="31"/>
    <tableColumn id="8" xr3:uid="{F34F0F4D-2F2E-9740-A112-79B36BCFD81E}" name="Is there a relation with other vulnerabilities?" dataDxfId="30">
      <calculatedColumnFormula>VLOOKUP($A2,#REF!, 2, FALSE)</calculatedColumnFormula>
    </tableColumn>
    <tableColumn id="11" xr3:uid="{847C98F4-8DD0-BB49-968E-A0839F30A8CD}" name="What is the relation?" dataDxfId="2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9C7E3-FCF1-D24F-8B22-9D390B27A06D}" name="Table6" displayName="Table6" ref="A1:O20" totalsRowShown="0" headerRowDxfId="28" dataDxfId="27">
  <autoFilter ref="A1:O20" xr:uid="{3009C7E3-FCF1-D24F-8B22-9D390B27A06D}"/>
  <tableColumns count="15">
    <tableColumn id="1" xr3:uid="{EFEBB629-61DE-1844-AD8A-86A2C384EE44}" name="ID" dataDxfId="26"/>
    <tableColumn id="2" xr3:uid="{565AEA0F-27C3-9B4F-B603-B963DA47C7EF}" name="Name " dataDxfId="25"/>
    <tableColumn id="3" xr3:uid="{1EA35FF6-630E-6841-8325-CAE37CFA8E6D}" name="Synonyms" dataDxfId="24"/>
    <tableColumn id="4" xr3:uid="{05137222-748A-6242-8765-E3AF7A746702}" name="Description" dataDxfId="23"/>
    <tableColumn id="5" xr3:uid="{5E5DA285-53A2-DA4D-A47D-0F3B8C64C447}" name="Malicious Environment, Transactions or Input" dataDxfId="22"/>
    <tableColumn id="6" xr3:uid="{BDF1B9B2-8B1C-B845-AADB-B52E023F16C8}" name="Blockchain/Environment Dependency" dataDxfId="21"/>
    <tableColumn id="7" xr3:uid="{2DA8567D-4BB7-FC42-BEE9-5CF52DDB57CA}" name="Denial of Service" dataDxfId="20"/>
    <tableColumn id="8" xr3:uid="{DC6F5BD9-EE67-A341-BBDF-0046AF55C6B2}" name="Resurce Consumption &amp; Gas Related Issues" dataDxfId="19"/>
    <tableColumn id="9" xr3:uid="{1D78F24A-8BD5-714B-AF77-61103E76AC2D}" name="Authentication &amp; Access Control Vulnerabilities" dataDxfId="18"/>
    <tableColumn id="10" xr3:uid="{F7D3FE7F-88EE-4A49-B24D-BF0F8949B324}" name="Arithmetic bugs" dataDxfId="17"/>
    <tableColumn id="11" xr3:uid="{2CEB8D53-71E9-5F49-A66E-77C42B70BFCA}" name="Bad Coding Quality and Programming Language Specifics" dataDxfId="16"/>
    <tableColumn id="12" xr3:uid="{35233B27-4048-A94E-8753-FCD8E767B995}" name="Environment Configuration Issues" dataDxfId="15"/>
    <tableColumn id="13" xr3:uid="{A008220B-A5AB-CB40-B5D4-772C45FBE275}" name="Eliminated/Deprecated syntax" dataDxfId="14"/>
    <tableColumn id="14" xr3:uid="{E5454A4D-36A5-5549-980C-20DCED922D00}" name="Storage &amp; Memory" dataDxfId="13"/>
    <tableColumn id="15" xr3:uid="{46F97FBF-7576-CB4C-8435-A406EFC111EE}" name="Hierarchy validation needed?" dataDxfId="1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1A0DC0-9EE4-F342-A0A0-D66A93D02B4A}" name="Table64" displayName="Table64" ref="A1:F12" totalsRowShown="0" headerRowDxfId="11" dataDxfId="10">
  <autoFilter ref="A1:F12" xr:uid="{3009C7E3-FCF1-D24F-8B22-9D390B27A06D}"/>
  <tableColumns count="6">
    <tableColumn id="1" xr3:uid="{C566DD94-BB8C-7B4C-BEBB-53AEE07796EE}" name="ID" dataDxfId="9"/>
    <tableColumn id="2" xr3:uid="{2F5CE10B-7C76-2442-92B9-D483890AABAE}" name="Name " dataDxfId="8"/>
    <tableColumn id="3" xr3:uid="{D88048E7-E7BF-8F4E-8614-CA31C7D637B3}" name="Synonyms" dataDxfId="7"/>
    <tableColumn id="4" xr3:uid="{61C41A5C-21D7-B043-B242-6ECC875F88D1}" name="Description" dataDxfId="6"/>
    <tableColumn id="11" xr3:uid="{F7F98ED4-02FF-6840-BF43-754E468F9AAC}" name="Is there a relation with other vulnerabilities?" dataDxfId="5"/>
    <tableColumn id="8" xr3:uid="{DAC60A28-2C56-7F4F-A964-12CBEFD98F37}" name="What is the relation?"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9" dT="2025-11-05T15:01:05.61" personId="{C601773E-DA25-1345-B506-131F06B23BB5}" id="{ADB31F66-2F6F-314A-BDFC-1846B2991AEB}">
    <text xml:space="preserve">Alessandro l'ha spostata in DoS, Ori l'ha spostata in Resource Consumption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8C9A-56AE-D540-8BFE-E23A9BC3434E}">
  <dimension ref="A1:L20"/>
  <sheetViews>
    <sheetView workbookViewId="0">
      <selection activeCell="C29" sqref="C29"/>
    </sheetView>
  </sheetViews>
  <sheetFormatPr baseColWidth="10" defaultRowHeight="16" x14ac:dyDescent="0.2"/>
  <cols>
    <col min="1" max="2" width="34.83203125" bestFit="1" customWidth="1"/>
    <col min="3" max="3" width="49" bestFit="1" customWidth="1"/>
    <col min="4" max="4" width="27.5" bestFit="1" customWidth="1"/>
    <col min="5" max="5" width="23.6640625" bestFit="1" customWidth="1"/>
    <col min="6" max="6" width="33.83203125" bestFit="1" customWidth="1"/>
    <col min="9" max="9" width="30.83203125" bestFit="1" customWidth="1"/>
    <col min="10" max="10" width="32.5" bestFit="1" customWidth="1"/>
    <col min="11" max="11" width="49" bestFit="1" customWidth="1"/>
    <col min="12" max="12" width="94.6640625" bestFit="1" customWidth="1"/>
  </cols>
  <sheetData>
    <row r="1" spans="1:12" x14ac:dyDescent="0.2">
      <c r="A1" s="19" t="s">
        <v>751</v>
      </c>
      <c r="B1" s="19" t="s">
        <v>907</v>
      </c>
      <c r="C1" s="19" t="s">
        <v>747</v>
      </c>
      <c r="D1" s="19" t="s">
        <v>745</v>
      </c>
      <c r="E1" s="19" t="s">
        <v>746</v>
      </c>
      <c r="F1" s="19" t="s">
        <v>750</v>
      </c>
      <c r="G1" s="19"/>
      <c r="H1" s="19"/>
      <c r="L1" s="19" t="s">
        <v>758</v>
      </c>
    </row>
    <row r="2" spans="1:12" x14ac:dyDescent="0.2">
      <c r="A2" t="s">
        <v>752</v>
      </c>
      <c r="B2" t="s">
        <v>908</v>
      </c>
      <c r="C2" t="s">
        <v>748</v>
      </c>
      <c r="D2">
        <v>5</v>
      </c>
      <c r="E2" t="s">
        <v>776</v>
      </c>
      <c r="H2" s="20"/>
      <c r="L2" t="s">
        <v>759</v>
      </c>
    </row>
    <row r="6" spans="1:12" x14ac:dyDescent="0.2">
      <c r="A6" s="19" t="s">
        <v>760</v>
      </c>
      <c r="B6" s="19" t="s">
        <v>753</v>
      </c>
      <c r="C6" s="19" t="s">
        <v>754</v>
      </c>
      <c r="D6" s="22" t="s">
        <v>762</v>
      </c>
      <c r="E6" s="22"/>
      <c r="F6" s="22"/>
      <c r="G6" s="22"/>
      <c r="H6" s="22"/>
    </row>
    <row r="7" spans="1:12" x14ac:dyDescent="0.2">
      <c r="A7" t="s">
        <v>756</v>
      </c>
      <c r="B7" t="s">
        <v>755</v>
      </c>
      <c r="C7" t="s">
        <v>757</v>
      </c>
      <c r="D7" s="23" t="s">
        <v>890</v>
      </c>
      <c r="E7" s="23"/>
      <c r="F7" s="23"/>
      <c r="G7" s="23"/>
      <c r="H7" s="23"/>
    </row>
    <row r="8" spans="1:12" x14ac:dyDescent="0.2">
      <c r="A8" t="s">
        <v>119</v>
      </c>
      <c r="B8" t="s">
        <v>80</v>
      </c>
      <c r="C8" t="s">
        <v>188</v>
      </c>
      <c r="D8" s="23" t="s">
        <v>763</v>
      </c>
      <c r="E8" s="23"/>
      <c r="F8" s="23"/>
      <c r="G8" s="23"/>
      <c r="H8" s="23"/>
    </row>
    <row r="9" spans="1:12" ht="17" x14ac:dyDescent="0.2">
      <c r="A9" s="21" t="s">
        <v>160</v>
      </c>
      <c r="B9" t="s">
        <v>188</v>
      </c>
      <c r="C9" t="s">
        <v>189</v>
      </c>
      <c r="D9" s="23" t="s">
        <v>761</v>
      </c>
      <c r="E9" s="23"/>
      <c r="F9" s="23"/>
      <c r="G9" s="23"/>
      <c r="H9" s="23"/>
    </row>
    <row r="10" spans="1:12" x14ac:dyDescent="0.2">
      <c r="A10" t="s">
        <v>166</v>
      </c>
      <c r="B10" t="s">
        <v>189</v>
      </c>
      <c r="C10" t="s">
        <v>79</v>
      </c>
      <c r="D10" s="23" t="s">
        <v>764</v>
      </c>
      <c r="E10" s="23"/>
      <c r="F10" s="23"/>
      <c r="G10" s="23"/>
      <c r="H10" s="23"/>
    </row>
    <row r="11" spans="1:12" x14ac:dyDescent="0.2">
      <c r="A11" t="s">
        <v>57</v>
      </c>
      <c r="B11" t="s">
        <v>78</v>
      </c>
      <c r="C11" t="s">
        <v>80</v>
      </c>
      <c r="D11" s="23" t="s">
        <v>765</v>
      </c>
      <c r="E11" s="23"/>
      <c r="F11" s="23"/>
      <c r="G11" s="23"/>
      <c r="H11" s="23"/>
    </row>
    <row r="14" spans="1:12" x14ac:dyDescent="0.2">
      <c r="A14" s="19" t="s">
        <v>766</v>
      </c>
      <c r="B14" s="19" t="s">
        <v>753</v>
      </c>
      <c r="C14" s="19" t="s">
        <v>754</v>
      </c>
      <c r="D14" s="22" t="s">
        <v>762</v>
      </c>
      <c r="E14" s="22"/>
      <c r="F14" s="22"/>
      <c r="G14" s="22"/>
      <c r="H14" s="22"/>
    </row>
    <row r="15" spans="1:12" x14ac:dyDescent="0.2">
      <c r="A15" t="s">
        <v>756</v>
      </c>
      <c r="B15" t="s">
        <v>770</v>
      </c>
      <c r="C15" t="s">
        <v>769</v>
      </c>
      <c r="D15" t="s">
        <v>767</v>
      </c>
    </row>
    <row r="16" spans="1:12" x14ac:dyDescent="0.2">
      <c r="A16" t="s">
        <v>148</v>
      </c>
      <c r="B16" t="s">
        <v>460</v>
      </c>
      <c r="C16" t="s">
        <v>769</v>
      </c>
      <c r="D16" t="s">
        <v>768</v>
      </c>
    </row>
    <row r="19" spans="1:8" x14ac:dyDescent="0.2">
      <c r="A19" s="22" t="s">
        <v>771</v>
      </c>
      <c r="B19" s="22"/>
      <c r="C19" s="22"/>
      <c r="D19" s="22"/>
      <c r="E19" s="22"/>
      <c r="F19" s="22"/>
      <c r="G19" s="22"/>
      <c r="H19" s="22"/>
    </row>
    <row r="20" spans="1:8" x14ac:dyDescent="0.2">
      <c r="A20" s="23" t="s">
        <v>894</v>
      </c>
      <c r="B20" s="23"/>
      <c r="C20" s="23"/>
      <c r="D20" s="23"/>
      <c r="E20" s="23"/>
      <c r="F20" s="23"/>
      <c r="G20" s="23"/>
      <c r="H20" s="23"/>
    </row>
  </sheetData>
  <mergeCells count="9">
    <mergeCell ref="A19:H19"/>
    <mergeCell ref="A20:H20"/>
    <mergeCell ref="D6:H6"/>
    <mergeCell ref="D14:H14"/>
    <mergeCell ref="D7:H7"/>
    <mergeCell ref="D8:H8"/>
    <mergeCell ref="D9:H9"/>
    <mergeCell ref="D10:H10"/>
    <mergeCell ref="D11:H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1DD0-2CE2-574B-B8D5-5E858804AF29}">
  <dimension ref="A1:L26"/>
  <sheetViews>
    <sheetView workbookViewId="0">
      <selection activeCell="B3" sqref="B3"/>
    </sheetView>
  </sheetViews>
  <sheetFormatPr baseColWidth="10" defaultRowHeight="16" x14ac:dyDescent="0.2"/>
  <cols>
    <col min="1" max="1" width="38.1640625" bestFit="1" customWidth="1"/>
    <col min="2" max="2" width="35.1640625" bestFit="1" customWidth="1"/>
    <col min="3" max="3" width="44.83203125" customWidth="1"/>
    <col min="4" max="4" width="35.5" customWidth="1"/>
    <col min="6" max="6" width="49.5" bestFit="1" customWidth="1"/>
    <col min="9" max="9" width="30.83203125" bestFit="1" customWidth="1"/>
    <col min="10" max="10" width="32.5" bestFit="1" customWidth="1"/>
    <col min="11" max="11" width="38" bestFit="1" customWidth="1"/>
    <col min="12" max="12" width="94.6640625" bestFit="1" customWidth="1"/>
  </cols>
  <sheetData>
    <row r="1" spans="1:12" x14ac:dyDescent="0.2">
      <c r="A1" s="19" t="s">
        <v>751</v>
      </c>
      <c r="B1" s="19" t="s">
        <v>907</v>
      </c>
      <c r="C1" s="19" t="s">
        <v>747</v>
      </c>
      <c r="D1" s="19" t="s">
        <v>745</v>
      </c>
      <c r="E1" s="19" t="s">
        <v>746</v>
      </c>
      <c r="F1" s="19" t="s">
        <v>750</v>
      </c>
      <c r="G1" s="19"/>
      <c r="H1" s="19"/>
      <c r="L1" s="19" t="s">
        <v>758</v>
      </c>
    </row>
    <row r="2" spans="1:12" x14ac:dyDescent="0.2">
      <c r="A2" t="s">
        <v>772</v>
      </c>
      <c r="B2" t="s">
        <v>909</v>
      </c>
      <c r="C2" t="s">
        <v>748</v>
      </c>
      <c r="D2">
        <v>4</v>
      </c>
      <c r="E2" t="s">
        <v>773</v>
      </c>
      <c r="H2" s="20"/>
    </row>
    <row r="8" spans="1:12" x14ac:dyDescent="0.2">
      <c r="A8" s="19" t="s">
        <v>760</v>
      </c>
      <c r="B8" s="19" t="s">
        <v>753</v>
      </c>
      <c r="C8" s="19" t="s">
        <v>754</v>
      </c>
      <c r="D8" s="22" t="s">
        <v>762</v>
      </c>
      <c r="E8" s="22"/>
      <c r="F8" s="22"/>
      <c r="G8" s="22"/>
      <c r="H8" s="22"/>
    </row>
    <row r="9" spans="1:12" ht="39" customHeight="1" x14ac:dyDescent="0.2">
      <c r="A9" t="s">
        <v>57</v>
      </c>
      <c r="B9" t="s">
        <v>774</v>
      </c>
      <c r="C9" t="s">
        <v>775</v>
      </c>
      <c r="D9" s="24" t="s">
        <v>889</v>
      </c>
      <c r="E9" s="24"/>
      <c r="F9" s="24"/>
      <c r="G9" s="24"/>
      <c r="H9" s="24"/>
    </row>
    <row r="10" spans="1:12" x14ac:dyDescent="0.2">
      <c r="A10" t="s">
        <v>756</v>
      </c>
      <c r="B10" t="s">
        <v>755</v>
      </c>
      <c r="C10" t="s">
        <v>757</v>
      </c>
      <c r="D10" t="s">
        <v>890</v>
      </c>
    </row>
    <row r="11" spans="1:12" x14ac:dyDescent="0.2">
      <c r="A11" t="s">
        <v>119</v>
      </c>
      <c r="B11" t="s">
        <v>80</v>
      </c>
      <c r="C11" t="s">
        <v>188</v>
      </c>
      <c r="D11" t="s">
        <v>763</v>
      </c>
    </row>
    <row r="12" spans="1:12" ht="17" x14ac:dyDescent="0.2">
      <c r="A12" s="21" t="s">
        <v>160</v>
      </c>
      <c r="B12" t="s">
        <v>188</v>
      </c>
      <c r="C12" t="s">
        <v>189</v>
      </c>
      <c r="D12" t="s">
        <v>761</v>
      </c>
    </row>
    <row r="13" spans="1:12" x14ac:dyDescent="0.2">
      <c r="A13" t="s">
        <v>166</v>
      </c>
      <c r="B13" t="s">
        <v>189</v>
      </c>
      <c r="C13" t="s">
        <v>79</v>
      </c>
      <c r="D13" t="s">
        <v>764</v>
      </c>
    </row>
    <row r="15" spans="1:12" x14ac:dyDescent="0.2">
      <c r="A15" s="21"/>
    </row>
    <row r="20" spans="1:8" x14ac:dyDescent="0.2">
      <c r="A20" s="19" t="s">
        <v>766</v>
      </c>
      <c r="B20" s="19" t="s">
        <v>753</v>
      </c>
      <c r="C20" s="19" t="s">
        <v>754</v>
      </c>
      <c r="D20" s="22" t="s">
        <v>762</v>
      </c>
      <c r="E20" s="22"/>
      <c r="F20" s="22"/>
      <c r="G20" s="22"/>
      <c r="H20" s="22"/>
    </row>
    <row r="21" spans="1:8" ht="70" customHeight="1" x14ac:dyDescent="0.2">
      <c r="A21" t="s">
        <v>777</v>
      </c>
      <c r="B21" t="s">
        <v>531</v>
      </c>
      <c r="C21" t="s">
        <v>769</v>
      </c>
      <c r="D21" s="24" t="s">
        <v>891</v>
      </c>
      <c r="E21" s="24"/>
      <c r="F21" s="24"/>
      <c r="G21" s="24"/>
      <c r="H21" s="24"/>
    </row>
    <row r="25" spans="1:8" x14ac:dyDescent="0.2">
      <c r="A25" s="22" t="s">
        <v>771</v>
      </c>
      <c r="B25" s="22"/>
      <c r="C25" s="22"/>
      <c r="D25" s="22"/>
      <c r="E25" s="22"/>
      <c r="F25" s="22"/>
      <c r="G25" s="22"/>
      <c r="H25" s="22"/>
    </row>
    <row r="26" spans="1:8" x14ac:dyDescent="0.2">
      <c r="A26" s="23"/>
      <c r="B26" s="23"/>
      <c r="C26" s="23"/>
      <c r="D26" s="23"/>
      <c r="E26" s="23"/>
    </row>
  </sheetData>
  <mergeCells count="6">
    <mergeCell ref="D8:H8"/>
    <mergeCell ref="D20:H20"/>
    <mergeCell ref="A26:E26"/>
    <mergeCell ref="D9:H9"/>
    <mergeCell ref="D21:H21"/>
    <mergeCell ref="A25:H2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03F2-1925-5F45-B1C0-6E7058420A1F}">
  <dimension ref="A1:L25"/>
  <sheetViews>
    <sheetView workbookViewId="0">
      <selection activeCell="C33" sqref="C33"/>
    </sheetView>
  </sheetViews>
  <sheetFormatPr baseColWidth="10" defaultRowHeight="16" x14ac:dyDescent="0.2"/>
  <cols>
    <col min="1" max="1" width="38.1640625" bestFit="1" customWidth="1"/>
    <col min="2" max="2" width="40.5" customWidth="1"/>
    <col min="3" max="3" width="36.5" customWidth="1"/>
    <col min="4" max="4" width="41.33203125" bestFit="1" customWidth="1"/>
    <col min="6" max="6" width="33.83203125" bestFit="1" customWidth="1"/>
    <col min="9" max="9" width="30.83203125" bestFit="1" customWidth="1"/>
    <col min="10" max="10" width="32.5" bestFit="1" customWidth="1"/>
    <col min="11" max="11" width="38" bestFit="1" customWidth="1"/>
    <col min="12" max="12" width="94.6640625" bestFit="1" customWidth="1"/>
  </cols>
  <sheetData>
    <row r="1" spans="1:12" x14ac:dyDescent="0.2">
      <c r="A1" s="19" t="s">
        <v>751</v>
      </c>
      <c r="B1" s="19" t="s">
        <v>907</v>
      </c>
      <c r="C1" s="19" t="s">
        <v>747</v>
      </c>
      <c r="D1" s="19" t="s">
        <v>745</v>
      </c>
      <c r="E1" s="19" t="s">
        <v>746</v>
      </c>
      <c r="F1" s="19" t="s">
        <v>750</v>
      </c>
      <c r="G1" s="19"/>
      <c r="H1" s="19"/>
      <c r="L1" s="19" t="s">
        <v>758</v>
      </c>
    </row>
    <row r="2" spans="1:12" x14ac:dyDescent="0.2">
      <c r="A2" t="s">
        <v>783</v>
      </c>
      <c r="B2" t="s">
        <v>910</v>
      </c>
      <c r="C2" t="s">
        <v>749</v>
      </c>
      <c r="D2" t="s">
        <v>906</v>
      </c>
      <c r="E2" t="s">
        <v>778</v>
      </c>
      <c r="H2" s="20"/>
    </row>
    <row r="8" spans="1:12" x14ac:dyDescent="0.2">
      <c r="A8" s="19" t="s">
        <v>760</v>
      </c>
      <c r="B8" s="19" t="s">
        <v>753</v>
      </c>
      <c r="C8" s="19" t="s">
        <v>754</v>
      </c>
      <c r="D8" s="22" t="s">
        <v>898</v>
      </c>
      <c r="E8" s="22"/>
      <c r="F8" s="22"/>
      <c r="G8" s="22"/>
      <c r="H8" s="22"/>
    </row>
    <row r="9" spans="1:12" x14ac:dyDescent="0.2">
      <c r="A9" t="s">
        <v>132</v>
      </c>
      <c r="B9" t="s">
        <v>77</v>
      </c>
      <c r="C9" t="s">
        <v>184</v>
      </c>
      <c r="D9" s="23" t="s">
        <v>897</v>
      </c>
      <c r="E9" s="23"/>
      <c r="F9" s="23"/>
      <c r="G9" s="23"/>
      <c r="H9" s="23"/>
    </row>
    <row r="10" spans="1:12" x14ac:dyDescent="0.2">
      <c r="A10" t="s">
        <v>116</v>
      </c>
      <c r="B10" t="s">
        <v>774</v>
      </c>
      <c r="C10" t="s">
        <v>77</v>
      </c>
      <c r="D10" s="51" t="s">
        <v>899</v>
      </c>
      <c r="E10" s="23"/>
      <c r="F10" s="23"/>
      <c r="G10" s="23"/>
      <c r="H10" s="23"/>
    </row>
    <row r="11" spans="1:12" ht="17" x14ac:dyDescent="0.2">
      <c r="A11" s="21" t="s">
        <v>779</v>
      </c>
      <c r="B11" t="s">
        <v>77</v>
      </c>
      <c r="C11" t="s">
        <v>780</v>
      </c>
      <c r="D11" s="23" t="s">
        <v>900</v>
      </c>
      <c r="E11" s="23"/>
      <c r="F11" s="23"/>
      <c r="G11" s="23"/>
      <c r="H11" s="23"/>
    </row>
    <row r="12" spans="1:12" x14ac:dyDescent="0.2">
      <c r="A12" t="s">
        <v>151</v>
      </c>
      <c r="B12" t="s">
        <v>780</v>
      </c>
      <c r="C12" t="s">
        <v>78</v>
      </c>
      <c r="D12" s="23"/>
      <c r="E12" s="23"/>
      <c r="F12" s="23"/>
      <c r="G12" s="23"/>
      <c r="H12" s="23"/>
    </row>
    <row r="13" spans="1:12" x14ac:dyDescent="0.2">
      <c r="A13" t="s">
        <v>156</v>
      </c>
      <c r="B13" t="s">
        <v>780</v>
      </c>
      <c r="C13" t="s">
        <v>781</v>
      </c>
      <c r="D13" s="23" t="s">
        <v>901</v>
      </c>
      <c r="E13" s="23"/>
      <c r="F13" s="23"/>
      <c r="G13" s="23"/>
      <c r="H13" s="23"/>
    </row>
    <row r="14" spans="1:12" x14ac:dyDescent="0.2">
      <c r="A14" t="s">
        <v>121</v>
      </c>
      <c r="B14" t="s">
        <v>774</v>
      </c>
      <c r="C14" t="s">
        <v>184</v>
      </c>
      <c r="D14" s="23" t="s">
        <v>902</v>
      </c>
      <c r="E14" s="23"/>
      <c r="F14" s="23"/>
      <c r="G14" s="23"/>
      <c r="H14" s="23"/>
    </row>
    <row r="16" spans="1:12" x14ac:dyDescent="0.2">
      <c r="A16" s="19" t="s">
        <v>766</v>
      </c>
      <c r="B16" s="19" t="s">
        <v>753</v>
      </c>
      <c r="C16" s="19" t="s">
        <v>754</v>
      </c>
      <c r="D16" s="22" t="s">
        <v>898</v>
      </c>
      <c r="E16" s="22"/>
      <c r="F16" s="22"/>
      <c r="G16" s="22"/>
      <c r="H16" s="22"/>
    </row>
    <row r="17" spans="1:8" x14ac:dyDescent="0.2">
      <c r="A17" t="s">
        <v>132</v>
      </c>
      <c r="B17" t="s">
        <v>397</v>
      </c>
      <c r="C17" t="s">
        <v>769</v>
      </c>
    </row>
    <row r="18" spans="1:8" ht="17" x14ac:dyDescent="0.2">
      <c r="A18" s="21" t="s">
        <v>779</v>
      </c>
      <c r="B18" t="s">
        <v>200</v>
      </c>
      <c r="C18" t="s">
        <v>769</v>
      </c>
    </row>
    <row r="19" spans="1:8" x14ac:dyDescent="0.2">
      <c r="A19" t="s">
        <v>151</v>
      </c>
      <c r="B19" t="s">
        <v>519</v>
      </c>
      <c r="C19" t="s">
        <v>769</v>
      </c>
    </row>
    <row r="20" spans="1:8" x14ac:dyDescent="0.2">
      <c r="A20" t="s">
        <v>156</v>
      </c>
      <c r="B20" t="s">
        <v>531</v>
      </c>
      <c r="C20" t="s">
        <v>769</v>
      </c>
    </row>
    <row r="21" spans="1:8" x14ac:dyDescent="0.2">
      <c r="A21" t="s">
        <v>129</v>
      </c>
      <c r="B21" t="s">
        <v>397</v>
      </c>
      <c r="C21" t="s">
        <v>782</v>
      </c>
      <c r="D21" s="23" t="s">
        <v>903</v>
      </c>
      <c r="E21" s="23"/>
      <c r="F21" s="23"/>
      <c r="G21" s="23"/>
      <c r="H21" s="23"/>
    </row>
    <row r="23" spans="1:8" x14ac:dyDescent="0.2">
      <c r="A23" s="18" t="s">
        <v>771</v>
      </c>
    </row>
    <row r="24" spans="1:8" x14ac:dyDescent="0.2">
      <c r="A24" s="23" t="s">
        <v>905</v>
      </c>
      <c r="B24" s="23"/>
      <c r="C24" s="23"/>
      <c r="D24" s="23"/>
      <c r="E24" s="23"/>
    </row>
    <row r="25" spans="1:8" x14ac:dyDescent="0.2">
      <c r="A25" t="s">
        <v>904</v>
      </c>
    </row>
  </sheetData>
  <mergeCells count="10">
    <mergeCell ref="D8:H8"/>
    <mergeCell ref="D16:H16"/>
    <mergeCell ref="A24:E24"/>
    <mergeCell ref="D9:H9"/>
    <mergeCell ref="D10:H10"/>
    <mergeCell ref="D11:H11"/>
    <mergeCell ref="D12:H12"/>
    <mergeCell ref="D13:H13"/>
    <mergeCell ref="D14:H14"/>
    <mergeCell ref="D21:H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17E0D-3FCF-6640-AD47-49ADAEFECC6D}">
  <dimension ref="A1:L24"/>
  <sheetViews>
    <sheetView workbookViewId="0">
      <selection activeCell="C28" sqref="C28"/>
    </sheetView>
  </sheetViews>
  <sheetFormatPr baseColWidth="10" defaultRowHeight="16" x14ac:dyDescent="0.2"/>
  <cols>
    <col min="1" max="1" width="38.1640625" bestFit="1" customWidth="1"/>
    <col min="2" max="2" width="40.5" customWidth="1"/>
    <col min="3" max="3" width="36.5" customWidth="1"/>
    <col min="4" max="4" width="35.5" customWidth="1"/>
    <col min="6" max="6" width="33.83203125" bestFit="1" customWidth="1"/>
    <col min="9" max="9" width="30.83203125" bestFit="1" customWidth="1"/>
    <col min="10" max="10" width="32.5" bestFit="1" customWidth="1"/>
    <col min="11" max="11" width="38" bestFit="1" customWidth="1"/>
    <col min="12" max="12" width="94.6640625" bestFit="1" customWidth="1"/>
  </cols>
  <sheetData>
    <row r="1" spans="1:12" x14ac:dyDescent="0.2">
      <c r="A1" s="19" t="s">
        <v>751</v>
      </c>
      <c r="B1" s="19" t="s">
        <v>907</v>
      </c>
      <c r="C1" s="19" t="s">
        <v>747</v>
      </c>
      <c r="D1" s="19" t="s">
        <v>745</v>
      </c>
      <c r="E1" s="19" t="s">
        <v>746</v>
      </c>
      <c r="F1" s="19" t="s">
        <v>750</v>
      </c>
      <c r="G1" s="19"/>
      <c r="H1" s="19"/>
      <c r="L1" s="19" t="s">
        <v>758</v>
      </c>
    </row>
    <row r="2" spans="1:12" x14ac:dyDescent="0.2">
      <c r="A2" t="s">
        <v>813</v>
      </c>
      <c r="B2" t="s">
        <v>911</v>
      </c>
      <c r="C2" t="s">
        <v>748</v>
      </c>
      <c r="D2">
        <v>2</v>
      </c>
      <c r="E2" t="s">
        <v>812</v>
      </c>
      <c r="H2" s="20"/>
    </row>
    <row r="8" spans="1:12" x14ac:dyDescent="0.2">
      <c r="A8" s="19" t="s">
        <v>760</v>
      </c>
      <c r="B8" s="19" t="s">
        <v>753</v>
      </c>
      <c r="C8" s="19" t="s">
        <v>754</v>
      </c>
      <c r="D8" s="22" t="s">
        <v>762</v>
      </c>
      <c r="E8" s="22"/>
      <c r="F8" s="22"/>
      <c r="G8" s="22"/>
      <c r="H8" s="22"/>
    </row>
    <row r="9" spans="1:12" x14ac:dyDescent="0.2">
      <c r="A9" t="s">
        <v>158</v>
      </c>
      <c r="B9" t="s">
        <v>785</v>
      </c>
      <c r="C9" t="s">
        <v>784</v>
      </c>
      <c r="D9" s="23" t="s">
        <v>895</v>
      </c>
      <c r="E9" s="23"/>
      <c r="F9" s="23"/>
      <c r="G9" s="23"/>
      <c r="H9" s="23"/>
    </row>
    <row r="10" spans="1:12" x14ac:dyDescent="0.2">
      <c r="A10" t="s">
        <v>163</v>
      </c>
      <c r="B10" t="s">
        <v>79</v>
      </c>
      <c r="C10" t="s">
        <v>785</v>
      </c>
      <c r="D10" s="23" t="s">
        <v>896</v>
      </c>
      <c r="E10" s="23"/>
      <c r="F10" s="23"/>
      <c r="G10" s="23"/>
      <c r="H10" s="23"/>
    </row>
    <row r="11" spans="1:12" x14ac:dyDescent="0.2">
      <c r="A11" t="s">
        <v>132</v>
      </c>
      <c r="B11" t="s">
        <v>77</v>
      </c>
      <c r="C11" t="s">
        <v>184</v>
      </c>
      <c r="D11" s="23" t="s">
        <v>897</v>
      </c>
      <c r="E11" s="23"/>
      <c r="F11" s="23"/>
      <c r="G11" s="23"/>
      <c r="H11" s="23"/>
    </row>
    <row r="12" spans="1:12" x14ac:dyDescent="0.2">
      <c r="A12" t="s">
        <v>116</v>
      </c>
      <c r="B12" t="s">
        <v>774</v>
      </c>
      <c r="C12" t="s">
        <v>77</v>
      </c>
      <c r="D12" s="51" t="s">
        <v>899</v>
      </c>
      <c r="E12" s="23"/>
      <c r="F12" s="23"/>
      <c r="G12" s="23"/>
      <c r="H12" s="23"/>
    </row>
    <row r="13" spans="1:12" ht="17" x14ac:dyDescent="0.2">
      <c r="A13" s="21" t="s">
        <v>779</v>
      </c>
      <c r="B13" t="s">
        <v>77</v>
      </c>
      <c r="C13" t="s">
        <v>780</v>
      </c>
      <c r="D13" s="23" t="s">
        <v>900</v>
      </c>
      <c r="E13" s="23"/>
      <c r="F13" s="23"/>
      <c r="G13" s="23"/>
      <c r="H13" s="23"/>
    </row>
    <row r="14" spans="1:12" x14ac:dyDescent="0.2">
      <c r="A14" t="s">
        <v>151</v>
      </c>
      <c r="B14" t="s">
        <v>780</v>
      </c>
      <c r="C14" t="s">
        <v>78</v>
      </c>
      <c r="D14" s="23"/>
      <c r="E14" s="23"/>
      <c r="F14" s="23"/>
      <c r="G14" s="23"/>
      <c r="H14" s="23"/>
    </row>
    <row r="15" spans="1:12" x14ac:dyDescent="0.2">
      <c r="A15" t="s">
        <v>156</v>
      </c>
      <c r="B15" t="s">
        <v>780</v>
      </c>
      <c r="C15" t="s">
        <v>781</v>
      </c>
      <c r="D15" s="23" t="s">
        <v>901</v>
      </c>
      <c r="E15" s="23"/>
      <c r="F15" s="23"/>
      <c r="G15" s="23"/>
      <c r="H15" s="23"/>
    </row>
    <row r="16" spans="1:12" x14ac:dyDescent="0.2">
      <c r="A16" t="s">
        <v>121</v>
      </c>
      <c r="B16" t="s">
        <v>774</v>
      </c>
      <c r="C16" t="s">
        <v>184</v>
      </c>
      <c r="D16" s="23" t="s">
        <v>902</v>
      </c>
      <c r="E16" s="23"/>
      <c r="F16" s="23"/>
      <c r="G16" s="23"/>
      <c r="H16" s="23"/>
    </row>
    <row r="18" spans="1:8" x14ac:dyDescent="0.2">
      <c r="A18" s="19" t="s">
        <v>766</v>
      </c>
      <c r="B18" s="19" t="s">
        <v>753</v>
      </c>
      <c r="C18" s="19" t="s">
        <v>754</v>
      </c>
      <c r="D18" s="22" t="s">
        <v>762</v>
      </c>
      <c r="E18" s="22"/>
      <c r="F18" s="22"/>
      <c r="G18" s="22"/>
      <c r="H18" s="22"/>
    </row>
    <row r="23" spans="1:8" x14ac:dyDescent="0.2">
      <c r="A23" s="18" t="s">
        <v>771</v>
      </c>
    </row>
    <row r="24" spans="1:8" x14ac:dyDescent="0.2">
      <c r="A24" s="23"/>
      <c r="B24" s="23"/>
      <c r="C24" s="23"/>
      <c r="D24" s="23"/>
      <c r="E24" s="23"/>
    </row>
  </sheetData>
  <mergeCells count="11">
    <mergeCell ref="D8:H8"/>
    <mergeCell ref="D18:H18"/>
    <mergeCell ref="A24:E24"/>
    <mergeCell ref="D9:H9"/>
    <mergeCell ref="D10:H10"/>
    <mergeCell ref="D11:H11"/>
    <mergeCell ref="D12:H12"/>
    <mergeCell ref="D13:H13"/>
    <mergeCell ref="D14:H14"/>
    <mergeCell ref="D15:H15"/>
    <mergeCell ref="D16:H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2CF3-4B8C-AE4B-A342-878A43905500}">
  <dimension ref="A1:N45"/>
  <sheetViews>
    <sheetView tabSelected="1" workbookViewId="0">
      <selection activeCell="Q35" sqref="Q35"/>
    </sheetView>
  </sheetViews>
  <sheetFormatPr baseColWidth="10" defaultRowHeight="16" x14ac:dyDescent="0.2"/>
  <cols>
    <col min="1" max="1" width="13.83203125" customWidth="1"/>
    <col min="2" max="2" width="13" bestFit="1" customWidth="1"/>
  </cols>
  <sheetData>
    <row r="1" spans="1:14" x14ac:dyDescent="0.2">
      <c r="A1" s="31" t="s">
        <v>744</v>
      </c>
      <c r="B1" s="32" t="s">
        <v>801</v>
      </c>
      <c r="C1" s="32" t="s">
        <v>802</v>
      </c>
      <c r="D1" s="44" t="s">
        <v>796</v>
      </c>
      <c r="E1" s="33"/>
      <c r="F1" s="33"/>
      <c r="G1" s="33"/>
      <c r="H1" s="33"/>
      <c r="I1" s="33"/>
      <c r="J1" s="33"/>
      <c r="K1" s="33"/>
      <c r="L1" s="33"/>
      <c r="M1" s="33"/>
      <c r="N1" s="34"/>
    </row>
    <row r="2" spans="1:14" x14ac:dyDescent="0.2">
      <c r="A2" s="35" t="s">
        <v>799</v>
      </c>
      <c r="B2" s="26">
        <v>12</v>
      </c>
      <c r="C2" s="26">
        <v>1</v>
      </c>
      <c r="D2" s="37">
        <f>SUM(B2:C2)</f>
        <v>13</v>
      </c>
      <c r="E2" s="26"/>
      <c r="F2" s="27" t="s">
        <v>797</v>
      </c>
      <c r="G2" s="28" t="s">
        <v>804</v>
      </c>
      <c r="H2" s="28"/>
      <c r="I2" s="28"/>
      <c r="J2" s="28"/>
      <c r="K2" s="28"/>
      <c r="L2" s="28"/>
      <c r="M2" s="28"/>
      <c r="N2" s="36"/>
    </row>
    <row r="3" spans="1:14" x14ac:dyDescent="0.2">
      <c r="A3" s="35" t="s">
        <v>800</v>
      </c>
      <c r="B3" s="26">
        <v>0</v>
      </c>
      <c r="C3" s="26">
        <v>5</v>
      </c>
      <c r="D3" s="37">
        <f>SUM(B3:C3)</f>
        <v>5</v>
      </c>
      <c r="E3" s="26"/>
      <c r="F3" s="27" t="s">
        <v>798</v>
      </c>
      <c r="G3" s="28" t="s">
        <v>805</v>
      </c>
      <c r="H3" s="28"/>
      <c r="I3" s="28"/>
      <c r="J3" s="28"/>
      <c r="K3" s="28"/>
      <c r="L3" s="28"/>
      <c r="M3" s="28"/>
      <c r="N3" s="36"/>
    </row>
    <row r="4" spans="1:14" ht="17" thickBot="1" x14ac:dyDescent="0.25">
      <c r="A4" s="45" t="s">
        <v>796</v>
      </c>
      <c r="B4" s="46">
        <f>SUM(B2:B3)</f>
        <v>12</v>
      </c>
      <c r="C4" s="46">
        <f>SUM(C2:C3)</f>
        <v>6</v>
      </c>
      <c r="D4" s="47">
        <f>SUM(B4:C4)</f>
        <v>18</v>
      </c>
      <c r="E4" s="26"/>
      <c r="F4" s="26"/>
      <c r="G4" s="26"/>
      <c r="H4" s="26"/>
      <c r="I4" s="26"/>
      <c r="J4" s="26"/>
      <c r="K4" s="26"/>
      <c r="L4" s="26"/>
      <c r="M4" s="26"/>
      <c r="N4" s="37"/>
    </row>
    <row r="5" spans="1:14" x14ac:dyDescent="0.2">
      <c r="A5" s="38"/>
      <c r="B5" s="26"/>
      <c r="C5" s="26"/>
      <c r="D5" s="26"/>
      <c r="E5" s="26"/>
      <c r="F5" s="26"/>
      <c r="G5" s="26"/>
      <c r="H5" s="26"/>
      <c r="I5" s="26"/>
      <c r="J5" s="26"/>
      <c r="K5" s="26"/>
      <c r="L5" s="26"/>
      <c r="M5" s="26"/>
      <c r="N5" s="37"/>
    </row>
    <row r="6" spans="1:14" x14ac:dyDescent="0.2">
      <c r="A6" s="35" t="s">
        <v>797</v>
      </c>
      <c r="B6" s="26">
        <f>(B2+C3)/D4</f>
        <v>0.94444444444444442</v>
      </c>
      <c r="C6" s="26"/>
      <c r="D6" s="26"/>
      <c r="E6" s="26"/>
      <c r="F6" s="26"/>
      <c r="G6" s="26"/>
      <c r="H6" s="26"/>
      <c r="I6" s="26"/>
      <c r="J6" s="26"/>
      <c r="K6" s="26"/>
      <c r="L6" s="26"/>
      <c r="M6" s="26"/>
      <c r="N6" s="37"/>
    </row>
    <row r="7" spans="1:14" x14ac:dyDescent="0.2">
      <c r="A7" s="35" t="s">
        <v>798</v>
      </c>
      <c r="B7" s="26">
        <f>(D2/D4)*(B4/D4)+(D3/D4)*(C4/D4)</f>
        <v>0.57407407407407407</v>
      </c>
      <c r="C7" s="26"/>
      <c r="D7" s="26"/>
      <c r="E7" s="26"/>
      <c r="F7" s="26"/>
      <c r="G7" s="26"/>
      <c r="H7" s="26"/>
      <c r="I7" s="26"/>
      <c r="J7" s="26"/>
      <c r="K7" s="26"/>
      <c r="L7" s="26"/>
      <c r="M7" s="26"/>
      <c r="N7" s="37"/>
    </row>
    <row r="8" spans="1:14" x14ac:dyDescent="0.2">
      <c r="A8" s="35" t="s">
        <v>803</v>
      </c>
      <c r="B8" s="26">
        <f>(B6-B7)/(1-B7)</f>
        <v>0.86956521739130432</v>
      </c>
      <c r="C8" s="26"/>
      <c r="D8" s="26"/>
      <c r="E8" s="26"/>
      <c r="F8" s="26"/>
      <c r="G8" s="26"/>
      <c r="H8" s="29" t="s">
        <v>806</v>
      </c>
      <c r="I8" s="29"/>
      <c r="J8" s="29"/>
      <c r="K8" s="29"/>
      <c r="L8" s="30">
        <f>B8</f>
        <v>0.86956521739130432</v>
      </c>
      <c r="M8" s="26"/>
      <c r="N8" s="37"/>
    </row>
    <row r="9" spans="1:14" x14ac:dyDescent="0.2">
      <c r="A9" s="38"/>
      <c r="B9" s="26"/>
      <c r="C9" s="26"/>
      <c r="D9" s="26"/>
      <c r="E9" s="26"/>
      <c r="F9" s="26"/>
      <c r="G9" s="26"/>
      <c r="H9" s="26"/>
      <c r="I9" s="26"/>
      <c r="J9" s="26"/>
      <c r="K9" s="26"/>
      <c r="L9" s="26"/>
      <c r="M9" s="26"/>
      <c r="N9" s="37"/>
    </row>
    <row r="10" spans="1:14" ht="17" thickBot="1" x14ac:dyDescent="0.25">
      <c r="A10" s="38"/>
      <c r="B10" s="26"/>
      <c r="C10" s="26"/>
      <c r="D10" s="26"/>
      <c r="E10" s="26"/>
      <c r="F10" s="26"/>
      <c r="G10" s="26"/>
      <c r="H10" s="26"/>
      <c r="I10" s="26"/>
      <c r="J10" s="26"/>
      <c r="K10" s="26"/>
      <c r="L10" s="26"/>
      <c r="M10" s="26"/>
      <c r="N10" s="37"/>
    </row>
    <row r="11" spans="1:14" x14ac:dyDescent="0.2">
      <c r="A11" s="31" t="s">
        <v>744</v>
      </c>
      <c r="B11" s="32" t="s">
        <v>801</v>
      </c>
      <c r="C11" s="32" t="s">
        <v>802</v>
      </c>
      <c r="D11" s="44" t="s">
        <v>796</v>
      </c>
      <c r="E11" s="26"/>
      <c r="F11" s="26"/>
      <c r="G11" s="26"/>
      <c r="H11" s="26"/>
      <c r="I11" s="26"/>
      <c r="J11" s="26"/>
      <c r="K11" s="26"/>
      <c r="L11" s="26"/>
      <c r="M11" s="26"/>
      <c r="N11" s="37"/>
    </row>
    <row r="12" spans="1:14" x14ac:dyDescent="0.2">
      <c r="A12" s="35" t="s">
        <v>799</v>
      </c>
      <c r="B12" s="26">
        <v>6</v>
      </c>
      <c r="C12" s="26">
        <v>1</v>
      </c>
      <c r="D12" s="37">
        <f>SUM(B12:C12)</f>
        <v>7</v>
      </c>
      <c r="E12" s="26"/>
      <c r="F12" s="26"/>
      <c r="G12" s="26"/>
      <c r="H12" s="26"/>
      <c r="I12" s="26"/>
      <c r="J12" s="26"/>
      <c r="K12" s="26"/>
      <c r="L12" s="26"/>
      <c r="M12" s="26"/>
      <c r="N12" s="37"/>
    </row>
    <row r="13" spans="1:14" x14ac:dyDescent="0.2">
      <c r="A13" s="35" t="s">
        <v>800</v>
      </c>
      <c r="B13" s="26">
        <v>0</v>
      </c>
      <c r="C13" s="26">
        <v>2</v>
      </c>
      <c r="D13" s="37">
        <f>SUM(B13:C13)</f>
        <v>2</v>
      </c>
      <c r="E13" s="26"/>
      <c r="F13" s="26"/>
      <c r="G13" s="26"/>
      <c r="H13" s="26"/>
      <c r="I13" s="26"/>
      <c r="J13" s="26"/>
      <c r="K13" s="26"/>
      <c r="L13" s="26"/>
      <c r="M13" s="26"/>
      <c r="N13" s="37"/>
    </row>
    <row r="14" spans="1:14" ht="17" thickBot="1" x14ac:dyDescent="0.25">
      <c r="A14" s="45" t="s">
        <v>796</v>
      </c>
      <c r="B14" s="46">
        <f>SUM(B12:B13)</f>
        <v>6</v>
      </c>
      <c r="C14" s="46">
        <f>SUM(C12:C13)</f>
        <v>3</v>
      </c>
      <c r="D14" s="47">
        <f>SUM(B14:C14)</f>
        <v>9</v>
      </c>
      <c r="E14" s="26"/>
      <c r="F14" s="26"/>
      <c r="G14" s="26"/>
      <c r="H14" s="26"/>
      <c r="I14" s="26"/>
      <c r="J14" s="26"/>
      <c r="K14" s="26"/>
      <c r="L14" s="26"/>
      <c r="M14" s="26"/>
      <c r="N14" s="37"/>
    </row>
    <row r="15" spans="1:14" x14ac:dyDescent="0.2">
      <c r="A15" s="38"/>
      <c r="B15" s="26"/>
      <c r="C15" s="26"/>
      <c r="D15" s="26"/>
      <c r="E15" s="26"/>
      <c r="F15" s="26"/>
      <c r="G15" s="26"/>
      <c r="H15" s="26"/>
      <c r="I15" s="26"/>
      <c r="J15" s="26"/>
      <c r="K15" s="26"/>
      <c r="L15" s="26"/>
      <c r="M15" s="26"/>
      <c r="N15" s="37"/>
    </row>
    <row r="16" spans="1:14" x14ac:dyDescent="0.2">
      <c r="A16" s="35" t="s">
        <v>797</v>
      </c>
      <c r="B16" s="26">
        <f>(B12+C13)/D14</f>
        <v>0.88888888888888884</v>
      </c>
      <c r="C16" s="26"/>
      <c r="D16" s="26"/>
      <c r="E16" s="26"/>
      <c r="F16" s="26"/>
      <c r="G16" s="26"/>
      <c r="H16" s="26"/>
      <c r="I16" s="26"/>
      <c r="J16" s="26"/>
      <c r="K16" s="26"/>
      <c r="L16" s="26"/>
      <c r="M16" s="26"/>
      <c r="N16" s="37"/>
    </row>
    <row r="17" spans="1:14" x14ac:dyDescent="0.2">
      <c r="A17" s="35" t="s">
        <v>798</v>
      </c>
      <c r="B17" s="26">
        <f>(D12/D14)*(B14/D14)+(D13/D14)*(C14/D14)</f>
        <v>0.59259259259259256</v>
      </c>
      <c r="C17" s="26"/>
      <c r="D17" s="26"/>
      <c r="E17" s="26"/>
      <c r="F17" s="26"/>
      <c r="G17" s="26"/>
      <c r="H17" s="26"/>
      <c r="I17" s="26"/>
      <c r="J17" s="26"/>
      <c r="K17" s="26"/>
      <c r="L17" s="26"/>
      <c r="M17" s="26"/>
      <c r="N17" s="37"/>
    </row>
    <row r="18" spans="1:14" x14ac:dyDescent="0.2">
      <c r="A18" s="35" t="s">
        <v>803</v>
      </c>
      <c r="B18" s="26">
        <f>(B16-B17)/(1-B17)</f>
        <v>0.72727272727272718</v>
      </c>
      <c r="C18" s="26"/>
      <c r="D18" s="26"/>
      <c r="E18" s="26"/>
      <c r="F18" s="26"/>
      <c r="G18" s="26"/>
      <c r="H18" s="29" t="s">
        <v>807</v>
      </c>
      <c r="I18" s="29"/>
      <c r="J18" s="29"/>
      <c r="K18" s="29"/>
      <c r="L18" s="30">
        <f>B18</f>
        <v>0.72727272727272718</v>
      </c>
      <c r="M18" s="26"/>
      <c r="N18" s="37"/>
    </row>
    <row r="19" spans="1:14" x14ac:dyDescent="0.2">
      <c r="A19" s="38"/>
      <c r="B19" s="26"/>
      <c r="C19" s="26"/>
      <c r="D19" s="26"/>
      <c r="E19" s="26"/>
      <c r="F19" s="26"/>
      <c r="G19" s="26"/>
      <c r="H19" s="26"/>
      <c r="I19" s="26"/>
      <c r="J19" s="26"/>
      <c r="K19" s="26"/>
      <c r="L19" s="26"/>
      <c r="M19" s="26"/>
      <c r="N19" s="37"/>
    </row>
    <row r="20" spans="1:14" x14ac:dyDescent="0.2">
      <c r="A20" s="38"/>
      <c r="B20" s="26"/>
      <c r="C20" s="26"/>
      <c r="D20" s="26"/>
      <c r="E20" s="26"/>
      <c r="F20" s="26"/>
      <c r="G20" s="26"/>
      <c r="H20" s="26"/>
      <c r="I20" s="26"/>
      <c r="J20" s="26"/>
      <c r="K20" s="26"/>
      <c r="L20" s="26"/>
      <c r="M20" s="26"/>
      <c r="N20" s="37"/>
    </row>
    <row r="21" spans="1:14" ht="17" thickBot="1" x14ac:dyDescent="0.25">
      <c r="A21" s="39"/>
      <c r="B21" s="40"/>
      <c r="C21" s="40"/>
      <c r="D21" s="40"/>
      <c r="E21" s="40"/>
      <c r="F21" s="40"/>
      <c r="G21" s="40"/>
      <c r="H21" s="41" t="s">
        <v>892</v>
      </c>
      <c r="I21" s="41"/>
      <c r="J21" s="41"/>
      <c r="K21" s="41"/>
      <c r="L21" s="42">
        <f>(L8+L18)/2</f>
        <v>0.79841897233201575</v>
      </c>
      <c r="M21" s="40"/>
      <c r="N21" s="43"/>
    </row>
    <row r="22" spans="1:14" x14ac:dyDescent="0.2">
      <c r="A22" s="48"/>
      <c r="B22" s="33"/>
      <c r="C22" s="33"/>
      <c r="D22" s="33"/>
      <c r="E22" s="33"/>
      <c r="F22" s="33"/>
      <c r="G22" s="33"/>
      <c r="H22" s="33"/>
      <c r="I22" s="33"/>
      <c r="J22" s="33"/>
      <c r="K22" s="33"/>
      <c r="L22" s="33"/>
      <c r="M22" s="33"/>
      <c r="N22" s="34"/>
    </row>
    <row r="23" spans="1:14" x14ac:dyDescent="0.2">
      <c r="A23" s="38"/>
      <c r="B23" s="26"/>
      <c r="C23" s="26"/>
      <c r="D23" s="26"/>
      <c r="E23" s="26"/>
      <c r="F23" s="26"/>
      <c r="G23" s="26"/>
      <c r="H23" s="26"/>
      <c r="I23" s="26"/>
      <c r="J23" s="26"/>
      <c r="K23" s="26"/>
      <c r="L23" s="26"/>
      <c r="M23" s="26"/>
      <c r="N23" s="37"/>
    </row>
    <row r="24" spans="1:14" ht="17" thickBot="1" x14ac:dyDescent="0.25">
      <c r="A24" s="38"/>
      <c r="B24" s="26"/>
      <c r="C24" s="26"/>
      <c r="D24" s="26"/>
      <c r="E24" s="26"/>
      <c r="F24" s="26"/>
      <c r="G24" s="26"/>
      <c r="H24" s="26"/>
      <c r="I24" s="26"/>
      <c r="J24" s="26"/>
      <c r="K24" s="26"/>
      <c r="L24" s="26"/>
      <c r="M24" s="26"/>
      <c r="N24" s="37"/>
    </row>
    <row r="25" spans="1:14" x14ac:dyDescent="0.2">
      <c r="A25" s="31" t="s">
        <v>744</v>
      </c>
      <c r="B25" s="32" t="s">
        <v>810</v>
      </c>
      <c r="C25" s="32" t="s">
        <v>811</v>
      </c>
      <c r="D25" s="44" t="s">
        <v>796</v>
      </c>
      <c r="E25" s="26"/>
      <c r="F25" s="26"/>
      <c r="G25" s="26"/>
      <c r="H25" s="26"/>
      <c r="I25" s="26"/>
      <c r="J25" s="26"/>
      <c r="K25" s="26"/>
      <c r="L25" s="26"/>
      <c r="M25" s="26"/>
      <c r="N25" s="37"/>
    </row>
    <row r="26" spans="1:14" x14ac:dyDescent="0.2">
      <c r="A26" s="35" t="s">
        <v>808</v>
      </c>
      <c r="B26" s="26">
        <v>10</v>
      </c>
      <c r="C26" s="26">
        <v>2</v>
      </c>
      <c r="D26" s="37">
        <v>12</v>
      </c>
      <c r="E26" s="26"/>
      <c r="F26" s="27" t="s">
        <v>797</v>
      </c>
      <c r="G26" s="28" t="s">
        <v>804</v>
      </c>
      <c r="H26" s="28"/>
      <c r="I26" s="28"/>
      <c r="J26" s="28"/>
      <c r="K26" s="28"/>
      <c r="L26" s="28"/>
      <c r="M26" s="28"/>
      <c r="N26" s="36"/>
    </row>
    <row r="27" spans="1:14" x14ac:dyDescent="0.2">
      <c r="A27" s="35" t="s">
        <v>809</v>
      </c>
      <c r="B27" s="26">
        <v>0</v>
      </c>
      <c r="C27" s="26">
        <v>6</v>
      </c>
      <c r="D27" s="37">
        <v>6</v>
      </c>
      <c r="E27" s="26"/>
      <c r="F27" s="27" t="s">
        <v>798</v>
      </c>
      <c r="G27" s="28" t="s">
        <v>805</v>
      </c>
      <c r="H27" s="28"/>
      <c r="I27" s="28"/>
      <c r="J27" s="28"/>
      <c r="K27" s="28"/>
      <c r="L27" s="28"/>
      <c r="M27" s="28"/>
      <c r="N27" s="36"/>
    </row>
    <row r="28" spans="1:14" ht="17" thickBot="1" x14ac:dyDescent="0.25">
      <c r="A28" s="45" t="s">
        <v>796</v>
      </c>
      <c r="B28" s="46">
        <v>10</v>
      </c>
      <c r="C28" s="46">
        <v>8</v>
      </c>
      <c r="D28" s="47">
        <v>18</v>
      </c>
      <c r="E28" s="26"/>
      <c r="F28" s="26"/>
      <c r="G28" s="26"/>
      <c r="H28" s="26"/>
      <c r="I28" s="26"/>
      <c r="J28" s="26"/>
      <c r="K28" s="26"/>
      <c r="L28" s="26"/>
      <c r="M28" s="26"/>
      <c r="N28" s="37"/>
    </row>
    <row r="29" spans="1:14" x14ac:dyDescent="0.2">
      <c r="A29" s="38"/>
      <c r="B29" s="26"/>
      <c r="C29" s="26"/>
      <c r="D29" s="26"/>
      <c r="E29" s="26"/>
      <c r="F29" s="26"/>
      <c r="G29" s="26"/>
      <c r="H29" s="26"/>
      <c r="I29" s="26"/>
      <c r="J29" s="26"/>
      <c r="K29" s="26"/>
      <c r="L29" s="26"/>
      <c r="M29" s="26"/>
      <c r="N29" s="37"/>
    </row>
    <row r="30" spans="1:14" x14ac:dyDescent="0.2">
      <c r="A30" s="49" t="s">
        <v>797</v>
      </c>
      <c r="B30" s="26">
        <v>0.88888888888888884</v>
      </c>
      <c r="C30" s="26"/>
      <c r="D30" s="26"/>
      <c r="E30" s="26"/>
      <c r="F30" s="26"/>
      <c r="G30" s="26"/>
      <c r="H30" s="26"/>
      <c r="I30" s="26"/>
      <c r="J30" s="26"/>
      <c r="K30" s="26"/>
      <c r="L30" s="26"/>
      <c r="M30" s="26"/>
      <c r="N30" s="37"/>
    </row>
    <row r="31" spans="1:14" x14ac:dyDescent="0.2">
      <c r="A31" s="49" t="s">
        <v>798</v>
      </c>
      <c r="B31" s="26">
        <v>0.51851851851851849</v>
      </c>
      <c r="C31" s="26"/>
      <c r="D31" s="26"/>
      <c r="E31" s="26"/>
      <c r="F31" s="26"/>
      <c r="G31" s="26"/>
      <c r="H31" s="26"/>
      <c r="I31" s="26"/>
      <c r="J31" s="26"/>
      <c r="K31" s="26"/>
      <c r="L31" s="26"/>
      <c r="M31" s="26"/>
      <c r="N31" s="37"/>
    </row>
    <row r="32" spans="1:14" x14ac:dyDescent="0.2">
      <c r="A32" s="35" t="s">
        <v>803</v>
      </c>
      <c r="B32" s="26">
        <v>0.76923076923076916</v>
      </c>
      <c r="C32" s="26"/>
      <c r="D32" s="26"/>
      <c r="E32" s="26"/>
      <c r="F32" s="26"/>
      <c r="G32" s="26"/>
      <c r="H32" s="25" t="s">
        <v>806</v>
      </c>
      <c r="I32" s="50"/>
      <c r="J32" s="50"/>
      <c r="K32" s="50"/>
      <c r="L32" s="25">
        <v>0.76923076923076916</v>
      </c>
      <c r="M32" s="26"/>
      <c r="N32" s="37"/>
    </row>
    <row r="33" spans="1:14" x14ac:dyDescent="0.2">
      <c r="A33" s="38"/>
      <c r="B33" s="26"/>
      <c r="C33" s="26"/>
      <c r="D33" s="26"/>
      <c r="E33" s="26"/>
      <c r="F33" s="26"/>
      <c r="G33" s="26"/>
      <c r="H33" s="26"/>
      <c r="I33" s="26"/>
      <c r="J33" s="26"/>
      <c r="K33" s="26"/>
      <c r="L33" s="26"/>
      <c r="M33" s="26"/>
      <c r="N33" s="37"/>
    </row>
    <row r="34" spans="1:14" ht="17" thickBot="1" x14ac:dyDescent="0.25">
      <c r="A34" s="38"/>
      <c r="B34" s="26"/>
      <c r="C34" s="26"/>
      <c r="D34" s="26"/>
      <c r="E34" s="26"/>
      <c r="F34" s="26"/>
      <c r="G34" s="26"/>
      <c r="H34" s="26"/>
      <c r="I34" s="26"/>
      <c r="J34" s="26"/>
      <c r="K34" s="26"/>
      <c r="L34" s="26"/>
      <c r="M34" s="26"/>
      <c r="N34" s="37"/>
    </row>
    <row r="35" spans="1:14" x14ac:dyDescent="0.2">
      <c r="A35" s="31" t="s">
        <v>744</v>
      </c>
      <c r="B35" s="32" t="s">
        <v>801</v>
      </c>
      <c r="C35" s="32" t="s">
        <v>802</v>
      </c>
      <c r="D35" s="44" t="s">
        <v>796</v>
      </c>
      <c r="E35" s="26"/>
      <c r="F35" s="26"/>
      <c r="G35" s="26"/>
      <c r="H35" s="26"/>
      <c r="I35" s="26"/>
      <c r="J35" s="26"/>
      <c r="K35" s="26"/>
      <c r="L35" s="26"/>
      <c r="M35" s="26"/>
      <c r="N35" s="37"/>
    </row>
    <row r="36" spans="1:14" x14ac:dyDescent="0.2">
      <c r="A36" s="35" t="s">
        <v>799</v>
      </c>
      <c r="B36" s="26">
        <v>3</v>
      </c>
      <c r="C36" s="26"/>
      <c r="D36" s="37">
        <v>3</v>
      </c>
      <c r="E36" s="26"/>
      <c r="F36" s="26"/>
      <c r="G36" s="26"/>
      <c r="H36" s="26"/>
      <c r="I36" s="26"/>
      <c r="J36" s="26"/>
      <c r="K36" s="26"/>
      <c r="L36" s="26"/>
      <c r="M36" s="26"/>
      <c r="N36" s="37"/>
    </row>
    <row r="37" spans="1:14" x14ac:dyDescent="0.2">
      <c r="A37" s="35" t="s">
        <v>800</v>
      </c>
      <c r="B37" s="26"/>
      <c r="C37" s="26">
        <v>5</v>
      </c>
      <c r="D37" s="37">
        <v>5</v>
      </c>
      <c r="E37" s="26"/>
      <c r="F37" s="26"/>
      <c r="G37" s="26"/>
      <c r="H37" s="26"/>
      <c r="I37" s="26"/>
      <c r="J37" s="26"/>
      <c r="K37" s="26"/>
      <c r="L37" s="26"/>
      <c r="M37" s="26"/>
      <c r="N37" s="37"/>
    </row>
    <row r="38" spans="1:14" ht="17" thickBot="1" x14ac:dyDescent="0.25">
      <c r="A38" s="45" t="s">
        <v>796</v>
      </c>
      <c r="B38" s="46">
        <v>3</v>
      </c>
      <c r="C38" s="46">
        <v>5</v>
      </c>
      <c r="D38" s="47">
        <v>8</v>
      </c>
      <c r="E38" s="26"/>
      <c r="F38" s="26"/>
      <c r="G38" s="26"/>
      <c r="H38" s="26"/>
      <c r="I38" s="26"/>
      <c r="J38" s="26"/>
      <c r="K38" s="26"/>
      <c r="L38" s="26"/>
      <c r="M38" s="26"/>
      <c r="N38" s="37"/>
    </row>
    <row r="39" spans="1:14" x14ac:dyDescent="0.2">
      <c r="A39" s="38"/>
      <c r="B39" s="26"/>
      <c r="C39" s="26"/>
      <c r="D39" s="26"/>
      <c r="E39" s="26"/>
      <c r="F39" s="26"/>
      <c r="G39" s="26"/>
      <c r="H39" s="26"/>
      <c r="I39" s="26"/>
      <c r="J39" s="26"/>
      <c r="K39" s="26"/>
      <c r="L39" s="26"/>
      <c r="M39" s="26"/>
      <c r="N39" s="37"/>
    </row>
    <row r="40" spans="1:14" x14ac:dyDescent="0.2">
      <c r="A40" s="35" t="s">
        <v>797</v>
      </c>
      <c r="B40" s="26">
        <v>1</v>
      </c>
      <c r="C40" s="26"/>
      <c r="D40" s="26"/>
      <c r="E40" s="26"/>
      <c r="F40" s="26"/>
      <c r="G40" s="26"/>
      <c r="H40" s="26"/>
      <c r="I40" s="26"/>
      <c r="J40" s="26"/>
      <c r="K40" s="26"/>
      <c r="L40" s="26"/>
      <c r="M40" s="26"/>
      <c r="N40" s="37"/>
    </row>
    <row r="41" spans="1:14" x14ac:dyDescent="0.2">
      <c r="A41" s="35" t="s">
        <v>798</v>
      </c>
      <c r="B41" s="26">
        <v>0.53125</v>
      </c>
      <c r="C41" s="26"/>
      <c r="D41" s="26"/>
      <c r="E41" s="26"/>
      <c r="F41" s="26"/>
      <c r="G41" s="26"/>
      <c r="H41" s="26"/>
      <c r="I41" s="26"/>
      <c r="J41" s="26"/>
      <c r="K41" s="26"/>
      <c r="L41" s="26"/>
      <c r="M41" s="26"/>
      <c r="N41" s="37"/>
    </row>
    <row r="42" spans="1:14" x14ac:dyDescent="0.2">
      <c r="A42" s="35" t="s">
        <v>803</v>
      </c>
      <c r="B42" s="26">
        <v>1</v>
      </c>
      <c r="C42" s="26"/>
      <c r="D42" s="26"/>
      <c r="E42" s="26"/>
      <c r="F42" s="26"/>
      <c r="G42" s="26"/>
      <c r="H42" s="25" t="s">
        <v>807</v>
      </c>
      <c r="I42" s="50"/>
      <c r="J42" s="50"/>
      <c r="K42" s="50"/>
      <c r="L42" s="25">
        <v>1</v>
      </c>
      <c r="M42" s="26"/>
      <c r="N42" s="37"/>
    </row>
    <row r="43" spans="1:14" x14ac:dyDescent="0.2">
      <c r="A43" s="38"/>
      <c r="B43" s="26"/>
      <c r="C43" s="26"/>
      <c r="D43" s="26"/>
      <c r="E43" s="26"/>
      <c r="F43" s="26"/>
      <c r="G43" s="26"/>
      <c r="H43" s="26"/>
      <c r="I43" s="26"/>
      <c r="J43" s="26"/>
      <c r="K43" s="26"/>
      <c r="L43" s="26"/>
      <c r="M43" s="26"/>
      <c r="N43" s="37"/>
    </row>
    <row r="44" spans="1:14" x14ac:dyDescent="0.2">
      <c r="A44" s="38"/>
      <c r="B44" s="26"/>
      <c r="C44" s="26"/>
      <c r="D44" s="26"/>
      <c r="E44" s="26"/>
      <c r="F44" s="26"/>
      <c r="G44" s="26"/>
      <c r="H44" s="26"/>
      <c r="I44" s="26"/>
      <c r="J44" s="26"/>
      <c r="K44" s="26"/>
      <c r="L44" s="26"/>
      <c r="M44" s="26"/>
      <c r="N44" s="37"/>
    </row>
    <row r="45" spans="1:14" ht="17" thickBot="1" x14ac:dyDescent="0.25">
      <c r="A45" s="39"/>
      <c r="B45" s="40"/>
      <c r="C45" s="40"/>
      <c r="D45" s="40"/>
      <c r="E45" s="40"/>
      <c r="F45" s="40"/>
      <c r="G45" s="40"/>
      <c r="H45" s="41" t="s">
        <v>893</v>
      </c>
      <c r="I45" s="41"/>
      <c r="J45" s="41"/>
      <c r="K45" s="41"/>
      <c r="L45" s="42">
        <v>0.88461538461538458</v>
      </c>
      <c r="M45" s="40"/>
      <c r="N45" s="43"/>
    </row>
  </sheetData>
  <mergeCells count="8">
    <mergeCell ref="G26:N26"/>
    <mergeCell ref="G27:N27"/>
    <mergeCell ref="H45:K45"/>
    <mergeCell ref="H8:K8"/>
    <mergeCell ref="H18:K18"/>
    <mergeCell ref="H21:K21"/>
    <mergeCell ref="G2:N2"/>
    <mergeCell ref="G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EC93D-83FB-1D4E-91AC-2F98605A8936}">
  <dimension ref="A1:CC208"/>
  <sheetViews>
    <sheetView zoomScale="93" zoomScaleNormal="110" workbookViewId="0">
      <selection activeCell="C215" sqref="C215"/>
    </sheetView>
  </sheetViews>
  <sheetFormatPr baseColWidth="10" defaultColWidth="8.83203125" defaultRowHeight="15" x14ac:dyDescent="0.2"/>
  <cols>
    <col min="1" max="1" width="7.1640625" style="96" bestFit="1" customWidth="1"/>
    <col min="2" max="2" width="46.1640625" style="88" bestFit="1" customWidth="1"/>
    <col min="3" max="3" width="108.5" style="63" customWidth="1"/>
    <col min="4" max="4" width="66.33203125" style="75" customWidth="1"/>
    <col min="5" max="5" width="26" style="65" customWidth="1"/>
    <col min="6" max="16384" width="8.83203125" style="57"/>
  </cols>
  <sheetData>
    <row r="1" spans="1:81" s="56" customFormat="1" ht="16" x14ac:dyDescent="0.2">
      <c r="A1" s="52" t="s">
        <v>81</v>
      </c>
      <c r="B1" s="53" t="s">
        <v>76</v>
      </c>
      <c r="C1" s="54" t="s">
        <v>82</v>
      </c>
      <c r="D1" s="55" t="s">
        <v>83</v>
      </c>
      <c r="CB1" s="57" t="s">
        <v>84</v>
      </c>
      <c r="CC1" s="56" t="s">
        <v>85</v>
      </c>
    </row>
    <row r="2" spans="1:81" s="56" customFormat="1" x14ac:dyDescent="0.2">
      <c r="A2" s="58"/>
      <c r="B2" s="59"/>
      <c r="C2" s="60" t="s">
        <v>86</v>
      </c>
      <c r="D2" s="61"/>
      <c r="CC2" s="56" t="s">
        <v>87</v>
      </c>
    </row>
    <row r="3" spans="1:81" ht="32" x14ac:dyDescent="0.2">
      <c r="A3" s="62" t="s">
        <v>201</v>
      </c>
      <c r="B3" s="63" t="s">
        <v>202</v>
      </c>
      <c r="C3" s="63" t="s">
        <v>203</v>
      </c>
      <c r="D3" s="64" t="s">
        <v>204</v>
      </c>
    </row>
    <row r="4" spans="1:81" ht="48" x14ac:dyDescent="0.2">
      <c r="A4" s="62" t="s">
        <v>205</v>
      </c>
      <c r="B4" s="63" t="s">
        <v>199</v>
      </c>
      <c r="C4" s="63" t="s">
        <v>206</v>
      </c>
      <c r="D4" s="64" t="s">
        <v>207</v>
      </c>
    </row>
    <row r="5" spans="1:81" ht="32" x14ac:dyDescent="0.2">
      <c r="A5" s="62" t="s">
        <v>208</v>
      </c>
      <c r="B5" s="63" t="s">
        <v>209</v>
      </c>
      <c r="C5" s="63" t="s">
        <v>210</v>
      </c>
      <c r="D5" s="64" t="s">
        <v>211</v>
      </c>
    </row>
    <row r="6" spans="1:81" ht="32" x14ac:dyDescent="0.2">
      <c r="A6" s="62" t="s">
        <v>212</v>
      </c>
      <c r="B6" s="63" t="s">
        <v>213</v>
      </c>
      <c r="C6" s="63" t="s">
        <v>214</v>
      </c>
      <c r="D6" s="64" t="s">
        <v>215</v>
      </c>
    </row>
    <row r="7" spans="1:81" ht="16" x14ac:dyDescent="0.2">
      <c r="A7" s="62" t="s">
        <v>0</v>
      </c>
      <c r="B7" s="63" t="s">
        <v>88</v>
      </c>
      <c r="C7" s="63" t="s">
        <v>89</v>
      </c>
      <c r="D7" s="64" t="s">
        <v>90</v>
      </c>
    </row>
    <row r="8" spans="1:81" ht="32" x14ac:dyDescent="0.2">
      <c r="A8" s="62" t="s">
        <v>1</v>
      </c>
      <c r="B8" s="63" t="s">
        <v>91</v>
      </c>
      <c r="C8" s="63" t="s">
        <v>92</v>
      </c>
      <c r="D8" s="64" t="s">
        <v>93</v>
      </c>
    </row>
    <row r="9" spans="1:81" ht="64" x14ac:dyDescent="0.2">
      <c r="A9" s="62" t="s">
        <v>216</v>
      </c>
      <c r="B9" s="63" t="s">
        <v>217</v>
      </c>
      <c r="C9" s="63" t="s">
        <v>218</v>
      </c>
      <c r="D9" s="64" t="s">
        <v>219</v>
      </c>
    </row>
    <row r="10" spans="1:81" ht="32" x14ac:dyDescent="0.2">
      <c r="A10" s="62" t="s">
        <v>220</v>
      </c>
      <c r="B10" s="63" t="s">
        <v>221</v>
      </c>
      <c r="C10" s="63" t="s">
        <v>222</v>
      </c>
      <c r="D10" s="64" t="s">
        <v>223</v>
      </c>
    </row>
    <row r="11" spans="1:81" ht="16" x14ac:dyDescent="0.2">
      <c r="A11" s="62" t="s">
        <v>224</v>
      </c>
      <c r="B11" s="63" t="s">
        <v>225</v>
      </c>
      <c r="C11" s="63" t="s">
        <v>226</v>
      </c>
      <c r="D11" s="64"/>
    </row>
    <row r="12" spans="1:81" ht="16" x14ac:dyDescent="0.2">
      <c r="A12" s="62" t="s">
        <v>227</v>
      </c>
      <c r="B12" s="63" t="s">
        <v>228</v>
      </c>
      <c r="C12" s="63" t="s">
        <v>229</v>
      </c>
      <c r="D12" s="64" t="s">
        <v>230</v>
      </c>
    </row>
    <row r="13" spans="1:81" ht="32" x14ac:dyDescent="0.2">
      <c r="A13" s="62" t="s">
        <v>231</v>
      </c>
      <c r="B13" s="63" t="s">
        <v>232</v>
      </c>
      <c r="C13" s="63" t="s">
        <v>233</v>
      </c>
      <c r="D13" s="64" t="s">
        <v>234</v>
      </c>
    </row>
    <row r="14" spans="1:81" x14ac:dyDescent="0.2">
      <c r="A14" s="66"/>
      <c r="B14" s="67"/>
      <c r="C14" s="68" t="s">
        <v>94</v>
      </c>
      <c r="D14" s="69"/>
    </row>
    <row r="15" spans="1:81" ht="32" x14ac:dyDescent="0.2">
      <c r="A15" s="62" t="s">
        <v>2</v>
      </c>
      <c r="B15" s="63" t="s">
        <v>95</v>
      </c>
      <c r="C15" s="63" t="s">
        <v>96</v>
      </c>
      <c r="D15" s="64" t="s">
        <v>97</v>
      </c>
    </row>
    <row r="16" spans="1:81" ht="32" x14ac:dyDescent="0.2">
      <c r="A16" s="62" t="s">
        <v>235</v>
      </c>
      <c r="B16" s="63" t="s">
        <v>236</v>
      </c>
      <c r="C16" s="63" t="s">
        <v>193</v>
      </c>
      <c r="D16" s="64" t="s">
        <v>237</v>
      </c>
    </row>
    <row r="17" spans="1:81" ht="32" x14ac:dyDescent="0.2">
      <c r="A17" s="62" t="s">
        <v>238</v>
      </c>
      <c r="B17" s="63" t="s">
        <v>239</v>
      </c>
      <c r="C17" s="63" t="s">
        <v>240</v>
      </c>
      <c r="D17" s="64"/>
    </row>
    <row r="18" spans="1:81" ht="32" x14ac:dyDescent="0.2">
      <c r="A18" s="62" t="s">
        <v>241</v>
      </c>
      <c r="B18" s="63" t="s">
        <v>242</v>
      </c>
      <c r="C18" s="63" t="s">
        <v>243</v>
      </c>
      <c r="D18" s="64" t="s">
        <v>244</v>
      </c>
    </row>
    <row r="19" spans="1:81" ht="64" x14ac:dyDescent="0.2">
      <c r="A19" s="62" t="s">
        <v>245</v>
      </c>
      <c r="B19" s="63" t="s">
        <v>246</v>
      </c>
      <c r="C19" s="63" t="s">
        <v>247</v>
      </c>
      <c r="D19" s="64" t="s">
        <v>248</v>
      </c>
    </row>
    <row r="20" spans="1:81" ht="64" x14ac:dyDescent="0.2">
      <c r="A20" s="62" t="s">
        <v>249</v>
      </c>
      <c r="B20" s="63" t="s">
        <v>250</v>
      </c>
      <c r="C20" s="63" t="s">
        <v>251</v>
      </c>
      <c r="D20" s="64" t="s">
        <v>252</v>
      </c>
    </row>
    <row r="21" spans="1:81" ht="32" x14ac:dyDescent="0.2">
      <c r="A21" s="62" t="s">
        <v>253</v>
      </c>
      <c r="B21" s="63" t="s">
        <v>254</v>
      </c>
      <c r="C21" s="63" t="s">
        <v>255</v>
      </c>
      <c r="D21" s="64"/>
    </row>
    <row r="22" spans="1:81" ht="64" x14ac:dyDescent="0.2">
      <c r="A22" s="62" t="s">
        <v>256</v>
      </c>
      <c r="B22" s="63" t="s">
        <v>257</v>
      </c>
      <c r="C22" s="63" t="s">
        <v>258</v>
      </c>
      <c r="D22" s="64"/>
    </row>
    <row r="23" spans="1:81" ht="48" x14ac:dyDescent="0.2">
      <c r="A23" s="62" t="s">
        <v>259</v>
      </c>
      <c r="B23" s="63" t="s">
        <v>260</v>
      </c>
      <c r="C23" s="63" t="s">
        <v>261</v>
      </c>
      <c r="D23" s="64"/>
    </row>
    <row r="24" spans="1:81" s="65" customFormat="1" ht="64" x14ac:dyDescent="0.2">
      <c r="A24" s="62" t="s">
        <v>262</v>
      </c>
      <c r="B24" s="63" t="s">
        <v>263</v>
      </c>
      <c r="C24" s="63" t="s">
        <v>264</v>
      </c>
      <c r="D24" s="64" t="s">
        <v>265</v>
      </c>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row>
    <row r="25" spans="1:81" s="65" customFormat="1" ht="32" x14ac:dyDescent="0.2">
      <c r="A25" s="62" t="s">
        <v>3</v>
      </c>
      <c r="B25" s="63" t="s">
        <v>98</v>
      </c>
      <c r="C25" s="63" t="s">
        <v>99</v>
      </c>
      <c r="D25" s="64"/>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row>
    <row r="26" spans="1:81" s="65" customFormat="1" ht="64" x14ac:dyDescent="0.2">
      <c r="A26" s="62" t="s">
        <v>266</v>
      </c>
      <c r="B26" s="63" t="s">
        <v>267</v>
      </c>
      <c r="C26" s="63" t="s">
        <v>268</v>
      </c>
      <c r="D26" s="64" t="s">
        <v>269</v>
      </c>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row>
    <row r="27" spans="1:81" s="65" customFormat="1" ht="32" x14ac:dyDescent="0.2">
      <c r="A27" s="62" t="s">
        <v>270</v>
      </c>
      <c r="B27" s="63" t="s">
        <v>271</v>
      </c>
      <c r="C27" s="63" t="s">
        <v>272</v>
      </c>
      <c r="D27" s="64" t="s">
        <v>273</v>
      </c>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row>
    <row r="28" spans="1:81" s="65" customFormat="1" ht="32" x14ac:dyDescent="0.2">
      <c r="A28" s="70" t="s">
        <v>4</v>
      </c>
      <c r="B28" s="63" t="s">
        <v>100</v>
      </c>
      <c r="C28" s="63" t="s">
        <v>101</v>
      </c>
      <c r="D28" s="64"/>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row>
    <row r="29" spans="1:81" s="65" customFormat="1" ht="48" x14ac:dyDescent="0.2">
      <c r="A29" s="70" t="s">
        <v>5</v>
      </c>
      <c r="B29" s="63" t="s">
        <v>102</v>
      </c>
      <c r="C29" s="63" t="s">
        <v>103</v>
      </c>
      <c r="D29" s="64"/>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row>
    <row r="30" spans="1:81" s="65" customFormat="1" ht="48" x14ac:dyDescent="0.2">
      <c r="A30" s="70" t="s">
        <v>274</v>
      </c>
      <c r="B30" s="63" t="s">
        <v>275</v>
      </c>
      <c r="C30" s="63" t="s">
        <v>276</v>
      </c>
      <c r="D30" s="64" t="s">
        <v>277</v>
      </c>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row>
    <row r="31" spans="1:81" s="65" customFormat="1" ht="112" x14ac:dyDescent="0.2">
      <c r="A31" s="70" t="s">
        <v>6</v>
      </c>
      <c r="B31" s="63" t="s">
        <v>104</v>
      </c>
      <c r="C31" s="63" t="s">
        <v>105</v>
      </c>
      <c r="D31" s="64" t="s">
        <v>106</v>
      </c>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row>
    <row r="32" spans="1:81" s="65" customFormat="1" ht="32" x14ac:dyDescent="0.2">
      <c r="A32" s="70" t="s">
        <v>278</v>
      </c>
      <c r="B32" s="63" t="s">
        <v>279</v>
      </c>
      <c r="C32" s="63" t="s">
        <v>280</v>
      </c>
      <c r="D32" s="64"/>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row>
    <row r="33" spans="1:81" s="65" customFormat="1" ht="48" x14ac:dyDescent="0.2">
      <c r="A33" s="70" t="s">
        <v>281</v>
      </c>
      <c r="B33" s="63" t="s">
        <v>282</v>
      </c>
      <c r="C33" s="63" t="s">
        <v>283</v>
      </c>
      <c r="D33" s="64" t="s">
        <v>284</v>
      </c>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row>
    <row r="34" spans="1:81" s="65" customFormat="1" ht="16" x14ac:dyDescent="0.2">
      <c r="A34" s="70" t="s">
        <v>285</v>
      </c>
      <c r="B34" s="63" t="s">
        <v>286</v>
      </c>
      <c r="C34" s="63" t="s">
        <v>287</v>
      </c>
      <c r="D34" s="64" t="s">
        <v>288</v>
      </c>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row>
    <row r="35" spans="1:81" s="65" customFormat="1" ht="32" x14ac:dyDescent="0.2">
      <c r="A35" s="70" t="s">
        <v>289</v>
      </c>
      <c r="B35" s="63" t="s">
        <v>290</v>
      </c>
      <c r="C35" s="63" t="s">
        <v>291</v>
      </c>
      <c r="D35" s="64" t="s">
        <v>292</v>
      </c>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row>
    <row r="36" spans="1:81" s="65" customFormat="1" ht="32" x14ac:dyDescent="0.2">
      <c r="A36" s="70" t="s">
        <v>293</v>
      </c>
      <c r="B36" s="63" t="s">
        <v>294</v>
      </c>
      <c r="C36" s="63" t="s">
        <v>295</v>
      </c>
      <c r="D36" s="64" t="s">
        <v>296</v>
      </c>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row>
    <row r="37" spans="1:81" s="65" customFormat="1" x14ac:dyDescent="0.2">
      <c r="A37" s="66"/>
      <c r="B37" s="67"/>
      <c r="C37" s="68" t="s">
        <v>107</v>
      </c>
      <c r="D37" s="69"/>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row>
    <row r="38" spans="1:81" s="65" customFormat="1" ht="64" x14ac:dyDescent="0.2">
      <c r="A38" s="62" t="s">
        <v>297</v>
      </c>
      <c r="B38" s="63" t="s">
        <v>298</v>
      </c>
      <c r="C38" s="63" t="s">
        <v>299</v>
      </c>
      <c r="D38" s="64" t="s">
        <v>300</v>
      </c>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row>
    <row r="39" spans="1:81" s="65" customFormat="1" ht="32" x14ac:dyDescent="0.2">
      <c r="A39" s="62" t="s">
        <v>301</v>
      </c>
      <c r="B39" s="63" t="s">
        <v>302</v>
      </c>
      <c r="C39" s="63" t="s">
        <v>303</v>
      </c>
      <c r="D39" s="64" t="s">
        <v>304</v>
      </c>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row>
    <row r="40" spans="1:81" s="65" customFormat="1" ht="32" x14ac:dyDescent="0.2">
      <c r="A40" s="62" t="s">
        <v>305</v>
      </c>
      <c r="B40" s="63" t="s">
        <v>306</v>
      </c>
      <c r="C40" s="63" t="s">
        <v>307</v>
      </c>
      <c r="D40" s="64" t="s">
        <v>308</v>
      </c>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row>
    <row r="41" spans="1:81" s="65" customFormat="1" ht="32" x14ac:dyDescent="0.2">
      <c r="A41" s="62" t="s">
        <v>309</v>
      </c>
      <c r="B41" s="63" t="s">
        <v>310</v>
      </c>
      <c r="C41" s="63" t="s">
        <v>311</v>
      </c>
      <c r="D41" s="64" t="s">
        <v>312</v>
      </c>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row>
    <row r="42" spans="1:81" s="65" customFormat="1" ht="32" x14ac:dyDescent="0.2">
      <c r="A42" s="62" t="s">
        <v>313</v>
      </c>
      <c r="B42" s="63" t="s">
        <v>314</v>
      </c>
      <c r="C42" s="63" t="s">
        <v>315</v>
      </c>
      <c r="D42" s="71" t="s">
        <v>316</v>
      </c>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row>
    <row r="43" spans="1:81" s="65" customFormat="1" ht="48" x14ac:dyDescent="0.2">
      <c r="A43" s="62" t="s">
        <v>317</v>
      </c>
      <c r="B43" s="63" t="s">
        <v>318</v>
      </c>
      <c r="C43" s="63" t="s">
        <v>319</v>
      </c>
      <c r="D43" s="64" t="s">
        <v>320</v>
      </c>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row>
    <row r="44" spans="1:81" s="65" customFormat="1" ht="32" x14ac:dyDescent="0.2">
      <c r="A44" s="62" t="s">
        <v>321</v>
      </c>
      <c r="B44" s="63" t="s">
        <v>322</v>
      </c>
      <c r="C44" s="63" t="s">
        <v>323</v>
      </c>
      <c r="D44" s="64" t="s">
        <v>324</v>
      </c>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row>
    <row r="45" spans="1:81" s="65" customFormat="1" ht="80" x14ac:dyDescent="0.2">
      <c r="A45" s="62" t="s">
        <v>325</v>
      </c>
      <c r="B45" s="63" t="s">
        <v>326</v>
      </c>
      <c r="C45" s="63" t="s">
        <v>327</v>
      </c>
      <c r="D45" s="64"/>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row>
    <row r="46" spans="1:81" s="65" customFormat="1" ht="48" x14ac:dyDescent="0.2">
      <c r="A46" s="62" t="s">
        <v>328</v>
      </c>
      <c r="B46" s="63" t="s">
        <v>329</v>
      </c>
      <c r="C46" s="63" t="s">
        <v>330</v>
      </c>
      <c r="D46" s="64" t="s">
        <v>331</v>
      </c>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row>
    <row r="47" spans="1:81" s="65" customFormat="1" x14ac:dyDescent="0.2">
      <c r="A47" s="66"/>
      <c r="B47" s="67"/>
      <c r="C47" s="68" t="s">
        <v>108</v>
      </c>
      <c r="D47" s="69"/>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row>
    <row r="48" spans="1:81" s="65" customFormat="1" ht="32" x14ac:dyDescent="0.2">
      <c r="A48" s="62" t="s">
        <v>332</v>
      </c>
      <c r="B48" s="63" t="s">
        <v>333</v>
      </c>
      <c r="C48" s="63" t="s">
        <v>334</v>
      </c>
      <c r="D48" s="64" t="s">
        <v>335</v>
      </c>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row>
    <row r="49" spans="1:81" s="65" customFormat="1" ht="32" x14ac:dyDescent="0.2">
      <c r="A49" s="62" t="s">
        <v>336</v>
      </c>
      <c r="B49" s="63" t="s">
        <v>337</v>
      </c>
      <c r="C49" s="63" t="s">
        <v>338</v>
      </c>
      <c r="D49" s="64" t="s">
        <v>339</v>
      </c>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row>
    <row r="50" spans="1:81" s="65" customFormat="1" ht="32" x14ac:dyDescent="0.2">
      <c r="A50" s="62" t="s">
        <v>340</v>
      </c>
      <c r="B50" s="63" t="s">
        <v>341</v>
      </c>
      <c r="C50" s="63" t="s">
        <v>342</v>
      </c>
      <c r="D50" s="64"/>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row>
    <row r="51" spans="1:81" s="65" customFormat="1" ht="16" x14ac:dyDescent="0.2">
      <c r="A51" s="62" t="s">
        <v>343</v>
      </c>
      <c r="B51" s="63" t="s">
        <v>344</v>
      </c>
      <c r="C51" s="63" t="s">
        <v>345</v>
      </c>
      <c r="D51" s="64" t="s">
        <v>346</v>
      </c>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row>
    <row r="52" spans="1:81" s="65" customFormat="1" ht="16" x14ac:dyDescent="0.2">
      <c r="A52" s="62" t="s">
        <v>347</v>
      </c>
      <c r="B52" s="63" t="s">
        <v>197</v>
      </c>
      <c r="C52" s="63" t="s">
        <v>348</v>
      </c>
      <c r="D52" s="64" t="s">
        <v>349</v>
      </c>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row>
    <row r="53" spans="1:81" s="65" customFormat="1" ht="32" x14ac:dyDescent="0.2">
      <c r="A53" s="62" t="s">
        <v>7</v>
      </c>
      <c r="B53" s="63" t="s">
        <v>195</v>
      </c>
      <c r="C53" s="63" t="s">
        <v>109</v>
      </c>
      <c r="D53" s="64" t="s">
        <v>196</v>
      </c>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row>
    <row r="54" spans="1:81" s="65" customFormat="1" ht="48" x14ac:dyDescent="0.2">
      <c r="A54" s="62" t="s">
        <v>8</v>
      </c>
      <c r="B54" s="63" t="s">
        <v>110</v>
      </c>
      <c r="C54" s="63" t="s">
        <v>111</v>
      </c>
      <c r="D54" s="64" t="s">
        <v>112</v>
      </c>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row>
    <row r="55" spans="1:81" s="65" customFormat="1" ht="48" x14ac:dyDescent="0.2">
      <c r="A55" s="62" t="s">
        <v>9</v>
      </c>
      <c r="B55" s="63" t="s">
        <v>113</v>
      </c>
      <c r="C55" s="63" t="s">
        <v>114</v>
      </c>
      <c r="D55" s="64" t="s">
        <v>115</v>
      </c>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row>
    <row r="56" spans="1:81" s="65" customFormat="1" ht="32" x14ac:dyDescent="0.2">
      <c r="A56" s="62" t="s">
        <v>350</v>
      </c>
      <c r="B56" s="63" t="s">
        <v>351</v>
      </c>
      <c r="C56" s="63" t="s">
        <v>352</v>
      </c>
      <c r="D56" s="64" t="s">
        <v>353</v>
      </c>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row>
    <row r="57" spans="1:81" s="65" customFormat="1" ht="48" x14ac:dyDescent="0.2">
      <c r="A57" s="62" t="s">
        <v>354</v>
      </c>
      <c r="B57" s="63" t="s">
        <v>355</v>
      </c>
      <c r="C57" s="63" t="s">
        <v>356</v>
      </c>
      <c r="D57" s="64" t="s">
        <v>357</v>
      </c>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row>
    <row r="58" spans="1:81" s="65" customFormat="1" ht="64" x14ac:dyDescent="0.2">
      <c r="A58" s="62" t="s">
        <v>10</v>
      </c>
      <c r="B58" s="63" t="s">
        <v>116</v>
      </c>
      <c r="C58" s="63" t="s">
        <v>117</v>
      </c>
      <c r="D58" s="64" t="s">
        <v>118</v>
      </c>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row>
    <row r="59" spans="1:81" s="65" customFormat="1" ht="64" x14ac:dyDescent="0.2">
      <c r="A59" s="62" t="s">
        <v>11</v>
      </c>
      <c r="B59" s="63" t="s">
        <v>119</v>
      </c>
      <c r="C59" s="63" t="s">
        <v>120</v>
      </c>
      <c r="D59" s="64"/>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row>
    <row r="60" spans="1:81" ht="32" x14ac:dyDescent="0.2">
      <c r="A60" s="62" t="s">
        <v>358</v>
      </c>
      <c r="B60" s="63" t="s">
        <v>359</v>
      </c>
      <c r="C60" s="63" t="s">
        <v>360</v>
      </c>
      <c r="D60" s="64"/>
    </row>
    <row r="61" spans="1:81" s="65" customFormat="1" ht="32" x14ac:dyDescent="0.2">
      <c r="A61" s="62" t="s">
        <v>361</v>
      </c>
      <c r="B61" s="63" t="s">
        <v>362</v>
      </c>
      <c r="C61" s="63" t="s">
        <v>363</v>
      </c>
      <c r="D61" s="64" t="s">
        <v>364</v>
      </c>
      <c r="E61" s="72"/>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row>
    <row r="62" spans="1:81" s="65" customFormat="1" ht="16" x14ac:dyDescent="0.2">
      <c r="A62" s="62" t="s">
        <v>12</v>
      </c>
      <c r="B62" s="63" t="s">
        <v>121</v>
      </c>
      <c r="C62" s="63" t="s">
        <v>122</v>
      </c>
      <c r="D62" s="64"/>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row>
    <row r="63" spans="1:81" s="65" customFormat="1" x14ac:dyDescent="0.2">
      <c r="A63" s="66"/>
      <c r="B63" s="67"/>
      <c r="C63" s="68" t="s">
        <v>123</v>
      </c>
      <c r="D63" s="69"/>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row>
    <row r="64" spans="1:81" s="65" customFormat="1" ht="16" x14ac:dyDescent="0.2">
      <c r="A64" s="62" t="s">
        <v>365</v>
      </c>
      <c r="B64" s="63" t="s">
        <v>366</v>
      </c>
      <c r="C64" s="63" t="s">
        <v>367</v>
      </c>
      <c r="D64" s="64" t="s">
        <v>368</v>
      </c>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row>
    <row r="65" spans="1:81" s="65" customFormat="1" ht="16" x14ac:dyDescent="0.2">
      <c r="A65" s="62" t="s">
        <v>369</v>
      </c>
      <c r="B65" s="63" t="s">
        <v>370</v>
      </c>
      <c r="C65" s="63" t="s">
        <v>371</v>
      </c>
      <c r="D65" s="64" t="s">
        <v>372</v>
      </c>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row>
    <row r="66" spans="1:81" s="65" customFormat="1" ht="48" x14ac:dyDescent="0.2">
      <c r="A66" s="62" t="s">
        <v>13</v>
      </c>
      <c r="B66" s="63" t="s">
        <v>14</v>
      </c>
      <c r="C66" s="63" t="s">
        <v>124</v>
      </c>
      <c r="D66" s="64"/>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row>
    <row r="67" spans="1:81" s="65" customFormat="1" ht="16" x14ac:dyDescent="0.2">
      <c r="A67" s="62" t="s">
        <v>373</v>
      </c>
      <c r="B67" s="63" t="s">
        <v>374</v>
      </c>
      <c r="C67" s="63" t="s">
        <v>375</v>
      </c>
      <c r="D67" s="64" t="s">
        <v>376</v>
      </c>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row>
    <row r="68" spans="1:81" s="65" customFormat="1" ht="32" x14ac:dyDescent="0.2">
      <c r="A68" s="62" t="s">
        <v>377</v>
      </c>
      <c r="B68" s="63" t="s">
        <v>378</v>
      </c>
      <c r="C68" s="63" t="s">
        <v>379</v>
      </c>
      <c r="D68" s="64" t="s">
        <v>380</v>
      </c>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row>
    <row r="69" spans="1:81" s="65" customFormat="1" ht="16" x14ac:dyDescent="0.2">
      <c r="A69" s="62" t="s">
        <v>381</v>
      </c>
      <c r="B69" s="63" t="s">
        <v>382</v>
      </c>
      <c r="C69" s="63" t="s">
        <v>383</v>
      </c>
      <c r="D69" s="64" t="s">
        <v>384</v>
      </c>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row>
    <row r="70" spans="1:81" s="65" customFormat="1" ht="32" x14ac:dyDescent="0.2">
      <c r="A70" s="62" t="s">
        <v>385</v>
      </c>
      <c r="B70" s="63" t="s">
        <v>386</v>
      </c>
      <c r="C70" s="63" t="s">
        <v>387</v>
      </c>
      <c r="D70" s="64" t="s">
        <v>388</v>
      </c>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row>
    <row r="71" spans="1:81" s="65" customFormat="1" ht="80" x14ac:dyDescent="0.2">
      <c r="A71" s="62" t="s">
        <v>389</v>
      </c>
      <c r="B71" s="73" t="s">
        <v>390</v>
      </c>
      <c r="C71" s="63" t="s">
        <v>391</v>
      </c>
      <c r="D71" s="64"/>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row>
    <row r="72" spans="1:81" s="65" customFormat="1" x14ac:dyDescent="0.2">
      <c r="A72" s="66"/>
      <c r="B72" s="67"/>
      <c r="C72" s="68" t="s">
        <v>125</v>
      </c>
      <c r="D72" s="69"/>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row>
    <row r="73" spans="1:81" s="65" customFormat="1" ht="144" x14ac:dyDescent="0.2">
      <c r="A73" s="62" t="s">
        <v>15</v>
      </c>
      <c r="B73" s="63" t="s">
        <v>16</v>
      </c>
      <c r="C73" s="63" t="s">
        <v>126</v>
      </c>
      <c r="D73" s="74"/>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row>
    <row r="74" spans="1:81" s="65" customFormat="1" ht="32" x14ac:dyDescent="0.2">
      <c r="A74" s="62" t="s">
        <v>392</v>
      </c>
      <c r="B74" s="63" t="s">
        <v>393</v>
      </c>
      <c r="C74" s="63" t="s">
        <v>394</v>
      </c>
      <c r="D74" s="64" t="s">
        <v>395</v>
      </c>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row>
    <row r="75" spans="1:81" s="65" customFormat="1" ht="48" x14ac:dyDescent="0.2">
      <c r="A75" s="62" t="s">
        <v>396</v>
      </c>
      <c r="B75" s="75" t="s">
        <v>397</v>
      </c>
      <c r="C75" s="63" t="s">
        <v>398</v>
      </c>
      <c r="D75" s="64" t="s">
        <v>399</v>
      </c>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row>
    <row r="76" spans="1:81" s="65" customFormat="1" ht="48" x14ac:dyDescent="0.2">
      <c r="A76" s="62" t="s">
        <v>400</v>
      </c>
      <c r="B76" s="63" t="s">
        <v>401</v>
      </c>
      <c r="C76" s="63" t="s">
        <v>402</v>
      </c>
      <c r="D76" s="64" t="s">
        <v>403</v>
      </c>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row>
    <row r="77" spans="1:81" s="65" customFormat="1" ht="32" x14ac:dyDescent="0.2">
      <c r="A77" s="62" t="s">
        <v>404</v>
      </c>
      <c r="B77" s="63" t="s">
        <v>405</v>
      </c>
      <c r="C77" s="63" t="s">
        <v>406</v>
      </c>
      <c r="D77" s="64" t="s">
        <v>407</v>
      </c>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row>
    <row r="78" spans="1:81" s="65" customFormat="1" ht="48" x14ac:dyDescent="0.2">
      <c r="A78" s="62" t="s">
        <v>17</v>
      </c>
      <c r="B78" s="63" t="s">
        <v>127</v>
      </c>
      <c r="C78" s="63" t="s">
        <v>128</v>
      </c>
      <c r="D78" s="64"/>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row>
    <row r="79" spans="1:81" s="65" customFormat="1" ht="32" x14ac:dyDescent="0.2">
      <c r="A79" s="62" t="s">
        <v>18</v>
      </c>
      <c r="B79" s="63" t="s">
        <v>129</v>
      </c>
      <c r="C79" s="63" t="s">
        <v>130</v>
      </c>
      <c r="D79" s="64" t="s">
        <v>131</v>
      </c>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row>
    <row r="80" spans="1:81" s="65" customFormat="1" ht="32" x14ac:dyDescent="0.2">
      <c r="A80" s="62" t="s">
        <v>19</v>
      </c>
      <c r="B80" s="75" t="s">
        <v>132</v>
      </c>
      <c r="C80" s="76" t="s">
        <v>133</v>
      </c>
      <c r="D80" s="64"/>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row>
    <row r="81" spans="1:81" s="65" customFormat="1" ht="64" x14ac:dyDescent="0.2">
      <c r="A81" s="62" t="s">
        <v>408</v>
      </c>
      <c r="B81" s="63" t="s">
        <v>409</v>
      </c>
      <c r="C81" s="63" t="s">
        <v>410</v>
      </c>
      <c r="D81" s="64" t="s">
        <v>411</v>
      </c>
      <c r="E81" s="7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row>
    <row r="82" spans="1:81" s="65" customFormat="1" ht="32" x14ac:dyDescent="0.2">
      <c r="A82" s="62" t="s">
        <v>412</v>
      </c>
      <c r="B82" s="63" t="s">
        <v>413</v>
      </c>
      <c r="C82" s="73" t="s">
        <v>414</v>
      </c>
      <c r="D82" s="64" t="s">
        <v>415</v>
      </c>
      <c r="E82" s="72"/>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row>
    <row r="83" spans="1:81" s="65" customFormat="1" ht="16" x14ac:dyDescent="0.2">
      <c r="A83" s="62" t="s">
        <v>416</v>
      </c>
      <c r="B83" s="63" t="s">
        <v>417</v>
      </c>
      <c r="C83" s="63" t="s">
        <v>418</v>
      </c>
      <c r="D83" s="74" t="s">
        <v>419</v>
      </c>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row>
    <row r="84" spans="1:81" s="65" customFormat="1" ht="16" x14ac:dyDescent="0.2">
      <c r="A84" s="62" t="s">
        <v>20</v>
      </c>
      <c r="B84" s="63" t="s">
        <v>134</v>
      </c>
      <c r="C84" s="63" t="s">
        <v>135</v>
      </c>
      <c r="D84" s="74"/>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row>
    <row r="85" spans="1:81" s="65" customFormat="1" ht="48" x14ac:dyDescent="0.2">
      <c r="A85" s="62" t="s">
        <v>420</v>
      </c>
      <c r="B85" s="63" t="s">
        <v>200</v>
      </c>
      <c r="C85" s="63" t="s">
        <v>421</v>
      </c>
      <c r="D85" s="64" t="s">
        <v>422</v>
      </c>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row>
    <row r="86" spans="1:81" s="65" customFormat="1" ht="80" x14ac:dyDescent="0.2">
      <c r="A86" s="70" t="s">
        <v>423</v>
      </c>
      <c r="B86" s="63" t="s">
        <v>424</v>
      </c>
      <c r="C86" s="63" t="s">
        <v>425</v>
      </c>
      <c r="D86" s="64" t="s">
        <v>426</v>
      </c>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row>
    <row r="87" spans="1:81" s="65" customFormat="1" ht="112" x14ac:dyDescent="0.2">
      <c r="A87" s="70" t="s">
        <v>427</v>
      </c>
      <c r="B87" s="63" t="s">
        <v>428</v>
      </c>
      <c r="C87" s="63" t="s">
        <v>429</v>
      </c>
      <c r="D87" s="78" t="s">
        <v>430</v>
      </c>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row>
    <row r="88" spans="1:81" s="65" customFormat="1" ht="64" x14ac:dyDescent="0.2">
      <c r="A88" s="70" t="s">
        <v>431</v>
      </c>
      <c r="B88" s="63" t="s">
        <v>432</v>
      </c>
      <c r="C88" s="63" t="s">
        <v>433</v>
      </c>
      <c r="D88" s="64" t="s">
        <v>434</v>
      </c>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row>
    <row r="89" spans="1:81" s="65" customFormat="1" ht="48" x14ac:dyDescent="0.2">
      <c r="A89" s="70" t="s">
        <v>435</v>
      </c>
      <c r="B89" s="63" t="s">
        <v>436</v>
      </c>
      <c r="C89" s="63" t="s">
        <v>437</v>
      </c>
      <c r="D89" s="64"/>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row>
    <row r="90" spans="1:81" s="65" customFormat="1" ht="96" x14ac:dyDescent="0.2">
      <c r="A90" s="70" t="s">
        <v>438</v>
      </c>
      <c r="B90" s="63" t="s">
        <v>439</v>
      </c>
      <c r="C90" s="63" t="s">
        <v>440</v>
      </c>
      <c r="D90" s="64" t="s">
        <v>441</v>
      </c>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row>
    <row r="91" spans="1:81" s="65" customFormat="1" ht="144" x14ac:dyDescent="0.2">
      <c r="A91" s="70" t="s">
        <v>21</v>
      </c>
      <c r="B91" s="63" t="s">
        <v>136</v>
      </c>
      <c r="C91" s="63" t="s">
        <v>137</v>
      </c>
      <c r="D91" s="64"/>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row>
    <row r="92" spans="1:81" s="65" customFormat="1" ht="48" x14ac:dyDescent="0.2">
      <c r="A92" s="70" t="s">
        <v>22</v>
      </c>
      <c r="B92" s="75" t="s">
        <v>138</v>
      </c>
      <c r="C92" s="76" t="s">
        <v>139</v>
      </c>
      <c r="D92" s="64"/>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row>
    <row r="93" spans="1:81" s="65" customFormat="1" ht="48" x14ac:dyDescent="0.2">
      <c r="A93" s="70" t="s">
        <v>23</v>
      </c>
      <c r="B93" s="75" t="s">
        <v>140</v>
      </c>
      <c r="C93" s="63" t="s">
        <v>141</v>
      </c>
      <c r="D93" s="64"/>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row>
    <row r="94" spans="1:81" s="65" customFormat="1" x14ac:dyDescent="0.2">
      <c r="A94" s="66"/>
      <c r="B94" s="67"/>
      <c r="C94" s="68" t="s">
        <v>142</v>
      </c>
      <c r="D94" s="69"/>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row>
    <row r="95" spans="1:81" s="65" customFormat="1" ht="32" x14ac:dyDescent="0.2">
      <c r="A95" s="62" t="s">
        <v>442</v>
      </c>
      <c r="B95" s="63" t="s">
        <v>443</v>
      </c>
      <c r="C95" s="63" t="s">
        <v>444</v>
      </c>
      <c r="D95" s="64" t="s">
        <v>445</v>
      </c>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row>
    <row r="96" spans="1:81" s="65" customFormat="1" ht="16" x14ac:dyDescent="0.2">
      <c r="A96" s="62" t="s">
        <v>446</v>
      </c>
      <c r="B96" s="63" t="s">
        <v>447</v>
      </c>
      <c r="C96" s="63" t="s">
        <v>448</v>
      </c>
      <c r="D96" s="64"/>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row>
    <row r="97" spans="1:81" s="65" customFormat="1" ht="16" x14ac:dyDescent="0.2">
      <c r="A97" s="62" t="s">
        <v>449</v>
      </c>
      <c r="B97" s="63" t="s">
        <v>450</v>
      </c>
      <c r="C97" s="63" t="s">
        <v>451</v>
      </c>
      <c r="D97" s="64"/>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row>
    <row r="98" spans="1:81" s="65" customFormat="1" ht="16" x14ac:dyDescent="0.2">
      <c r="A98" s="62" t="s">
        <v>24</v>
      </c>
      <c r="B98" s="63" t="s">
        <v>143</v>
      </c>
      <c r="C98" s="63" t="s">
        <v>144</v>
      </c>
      <c r="D98" s="64"/>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row>
    <row r="99" spans="1:81" s="65" customFormat="1" ht="32" x14ac:dyDescent="0.2">
      <c r="A99" s="62" t="s">
        <v>452</v>
      </c>
      <c r="B99" s="63" t="s">
        <v>453</v>
      </c>
      <c r="C99" s="63" t="s">
        <v>454</v>
      </c>
      <c r="D99" s="64" t="s">
        <v>455</v>
      </c>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row>
    <row r="100" spans="1:81" s="65" customFormat="1" ht="64" x14ac:dyDescent="0.2">
      <c r="A100" s="62" t="s">
        <v>25</v>
      </c>
      <c r="B100" s="73" t="s">
        <v>145</v>
      </c>
      <c r="C100" s="63" t="s">
        <v>146</v>
      </c>
      <c r="D100" s="64" t="s">
        <v>147</v>
      </c>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row>
    <row r="101" spans="1:81" s="65" customFormat="1" ht="16" x14ac:dyDescent="0.2">
      <c r="A101" s="62" t="s">
        <v>456</v>
      </c>
      <c r="B101" s="79" t="s">
        <v>457</v>
      </c>
      <c r="C101" s="63" t="s">
        <v>458</v>
      </c>
      <c r="D101" s="64"/>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row>
    <row r="102" spans="1:81" s="65" customFormat="1" ht="32" x14ac:dyDescent="0.2">
      <c r="A102" s="62" t="s">
        <v>459</v>
      </c>
      <c r="B102" s="63" t="s">
        <v>460</v>
      </c>
      <c r="C102" s="63" t="s">
        <v>461</v>
      </c>
      <c r="D102" s="64" t="s">
        <v>462</v>
      </c>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row>
    <row r="103" spans="1:81" s="65" customFormat="1" ht="48" x14ac:dyDescent="0.2">
      <c r="A103" s="62" t="s">
        <v>26</v>
      </c>
      <c r="B103" s="63" t="s">
        <v>148</v>
      </c>
      <c r="C103" s="63" t="s">
        <v>149</v>
      </c>
      <c r="D103" s="64"/>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row>
    <row r="104" spans="1:81" s="65" customFormat="1" ht="32" x14ac:dyDescent="0.2">
      <c r="A104" s="62" t="s">
        <v>463</v>
      </c>
      <c r="B104" s="63" t="s">
        <v>464</v>
      </c>
      <c r="C104" s="63" t="s">
        <v>465</v>
      </c>
      <c r="D104" s="64" t="s">
        <v>466</v>
      </c>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row>
    <row r="105" spans="1:81" s="65" customFormat="1" ht="32" x14ac:dyDescent="0.2">
      <c r="A105" s="62" t="s">
        <v>467</v>
      </c>
      <c r="B105" s="63" t="s">
        <v>468</v>
      </c>
      <c r="C105" s="63" t="s">
        <v>469</v>
      </c>
      <c r="D105" s="64" t="s">
        <v>470</v>
      </c>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row>
    <row r="106" spans="1:81" s="65" customFormat="1" x14ac:dyDescent="0.2">
      <c r="A106" s="66"/>
      <c r="B106" s="67"/>
      <c r="C106" s="67" t="s">
        <v>150</v>
      </c>
      <c r="D106" s="69"/>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row>
    <row r="107" spans="1:81" s="65" customFormat="1" ht="64" x14ac:dyDescent="0.2">
      <c r="A107" s="62" t="s">
        <v>471</v>
      </c>
      <c r="B107" s="63" t="s">
        <v>472</v>
      </c>
      <c r="C107" s="63" t="s">
        <v>473</v>
      </c>
      <c r="D107" s="64" t="s">
        <v>474</v>
      </c>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row>
    <row r="108" spans="1:81" s="65" customFormat="1" ht="16" x14ac:dyDescent="0.2">
      <c r="A108" s="62" t="s">
        <v>475</v>
      </c>
      <c r="B108" s="63" t="s">
        <v>476</v>
      </c>
      <c r="C108" s="63" t="s">
        <v>477</v>
      </c>
      <c r="D108" s="64" t="s">
        <v>478</v>
      </c>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row>
    <row r="109" spans="1:81" s="65" customFormat="1" ht="16" x14ac:dyDescent="0.2">
      <c r="A109" s="62" t="s">
        <v>479</v>
      </c>
      <c r="B109" s="63" t="s">
        <v>480</v>
      </c>
      <c r="C109" s="63" t="s">
        <v>481</v>
      </c>
      <c r="D109" s="64"/>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c r="BT109" s="57"/>
      <c r="BU109" s="57"/>
      <c r="BV109" s="57"/>
      <c r="BW109" s="57"/>
      <c r="BX109" s="57"/>
      <c r="BY109" s="57"/>
      <c r="BZ109" s="57"/>
      <c r="CA109" s="57"/>
      <c r="CB109" s="57"/>
      <c r="CC109" s="57"/>
    </row>
    <row r="110" spans="1:81" s="65" customFormat="1" ht="32" x14ac:dyDescent="0.2">
      <c r="A110" s="62" t="s">
        <v>482</v>
      </c>
      <c r="B110" s="63" t="s">
        <v>483</v>
      </c>
      <c r="C110" s="63" t="s">
        <v>484</v>
      </c>
      <c r="D110" s="64" t="s">
        <v>485</v>
      </c>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c r="BR110" s="57"/>
      <c r="BS110" s="57"/>
      <c r="BT110" s="57"/>
      <c r="BU110" s="57"/>
      <c r="BV110" s="57"/>
      <c r="BW110" s="57"/>
      <c r="BX110" s="57"/>
      <c r="BY110" s="57"/>
      <c r="BZ110" s="57"/>
      <c r="CA110" s="57"/>
      <c r="CB110" s="57"/>
      <c r="CC110" s="57"/>
    </row>
    <row r="111" spans="1:81" s="65" customFormat="1" ht="16" x14ac:dyDescent="0.2">
      <c r="A111" s="62" t="s">
        <v>486</v>
      </c>
      <c r="B111" s="63" t="s">
        <v>487</v>
      </c>
      <c r="C111" s="63" t="s">
        <v>488</v>
      </c>
      <c r="D111" s="64" t="s">
        <v>489</v>
      </c>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c r="BQ111" s="57"/>
      <c r="BR111" s="57"/>
      <c r="BS111" s="57"/>
      <c r="BT111" s="57"/>
      <c r="BU111" s="57"/>
      <c r="BV111" s="57"/>
      <c r="BW111" s="57"/>
      <c r="BX111" s="57"/>
      <c r="BY111" s="57"/>
      <c r="BZ111" s="57"/>
      <c r="CA111" s="57"/>
      <c r="CB111" s="57"/>
      <c r="CC111" s="57"/>
    </row>
    <row r="112" spans="1:81" s="65" customFormat="1" ht="64" x14ac:dyDescent="0.2">
      <c r="A112" s="70" t="s">
        <v>490</v>
      </c>
      <c r="B112" s="63" t="s">
        <v>491</v>
      </c>
      <c r="C112" s="63" t="s">
        <v>492</v>
      </c>
      <c r="D112" s="64" t="s">
        <v>493</v>
      </c>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row>
    <row r="113" spans="1:81" s="65" customFormat="1" ht="32" x14ac:dyDescent="0.2">
      <c r="A113" s="70" t="s">
        <v>494</v>
      </c>
      <c r="B113" s="63" t="s">
        <v>495</v>
      </c>
      <c r="C113" s="63" t="s">
        <v>496</v>
      </c>
      <c r="D113" s="64" t="s">
        <v>497</v>
      </c>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row>
    <row r="114" spans="1:81" s="65" customFormat="1" ht="48" x14ac:dyDescent="0.2">
      <c r="A114" s="70" t="s">
        <v>498</v>
      </c>
      <c r="B114" s="63" t="s">
        <v>499</v>
      </c>
      <c r="C114" s="63" t="s">
        <v>500</v>
      </c>
      <c r="D114" s="64"/>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c r="BN114" s="57"/>
      <c r="BO114" s="57"/>
      <c r="BP114" s="57"/>
      <c r="BQ114" s="57"/>
      <c r="BR114" s="57"/>
      <c r="BS114" s="57"/>
      <c r="BT114" s="57"/>
      <c r="BU114" s="57"/>
      <c r="BV114" s="57"/>
      <c r="BW114" s="57"/>
      <c r="BX114" s="57"/>
      <c r="BY114" s="57"/>
      <c r="BZ114" s="57"/>
      <c r="CA114" s="57"/>
      <c r="CB114" s="57"/>
      <c r="CC114" s="57"/>
    </row>
    <row r="115" spans="1:81" s="65" customFormat="1" ht="48" x14ac:dyDescent="0.2">
      <c r="A115" s="62" t="s">
        <v>501</v>
      </c>
      <c r="B115" s="63" t="s">
        <v>502</v>
      </c>
      <c r="C115" s="63" t="s">
        <v>503</v>
      </c>
      <c r="D115" s="64" t="s">
        <v>504</v>
      </c>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c r="CA115" s="57"/>
      <c r="CB115" s="57"/>
      <c r="CC115" s="57"/>
    </row>
    <row r="116" spans="1:81" s="65" customFormat="1" ht="32" x14ac:dyDescent="0.2">
      <c r="A116" s="62" t="s">
        <v>505</v>
      </c>
      <c r="B116" s="63" t="s">
        <v>506</v>
      </c>
      <c r="C116" s="63" t="s">
        <v>507</v>
      </c>
      <c r="D116" s="64" t="s">
        <v>508</v>
      </c>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row>
    <row r="117" spans="1:81" s="65" customFormat="1" ht="32" x14ac:dyDescent="0.2">
      <c r="A117" s="62" t="s">
        <v>509</v>
      </c>
      <c r="B117" s="63" t="s">
        <v>510</v>
      </c>
      <c r="C117" s="63" t="s">
        <v>511</v>
      </c>
      <c r="D117" s="64"/>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c r="BS117" s="57"/>
      <c r="BT117" s="57"/>
      <c r="BU117" s="57"/>
      <c r="BV117" s="57"/>
      <c r="BW117" s="57"/>
      <c r="BX117" s="57"/>
      <c r="BY117" s="57"/>
      <c r="BZ117" s="57"/>
      <c r="CA117" s="57"/>
      <c r="CB117" s="57"/>
      <c r="CC117" s="57"/>
    </row>
    <row r="118" spans="1:81" s="65" customFormat="1" ht="32" x14ac:dyDescent="0.2">
      <c r="A118" s="62" t="s">
        <v>512</v>
      </c>
      <c r="B118" s="63" t="s">
        <v>513</v>
      </c>
      <c r="C118" s="63" t="s">
        <v>514</v>
      </c>
      <c r="D118" s="64"/>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c r="CC118" s="57"/>
    </row>
    <row r="119" spans="1:81" s="65" customFormat="1" ht="32" x14ac:dyDescent="0.2">
      <c r="A119" s="62" t="s">
        <v>515</v>
      </c>
      <c r="B119" s="63" t="s">
        <v>516</v>
      </c>
      <c r="C119" s="63" t="s">
        <v>517</v>
      </c>
      <c r="D119" s="64"/>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row>
    <row r="120" spans="1:81" s="65" customFormat="1" ht="16" x14ac:dyDescent="0.2">
      <c r="A120" s="62" t="s">
        <v>518</v>
      </c>
      <c r="B120" s="63" t="s">
        <v>519</v>
      </c>
      <c r="C120" s="63" t="s">
        <v>520</v>
      </c>
      <c r="D120" s="64" t="s">
        <v>521</v>
      </c>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c r="BN120" s="57"/>
      <c r="BO120" s="57"/>
      <c r="BP120" s="57"/>
      <c r="BQ120" s="57"/>
      <c r="BR120" s="57"/>
      <c r="BS120" s="57"/>
      <c r="BT120" s="57"/>
      <c r="BU120" s="57"/>
      <c r="BV120" s="57"/>
      <c r="BW120" s="57"/>
      <c r="BX120" s="57"/>
      <c r="BY120" s="57"/>
      <c r="BZ120" s="57"/>
      <c r="CA120" s="57"/>
      <c r="CB120" s="57"/>
      <c r="CC120" s="57"/>
    </row>
    <row r="121" spans="1:81" s="65" customFormat="1" ht="48" x14ac:dyDescent="0.2">
      <c r="A121" s="62" t="s">
        <v>522</v>
      </c>
      <c r="B121" s="63" t="s">
        <v>523</v>
      </c>
      <c r="C121" s="63" t="s">
        <v>524</v>
      </c>
      <c r="D121" s="64" t="s">
        <v>525</v>
      </c>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row>
    <row r="122" spans="1:81" s="65" customFormat="1" ht="16" x14ac:dyDescent="0.2">
      <c r="A122" s="62" t="s">
        <v>27</v>
      </c>
      <c r="B122" s="63" t="s">
        <v>151</v>
      </c>
      <c r="C122" s="63" t="s">
        <v>152</v>
      </c>
      <c r="D122" s="64" t="s">
        <v>153</v>
      </c>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row>
    <row r="123" spans="1:81" s="65" customFormat="1" ht="32" x14ac:dyDescent="0.2">
      <c r="A123" s="62" t="s">
        <v>526</v>
      </c>
      <c r="B123" s="63" t="s">
        <v>527</v>
      </c>
      <c r="C123" s="63" t="s">
        <v>528</v>
      </c>
      <c r="D123" s="64" t="s">
        <v>529</v>
      </c>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row>
    <row r="124" spans="1:81" s="65" customFormat="1" ht="16" x14ac:dyDescent="0.2">
      <c r="A124" s="62" t="s">
        <v>530</v>
      </c>
      <c r="B124" s="63" t="s">
        <v>531</v>
      </c>
      <c r="C124" s="63" t="s">
        <v>532</v>
      </c>
      <c r="D124" s="64" t="s">
        <v>533</v>
      </c>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row>
    <row r="125" spans="1:81" s="65" customFormat="1" ht="32" x14ac:dyDescent="0.2">
      <c r="A125" s="62" t="s">
        <v>534</v>
      </c>
      <c r="B125" s="63" t="s">
        <v>535</v>
      </c>
      <c r="C125" s="63" t="s">
        <v>536</v>
      </c>
      <c r="D125" s="64" t="s">
        <v>537</v>
      </c>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row>
    <row r="126" spans="1:81" s="65" customFormat="1" ht="48" x14ac:dyDescent="0.2">
      <c r="A126" s="62" t="s">
        <v>538</v>
      </c>
      <c r="B126" s="63" t="s">
        <v>539</v>
      </c>
      <c r="C126" s="63" t="s">
        <v>540</v>
      </c>
      <c r="D126" s="64" t="s">
        <v>541</v>
      </c>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c r="CC126" s="57"/>
    </row>
    <row r="127" spans="1:81" s="65" customFormat="1" ht="32" x14ac:dyDescent="0.2">
      <c r="A127" s="62" t="s">
        <v>28</v>
      </c>
      <c r="B127" s="63" t="s">
        <v>154</v>
      </c>
      <c r="C127" s="63" t="s">
        <v>155</v>
      </c>
      <c r="D127" s="80"/>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c r="BR127" s="57"/>
      <c r="BS127" s="57"/>
      <c r="BT127" s="57"/>
      <c r="BU127" s="57"/>
      <c r="BV127" s="57"/>
      <c r="BW127" s="57"/>
      <c r="BX127" s="57"/>
      <c r="BY127" s="57"/>
      <c r="BZ127" s="57"/>
      <c r="CA127" s="57"/>
      <c r="CB127" s="57"/>
      <c r="CC127" s="57"/>
    </row>
    <row r="128" spans="1:81" s="65" customFormat="1" ht="32" x14ac:dyDescent="0.2">
      <c r="A128" s="62" t="s">
        <v>29</v>
      </c>
      <c r="B128" s="63" t="s">
        <v>156</v>
      </c>
      <c r="C128" s="63" t="s">
        <v>157</v>
      </c>
      <c r="D128" s="64"/>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c r="CC128" s="57"/>
    </row>
    <row r="129" spans="1:81" s="65" customFormat="1" ht="48" x14ac:dyDescent="0.2">
      <c r="A129" s="62" t="s">
        <v>542</v>
      </c>
      <c r="B129" s="63" t="s">
        <v>543</v>
      </c>
      <c r="C129" s="63" t="s">
        <v>544</v>
      </c>
      <c r="D129" s="64"/>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row>
    <row r="130" spans="1:81" s="65" customFormat="1" ht="64" x14ac:dyDescent="0.2">
      <c r="A130" s="62" t="s">
        <v>545</v>
      </c>
      <c r="B130" s="63" t="s">
        <v>546</v>
      </c>
      <c r="C130" s="63" t="s">
        <v>547</v>
      </c>
      <c r="D130" s="64" t="s">
        <v>548</v>
      </c>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row>
    <row r="131" spans="1:81" s="65" customFormat="1" ht="48" x14ac:dyDescent="0.2">
      <c r="A131" s="62" t="s">
        <v>549</v>
      </c>
      <c r="B131" s="63" t="s">
        <v>550</v>
      </c>
      <c r="C131" s="63" t="s">
        <v>551</v>
      </c>
      <c r="D131" s="64" t="s">
        <v>552</v>
      </c>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row>
    <row r="132" spans="1:81" s="65" customFormat="1" ht="16" x14ac:dyDescent="0.2">
      <c r="A132" s="62" t="s">
        <v>553</v>
      </c>
      <c r="B132" s="75" t="s">
        <v>554</v>
      </c>
      <c r="C132" s="63" t="s">
        <v>555</v>
      </c>
      <c r="D132" s="64" t="s">
        <v>556</v>
      </c>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row>
    <row r="133" spans="1:81" s="65" customFormat="1" ht="32" x14ac:dyDescent="0.2">
      <c r="A133" s="62" t="s">
        <v>557</v>
      </c>
      <c r="B133" s="63" t="s">
        <v>558</v>
      </c>
      <c r="C133" s="63" t="s">
        <v>559</v>
      </c>
      <c r="D133" s="64"/>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row>
    <row r="134" spans="1:81" s="65" customFormat="1" ht="32" x14ac:dyDescent="0.2">
      <c r="A134" s="62" t="s">
        <v>560</v>
      </c>
      <c r="B134" s="63" t="s">
        <v>561</v>
      </c>
      <c r="C134" s="63" t="s">
        <v>562</v>
      </c>
      <c r="D134" s="64"/>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row>
    <row r="135" spans="1:81" s="65" customFormat="1" ht="96" x14ac:dyDescent="0.2">
      <c r="A135" s="62" t="s">
        <v>563</v>
      </c>
      <c r="B135" s="63" t="s">
        <v>564</v>
      </c>
      <c r="C135" s="63" t="s">
        <v>565</v>
      </c>
      <c r="D135" s="64"/>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row>
    <row r="136" spans="1:81" s="65" customFormat="1" ht="48" x14ac:dyDescent="0.2">
      <c r="A136" s="62" t="s">
        <v>566</v>
      </c>
      <c r="B136" s="63" t="s">
        <v>567</v>
      </c>
      <c r="C136" s="63" t="s">
        <v>568</v>
      </c>
      <c r="D136" s="64"/>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row>
    <row r="137" spans="1:81" s="65" customFormat="1" ht="48" x14ac:dyDescent="0.2">
      <c r="A137" s="62" t="s">
        <v>569</v>
      </c>
      <c r="B137" s="63" t="s">
        <v>570</v>
      </c>
      <c r="C137" s="63" t="s">
        <v>571</v>
      </c>
      <c r="D137" s="64" t="s">
        <v>572</v>
      </c>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row>
    <row r="138" spans="1:81" s="65" customFormat="1" ht="32" x14ac:dyDescent="0.2">
      <c r="A138" s="62" t="s">
        <v>573</v>
      </c>
      <c r="B138" s="63" t="s">
        <v>574</v>
      </c>
      <c r="C138" s="63" t="s">
        <v>575</v>
      </c>
      <c r="D138" s="64"/>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row>
    <row r="139" spans="1:81" s="65" customFormat="1" ht="16" x14ac:dyDescent="0.2">
      <c r="A139" s="62" t="s">
        <v>576</v>
      </c>
      <c r="B139" s="63" t="s">
        <v>577</v>
      </c>
      <c r="C139" s="63" t="s">
        <v>578</v>
      </c>
      <c r="D139" s="64"/>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row>
    <row r="140" spans="1:81" s="65" customFormat="1" ht="16" x14ac:dyDescent="0.2">
      <c r="A140" s="62" t="s">
        <v>30</v>
      </c>
      <c r="B140" s="63" t="s">
        <v>158</v>
      </c>
      <c r="C140" s="63" t="s">
        <v>159</v>
      </c>
      <c r="D140" s="64"/>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row>
    <row r="141" spans="1:81" s="65" customFormat="1" ht="32" x14ac:dyDescent="0.2">
      <c r="A141" s="62" t="s">
        <v>31</v>
      </c>
      <c r="B141" s="63" t="s">
        <v>160</v>
      </c>
      <c r="C141" s="63" t="s">
        <v>161</v>
      </c>
      <c r="D141" s="64"/>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row>
    <row r="142" spans="1:81" s="65" customFormat="1" ht="64" x14ac:dyDescent="0.2">
      <c r="A142" s="62" t="s">
        <v>579</v>
      </c>
      <c r="B142" s="63" t="s">
        <v>580</v>
      </c>
      <c r="C142" s="63" t="s">
        <v>581</v>
      </c>
      <c r="D142" s="64"/>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c r="BW142" s="57"/>
      <c r="BX142" s="57"/>
      <c r="BY142" s="57"/>
      <c r="BZ142" s="57"/>
      <c r="CA142" s="57"/>
      <c r="CB142" s="57"/>
      <c r="CC142" s="57"/>
    </row>
    <row r="143" spans="1:81" s="65" customFormat="1" ht="48" x14ac:dyDescent="0.2">
      <c r="A143" s="62" t="s">
        <v>582</v>
      </c>
      <c r="B143" s="63" t="s">
        <v>583</v>
      </c>
      <c r="C143" s="63" t="s">
        <v>584</v>
      </c>
      <c r="D143" s="81"/>
      <c r="E143" s="63"/>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c r="CC143" s="57"/>
    </row>
    <row r="144" spans="1:81" s="65" customFormat="1" ht="48" x14ac:dyDescent="0.2">
      <c r="A144" s="62" t="s">
        <v>585</v>
      </c>
      <c r="B144" s="63" t="s">
        <v>586</v>
      </c>
      <c r="C144" s="63" t="s">
        <v>587</v>
      </c>
      <c r="D144" s="64"/>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row>
    <row r="145" spans="1:81" s="65" customFormat="1" x14ac:dyDescent="0.2">
      <c r="A145" s="66"/>
      <c r="B145" s="67"/>
      <c r="C145" s="68" t="s">
        <v>162</v>
      </c>
      <c r="D145" s="69"/>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c r="BN145" s="57"/>
      <c r="BO145" s="57"/>
      <c r="BP145" s="57"/>
      <c r="BQ145" s="57"/>
      <c r="BR145" s="57"/>
      <c r="BS145" s="57"/>
      <c r="BT145" s="57"/>
      <c r="BU145" s="57"/>
      <c r="BV145" s="57"/>
      <c r="BW145" s="57"/>
      <c r="BX145" s="57"/>
      <c r="BY145" s="57"/>
      <c r="BZ145" s="57"/>
      <c r="CA145" s="57"/>
      <c r="CB145" s="57"/>
      <c r="CC145" s="57"/>
    </row>
    <row r="146" spans="1:81" s="65" customFormat="1" ht="32" x14ac:dyDescent="0.2">
      <c r="A146" s="62" t="s">
        <v>588</v>
      </c>
      <c r="B146" s="63" t="s">
        <v>589</v>
      </c>
      <c r="C146" s="63" t="s">
        <v>590</v>
      </c>
      <c r="D146" s="64" t="s">
        <v>591</v>
      </c>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c r="BZ146" s="57"/>
      <c r="CA146" s="57"/>
      <c r="CB146" s="57"/>
      <c r="CC146" s="57"/>
    </row>
    <row r="147" spans="1:81" s="65" customFormat="1" ht="32" x14ac:dyDescent="0.2">
      <c r="A147" s="62" t="s">
        <v>592</v>
      </c>
      <c r="B147" s="63" t="s">
        <v>593</v>
      </c>
      <c r="C147" s="63" t="s">
        <v>594</v>
      </c>
      <c r="D147" s="64" t="s">
        <v>595</v>
      </c>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row>
    <row r="148" spans="1:81" s="65" customFormat="1" ht="32" x14ac:dyDescent="0.2">
      <c r="A148" s="62" t="s">
        <v>596</v>
      </c>
      <c r="B148" s="63" t="s">
        <v>597</v>
      </c>
      <c r="C148" s="63" t="s">
        <v>598</v>
      </c>
      <c r="D148" s="64" t="s">
        <v>599</v>
      </c>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row>
    <row r="149" spans="1:81" s="65" customFormat="1" ht="64" x14ac:dyDescent="0.2">
      <c r="A149" s="62" t="s">
        <v>600</v>
      </c>
      <c r="B149" s="63" t="s">
        <v>601</v>
      </c>
      <c r="C149" s="63" t="s">
        <v>602</v>
      </c>
      <c r="D149" s="64" t="s">
        <v>603</v>
      </c>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c r="BN149" s="57"/>
      <c r="BO149" s="57"/>
      <c r="BP149" s="57"/>
      <c r="BQ149" s="57"/>
      <c r="BR149" s="57"/>
      <c r="BS149" s="57"/>
      <c r="BT149" s="57"/>
      <c r="BU149" s="57"/>
      <c r="BV149" s="57"/>
      <c r="BW149" s="57"/>
      <c r="BX149" s="57"/>
      <c r="BY149" s="57"/>
      <c r="BZ149" s="57"/>
      <c r="CA149" s="57"/>
      <c r="CB149" s="57"/>
      <c r="CC149" s="57"/>
    </row>
    <row r="150" spans="1:81" s="65" customFormat="1" ht="64" x14ac:dyDescent="0.2">
      <c r="A150" s="62" t="s">
        <v>604</v>
      </c>
      <c r="B150" s="63" t="s">
        <v>87</v>
      </c>
      <c r="C150" s="63" t="s">
        <v>605</v>
      </c>
      <c r="D150" s="64" t="s">
        <v>606</v>
      </c>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row>
    <row r="151" spans="1:81" s="65" customFormat="1" ht="32" x14ac:dyDescent="0.2">
      <c r="A151" s="62" t="s">
        <v>607</v>
      </c>
      <c r="B151" s="63" t="s">
        <v>608</v>
      </c>
      <c r="C151" s="63" t="s">
        <v>609</v>
      </c>
      <c r="D151" s="64"/>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row>
    <row r="152" spans="1:81" s="65" customFormat="1" ht="80" x14ac:dyDescent="0.2">
      <c r="A152" s="62" t="s">
        <v>610</v>
      </c>
      <c r="B152" s="63" t="s">
        <v>611</v>
      </c>
      <c r="C152" s="63" t="s">
        <v>612</v>
      </c>
      <c r="D152" s="64" t="s">
        <v>613</v>
      </c>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row>
    <row r="153" spans="1:81" s="65" customFormat="1" ht="48" x14ac:dyDescent="0.2">
      <c r="A153" s="70" t="s">
        <v>614</v>
      </c>
      <c r="B153" s="63" t="s">
        <v>615</v>
      </c>
      <c r="C153" s="63" t="s">
        <v>616</v>
      </c>
      <c r="D153" s="64"/>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row>
    <row r="154" spans="1:81" s="65" customFormat="1" ht="16" x14ac:dyDescent="0.2">
      <c r="A154" s="70" t="s">
        <v>617</v>
      </c>
      <c r="B154" s="63" t="s">
        <v>618</v>
      </c>
      <c r="C154" s="63" t="s">
        <v>619</v>
      </c>
      <c r="D154" s="64"/>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c r="BO154" s="57"/>
      <c r="BP154" s="57"/>
      <c r="BQ154" s="57"/>
      <c r="BR154" s="57"/>
      <c r="BS154" s="57"/>
      <c r="BT154" s="57"/>
      <c r="BU154" s="57"/>
      <c r="BV154" s="57"/>
      <c r="BW154" s="57"/>
      <c r="BX154" s="57"/>
      <c r="BY154" s="57"/>
      <c r="BZ154" s="57"/>
      <c r="CA154" s="57"/>
      <c r="CB154" s="57"/>
      <c r="CC154" s="57"/>
    </row>
    <row r="155" spans="1:81" s="65" customFormat="1" ht="32" x14ac:dyDescent="0.2">
      <c r="A155" s="62" t="s">
        <v>620</v>
      </c>
      <c r="B155" s="63" t="s">
        <v>621</v>
      </c>
      <c r="C155" s="63" t="s">
        <v>622</v>
      </c>
      <c r="D155" s="64"/>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row>
    <row r="156" spans="1:81" s="65" customFormat="1" ht="16" x14ac:dyDescent="0.2">
      <c r="A156" s="62" t="s">
        <v>32</v>
      </c>
      <c r="B156" s="63" t="s">
        <v>163</v>
      </c>
      <c r="C156" s="63" t="s">
        <v>164</v>
      </c>
      <c r="D156" s="74"/>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row>
    <row r="157" spans="1:81" s="65" customFormat="1" x14ac:dyDescent="0.2">
      <c r="A157" s="82"/>
      <c r="B157" s="67"/>
      <c r="C157" s="68" t="s">
        <v>165</v>
      </c>
      <c r="D157" s="69"/>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row>
    <row r="158" spans="1:81" s="65" customFormat="1" ht="64" x14ac:dyDescent="0.2">
      <c r="A158" s="62" t="s">
        <v>623</v>
      </c>
      <c r="B158" s="63" t="s">
        <v>624</v>
      </c>
      <c r="C158" s="63" t="s">
        <v>625</v>
      </c>
      <c r="D158" s="64" t="s">
        <v>626</v>
      </c>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row>
    <row r="159" spans="1:81" s="65" customFormat="1" ht="48" x14ac:dyDescent="0.2">
      <c r="A159" s="62" t="s">
        <v>627</v>
      </c>
      <c r="B159" s="63" t="s">
        <v>628</v>
      </c>
      <c r="C159" s="63" t="s">
        <v>629</v>
      </c>
      <c r="D159" s="64" t="s">
        <v>630</v>
      </c>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row>
    <row r="160" spans="1:81" s="65" customFormat="1" ht="34" x14ac:dyDescent="0.2">
      <c r="A160" s="62" t="s">
        <v>631</v>
      </c>
      <c r="B160" s="63" t="s">
        <v>632</v>
      </c>
      <c r="C160" s="63" t="s">
        <v>912</v>
      </c>
      <c r="D160" s="64" t="s">
        <v>633</v>
      </c>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row>
    <row r="161" spans="1:81" s="65" customFormat="1" ht="48" x14ac:dyDescent="0.2">
      <c r="A161" s="62" t="s">
        <v>33</v>
      </c>
      <c r="B161" s="63" t="s">
        <v>166</v>
      </c>
      <c r="C161" s="63" t="s">
        <v>167</v>
      </c>
      <c r="D161" s="64"/>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row>
    <row r="162" spans="1:81" x14ac:dyDescent="0.2">
      <c r="A162" s="83"/>
      <c r="B162" s="84"/>
      <c r="C162" s="85" t="s">
        <v>168</v>
      </c>
      <c r="D162" s="86"/>
    </row>
    <row r="163" spans="1:81" ht="82" x14ac:dyDescent="0.2">
      <c r="A163" s="87" t="s">
        <v>34</v>
      </c>
      <c r="B163" s="88" t="s">
        <v>634</v>
      </c>
      <c r="C163" s="63" t="s">
        <v>913</v>
      </c>
      <c r="D163" s="74"/>
    </row>
    <row r="164" spans="1:81" ht="80" x14ac:dyDescent="0.2">
      <c r="A164" s="87" t="s">
        <v>35</v>
      </c>
      <c r="B164" s="88" t="s">
        <v>635</v>
      </c>
      <c r="C164" s="63" t="s">
        <v>636</v>
      </c>
      <c r="D164" s="74"/>
    </row>
    <row r="165" spans="1:81" ht="80" x14ac:dyDescent="0.2">
      <c r="A165" s="87" t="s">
        <v>36</v>
      </c>
      <c r="B165" s="88" t="s">
        <v>637</v>
      </c>
      <c r="C165" s="63" t="s">
        <v>638</v>
      </c>
      <c r="D165" s="74"/>
    </row>
    <row r="166" spans="1:81" ht="80" x14ac:dyDescent="0.2">
      <c r="A166" s="87" t="s">
        <v>37</v>
      </c>
      <c r="B166" s="88" t="s">
        <v>639</v>
      </c>
      <c r="C166" s="63" t="s">
        <v>640</v>
      </c>
      <c r="D166" s="74"/>
    </row>
    <row r="167" spans="1:81" ht="48" x14ac:dyDescent="0.2">
      <c r="A167" s="87" t="s">
        <v>38</v>
      </c>
      <c r="B167" s="88" t="s">
        <v>641</v>
      </c>
      <c r="C167" s="63" t="s">
        <v>642</v>
      </c>
      <c r="D167" s="74"/>
    </row>
    <row r="168" spans="1:81" ht="83" x14ac:dyDescent="0.2">
      <c r="A168" s="87" t="s">
        <v>39</v>
      </c>
      <c r="B168" s="88" t="s">
        <v>643</v>
      </c>
      <c r="C168" s="63" t="s">
        <v>914</v>
      </c>
      <c r="D168" s="74"/>
    </row>
    <row r="169" spans="1:81" ht="80" x14ac:dyDescent="0.2">
      <c r="A169" s="87" t="s">
        <v>40</v>
      </c>
      <c r="B169" s="57" t="s">
        <v>644</v>
      </c>
      <c r="C169" s="63" t="s">
        <v>645</v>
      </c>
      <c r="D169" s="74"/>
    </row>
    <row r="170" spans="1:81" ht="80" x14ac:dyDescent="0.2">
      <c r="A170" s="87" t="s">
        <v>41</v>
      </c>
      <c r="B170" s="57" t="s">
        <v>646</v>
      </c>
      <c r="C170" s="63" t="s">
        <v>647</v>
      </c>
      <c r="D170" s="74"/>
    </row>
    <row r="171" spans="1:81" x14ac:dyDescent="0.2">
      <c r="A171" s="83"/>
      <c r="B171" s="84"/>
      <c r="C171" s="85" t="s">
        <v>169</v>
      </c>
      <c r="D171" s="86"/>
    </row>
    <row r="172" spans="1:81" ht="51" x14ac:dyDescent="0.2">
      <c r="A172" s="62" t="s">
        <v>42</v>
      </c>
      <c r="B172" s="63" t="s">
        <v>648</v>
      </c>
      <c r="C172" s="89" t="s">
        <v>915</v>
      </c>
      <c r="D172" s="64" t="s">
        <v>649</v>
      </c>
    </row>
    <row r="173" spans="1:81" ht="48" x14ac:dyDescent="0.2">
      <c r="A173" s="70" t="s">
        <v>43</v>
      </c>
      <c r="B173" s="63" t="s">
        <v>650</v>
      </c>
      <c r="C173" s="90" t="s">
        <v>651</v>
      </c>
      <c r="D173" s="64"/>
    </row>
    <row r="174" spans="1:81" ht="64" x14ac:dyDescent="0.2">
      <c r="A174" s="70" t="s">
        <v>44</v>
      </c>
      <c r="B174" s="63" t="s">
        <v>652</v>
      </c>
      <c r="C174" s="90" t="s">
        <v>916</v>
      </c>
      <c r="D174" s="64"/>
    </row>
    <row r="175" spans="1:81" ht="64" x14ac:dyDescent="0.2">
      <c r="A175" s="87" t="s">
        <v>45</v>
      </c>
      <c r="B175" s="88" t="s">
        <v>653</v>
      </c>
      <c r="C175" s="63" t="s">
        <v>654</v>
      </c>
      <c r="D175" s="74"/>
    </row>
    <row r="176" spans="1:81" ht="80" x14ac:dyDescent="0.2">
      <c r="A176" s="87" t="s">
        <v>46</v>
      </c>
      <c r="B176" s="88" t="s">
        <v>655</v>
      </c>
      <c r="C176" s="63" t="s">
        <v>656</v>
      </c>
      <c r="D176" s="74"/>
    </row>
    <row r="177" spans="1:81" ht="48" x14ac:dyDescent="0.2">
      <c r="A177" s="87" t="s">
        <v>47</v>
      </c>
      <c r="B177" s="88" t="s">
        <v>657</v>
      </c>
      <c r="C177" s="63" t="s">
        <v>658</v>
      </c>
      <c r="D177" s="74"/>
    </row>
    <row r="178" spans="1:81" ht="64" x14ac:dyDescent="0.2">
      <c r="A178" s="87" t="s">
        <v>48</v>
      </c>
      <c r="B178" s="88" t="s">
        <v>659</v>
      </c>
      <c r="C178" s="63" t="s">
        <v>660</v>
      </c>
      <c r="D178" s="74"/>
    </row>
    <row r="179" spans="1:81" ht="64" x14ac:dyDescent="0.2">
      <c r="A179" s="87" t="s">
        <v>49</v>
      </c>
      <c r="B179" s="88" t="s">
        <v>661</v>
      </c>
      <c r="C179" s="63" t="s">
        <v>662</v>
      </c>
      <c r="D179" s="74"/>
    </row>
    <row r="180" spans="1:81" ht="32" x14ac:dyDescent="0.2">
      <c r="A180" s="87" t="s">
        <v>50</v>
      </c>
      <c r="B180" s="88" t="s">
        <v>663</v>
      </c>
      <c r="C180" s="63" t="s">
        <v>664</v>
      </c>
      <c r="D180" s="74"/>
    </row>
    <row r="181" spans="1:81" ht="32" x14ac:dyDescent="0.2">
      <c r="A181" s="87" t="s">
        <v>51</v>
      </c>
      <c r="B181" s="88" t="s">
        <v>665</v>
      </c>
      <c r="C181" s="63" t="s">
        <v>666</v>
      </c>
      <c r="D181" s="74"/>
    </row>
    <row r="182" spans="1:81" ht="32" x14ac:dyDescent="0.2">
      <c r="A182" s="87" t="s">
        <v>52</v>
      </c>
      <c r="B182" s="88" t="s">
        <v>667</v>
      </c>
      <c r="C182" s="63" t="s">
        <v>668</v>
      </c>
      <c r="D182" s="74"/>
    </row>
    <row r="183" spans="1:81" x14ac:dyDescent="0.2">
      <c r="A183" s="83"/>
      <c r="B183" s="84"/>
      <c r="C183" s="85" t="s">
        <v>170</v>
      </c>
      <c r="D183" s="86"/>
    </row>
    <row r="184" spans="1:81" s="65" customFormat="1" ht="48" x14ac:dyDescent="0.2">
      <c r="A184" s="62" t="s">
        <v>53</v>
      </c>
      <c r="B184" s="63" t="s">
        <v>171</v>
      </c>
      <c r="C184" s="63" t="s">
        <v>741</v>
      </c>
      <c r="D184" s="64"/>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row>
    <row r="185" spans="1:81" s="65" customFormat="1" ht="64" x14ac:dyDescent="0.2">
      <c r="A185" s="62" t="s">
        <v>669</v>
      </c>
      <c r="B185" s="63" t="s">
        <v>670</v>
      </c>
      <c r="C185" s="63" t="s">
        <v>671</v>
      </c>
      <c r="D185" s="64" t="s">
        <v>672</v>
      </c>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row>
    <row r="186" spans="1:81" s="65" customFormat="1" ht="48" x14ac:dyDescent="0.2">
      <c r="A186" s="62" t="s">
        <v>673</v>
      </c>
      <c r="B186" s="63" t="s">
        <v>674</v>
      </c>
      <c r="C186" s="63" t="s">
        <v>675</v>
      </c>
      <c r="D186" s="64"/>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row>
    <row r="187" spans="1:81" s="65" customFormat="1" ht="32" x14ac:dyDescent="0.2">
      <c r="A187" s="62" t="s">
        <v>54</v>
      </c>
      <c r="B187" s="63" t="s">
        <v>172</v>
      </c>
      <c r="C187" s="63" t="s">
        <v>173</v>
      </c>
      <c r="D187" s="64"/>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row>
    <row r="188" spans="1:81" s="65" customFormat="1" ht="52" x14ac:dyDescent="0.2">
      <c r="A188" s="62" t="s">
        <v>55</v>
      </c>
      <c r="B188" s="57" t="s">
        <v>174</v>
      </c>
      <c r="C188" s="63" t="s">
        <v>917</v>
      </c>
      <c r="D188" s="64"/>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c r="BN188" s="57"/>
      <c r="BO188" s="57"/>
      <c r="BP188" s="57"/>
      <c r="BQ188" s="57"/>
      <c r="BR188" s="57"/>
      <c r="BS188" s="57"/>
      <c r="BT188" s="57"/>
      <c r="BU188" s="57"/>
      <c r="BV188" s="57"/>
      <c r="BW188" s="57"/>
      <c r="BX188" s="57"/>
      <c r="BY188" s="57"/>
      <c r="BZ188" s="57"/>
      <c r="CA188" s="57"/>
      <c r="CB188" s="57"/>
      <c r="CC188" s="57"/>
    </row>
    <row r="189" spans="1:81" ht="53" x14ac:dyDescent="0.2">
      <c r="A189" s="87" t="s">
        <v>56</v>
      </c>
      <c r="B189" s="88" t="s">
        <v>57</v>
      </c>
      <c r="C189" s="63" t="s">
        <v>918</v>
      </c>
      <c r="D189" s="74"/>
    </row>
    <row r="190" spans="1:81" x14ac:dyDescent="0.2">
      <c r="A190" s="83"/>
      <c r="B190" s="84"/>
      <c r="C190" s="85" t="s">
        <v>175</v>
      </c>
      <c r="D190" s="86"/>
    </row>
    <row r="191" spans="1:81" ht="32" x14ac:dyDescent="0.2">
      <c r="A191" s="91" t="s">
        <v>58</v>
      </c>
      <c r="B191" s="57" t="s">
        <v>676</v>
      </c>
      <c r="C191" s="63" t="s">
        <v>677</v>
      </c>
      <c r="D191" s="74"/>
    </row>
    <row r="192" spans="1:81" s="75" customFormat="1" ht="32" x14ac:dyDescent="0.2">
      <c r="A192" s="91" t="s">
        <v>59</v>
      </c>
      <c r="B192" s="57" t="s">
        <v>678</v>
      </c>
      <c r="C192" s="63" t="s">
        <v>679</v>
      </c>
      <c r="D192" s="74"/>
      <c r="E192" s="65"/>
      <c r="F192" s="57"/>
    </row>
    <row r="193" spans="1:6" s="75" customFormat="1" ht="16" x14ac:dyDescent="0.2">
      <c r="A193" s="91" t="s">
        <v>60</v>
      </c>
      <c r="B193" s="57" t="s">
        <v>680</v>
      </c>
      <c r="C193" s="63" t="s">
        <v>681</v>
      </c>
      <c r="D193" s="74"/>
      <c r="E193" s="65"/>
      <c r="F193" s="57"/>
    </row>
    <row r="194" spans="1:6" s="75" customFormat="1" ht="16" x14ac:dyDescent="0.2">
      <c r="A194" s="91" t="s">
        <v>61</v>
      </c>
      <c r="B194" s="57" t="s">
        <v>682</v>
      </c>
      <c r="C194" s="63" t="s">
        <v>683</v>
      </c>
      <c r="D194" s="74"/>
      <c r="E194" s="65"/>
      <c r="F194" s="57"/>
    </row>
    <row r="195" spans="1:6" s="75" customFormat="1" ht="16" x14ac:dyDescent="0.2">
      <c r="A195" s="87" t="s">
        <v>62</v>
      </c>
      <c r="B195" s="57" t="s">
        <v>684</v>
      </c>
      <c r="C195" s="63" t="s">
        <v>685</v>
      </c>
      <c r="D195" s="74"/>
      <c r="E195" s="65"/>
      <c r="F195" s="57"/>
    </row>
    <row r="196" spans="1:6" s="75" customFormat="1" ht="16" x14ac:dyDescent="0.2">
      <c r="A196" s="87" t="s">
        <v>63</v>
      </c>
      <c r="B196" s="57" t="s">
        <v>686</v>
      </c>
      <c r="C196" s="63" t="s">
        <v>687</v>
      </c>
      <c r="D196" s="74"/>
      <c r="E196" s="65"/>
      <c r="F196" s="57"/>
    </row>
    <row r="197" spans="1:6" s="75" customFormat="1" ht="32" x14ac:dyDescent="0.2">
      <c r="A197" s="87" t="s">
        <v>64</v>
      </c>
      <c r="B197" s="57" t="s">
        <v>688</v>
      </c>
      <c r="C197" s="63" t="s">
        <v>689</v>
      </c>
      <c r="D197" s="74"/>
      <c r="E197" s="65"/>
      <c r="F197" s="57"/>
    </row>
    <row r="198" spans="1:6" s="75" customFormat="1" ht="32" x14ac:dyDescent="0.2">
      <c r="A198" s="87" t="s">
        <v>65</v>
      </c>
      <c r="B198" s="57" t="s">
        <v>690</v>
      </c>
      <c r="C198" s="63" t="s">
        <v>691</v>
      </c>
      <c r="D198" s="74"/>
      <c r="E198" s="65"/>
      <c r="F198" s="57"/>
    </row>
    <row r="199" spans="1:6" s="75" customFormat="1" ht="32" x14ac:dyDescent="0.2">
      <c r="A199" s="87" t="s">
        <v>66</v>
      </c>
      <c r="B199" s="57" t="s">
        <v>692</v>
      </c>
      <c r="C199" s="63" t="s">
        <v>693</v>
      </c>
      <c r="D199" s="74"/>
      <c r="E199" s="65"/>
      <c r="F199" s="57"/>
    </row>
    <row r="200" spans="1:6" s="75" customFormat="1" ht="32" x14ac:dyDescent="0.2">
      <c r="A200" s="87" t="s">
        <v>67</v>
      </c>
      <c r="B200" s="57" t="s">
        <v>694</v>
      </c>
      <c r="C200" s="63" t="s">
        <v>695</v>
      </c>
      <c r="D200" s="74"/>
      <c r="E200" s="65"/>
      <c r="F200" s="57"/>
    </row>
    <row r="201" spans="1:6" s="75" customFormat="1" ht="16" x14ac:dyDescent="0.2">
      <c r="A201" s="87" t="s">
        <v>68</v>
      </c>
      <c r="B201" s="57" t="s">
        <v>696</v>
      </c>
      <c r="C201" s="63" t="s">
        <v>697</v>
      </c>
      <c r="D201" s="74"/>
      <c r="E201" s="65"/>
      <c r="F201" s="57"/>
    </row>
    <row r="202" spans="1:6" s="75" customFormat="1" ht="16" x14ac:dyDescent="0.2">
      <c r="A202" s="87" t="s">
        <v>69</v>
      </c>
      <c r="B202" s="57" t="s">
        <v>698</v>
      </c>
      <c r="C202" s="63" t="s">
        <v>699</v>
      </c>
      <c r="D202" s="74"/>
      <c r="E202" s="65"/>
      <c r="F202" s="57"/>
    </row>
    <row r="203" spans="1:6" s="75" customFormat="1" ht="32" x14ac:dyDescent="0.2">
      <c r="A203" s="87" t="s">
        <v>70</v>
      </c>
      <c r="B203" s="57" t="s">
        <v>700</v>
      </c>
      <c r="C203" s="63" t="s">
        <v>701</v>
      </c>
      <c r="D203" s="74"/>
      <c r="E203" s="65"/>
      <c r="F203" s="57"/>
    </row>
    <row r="204" spans="1:6" s="75" customFormat="1" ht="16" x14ac:dyDescent="0.2">
      <c r="A204" s="87" t="s">
        <v>71</v>
      </c>
      <c r="B204" s="57" t="s">
        <v>702</v>
      </c>
      <c r="C204" s="63" t="s">
        <v>703</v>
      </c>
      <c r="D204" s="74"/>
      <c r="E204" s="65"/>
      <c r="F204" s="57"/>
    </row>
    <row r="205" spans="1:6" s="75" customFormat="1" ht="80" x14ac:dyDescent="0.2">
      <c r="A205" s="87" t="s">
        <v>72</v>
      </c>
      <c r="B205" s="57" t="s">
        <v>704</v>
      </c>
      <c r="C205" s="63" t="s">
        <v>705</v>
      </c>
      <c r="D205" s="74"/>
      <c r="E205" s="65"/>
      <c r="F205" s="57"/>
    </row>
    <row r="206" spans="1:6" s="75" customFormat="1" ht="48" x14ac:dyDescent="0.2">
      <c r="A206" s="87" t="s">
        <v>73</v>
      </c>
      <c r="B206" s="57" t="s">
        <v>706</v>
      </c>
      <c r="C206" s="63" t="s">
        <v>707</v>
      </c>
      <c r="D206" s="74"/>
      <c r="E206" s="65"/>
      <c r="F206" s="57"/>
    </row>
    <row r="207" spans="1:6" s="75" customFormat="1" ht="48" x14ac:dyDescent="0.2">
      <c r="A207" s="87" t="s">
        <v>74</v>
      </c>
      <c r="B207" s="57" t="s">
        <v>708</v>
      </c>
      <c r="C207" s="63" t="s">
        <v>709</v>
      </c>
      <c r="D207" s="74"/>
      <c r="E207" s="65"/>
      <c r="F207" s="57"/>
    </row>
    <row r="208" spans="1:6" ht="16" thickBot="1" x14ac:dyDescent="0.25">
      <c r="A208" s="92"/>
      <c r="B208" s="93"/>
      <c r="C208" s="94"/>
      <c r="D208" s="95"/>
    </row>
  </sheetData>
  <pageMargins left="1" right="1" top="1" bottom="1" header="0.5" footer="0.5"/>
  <pageSetup paperSize="9" orientation="landscape"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DB42-3C68-A84B-B7FB-3AD2CD86BED8}">
  <dimension ref="A1:CD216"/>
  <sheetViews>
    <sheetView topLeftCell="A201" zoomScale="108" workbookViewId="0">
      <selection activeCell="D218" sqref="D218"/>
    </sheetView>
  </sheetViews>
  <sheetFormatPr baseColWidth="10" defaultColWidth="8.83203125" defaultRowHeight="16" x14ac:dyDescent="0.2"/>
  <cols>
    <col min="1" max="1" width="10.33203125" style="173" bestFit="1" customWidth="1"/>
    <col min="2" max="2" width="10.5" style="173" bestFit="1" customWidth="1"/>
    <col min="3" max="3" width="46.1640625" style="174" bestFit="1" customWidth="1"/>
    <col min="4" max="4" width="108.5" style="175" customWidth="1"/>
    <col min="5" max="5" width="66.33203125" style="151" customWidth="1"/>
    <col min="6" max="6" width="26" style="117" customWidth="1"/>
    <col min="7" max="16384" width="8.83203125" style="97"/>
  </cols>
  <sheetData>
    <row r="1" spans="1:82" s="104" customFormat="1" x14ac:dyDescent="0.2">
      <c r="A1" s="98" t="s">
        <v>919</v>
      </c>
      <c r="B1" s="98" t="s">
        <v>920</v>
      </c>
      <c r="C1" s="99" t="s">
        <v>76</v>
      </c>
      <c r="D1" s="100" t="s">
        <v>82</v>
      </c>
      <c r="E1" s="101" t="s">
        <v>83</v>
      </c>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3" t="s">
        <v>84</v>
      </c>
      <c r="CD1" s="102" t="s">
        <v>85</v>
      </c>
    </row>
    <row r="2" spans="1:82" s="104" customFormat="1" x14ac:dyDescent="0.2">
      <c r="A2" s="105"/>
      <c r="B2" s="105"/>
      <c r="C2" s="106"/>
      <c r="D2" s="107" t="s">
        <v>86</v>
      </c>
      <c r="E2" s="108"/>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102"/>
      <c r="CA2" s="102"/>
      <c r="CB2" s="102"/>
      <c r="CC2" s="102"/>
      <c r="CD2" s="102" t="s">
        <v>87</v>
      </c>
    </row>
    <row r="3" spans="1:82" ht="32" x14ac:dyDescent="0.2">
      <c r="A3" s="109" t="s">
        <v>201</v>
      </c>
      <c r="B3" s="109" t="s">
        <v>201</v>
      </c>
      <c r="C3" s="110" t="s">
        <v>202</v>
      </c>
      <c r="D3" s="110" t="s">
        <v>203</v>
      </c>
      <c r="E3" s="111" t="s">
        <v>204</v>
      </c>
      <c r="F3" s="112"/>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row>
    <row r="4" spans="1:82" ht="48" x14ac:dyDescent="0.2">
      <c r="A4" s="113" t="s">
        <v>205</v>
      </c>
      <c r="B4" s="113" t="s">
        <v>205</v>
      </c>
      <c r="C4" s="114" t="s">
        <v>199</v>
      </c>
      <c r="D4" s="114" t="s">
        <v>206</v>
      </c>
      <c r="E4" s="115" t="s">
        <v>207</v>
      </c>
      <c r="F4" s="112"/>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row>
    <row r="5" spans="1:82" ht="32" x14ac:dyDescent="0.2">
      <c r="A5" s="109" t="s">
        <v>208</v>
      </c>
      <c r="B5" s="109" t="s">
        <v>208</v>
      </c>
      <c r="C5" s="110" t="s">
        <v>209</v>
      </c>
      <c r="D5" s="110" t="s">
        <v>210</v>
      </c>
      <c r="E5" s="111" t="s">
        <v>211</v>
      </c>
      <c r="F5" s="112"/>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row>
    <row r="6" spans="1:82" ht="32" x14ac:dyDescent="0.2">
      <c r="A6" s="113" t="s">
        <v>212</v>
      </c>
      <c r="B6" s="113" t="s">
        <v>212</v>
      </c>
      <c r="C6" s="114" t="s">
        <v>213</v>
      </c>
      <c r="D6" s="114" t="s">
        <v>214</v>
      </c>
      <c r="E6" s="115" t="s">
        <v>215</v>
      </c>
      <c r="F6" s="112"/>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row>
    <row r="7" spans="1:82" x14ac:dyDescent="0.2">
      <c r="A7" s="109" t="s">
        <v>0</v>
      </c>
      <c r="B7" s="109" t="s">
        <v>0</v>
      </c>
      <c r="C7" s="110" t="s">
        <v>88</v>
      </c>
      <c r="D7" s="110" t="s">
        <v>89</v>
      </c>
      <c r="E7" s="111" t="s">
        <v>90</v>
      </c>
      <c r="F7" s="112"/>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c r="BM7" s="103"/>
      <c r="BN7" s="103"/>
      <c r="BO7" s="103"/>
      <c r="BP7" s="103"/>
      <c r="BQ7" s="103"/>
      <c r="BR7" s="103"/>
      <c r="BS7" s="103"/>
      <c r="BT7" s="103"/>
      <c r="BU7" s="103"/>
      <c r="BV7" s="103"/>
      <c r="BW7" s="103"/>
      <c r="BX7" s="103"/>
      <c r="BY7" s="103"/>
      <c r="BZ7" s="103"/>
      <c r="CA7" s="103"/>
      <c r="CB7" s="103"/>
      <c r="CC7" s="103"/>
      <c r="CD7" s="103"/>
    </row>
    <row r="8" spans="1:82" ht="32" x14ac:dyDescent="0.2">
      <c r="A8" s="113" t="s">
        <v>1</v>
      </c>
      <c r="B8" s="113" t="s">
        <v>1</v>
      </c>
      <c r="C8" s="114" t="s">
        <v>91</v>
      </c>
      <c r="D8" s="114" t="s">
        <v>92</v>
      </c>
      <c r="E8" s="115" t="s">
        <v>93</v>
      </c>
      <c r="F8" s="112"/>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c r="CD8" s="103"/>
    </row>
    <row r="9" spans="1:82" ht="64" x14ac:dyDescent="0.2">
      <c r="A9" s="109" t="s">
        <v>216</v>
      </c>
      <c r="B9" s="109" t="s">
        <v>216</v>
      </c>
      <c r="C9" s="110" t="s">
        <v>217</v>
      </c>
      <c r="D9" s="110" t="s">
        <v>218</v>
      </c>
      <c r="E9" s="111" t="s">
        <v>219</v>
      </c>
      <c r="F9" s="112"/>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row>
    <row r="10" spans="1:82" ht="32" x14ac:dyDescent="0.2">
      <c r="A10" s="113" t="s">
        <v>220</v>
      </c>
      <c r="B10" s="113" t="s">
        <v>220</v>
      </c>
      <c r="C10" s="114" t="s">
        <v>221</v>
      </c>
      <c r="D10" s="114" t="s">
        <v>222</v>
      </c>
      <c r="E10" s="115" t="s">
        <v>223</v>
      </c>
      <c r="F10" s="112"/>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row>
    <row r="11" spans="1:82" x14ac:dyDescent="0.2">
      <c r="A11" s="109" t="s">
        <v>224</v>
      </c>
      <c r="B11" s="109" t="s">
        <v>224</v>
      </c>
      <c r="C11" s="110" t="s">
        <v>225</v>
      </c>
      <c r="D11" s="110" t="s">
        <v>226</v>
      </c>
      <c r="E11" s="111"/>
      <c r="F11" s="112"/>
      <c r="G11" s="103"/>
      <c r="H11" s="103"/>
      <c r="I11" s="103"/>
      <c r="J11" s="103"/>
      <c r="K11" s="103"/>
      <c r="L11" s="103"/>
      <c r="M11" s="103"/>
      <c r="N11" s="103"/>
      <c r="O11" s="103"/>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row>
    <row r="12" spans="1:82" x14ac:dyDescent="0.2">
      <c r="A12" s="113" t="s">
        <v>227</v>
      </c>
      <c r="B12" s="113" t="s">
        <v>227</v>
      </c>
      <c r="C12" s="114" t="s">
        <v>228</v>
      </c>
      <c r="D12" s="114" t="s">
        <v>229</v>
      </c>
      <c r="E12" s="115" t="s">
        <v>230</v>
      </c>
      <c r="F12" s="112"/>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row>
    <row r="13" spans="1:82" ht="32" x14ac:dyDescent="0.2">
      <c r="A13" s="109" t="s">
        <v>231</v>
      </c>
      <c r="B13" s="109" t="s">
        <v>231</v>
      </c>
      <c r="C13" s="110" t="s">
        <v>232</v>
      </c>
      <c r="D13" s="110" t="s">
        <v>233</v>
      </c>
      <c r="E13" s="111" t="s">
        <v>234</v>
      </c>
      <c r="F13" s="112"/>
      <c r="G13" s="103"/>
      <c r="H13" s="103"/>
      <c r="I13" s="103"/>
      <c r="J13" s="103"/>
      <c r="K13" s="103"/>
      <c r="L13" s="103"/>
      <c r="M13" s="103"/>
      <c r="N13" s="103"/>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row>
    <row r="14" spans="1:82" s="117" customFormat="1" ht="96" x14ac:dyDescent="0.2">
      <c r="A14" s="116" t="s">
        <v>6</v>
      </c>
      <c r="B14" s="116" t="s">
        <v>786</v>
      </c>
      <c r="C14" s="110" t="s">
        <v>104</v>
      </c>
      <c r="D14" s="110" t="s">
        <v>105</v>
      </c>
      <c r="E14" s="111" t="s">
        <v>106</v>
      </c>
      <c r="F14" s="112"/>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row>
    <row r="15" spans="1:82" s="117" customFormat="1" x14ac:dyDescent="0.2">
      <c r="A15" s="113" t="s">
        <v>19</v>
      </c>
      <c r="B15" s="113" t="s">
        <v>787</v>
      </c>
      <c r="C15" s="118" t="s">
        <v>132</v>
      </c>
      <c r="D15" s="119" t="s">
        <v>133</v>
      </c>
      <c r="E15" s="115"/>
      <c r="F15" s="112"/>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row>
    <row r="16" spans="1:82" s="117" customFormat="1" x14ac:dyDescent="0.2">
      <c r="A16" s="113" t="s">
        <v>12</v>
      </c>
      <c r="B16" s="113" t="s">
        <v>788</v>
      </c>
      <c r="C16" s="114" t="s">
        <v>121</v>
      </c>
      <c r="D16" s="114" t="s">
        <v>122</v>
      </c>
      <c r="E16" s="115"/>
      <c r="F16" s="112"/>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row>
    <row r="17" spans="1:82" s="117" customFormat="1" x14ac:dyDescent="0.2">
      <c r="A17" s="113" t="s">
        <v>30</v>
      </c>
      <c r="B17" s="113" t="s">
        <v>789</v>
      </c>
      <c r="C17" s="114" t="s">
        <v>158</v>
      </c>
      <c r="D17" s="114" t="s">
        <v>159</v>
      </c>
      <c r="E17" s="115"/>
      <c r="F17" s="112"/>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row>
    <row r="18" spans="1:82" s="117" customFormat="1" ht="48" x14ac:dyDescent="0.2">
      <c r="A18" s="109" t="s">
        <v>354</v>
      </c>
      <c r="B18" s="109" t="s">
        <v>790</v>
      </c>
      <c r="C18" s="110" t="s">
        <v>355</v>
      </c>
      <c r="D18" s="110" t="s">
        <v>356</v>
      </c>
      <c r="E18" s="111" t="s">
        <v>357</v>
      </c>
      <c r="F18" s="112"/>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row>
    <row r="19" spans="1:82" s="117" customFormat="1" ht="32" x14ac:dyDescent="0.2">
      <c r="A19" s="113" t="s">
        <v>332</v>
      </c>
      <c r="B19" s="113" t="s">
        <v>791</v>
      </c>
      <c r="C19" s="114" t="s">
        <v>333</v>
      </c>
      <c r="D19" s="114" t="s">
        <v>334</v>
      </c>
      <c r="E19" s="115" t="s">
        <v>335</v>
      </c>
      <c r="F19" s="112"/>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row>
    <row r="20" spans="1:82" s="117" customFormat="1" ht="32" x14ac:dyDescent="0.2">
      <c r="A20" s="113" t="s">
        <v>340</v>
      </c>
      <c r="B20" s="113" t="s">
        <v>792</v>
      </c>
      <c r="C20" s="114" t="s">
        <v>341</v>
      </c>
      <c r="D20" s="114" t="s">
        <v>342</v>
      </c>
      <c r="E20" s="115"/>
      <c r="F20" s="112"/>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row>
    <row r="21" spans="1:82" x14ac:dyDescent="0.2">
      <c r="A21" s="120"/>
      <c r="B21" s="120"/>
      <c r="C21" s="121"/>
      <c r="D21" s="122" t="s">
        <v>94</v>
      </c>
      <c r="E21" s="123"/>
      <c r="F21" s="112"/>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row>
    <row r="22" spans="1:82" ht="32" x14ac:dyDescent="0.2">
      <c r="A22" s="109" t="s">
        <v>2</v>
      </c>
      <c r="B22" s="109" t="s">
        <v>2</v>
      </c>
      <c r="C22" s="110" t="s">
        <v>95</v>
      </c>
      <c r="D22" s="110" t="s">
        <v>96</v>
      </c>
      <c r="E22" s="111" t="s">
        <v>97</v>
      </c>
      <c r="F22" s="112"/>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row>
    <row r="23" spans="1:82" ht="32" x14ac:dyDescent="0.2">
      <c r="A23" s="113" t="s">
        <v>235</v>
      </c>
      <c r="B23" s="113" t="s">
        <v>235</v>
      </c>
      <c r="C23" s="114" t="s">
        <v>236</v>
      </c>
      <c r="D23" s="114" t="s">
        <v>193</v>
      </c>
      <c r="E23" s="115" t="s">
        <v>237</v>
      </c>
      <c r="F23" s="112"/>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103"/>
    </row>
    <row r="24" spans="1:82" ht="32" x14ac:dyDescent="0.2">
      <c r="A24" s="109" t="s">
        <v>238</v>
      </c>
      <c r="B24" s="109" t="s">
        <v>238</v>
      </c>
      <c r="C24" s="110" t="s">
        <v>239</v>
      </c>
      <c r="D24" s="110" t="s">
        <v>240</v>
      </c>
      <c r="E24" s="111"/>
      <c r="F24" s="112"/>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row>
    <row r="25" spans="1:82" x14ac:dyDescent="0.2">
      <c r="A25" s="113" t="s">
        <v>241</v>
      </c>
      <c r="B25" s="113" t="s">
        <v>241</v>
      </c>
      <c r="C25" s="114" t="s">
        <v>242</v>
      </c>
      <c r="D25" s="114" t="s">
        <v>243</v>
      </c>
      <c r="E25" s="115" t="s">
        <v>244</v>
      </c>
      <c r="F25" s="112"/>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row>
    <row r="26" spans="1:82" ht="48" x14ac:dyDescent="0.2">
      <c r="A26" s="109" t="s">
        <v>245</v>
      </c>
      <c r="B26" s="109" t="s">
        <v>245</v>
      </c>
      <c r="C26" s="110" t="s">
        <v>246</v>
      </c>
      <c r="D26" s="110" t="s">
        <v>247</v>
      </c>
      <c r="E26" s="111" t="s">
        <v>248</v>
      </c>
      <c r="F26" s="112"/>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row>
    <row r="27" spans="1:82" ht="64" x14ac:dyDescent="0.2">
      <c r="A27" s="113" t="s">
        <v>249</v>
      </c>
      <c r="B27" s="113" t="s">
        <v>249</v>
      </c>
      <c r="C27" s="114" t="s">
        <v>250</v>
      </c>
      <c r="D27" s="114" t="s">
        <v>251</v>
      </c>
      <c r="E27" s="115" t="s">
        <v>252</v>
      </c>
      <c r="F27" s="112"/>
      <c r="G27" s="103"/>
      <c r="H27" s="103"/>
      <c r="I27" s="103"/>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c r="CA27" s="103"/>
      <c r="CB27" s="103"/>
      <c r="CC27" s="103"/>
      <c r="CD27" s="103"/>
    </row>
    <row r="28" spans="1:82" ht="32" x14ac:dyDescent="0.2">
      <c r="A28" s="109" t="s">
        <v>253</v>
      </c>
      <c r="B28" s="109" t="s">
        <v>253</v>
      </c>
      <c r="C28" s="110" t="s">
        <v>254</v>
      </c>
      <c r="D28" s="110" t="s">
        <v>255</v>
      </c>
      <c r="E28" s="111"/>
      <c r="F28" s="112"/>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row>
    <row r="29" spans="1:82" ht="48" x14ac:dyDescent="0.2">
      <c r="A29" s="113" t="s">
        <v>256</v>
      </c>
      <c r="B29" s="113" t="s">
        <v>256</v>
      </c>
      <c r="C29" s="114" t="s">
        <v>257</v>
      </c>
      <c r="D29" s="114" t="s">
        <v>258</v>
      </c>
      <c r="E29" s="115"/>
      <c r="F29" s="112"/>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c r="CA29" s="103"/>
      <c r="CB29" s="103"/>
      <c r="CC29" s="103"/>
      <c r="CD29" s="103"/>
    </row>
    <row r="30" spans="1:82" ht="48" x14ac:dyDescent="0.2">
      <c r="A30" s="109" t="s">
        <v>259</v>
      </c>
      <c r="B30" s="109" t="s">
        <v>259</v>
      </c>
      <c r="C30" s="110" t="s">
        <v>260</v>
      </c>
      <c r="D30" s="110" t="s">
        <v>261</v>
      </c>
      <c r="E30" s="111"/>
      <c r="F30" s="112"/>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row>
    <row r="31" spans="1:82" s="117" customFormat="1" ht="48" x14ac:dyDescent="0.2">
      <c r="A31" s="113" t="s">
        <v>262</v>
      </c>
      <c r="B31" s="113" t="s">
        <v>262</v>
      </c>
      <c r="C31" s="114" t="s">
        <v>263</v>
      </c>
      <c r="D31" s="114" t="s">
        <v>264</v>
      </c>
      <c r="E31" s="115" t="s">
        <v>265</v>
      </c>
      <c r="F31" s="112"/>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row>
    <row r="32" spans="1:82" s="117" customFormat="1" ht="32" x14ac:dyDescent="0.2">
      <c r="A32" s="109" t="s">
        <v>3</v>
      </c>
      <c r="B32" s="109" t="s">
        <v>3</v>
      </c>
      <c r="C32" s="110" t="s">
        <v>98</v>
      </c>
      <c r="D32" s="110" t="s">
        <v>99</v>
      </c>
      <c r="E32" s="111"/>
      <c r="F32" s="112"/>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3"/>
    </row>
    <row r="33" spans="1:82" s="117" customFormat="1" ht="48" x14ac:dyDescent="0.2">
      <c r="A33" s="113" t="s">
        <v>266</v>
      </c>
      <c r="B33" s="113" t="s">
        <v>266</v>
      </c>
      <c r="C33" s="114" t="s">
        <v>267</v>
      </c>
      <c r="D33" s="114" t="s">
        <v>268</v>
      </c>
      <c r="E33" s="115" t="s">
        <v>269</v>
      </c>
      <c r="F33" s="112"/>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3"/>
    </row>
    <row r="34" spans="1:82" s="117" customFormat="1" ht="32" x14ac:dyDescent="0.2">
      <c r="A34" s="109" t="s">
        <v>270</v>
      </c>
      <c r="B34" s="109" t="s">
        <v>270</v>
      </c>
      <c r="C34" s="110" t="s">
        <v>271</v>
      </c>
      <c r="D34" s="110" t="s">
        <v>272</v>
      </c>
      <c r="E34" s="111" t="s">
        <v>273</v>
      </c>
      <c r="F34" s="112"/>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row>
    <row r="35" spans="1:82" s="117" customFormat="1" ht="32" x14ac:dyDescent="0.2">
      <c r="A35" s="124" t="s">
        <v>4</v>
      </c>
      <c r="B35" s="124" t="s">
        <v>4</v>
      </c>
      <c r="C35" s="114" t="s">
        <v>100</v>
      </c>
      <c r="D35" s="114" t="s">
        <v>101</v>
      </c>
      <c r="E35" s="115"/>
      <c r="F35" s="112"/>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c r="BM35" s="103"/>
      <c r="BN35" s="103"/>
      <c r="BO35" s="103"/>
      <c r="BP35" s="103"/>
      <c r="BQ35" s="103"/>
      <c r="BR35" s="103"/>
      <c r="BS35" s="103"/>
      <c r="BT35" s="103"/>
      <c r="BU35" s="103"/>
      <c r="BV35" s="103"/>
      <c r="BW35" s="103"/>
      <c r="BX35" s="103"/>
      <c r="BY35" s="103"/>
      <c r="BZ35" s="103"/>
      <c r="CA35" s="103"/>
      <c r="CB35" s="103"/>
      <c r="CC35" s="103"/>
      <c r="CD35" s="103"/>
    </row>
    <row r="36" spans="1:82" s="117" customFormat="1" ht="48" x14ac:dyDescent="0.2">
      <c r="A36" s="116" t="s">
        <v>5</v>
      </c>
      <c r="B36" s="116" t="s">
        <v>5</v>
      </c>
      <c r="C36" s="110" t="s">
        <v>102</v>
      </c>
      <c r="D36" s="110" t="s">
        <v>103</v>
      </c>
      <c r="E36" s="111"/>
      <c r="F36" s="112"/>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c r="BM36" s="103"/>
      <c r="BN36" s="103"/>
      <c r="BO36" s="103"/>
      <c r="BP36" s="103"/>
      <c r="BQ36" s="103"/>
      <c r="BR36" s="103"/>
      <c r="BS36" s="103"/>
      <c r="BT36" s="103"/>
      <c r="BU36" s="103"/>
      <c r="BV36" s="103"/>
      <c r="BW36" s="103"/>
      <c r="BX36" s="103"/>
      <c r="BY36" s="103"/>
      <c r="BZ36" s="103"/>
      <c r="CA36" s="103"/>
      <c r="CB36" s="103"/>
      <c r="CC36" s="103"/>
      <c r="CD36" s="103"/>
    </row>
    <row r="37" spans="1:82" s="117" customFormat="1" ht="48" x14ac:dyDescent="0.2">
      <c r="A37" s="124" t="s">
        <v>274</v>
      </c>
      <c r="B37" s="124" t="s">
        <v>274</v>
      </c>
      <c r="C37" s="114" t="s">
        <v>275</v>
      </c>
      <c r="D37" s="114" t="s">
        <v>276</v>
      </c>
      <c r="E37" s="115" t="s">
        <v>277</v>
      </c>
      <c r="F37" s="112"/>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103"/>
    </row>
    <row r="38" spans="1:82" s="117" customFormat="1" ht="32" x14ac:dyDescent="0.2">
      <c r="A38" s="124" t="s">
        <v>278</v>
      </c>
      <c r="B38" s="124" t="s">
        <v>278</v>
      </c>
      <c r="C38" s="114" t="s">
        <v>279</v>
      </c>
      <c r="D38" s="114" t="s">
        <v>280</v>
      </c>
      <c r="E38" s="115"/>
      <c r="F38" s="112"/>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row>
    <row r="39" spans="1:82" s="117" customFormat="1" ht="48" x14ac:dyDescent="0.2">
      <c r="A39" s="116" t="s">
        <v>281</v>
      </c>
      <c r="B39" s="116" t="s">
        <v>281</v>
      </c>
      <c r="C39" s="110" t="s">
        <v>282</v>
      </c>
      <c r="D39" s="110" t="s">
        <v>283</v>
      </c>
      <c r="E39" s="111" t="s">
        <v>284</v>
      </c>
      <c r="F39" s="112"/>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row>
    <row r="40" spans="1:82" s="117" customFormat="1" x14ac:dyDescent="0.2">
      <c r="A40" s="124" t="s">
        <v>285</v>
      </c>
      <c r="B40" s="124" t="s">
        <v>285</v>
      </c>
      <c r="C40" s="114" t="s">
        <v>286</v>
      </c>
      <c r="D40" s="114" t="s">
        <v>287</v>
      </c>
      <c r="E40" s="115" t="s">
        <v>288</v>
      </c>
      <c r="F40" s="112"/>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row>
    <row r="41" spans="1:82" s="117" customFormat="1" ht="32" x14ac:dyDescent="0.2">
      <c r="A41" s="116" t="s">
        <v>289</v>
      </c>
      <c r="B41" s="116" t="s">
        <v>289</v>
      </c>
      <c r="C41" s="110" t="s">
        <v>290</v>
      </c>
      <c r="D41" s="110" t="s">
        <v>291</v>
      </c>
      <c r="E41" s="111" t="s">
        <v>292</v>
      </c>
      <c r="F41" s="112"/>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row>
    <row r="42" spans="1:82" s="117" customFormat="1" ht="32" x14ac:dyDescent="0.2">
      <c r="A42" s="124" t="s">
        <v>293</v>
      </c>
      <c r="B42" s="124" t="s">
        <v>293</v>
      </c>
      <c r="C42" s="114" t="s">
        <v>294</v>
      </c>
      <c r="D42" s="114" t="s">
        <v>295</v>
      </c>
      <c r="E42" s="115" t="s">
        <v>296</v>
      </c>
      <c r="F42" s="112"/>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row>
    <row r="43" spans="1:82" s="117" customFormat="1" x14ac:dyDescent="0.2">
      <c r="A43" s="120"/>
      <c r="B43" s="120"/>
      <c r="C43" s="121"/>
      <c r="D43" s="122" t="s">
        <v>107</v>
      </c>
      <c r="E43" s="123"/>
      <c r="F43" s="112"/>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103"/>
    </row>
    <row r="44" spans="1:82" s="117" customFormat="1" ht="64" x14ac:dyDescent="0.2">
      <c r="A44" s="113" t="s">
        <v>297</v>
      </c>
      <c r="B44" s="113" t="s">
        <v>297</v>
      </c>
      <c r="C44" s="114" t="s">
        <v>298</v>
      </c>
      <c r="D44" s="114" t="s">
        <v>299</v>
      </c>
      <c r="E44" s="115" t="s">
        <v>300</v>
      </c>
      <c r="F44" s="112"/>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row>
    <row r="45" spans="1:82" s="117" customFormat="1" ht="32" x14ac:dyDescent="0.2">
      <c r="A45" s="109" t="s">
        <v>301</v>
      </c>
      <c r="B45" s="109" t="s">
        <v>301</v>
      </c>
      <c r="C45" s="110" t="s">
        <v>302</v>
      </c>
      <c r="D45" s="110" t="s">
        <v>303</v>
      </c>
      <c r="E45" s="111" t="s">
        <v>304</v>
      </c>
      <c r="F45" s="112"/>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row>
    <row r="46" spans="1:82" s="117" customFormat="1" ht="32" x14ac:dyDescent="0.2">
      <c r="A46" s="113" t="s">
        <v>305</v>
      </c>
      <c r="B46" s="113" t="s">
        <v>305</v>
      </c>
      <c r="C46" s="114" t="s">
        <v>306</v>
      </c>
      <c r="D46" s="114" t="s">
        <v>307</v>
      </c>
      <c r="E46" s="115" t="s">
        <v>308</v>
      </c>
      <c r="F46" s="112"/>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row>
    <row r="47" spans="1:82" s="117" customFormat="1" ht="32" x14ac:dyDescent="0.2">
      <c r="A47" s="109" t="s">
        <v>309</v>
      </c>
      <c r="B47" s="109" t="s">
        <v>309</v>
      </c>
      <c r="C47" s="110" t="s">
        <v>310</v>
      </c>
      <c r="D47" s="110" t="s">
        <v>311</v>
      </c>
      <c r="E47" s="111" t="s">
        <v>312</v>
      </c>
      <c r="F47" s="112"/>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row>
    <row r="48" spans="1:82" s="117" customFormat="1" ht="32" x14ac:dyDescent="0.2">
      <c r="A48" s="113" t="s">
        <v>313</v>
      </c>
      <c r="B48" s="113" t="s">
        <v>313</v>
      </c>
      <c r="C48" s="114" t="s">
        <v>314</v>
      </c>
      <c r="D48" s="114" t="s">
        <v>315</v>
      </c>
      <c r="E48" s="125" t="s">
        <v>316</v>
      </c>
      <c r="F48" s="112"/>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row>
    <row r="49" spans="1:82" s="117" customFormat="1" ht="48" x14ac:dyDescent="0.2">
      <c r="A49" s="109" t="s">
        <v>317</v>
      </c>
      <c r="B49" s="109" t="s">
        <v>317</v>
      </c>
      <c r="C49" s="110" t="s">
        <v>318</v>
      </c>
      <c r="D49" s="110" t="s">
        <v>319</v>
      </c>
      <c r="E49" s="111" t="s">
        <v>320</v>
      </c>
      <c r="F49" s="112"/>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3"/>
      <c r="BI49" s="103"/>
      <c r="BJ49" s="103"/>
      <c r="BK49" s="103"/>
      <c r="BL49" s="103"/>
      <c r="BM49" s="103"/>
      <c r="BN49" s="103"/>
      <c r="BO49" s="103"/>
      <c r="BP49" s="103"/>
      <c r="BQ49" s="103"/>
      <c r="BR49" s="103"/>
      <c r="BS49" s="103"/>
      <c r="BT49" s="103"/>
      <c r="BU49" s="103"/>
      <c r="BV49" s="103"/>
      <c r="BW49" s="103"/>
      <c r="BX49" s="103"/>
      <c r="BY49" s="103"/>
      <c r="BZ49" s="103"/>
      <c r="CA49" s="103"/>
      <c r="CB49" s="103"/>
      <c r="CC49" s="103"/>
      <c r="CD49" s="103"/>
    </row>
    <row r="50" spans="1:82" s="117" customFormat="1" ht="32" x14ac:dyDescent="0.2">
      <c r="A50" s="113" t="s">
        <v>321</v>
      </c>
      <c r="B50" s="113" t="s">
        <v>321</v>
      </c>
      <c r="C50" s="114" t="s">
        <v>322</v>
      </c>
      <c r="D50" s="114" t="s">
        <v>323</v>
      </c>
      <c r="E50" s="115" t="s">
        <v>324</v>
      </c>
      <c r="F50" s="112"/>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3"/>
      <c r="BI50" s="103"/>
      <c r="BJ50" s="103"/>
      <c r="BK50" s="103"/>
      <c r="BL50" s="103"/>
      <c r="BM50" s="103"/>
      <c r="BN50" s="103"/>
      <c r="BO50" s="103"/>
      <c r="BP50" s="103"/>
      <c r="BQ50" s="103"/>
      <c r="BR50" s="103"/>
      <c r="BS50" s="103"/>
      <c r="BT50" s="103"/>
      <c r="BU50" s="103"/>
      <c r="BV50" s="103"/>
      <c r="BW50" s="103"/>
      <c r="BX50" s="103"/>
      <c r="BY50" s="103"/>
      <c r="BZ50" s="103"/>
      <c r="CA50" s="103"/>
      <c r="CB50" s="103"/>
      <c r="CC50" s="103"/>
      <c r="CD50" s="103"/>
    </row>
    <row r="51" spans="1:82" s="117" customFormat="1" ht="80" x14ac:dyDescent="0.2">
      <c r="A51" s="109" t="s">
        <v>325</v>
      </c>
      <c r="B51" s="109" t="s">
        <v>325</v>
      </c>
      <c r="C51" s="110" t="s">
        <v>326</v>
      </c>
      <c r="D51" s="110" t="s">
        <v>327</v>
      </c>
      <c r="E51" s="111"/>
      <c r="F51" s="112"/>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3"/>
      <c r="BU51" s="103"/>
      <c r="BV51" s="103"/>
      <c r="BW51" s="103"/>
      <c r="BX51" s="103"/>
      <c r="BY51" s="103"/>
      <c r="BZ51" s="103"/>
      <c r="CA51" s="103"/>
      <c r="CB51" s="103"/>
      <c r="CC51" s="103"/>
      <c r="CD51" s="103"/>
    </row>
    <row r="52" spans="1:82" s="117" customFormat="1" ht="48" x14ac:dyDescent="0.2">
      <c r="A52" s="113" t="s">
        <v>328</v>
      </c>
      <c r="B52" s="113" t="s">
        <v>328</v>
      </c>
      <c r="C52" s="114" t="s">
        <v>329</v>
      </c>
      <c r="D52" s="114" t="s">
        <v>330</v>
      </c>
      <c r="E52" s="115" t="s">
        <v>331</v>
      </c>
      <c r="F52" s="112"/>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c r="CA52" s="103"/>
      <c r="CB52" s="103"/>
      <c r="CC52" s="103"/>
      <c r="CD52" s="103"/>
    </row>
    <row r="53" spans="1:82" s="117" customFormat="1" ht="32" x14ac:dyDescent="0.2">
      <c r="A53" s="109" t="s">
        <v>361</v>
      </c>
      <c r="B53" s="109" t="s">
        <v>793</v>
      </c>
      <c r="C53" s="110" t="s">
        <v>362</v>
      </c>
      <c r="D53" s="110" t="s">
        <v>363</v>
      </c>
      <c r="E53" s="111" t="s">
        <v>364</v>
      </c>
      <c r="F53" s="126"/>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3"/>
    </row>
    <row r="54" spans="1:82" s="117" customFormat="1" ht="32" x14ac:dyDescent="0.2">
      <c r="A54" s="113" t="s">
        <v>350</v>
      </c>
      <c r="B54" s="113" t="s">
        <v>794</v>
      </c>
      <c r="C54" s="114" t="s">
        <v>351</v>
      </c>
      <c r="D54" s="114" t="s">
        <v>352</v>
      </c>
      <c r="E54" s="115" t="s">
        <v>353</v>
      </c>
      <c r="F54" s="112"/>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3"/>
    </row>
    <row r="55" spans="1:82" s="117" customFormat="1" x14ac:dyDescent="0.2">
      <c r="A55" s="120"/>
      <c r="B55" s="120"/>
      <c r="C55" s="121"/>
      <c r="D55" s="122" t="s">
        <v>887</v>
      </c>
      <c r="E55" s="123"/>
      <c r="F55" s="112"/>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03"/>
      <c r="BY55" s="103"/>
      <c r="BZ55" s="103"/>
      <c r="CA55" s="103"/>
      <c r="CB55" s="103"/>
      <c r="CC55" s="103"/>
      <c r="CD55" s="103"/>
    </row>
    <row r="56" spans="1:82" s="117" customFormat="1" x14ac:dyDescent="0.2">
      <c r="A56" s="113" t="s">
        <v>365</v>
      </c>
      <c r="B56" s="113" t="s">
        <v>332</v>
      </c>
      <c r="C56" s="114" t="s">
        <v>366</v>
      </c>
      <c r="D56" s="114" t="s">
        <v>367</v>
      </c>
      <c r="E56" s="115" t="s">
        <v>368</v>
      </c>
      <c r="F56" s="112"/>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103"/>
    </row>
    <row r="57" spans="1:82" s="117" customFormat="1" x14ac:dyDescent="0.2">
      <c r="A57" s="109" t="s">
        <v>369</v>
      </c>
      <c r="B57" s="109" t="s">
        <v>343</v>
      </c>
      <c r="C57" s="110" t="s">
        <v>370</v>
      </c>
      <c r="D57" s="110" t="s">
        <v>371</v>
      </c>
      <c r="E57" s="111" t="s">
        <v>372</v>
      </c>
      <c r="F57" s="112"/>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3"/>
    </row>
    <row r="58" spans="1:82" s="117" customFormat="1" ht="48" x14ac:dyDescent="0.2">
      <c r="A58" s="113" t="s">
        <v>13</v>
      </c>
      <c r="B58" s="113" t="s">
        <v>347</v>
      </c>
      <c r="C58" s="114" t="s">
        <v>14</v>
      </c>
      <c r="D58" s="114" t="s">
        <v>124</v>
      </c>
      <c r="E58" s="115"/>
      <c r="F58" s="112"/>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3"/>
    </row>
    <row r="59" spans="1:82" s="117" customFormat="1" x14ac:dyDescent="0.2">
      <c r="A59" s="109" t="s">
        <v>373</v>
      </c>
      <c r="B59" s="109" t="s">
        <v>7</v>
      </c>
      <c r="C59" s="110" t="s">
        <v>374</v>
      </c>
      <c r="D59" s="110" t="s">
        <v>375</v>
      </c>
      <c r="E59" s="111" t="s">
        <v>376</v>
      </c>
      <c r="F59" s="112"/>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c r="CA59" s="103"/>
      <c r="CB59" s="103"/>
      <c r="CC59" s="103"/>
      <c r="CD59" s="103"/>
    </row>
    <row r="60" spans="1:82" s="117" customFormat="1" x14ac:dyDescent="0.2">
      <c r="A60" s="113" t="s">
        <v>377</v>
      </c>
      <c r="B60" s="113" t="s">
        <v>8</v>
      </c>
      <c r="C60" s="114" t="s">
        <v>378</v>
      </c>
      <c r="D60" s="114" t="s">
        <v>379</v>
      </c>
      <c r="E60" s="115" t="s">
        <v>380</v>
      </c>
      <c r="F60" s="112"/>
      <c r="G60" s="103"/>
      <c r="H60" s="103"/>
      <c r="I60" s="103"/>
      <c r="J60" s="103"/>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3"/>
    </row>
    <row r="61" spans="1:82" s="117" customFormat="1" x14ac:dyDescent="0.2">
      <c r="A61" s="109" t="s">
        <v>381</v>
      </c>
      <c r="B61" s="109" t="s">
        <v>350</v>
      </c>
      <c r="C61" s="110" t="s">
        <v>382</v>
      </c>
      <c r="D61" s="110" t="s">
        <v>383</v>
      </c>
      <c r="E61" s="111" t="s">
        <v>384</v>
      </c>
      <c r="F61" s="112"/>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3"/>
    </row>
    <row r="62" spans="1:82" s="117" customFormat="1" ht="32" x14ac:dyDescent="0.2">
      <c r="A62" s="113" t="s">
        <v>385</v>
      </c>
      <c r="B62" s="113" t="s">
        <v>354</v>
      </c>
      <c r="C62" s="114" t="s">
        <v>386</v>
      </c>
      <c r="D62" s="114" t="s">
        <v>387</v>
      </c>
      <c r="E62" s="115" t="s">
        <v>388</v>
      </c>
      <c r="F62" s="112"/>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c r="CA62" s="103"/>
      <c r="CB62" s="103"/>
      <c r="CC62" s="103"/>
      <c r="CD62" s="103"/>
    </row>
    <row r="63" spans="1:82" s="117" customFormat="1" ht="80" x14ac:dyDescent="0.2">
      <c r="A63" s="109" t="s">
        <v>389</v>
      </c>
      <c r="B63" s="109" t="s">
        <v>10</v>
      </c>
      <c r="C63" s="127" t="s">
        <v>390</v>
      </c>
      <c r="D63" s="110" t="s">
        <v>391</v>
      </c>
      <c r="E63" s="111"/>
      <c r="F63" s="112"/>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103"/>
      <c r="AS63" s="103"/>
      <c r="AT63" s="103"/>
      <c r="AU63" s="103"/>
      <c r="AV63" s="103"/>
      <c r="AW63" s="103"/>
      <c r="AX63" s="103"/>
      <c r="AY63" s="103"/>
      <c r="AZ63" s="103"/>
      <c r="BA63" s="103"/>
      <c r="BB63" s="103"/>
      <c r="BC63" s="103"/>
      <c r="BD63" s="103"/>
      <c r="BE63" s="103"/>
      <c r="BF63" s="103"/>
      <c r="BG63" s="103"/>
      <c r="BH63" s="103"/>
      <c r="BI63" s="103"/>
      <c r="BJ63" s="103"/>
      <c r="BK63" s="103"/>
      <c r="BL63" s="103"/>
      <c r="BM63" s="103"/>
      <c r="BN63" s="103"/>
      <c r="BO63" s="103"/>
      <c r="BP63" s="103"/>
      <c r="BQ63" s="103"/>
      <c r="BR63" s="103"/>
      <c r="BS63" s="103"/>
      <c r="BT63" s="103"/>
      <c r="BU63" s="103"/>
      <c r="BV63" s="103"/>
      <c r="BW63" s="103"/>
      <c r="BX63" s="103"/>
      <c r="BY63" s="103"/>
      <c r="BZ63" s="103"/>
      <c r="CA63" s="103"/>
      <c r="CB63" s="103"/>
      <c r="CC63" s="103"/>
      <c r="CD63" s="103"/>
    </row>
    <row r="64" spans="1:82" s="117" customFormat="1" ht="32" x14ac:dyDescent="0.2">
      <c r="A64" s="113" t="s">
        <v>29</v>
      </c>
      <c r="B64" s="113" t="s">
        <v>11</v>
      </c>
      <c r="C64" s="114" t="s">
        <v>156</v>
      </c>
      <c r="D64" s="114" t="s">
        <v>157</v>
      </c>
      <c r="E64" s="115"/>
      <c r="F64" s="112"/>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3"/>
      <c r="BK64" s="103"/>
      <c r="BL64" s="103"/>
      <c r="BM64" s="103"/>
      <c r="BN64" s="103"/>
      <c r="BO64" s="103"/>
      <c r="BP64" s="103"/>
      <c r="BQ64" s="103"/>
      <c r="BR64" s="103"/>
      <c r="BS64" s="103"/>
      <c r="BT64" s="103"/>
      <c r="BU64" s="103"/>
      <c r="BV64" s="103"/>
      <c r="BW64" s="103"/>
      <c r="BX64" s="103"/>
      <c r="BY64" s="103"/>
      <c r="BZ64" s="103"/>
      <c r="CA64" s="103"/>
      <c r="CB64" s="103"/>
      <c r="CC64" s="103"/>
      <c r="CD64" s="103"/>
    </row>
    <row r="65" spans="1:82" ht="50" x14ac:dyDescent="0.2">
      <c r="A65" s="128" t="s">
        <v>56</v>
      </c>
      <c r="B65" s="128" t="s">
        <v>358</v>
      </c>
      <c r="C65" s="129" t="s">
        <v>57</v>
      </c>
      <c r="D65" s="110" t="s">
        <v>716</v>
      </c>
      <c r="E65" s="130"/>
      <c r="F65" s="112"/>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c r="BK65" s="103"/>
      <c r="BL65" s="103"/>
      <c r="BM65" s="103"/>
      <c r="BN65" s="103"/>
      <c r="BO65" s="103"/>
      <c r="BP65" s="103"/>
      <c r="BQ65" s="103"/>
      <c r="BR65" s="103"/>
      <c r="BS65" s="103"/>
      <c r="BT65" s="103"/>
      <c r="BU65" s="103"/>
      <c r="BV65" s="103"/>
      <c r="BW65" s="103"/>
      <c r="BX65" s="103"/>
      <c r="BY65" s="103"/>
      <c r="BZ65" s="103"/>
      <c r="CA65" s="103"/>
      <c r="CB65" s="103"/>
      <c r="CC65" s="103"/>
      <c r="CD65" s="103"/>
    </row>
    <row r="66" spans="1:82" s="117" customFormat="1" x14ac:dyDescent="0.2">
      <c r="A66" s="113" t="s">
        <v>347</v>
      </c>
      <c r="B66" s="113" t="s">
        <v>361</v>
      </c>
      <c r="C66" s="114" t="s">
        <v>197</v>
      </c>
      <c r="D66" s="114" t="s">
        <v>348</v>
      </c>
      <c r="E66" s="115" t="s">
        <v>349</v>
      </c>
      <c r="F66" s="112"/>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c r="CA66" s="103"/>
      <c r="CB66" s="103"/>
      <c r="CC66" s="103"/>
      <c r="CD66" s="103"/>
    </row>
    <row r="67" spans="1:82" s="117" customFormat="1" ht="32" x14ac:dyDescent="0.2">
      <c r="A67" s="109" t="s">
        <v>7</v>
      </c>
      <c r="B67" s="109" t="s">
        <v>814</v>
      </c>
      <c r="C67" s="110" t="s">
        <v>195</v>
      </c>
      <c r="D67" s="110" t="s">
        <v>109</v>
      </c>
      <c r="E67" s="111" t="s">
        <v>196</v>
      </c>
      <c r="F67" s="112"/>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c r="CA67" s="103"/>
      <c r="CB67" s="103"/>
      <c r="CC67" s="103"/>
      <c r="CD67" s="103"/>
    </row>
    <row r="68" spans="1:82" s="117" customFormat="1" ht="17" customHeight="1" x14ac:dyDescent="0.2">
      <c r="A68" s="120"/>
      <c r="B68" s="120"/>
      <c r="C68" s="121"/>
      <c r="D68" s="122" t="s">
        <v>888</v>
      </c>
      <c r="E68" s="123"/>
      <c r="F68" s="112"/>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c r="CD68" s="103"/>
    </row>
    <row r="69" spans="1:82" s="117" customFormat="1" ht="128" x14ac:dyDescent="0.2">
      <c r="A69" s="109" t="s">
        <v>15</v>
      </c>
      <c r="B69" s="109" t="s">
        <v>365</v>
      </c>
      <c r="C69" s="110" t="s">
        <v>16</v>
      </c>
      <c r="D69" s="110" t="s">
        <v>126</v>
      </c>
      <c r="E69" s="130"/>
      <c r="F69" s="112"/>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103"/>
      <c r="BX69" s="103"/>
      <c r="BY69" s="103"/>
      <c r="BZ69" s="103"/>
      <c r="CA69" s="103"/>
      <c r="CB69" s="103"/>
      <c r="CC69" s="103"/>
      <c r="CD69" s="103"/>
    </row>
    <row r="70" spans="1:82" s="117" customFormat="1" ht="32" x14ac:dyDescent="0.2">
      <c r="A70" s="113" t="s">
        <v>392</v>
      </c>
      <c r="B70" s="113" t="s">
        <v>815</v>
      </c>
      <c r="C70" s="114" t="s">
        <v>393</v>
      </c>
      <c r="D70" s="114" t="s">
        <v>394</v>
      </c>
      <c r="E70" s="115" t="s">
        <v>395</v>
      </c>
      <c r="F70" s="112"/>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103"/>
      <c r="BW70" s="103"/>
      <c r="BX70" s="103"/>
      <c r="BY70" s="103"/>
      <c r="BZ70" s="103"/>
      <c r="CA70" s="103"/>
      <c r="CB70" s="103"/>
      <c r="CC70" s="103"/>
      <c r="CD70" s="103"/>
    </row>
    <row r="71" spans="1:82" s="117" customFormat="1" ht="48" x14ac:dyDescent="0.2">
      <c r="A71" s="109" t="s">
        <v>396</v>
      </c>
      <c r="B71" s="109" t="s">
        <v>369</v>
      </c>
      <c r="C71" s="131" t="s">
        <v>397</v>
      </c>
      <c r="D71" s="110" t="s">
        <v>398</v>
      </c>
      <c r="E71" s="111" t="s">
        <v>399</v>
      </c>
      <c r="F71" s="112"/>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3"/>
      <c r="BK71" s="103"/>
      <c r="BL71" s="103"/>
      <c r="BM71" s="103"/>
      <c r="BN71" s="103"/>
      <c r="BO71" s="103"/>
      <c r="BP71" s="103"/>
      <c r="BQ71" s="103"/>
      <c r="BR71" s="103"/>
      <c r="BS71" s="103"/>
      <c r="BT71" s="103"/>
      <c r="BU71" s="103"/>
      <c r="BV71" s="103"/>
      <c r="BW71" s="103"/>
      <c r="BX71" s="103"/>
      <c r="BY71" s="103"/>
      <c r="BZ71" s="103"/>
      <c r="CA71" s="103"/>
      <c r="CB71" s="103"/>
      <c r="CC71" s="103"/>
      <c r="CD71" s="103"/>
    </row>
    <row r="72" spans="1:82" s="117" customFormat="1" ht="48" x14ac:dyDescent="0.2">
      <c r="A72" s="113" t="s">
        <v>400</v>
      </c>
      <c r="B72" s="113" t="s">
        <v>816</v>
      </c>
      <c r="C72" s="114" t="s">
        <v>401</v>
      </c>
      <c r="D72" s="114" t="s">
        <v>402</v>
      </c>
      <c r="E72" s="115" t="s">
        <v>403</v>
      </c>
      <c r="F72" s="112"/>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3"/>
      <c r="BK72" s="103"/>
      <c r="BL72" s="103"/>
      <c r="BM72" s="103"/>
      <c r="BN72" s="103"/>
      <c r="BO72" s="103"/>
      <c r="BP72" s="103"/>
      <c r="BQ72" s="103"/>
      <c r="BR72" s="103"/>
      <c r="BS72" s="103"/>
      <c r="BT72" s="103"/>
      <c r="BU72" s="103"/>
      <c r="BV72" s="103"/>
      <c r="BW72" s="103"/>
      <c r="BX72" s="103"/>
      <c r="BY72" s="103"/>
      <c r="BZ72" s="103"/>
      <c r="CA72" s="103"/>
      <c r="CB72" s="103"/>
      <c r="CC72" s="103"/>
      <c r="CD72" s="103"/>
    </row>
    <row r="73" spans="1:82" s="117" customFormat="1" ht="32" x14ac:dyDescent="0.2">
      <c r="A73" s="109" t="s">
        <v>404</v>
      </c>
      <c r="B73" s="109" t="s">
        <v>817</v>
      </c>
      <c r="C73" s="110" t="s">
        <v>405</v>
      </c>
      <c r="D73" s="110" t="s">
        <v>406</v>
      </c>
      <c r="E73" s="111" t="s">
        <v>407</v>
      </c>
      <c r="F73" s="112"/>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c r="AG73" s="103"/>
      <c r="AH73" s="103"/>
      <c r="AI73" s="103"/>
      <c r="AJ73" s="103"/>
      <c r="AK73" s="103"/>
      <c r="AL73" s="103"/>
      <c r="AM73" s="103"/>
      <c r="AN73" s="103"/>
      <c r="AO73" s="103"/>
      <c r="AP73" s="103"/>
      <c r="AQ73" s="103"/>
      <c r="AR73" s="103"/>
      <c r="AS73" s="103"/>
      <c r="AT73" s="103"/>
      <c r="AU73" s="103"/>
      <c r="AV73" s="103"/>
      <c r="AW73" s="103"/>
      <c r="AX73" s="103"/>
      <c r="AY73" s="103"/>
      <c r="AZ73" s="103"/>
      <c r="BA73" s="103"/>
      <c r="BB73" s="103"/>
      <c r="BC73" s="103"/>
      <c r="BD73" s="103"/>
      <c r="BE73" s="103"/>
      <c r="BF73" s="103"/>
      <c r="BG73" s="103"/>
      <c r="BH73" s="103"/>
      <c r="BI73" s="103"/>
      <c r="BJ73" s="103"/>
      <c r="BK73" s="103"/>
      <c r="BL73" s="103"/>
      <c r="BM73" s="103"/>
      <c r="BN73" s="103"/>
      <c r="BO73" s="103"/>
      <c r="BP73" s="103"/>
      <c r="BQ73" s="103"/>
      <c r="BR73" s="103"/>
      <c r="BS73" s="103"/>
      <c r="BT73" s="103"/>
      <c r="BU73" s="103"/>
      <c r="BV73" s="103"/>
      <c r="BW73" s="103"/>
      <c r="BX73" s="103"/>
      <c r="BY73" s="103"/>
      <c r="BZ73" s="103"/>
      <c r="CA73" s="103"/>
      <c r="CB73" s="103"/>
      <c r="CC73" s="103"/>
      <c r="CD73" s="103"/>
    </row>
    <row r="74" spans="1:82" s="117" customFormat="1" ht="48" x14ac:dyDescent="0.2">
      <c r="A74" s="113" t="s">
        <v>17</v>
      </c>
      <c r="B74" s="113" t="s">
        <v>818</v>
      </c>
      <c r="C74" s="114" t="s">
        <v>127</v>
      </c>
      <c r="D74" s="114" t="s">
        <v>128</v>
      </c>
      <c r="E74" s="115"/>
      <c r="F74" s="112"/>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3"/>
      <c r="BK74" s="103"/>
      <c r="BL74" s="103"/>
      <c r="BM74" s="103"/>
      <c r="BN74" s="103"/>
      <c r="BO74" s="103"/>
      <c r="BP74" s="103"/>
      <c r="BQ74" s="103"/>
      <c r="BR74" s="103"/>
      <c r="BS74" s="103"/>
      <c r="BT74" s="103"/>
      <c r="BU74" s="103"/>
      <c r="BV74" s="103"/>
      <c r="BW74" s="103"/>
      <c r="BX74" s="103"/>
      <c r="BY74" s="103"/>
      <c r="BZ74" s="103"/>
      <c r="CA74" s="103"/>
      <c r="CB74" s="103"/>
      <c r="CC74" s="103"/>
      <c r="CD74" s="103"/>
    </row>
    <row r="75" spans="1:82" s="117" customFormat="1" ht="32" x14ac:dyDescent="0.2">
      <c r="A75" s="109" t="s">
        <v>18</v>
      </c>
      <c r="B75" s="109" t="s">
        <v>819</v>
      </c>
      <c r="C75" s="110" t="s">
        <v>129</v>
      </c>
      <c r="D75" s="110" t="s">
        <v>130</v>
      </c>
      <c r="E75" s="111" t="s">
        <v>131</v>
      </c>
      <c r="F75" s="112"/>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3"/>
      <c r="CC75" s="103"/>
      <c r="CD75" s="103"/>
    </row>
    <row r="76" spans="1:82" s="117" customFormat="1" ht="64" x14ac:dyDescent="0.2">
      <c r="A76" s="109" t="s">
        <v>408</v>
      </c>
      <c r="B76" s="109" t="s">
        <v>820</v>
      </c>
      <c r="C76" s="110" t="s">
        <v>409</v>
      </c>
      <c r="D76" s="110" t="s">
        <v>410</v>
      </c>
      <c r="E76" s="111" t="s">
        <v>411</v>
      </c>
      <c r="F76" s="132"/>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3"/>
      <c r="BK76" s="103"/>
      <c r="BL76" s="103"/>
      <c r="BM76" s="103"/>
      <c r="BN76" s="103"/>
      <c r="BO76" s="103"/>
      <c r="BP76" s="103"/>
      <c r="BQ76" s="103"/>
      <c r="BR76" s="103"/>
      <c r="BS76" s="103"/>
      <c r="BT76" s="103"/>
      <c r="BU76" s="103"/>
      <c r="BV76" s="103"/>
      <c r="BW76" s="103"/>
      <c r="BX76" s="103"/>
      <c r="BY76" s="103"/>
      <c r="BZ76" s="103"/>
      <c r="CA76" s="103"/>
      <c r="CB76" s="103"/>
      <c r="CC76" s="103"/>
      <c r="CD76" s="103"/>
    </row>
    <row r="77" spans="1:82" s="117" customFormat="1" ht="32" x14ac:dyDescent="0.2">
      <c r="A77" s="113" t="s">
        <v>412</v>
      </c>
      <c r="B77" s="113" t="s">
        <v>821</v>
      </c>
      <c r="C77" s="114" t="s">
        <v>413</v>
      </c>
      <c r="D77" s="133" t="s">
        <v>414</v>
      </c>
      <c r="E77" s="115" t="s">
        <v>415</v>
      </c>
      <c r="F77" s="126"/>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c r="AD77" s="103"/>
      <c r="AE77" s="103"/>
      <c r="AF77" s="103"/>
      <c r="AG77" s="103"/>
      <c r="AH77" s="103"/>
      <c r="AI77" s="103"/>
      <c r="AJ77" s="103"/>
      <c r="AK77" s="103"/>
      <c r="AL77" s="103"/>
      <c r="AM77" s="103"/>
      <c r="AN77" s="103"/>
      <c r="AO77" s="103"/>
      <c r="AP77" s="103"/>
      <c r="AQ77" s="103"/>
      <c r="AR77" s="103"/>
      <c r="AS77" s="103"/>
      <c r="AT77" s="103"/>
      <c r="AU77" s="103"/>
      <c r="AV77" s="103"/>
      <c r="AW77" s="103"/>
      <c r="AX77" s="103"/>
      <c r="AY77" s="103"/>
      <c r="AZ77" s="103"/>
      <c r="BA77" s="103"/>
      <c r="BB77" s="103"/>
      <c r="BC77" s="103"/>
      <c r="BD77" s="103"/>
      <c r="BE77" s="103"/>
      <c r="BF77" s="103"/>
      <c r="BG77" s="103"/>
      <c r="BH77" s="103"/>
      <c r="BI77" s="103"/>
      <c r="BJ77" s="103"/>
      <c r="BK77" s="103"/>
      <c r="BL77" s="103"/>
      <c r="BM77" s="103"/>
      <c r="BN77" s="103"/>
      <c r="BO77" s="103"/>
      <c r="BP77" s="103"/>
      <c r="BQ77" s="103"/>
      <c r="BR77" s="103"/>
      <c r="BS77" s="103"/>
      <c r="BT77" s="103"/>
      <c r="BU77" s="103"/>
      <c r="BV77" s="103"/>
      <c r="BW77" s="103"/>
      <c r="BX77" s="103"/>
      <c r="BY77" s="103"/>
      <c r="BZ77" s="103"/>
      <c r="CA77" s="103"/>
      <c r="CB77" s="103"/>
      <c r="CC77" s="103"/>
      <c r="CD77" s="103"/>
    </row>
    <row r="78" spans="1:82" s="117" customFormat="1" x14ac:dyDescent="0.2">
      <c r="A78" s="109" t="s">
        <v>416</v>
      </c>
      <c r="B78" s="109" t="s">
        <v>822</v>
      </c>
      <c r="C78" s="110" t="s">
        <v>417</v>
      </c>
      <c r="D78" s="110" t="s">
        <v>418</v>
      </c>
      <c r="E78" s="130" t="s">
        <v>419</v>
      </c>
      <c r="F78" s="112"/>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3"/>
      <c r="AW78" s="103"/>
      <c r="AX78" s="103"/>
      <c r="AY78" s="103"/>
      <c r="AZ78" s="103"/>
      <c r="BA78" s="103"/>
      <c r="BB78" s="103"/>
      <c r="BC78" s="103"/>
      <c r="BD78" s="103"/>
      <c r="BE78" s="103"/>
      <c r="BF78" s="103"/>
      <c r="BG78" s="103"/>
      <c r="BH78" s="103"/>
      <c r="BI78" s="103"/>
      <c r="BJ78" s="103"/>
      <c r="BK78" s="103"/>
      <c r="BL78" s="103"/>
      <c r="BM78" s="103"/>
      <c r="BN78" s="103"/>
      <c r="BO78" s="103"/>
      <c r="BP78" s="103"/>
      <c r="BQ78" s="103"/>
      <c r="BR78" s="103"/>
      <c r="BS78" s="103"/>
      <c r="BT78" s="103"/>
      <c r="BU78" s="103"/>
      <c r="BV78" s="103"/>
      <c r="BW78" s="103"/>
      <c r="BX78" s="103"/>
      <c r="BY78" s="103"/>
      <c r="BZ78" s="103"/>
      <c r="CA78" s="103"/>
      <c r="CB78" s="103"/>
      <c r="CC78" s="103"/>
      <c r="CD78" s="103"/>
    </row>
    <row r="79" spans="1:82" s="117" customFormat="1" x14ac:dyDescent="0.2">
      <c r="A79" s="113" t="s">
        <v>20</v>
      </c>
      <c r="B79" s="113" t="s">
        <v>823</v>
      </c>
      <c r="C79" s="114" t="s">
        <v>134</v>
      </c>
      <c r="D79" s="114" t="s">
        <v>135</v>
      </c>
      <c r="E79" s="134"/>
      <c r="F79" s="112"/>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3"/>
      <c r="AL79" s="103"/>
      <c r="AM79" s="103"/>
      <c r="AN79" s="103"/>
      <c r="AO79" s="103"/>
      <c r="AP79" s="103"/>
      <c r="AQ79" s="103"/>
      <c r="AR79" s="103"/>
      <c r="AS79" s="103"/>
      <c r="AT79" s="103"/>
      <c r="AU79" s="103"/>
      <c r="AV79" s="103"/>
      <c r="AW79" s="103"/>
      <c r="AX79" s="103"/>
      <c r="AY79" s="103"/>
      <c r="AZ79" s="103"/>
      <c r="BA79" s="103"/>
      <c r="BB79" s="103"/>
      <c r="BC79" s="103"/>
      <c r="BD79" s="103"/>
      <c r="BE79" s="103"/>
      <c r="BF79" s="103"/>
      <c r="BG79" s="103"/>
      <c r="BH79" s="103"/>
      <c r="BI79" s="103"/>
      <c r="BJ79" s="103"/>
      <c r="BK79" s="103"/>
      <c r="BL79" s="103"/>
      <c r="BM79" s="103"/>
      <c r="BN79" s="103"/>
      <c r="BO79" s="103"/>
      <c r="BP79" s="103"/>
      <c r="BQ79" s="103"/>
      <c r="BR79" s="103"/>
      <c r="BS79" s="103"/>
      <c r="BT79" s="103"/>
      <c r="BU79" s="103"/>
      <c r="BV79" s="103"/>
      <c r="BW79" s="103"/>
      <c r="BX79" s="103"/>
      <c r="BY79" s="103"/>
      <c r="BZ79" s="103"/>
      <c r="CA79" s="103"/>
      <c r="CB79" s="103"/>
      <c r="CC79" s="103"/>
      <c r="CD79" s="103"/>
    </row>
    <row r="80" spans="1:82" s="117" customFormat="1" ht="32" x14ac:dyDescent="0.2">
      <c r="A80" s="109" t="s">
        <v>420</v>
      </c>
      <c r="B80" s="109" t="s">
        <v>13</v>
      </c>
      <c r="C80" s="110" t="s">
        <v>200</v>
      </c>
      <c r="D80" s="110" t="s">
        <v>421</v>
      </c>
      <c r="E80" s="111" t="s">
        <v>422</v>
      </c>
      <c r="F80" s="112"/>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3"/>
    </row>
    <row r="81" spans="1:82" s="117" customFormat="1" ht="80" x14ac:dyDescent="0.2">
      <c r="A81" s="124" t="s">
        <v>423</v>
      </c>
      <c r="B81" s="124" t="s">
        <v>373</v>
      </c>
      <c r="C81" s="114" t="s">
        <v>424</v>
      </c>
      <c r="D81" s="114" t="s">
        <v>425</v>
      </c>
      <c r="E81" s="115" t="s">
        <v>426</v>
      </c>
      <c r="F81" s="112"/>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0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3"/>
    </row>
    <row r="82" spans="1:82" s="117" customFormat="1" ht="112" x14ac:dyDescent="0.2">
      <c r="A82" s="116" t="s">
        <v>427</v>
      </c>
      <c r="B82" s="116" t="s">
        <v>377</v>
      </c>
      <c r="C82" s="110" t="s">
        <v>428</v>
      </c>
      <c r="D82" s="110" t="s">
        <v>429</v>
      </c>
      <c r="E82" s="135" t="s">
        <v>430</v>
      </c>
      <c r="F82" s="112"/>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103"/>
      <c r="AH82" s="103"/>
      <c r="AI82" s="103"/>
      <c r="AJ82" s="103"/>
      <c r="AK82" s="103"/>
      <c r="AL82" s="103"/>
      <c r="AM82" s="103"/>
      <c r="AN82" s="103"/>
      <c r="AO82" s="103"/>
      <c r="AP82" s="103"/>
      <c r="AQ82" s="103"/>
      <c r="AR82" s="103"/>
      <c r="AS82" s="103"/>
      <c r="AT82" s="103"/>
      <c r="AU82" s="103"/>
      <c r="AV82" s="103"/>
      <c r="AW82" s="103"/>
      <c r="AX82" s="103"/>
      <c r="AY82" s="103"/>
      <c r="AZ82" s="103"/>
      <c r="BA82" s="103"/>
      <c r="BB82" s="103"/>
      <c r="BC82" s="103"/>
      <c r="BD82" s="103"/>
      <c r="BE82" s="103"/>
      <c r="BF82" s="103"/>
      <c r="BG82" s="103"/>
      <c r="BH82" s="103"/>
      <c r="BI82" s="103"/>
      <c r="BJ82" s="103"/>
      <c r="BK82" s="103"/>
      <c r="BL82" s="103"/>
      <c r="BM82" s="103"/>
      <c r="BN82" s="103"/>
      <c r="BO82" s="103"/>
      <c r="BP82" s="103"/>
      <c r="BQ82" s="103"/>
      <c r="BR82" s="103"/>
      <c r="BS82" s="103"/>
      <c r="BT82" s="103"/>
      <c r="BU82" s="103"/>
      <c r="BV82" s="103"/>
      <c r="BW82" s="103"/>
      <c r="BX82" s="103"/>
      <c r="BY82" s="103"/>
      <c r="BZ82" s="103"/>
      <c r="CA82" s="103"/>
      <c r="CB82" s="103"/>
      <c r="CC82" s="103"/>
      <c r="CD82" s="103"/>
    </row>
    <row r="83" spans="1:82" s="117" customFormat="1" ht="64" x14ac:dyDescent="0.2">
      <c r="A83" s="124" t="s">
        <v>431</v>
      </c>
      <c r="B83" s="124" t="s">
        <v>824</v>
      </c>
      <c r="C83" s="114" t="s">
        <v>432</v>
      </c>
      <c r="D83" s="114" t="s">
        <v>433</v>
      </c>
      <c r="E83" s="115" t="s">
        <v>434</v>
      </c>
      <c r="F83" s="112"/>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103"/>
      <c r="BG83" s="103"/>
      <c r="BH83" s="103"/>
      <c r="BI83" s="103"/>
      <c r="BJ83" s="103"/>
      <c r="BK83" s="103"/>
      <c r="BL83" s="103"/>
      <c r="BM83" s="103"/>
      <c r="BN83" s="103"/>
      <c r="BO83" s="103"/>
      <c r="BP83" s="103"/>
      <c r="BQ83" s="103"/>
      <c r="BR83" s="103"/>
      <c r="BS83" s="103"/>
      <c r="BT83" s="103"/>
      <c r="BU83" s="103"/>
      <c r="BV83" s="103"/>
      <c r="BW83" s="103"/>
      <c r="BX83" s="103"/>
      <c r="BY83" s="103"/>
      <c r="BZ83" s="103"/>
      <c r="CA83" s="103"/>
      <c r="CB83" s="103"/>
      <c r="CC83" s="103"/>
      <c r="CD83" s="103"/>
    </row>
    <row r="84" spans="1:82" s="117" customFormat="1" ht="48" x14ac:dyDescent="0.2">
      <c r="A84" s="116" t="s">
        <v>435</v>
      </c>
      <c r="B84" s="116" t="s">
        <v>825</v>
      </c>
      <c r="C84" s="110" t="s">
        <v>436</v>
      </c>
      <c r="D84" s="110" t="s">
        <v>437</v>
      </c>
      <c r="E84" s="111"/>
      <c r="F84" s="112"/>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103"/>
      <c r="BE84" s="103"/>
      <c r="BF84" s="103"/>
      <c r="BG84" s="103"/>
      <c r="BH84" s="103"/>
      <c r="BI84" s="103"/>
      <c r="BJ84" s="103"/>
      <c r="BK84" s="103"/>
      <c r="BL84" s="103"/>
      <c r="BM84" s="103"/>
      <c r="BN84" s="103"/>
      <c r="BO84" s="103"/>
      <c r="BP84" s="103"/>
      <c r="BQ84" s="103"/>
      <c r="BR84" s="103"/>
      <c r="BS84" s="103"/>
      <c r="BT84" s="103"/>
      <c r="BU84" s="103"/>
      <c r="BV84" s="103"/>
      <c r="BW84" s="103"/>
      <c r="BX84" s="103"/>
      <c r="BY84" s="103"/>
      <c r="BZ84" s="103"/>
      <c r="CA84" s="103"/>
      <c r="CB84" s="103"/>
      <c r="CC84" s="103"/>
      <c r="CD84" s="103"/>
    </row>
    <row r="85" spans="1:82" s="117" customFormat="1" ht="96" x14ac:dyDescent="0.2">
      <c r="A85" s="124" t="s">
        <v>438</v>
      </c>
      <c r="B85" s="124" t="s">
        <v>826</v>
      </c>
      <c r="C85" s="114" t="s">
        <v>439</v>
      </c>
      <c r="D85" s="114" t="s">
        <v>440</v>
      </c>
      <c r="E85" s="115" t="s">
        <v>441</v>
      </c>
      <c r="F85" s="112"/>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c r="AD85" s="103"/>
      <c r="AE85" s="103"/>
      <c r="AF85" s="103"/>
      <c r="AG85" s="103"/>
      <c r="AH85" s="103"/>
      <c r="AI85" s="103"/>
      <c r="AJ85" s="103"/>
      <c r="AK85" s="103"/>
      <c r="AL85" s="103"/>
      <c r="AM85" s="103"/>
      <c r="AN85" s="103"/>
      <c r="AO85" s="103"/>
      <c r="AP85" s="103"/>
      <c r="AQ85" s="103"/>
      <c r="AR85" s="103"/>
      <c r="AS85" s="103"/>
      <c r="AT85" s="103"/>
      <c r="AU85" s="103"/>
      <c r="AV85" s="103"/>
      <c r="AW85" s="103"/>
      <c r="AX85" s="103"/>
      <c r="AY85" s="103"/>
      <c r="AZ85" s="103"/>
      <c r="BA85" s="103"/>
      <c r="BB85" s="103"/>
      <c r="BC85" s="103"/>
      <c r="BD85" s="103"/>
      <c r="BE85" s="103"/>
      <c r="BF85" s="103"/>
      <c r="BG85" s="103"/>
      <c r="BH85" s="103"/>
      <c r="BI85" s="103"/>
      <c r="BJ85" s="103"/>
      <c r="BK85" s="103"/>
      <c r="BL85" s="103"/>
      <c r="BM85" s="103"/>
      <c r="BN85" s="103"/>
      <c r="BO85" s="103"/>
      <c r="BP85" s="103"/>
      <c r="BQ85" s="103"/>
      <c r="BR85" s="103"/>
      <c r="BS85" s="103"/>
      <c r="BT85" s="103"/>
      <c r="BU85" s="103"/>
      <c r="BV85" s="103"/>
      <c r="BW85" s="103"/>
      <c r="BX85" s="103"/>
      <c r="BY85" s="103"/>
      <c r="BZ85" s="103"/>
      <c r="CA85" s="103"/>
      <c r="CB85" s="103"/>
      <c r="CC85" s="103"/>
      <c r="CD85" s="103"/>
    </row>
    <row r="86" spans="1:82" s="117" customFormat="1" ht="48" x14ac:dyDescent="0.2">
      <c r="A86" s="124" t="s">
        <v>22</v>
      </c>
      <c r="B86" s="124" t="s">
        <v>381</v>
      </c>
      <c r="C86" s="118" t="s">
        <v>138</v>
      </c>
      <c r="D86" s="119" t="s">
        <v>139</v>
      </c>
      <c r="E86" s="115"/>
      <c r="F86" s="112"/>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103"/>
      <c r="AF86" s="103"/>
      <c r="AG86" s="103"/>
      <c r="AH86" s="103"/>
      <c r="AI86" s="103"/>
      <c r="AJ86" s="103"/>
      <c r="AK86" s="103"/>
      <c r="AL86" s="103"/>
      <c r="AM86" s="103"/>
      <c r="AN86" s="103"/>
      <c r="AO86" s="103"/>
      <c r="AP86" s="103"/>
      <c r="AQ86" s="103"/>
      <c r="AR86" s="103"/>
      <c r="AS86" s="103"/>
      <c r="AT86" s="103"/>
      <c r="AU86" s="103"/>
      <c r="AV86" s="103"/>
      <c r="AW86" s="103"/>
      <c r="AX86" s="103"/>
      <c r="AY86" s="103"/>
      <c r="AZ86" s="103"/>
      <c r="BA86" s="103"/>
      <c r="BB86" s="103"/>
      <c r="BC86" s="103"/>
      <c r="BD86" s="103"/>
      <c r="BE86" s="103"/>
      <c r="BF86" s="103"/>
      <c r="BG86" s="103"/>
      <c r="BH86" s="103"/>
      <c r="BI86" s="103"/>
      <c r="BJ86" s="103"/>
      <c r="BK86" s="103"/>
      <c r="BL86" s="103"/>
      <c r="BM86" s="103"/>
      <c r="BN86" s="103"/>
      <c r="BO86" s="103"/>
      <c r="BP86" s="103"/>
      <c r="BQ86" s="103"/>
      <c r="BR86" s="103"/>
      <c r="BS86" s="103"/>
      <c r="BT86" s="103"/>
      <c r="BU86" s="103"/>
      <c r="BV86" s="103"/>
      <c r="BW86" s="103"/>
      <c r="BX86" s="103"/>
      <c r="BY86" s="103"/>
      <c r="BZ86" s="103"/>
      <c r="CA86" s="103"/>
      <c r="CB86" s="103"/>
      <c r="CC86" s="103"/>
      <c r="CD86" s="103"/>
    </row>
    <row r="87" spans="1:82" s="117" customFormat="1" ht="48" x14ac:dyDescent="0.2">
      <c r="A87" s="116" t="s">
        <v>23</v>
      </c>
      <c r="B87" s="116" t="s">
        <v>385</v>
      </c>
      <c r="C87" s="131" t="s">
        <v>140</v>
      </c>
      <c r="D87" s="110" t="s">
        <v>141</v>
      </c>
      <c r="E87" s="111"/>
      <c r="F87" s="112"/>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c r="BH87" s="103"/>
      <c r="BI87" s="103"/>
      <c r="BJ87" s="103"/>
      <c r="BK87" s="103"/>
      <c r="BL87" s="103"/>
      <c r="BM87" s="103"/>
      <c r="BN87" s="103"/>
      <c r="BO87" s="103"/>
      <c r="BP87" s="103"/>
      <c r="BQ87" s="103"/>
      <c r="BR87" s="103"/>
      <c r="BS87" s="103"/>
      <c r="BT87" s="103"/>
      <c r="BU87" s="103"/>
      <c r="BV87" s="103"/>
      <c r="BW87" s="103"/>
      <c r="BX87" s="103"/>
      <c r="BY87" s="103"/>
      <c r="BZ87" s="103"/>
      <c r="CA87" s="103"/>
      <c r="CB87" s="103"/>
      <c r="CC87" s="103"/>
      <c r="CD87" s="103"/>
    </row>
    <row r="88" spans="1:82" s="117" customFormat="1" ht="64" x14ac:dyDescent="0.2">
      <c r="A88" s="113" t="s">
        <v>10</v>
      </c>
      <c r="B88" s="113" t="s">
        <v>389</v>
      </c>
      <c r="C88" s="114" t="s">
        <v>116</v>
      </c>
      <c r="D88" s="114" t="s">
        <v>117</v>
      </c>
      <c r="E88" s="115" t="s">
        <v>118</v>
      </c>
      <c r="F88" s="112"/>
      <c r="G88" s="103"/>
      <c r="H88" s="103"/>
      <c r="I88" s="103"/>
      <c r="J88" s="103"/>
      <c r="K88" s="103"/>
      <c r="L88" s="103"/>
      <c r="M88" s="103"/>
      <c r="N88" s="103"/>
      <c r="O88" s="103"/>
      <c r="P88" s="103"/>
      <c r="Q88" s="103"/>
      <c r="R88" s="103"/>
      <c r="S88" s="103"/>
      <c r="T88" s="103"/>
      <c r="U88" s="103"/>
      <c r="V88" s="103"/>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103"/>
      <c r="BG88" s="103"/>
      <c r="BH88" s="103"/>
      <c r="BI88" s="103"/>
      <c r="BJ88" s="103"/>
      <c r="BK88" s="103"/>
      <c r="BL88" s="103"/>
      <c r="BM88" s="103"/>
      <c r="BN88" s="103"/>
      <c r="BO88" s="103"/>
      <c r="BP88" s="103"/>
      <c r="BQ88" s="103"/>
      <c r="BR88" s="103"/>
      <c r="BS88" s="103"/>
      <c r="BT88" s="103"/>
      <c r="BU88" s="103"/>
      <c r="BV88" s="103"/>
      <c r="BW88" s="103"/>
      <c r="BX88" s="103"/>
      <c r="BY88" s="103"/>
      <c r="BZ88" s="103"/>
      <c r="CA88" s="103"/>
      <c r="CB88" s="103"/>
      <c r="CC88" s="103"/>
      <c r="CD88" s="103"/>
    </row>
    <row r="89" spans="1:82" s="117" customFormat="1" x14ac:dyDescent="0.2">
      <c r="A89" s="120"/>
      <c r="B89" s="120"/>
      <c r="C89" s="121"/>
      <c r="D89" s="122" t="s">
        <v>142</v>
      </c>
      <c r="E89" s="123"/>
      <c r="F89" s="112"/>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3"/>
      <c r="AT89" s="103"/>
      <c r="AU89" s="103"/>
      <c r="AV89" s="103"/>
      <c r="AW89" s="103"/>
      <c r="AX89" s="103"/>
      <c r="AY89" s="103"/>
      <c r="AZ89" s="103"/>
      <c r="BA89" s="103"/>
      <c r="BB89" s="103"/>
      <c r="BC89" s="103"/>
      <c r="BD89" s="103"/>
      <c r="BE89" s="103"/>
      <c r="BF89" s="103"/>
      <c r="BG89" s="103"/>
      <c r="BH89" s="103"/>
      <c r="BI89" s="103"/>
      <c r="BJ89" s="103"/>
      <c r="BK89" s="103"/>
      <c r="BL89" s="103"/>
      <c r="BM89" s="103"/>
      <c r="BN89" s="103"/>
      <c r="BO89" s="103"/>
      <c r="BP89" s="103"/>
      <c r="BQ89" s="103"/>
      <c r="BR89" s="103"/>
      <c r="BS89" s="103"/>
      <c r="BT89" s="103"/>
      <c r="BU89" s="103"/>
      <c r="BV89" s="103"/>
      <c r="BW89" s="103"/>
      <c r="BX89" s="103"/>
      <c r="BY89" s="103"/>
      <c r="BZ89" s="103"/>
      <c r="CA89" s="103"/>
      <c r="CB89" s="103"/>
      <c r="CC89" s="103"/>
      <c r="CD89" s="103"/>
    </row>
    <row r="90" spans="1:82" s="117" customFormat="1" ht="32" x14ac:dyDescent="0.2">
      <c r="A90" s="109" t="s">
        <v>442</v>
      </c>
      <c r="B90" s="109" t="s">
        <v>15</v>
      </c>
      <c r="C90" s="110" t="s">
        <v>443</v>
      </c>
      <c r="D90" s="110" t="s">
        <v>444</v>
      </c>
      <c r="E90" s="111" t="s">
        <v>445</v>
      </c>
      <c r="F90" s="112"/>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103"/>
      <c r="AH90" s="103"/>
      <c r="AI90" s="103"/>
      <c r="AJ90" s="103"/>
      <c r="AK90" s="103"/>
      <c r="AL90" s="103"/>
      <c r="AM90" s="103"/>
      <c r="AN90" s="103"/>
      <c r="AO90" s="103"/>
      <c r="AP90" s="103"/>
      <c r="AQ90" s="103"/>
      <c r="AR90" s="103"/>
      <c r="AS90" s="103"/>
      <c r="AT90" s="103"/>
      <c r="AU90" s="103"/>
      <c r="AV90" s="103"/>
      <c r="AW90" s="103"/>
      <c r="AX90" s="103"/>
      <c r="AY90" s="103"/>
      <c r="AZ90" s="103"/>
      <c r="BA90" s="103"/>
      <c r="BB90" s="103"/>
      <c r="BC90" s="103"/>
      <c r="BD90" s="103"/>
      <c r="BE90" s="103"/>
      <c r="BF90" s="103"/>
      <c r="BG90" s="103"/>
      <c r="BH90" s="103"/>
      <c r="BI90" s="103"/>
      <c r="BJ90" s="103"/>
      <c r="BK90" s="103"/>
      <c r="BL90" s="103"/>
      <c r="BM90" s="103"/>
      <c r="BN90" s="103"/>
      <c r="BO90" s="103"/>
      <c r="BP90" s="103"/>
      <c r="BQ90" s="103"/>
      <c r="BR90" s="103"/>
      <c r="BS90" s="103"/>
      <c r="BT90" s="103"/>
      <c r="BU90" s="103"/>
      <c r="BV90" s="103"/>
      <c r="BW90" s="103"/>
      <c r="BX90" s="103"/>
      <c r="BY90" s="103"/>
      <c r="BZ90" s="103"/>
      <c r="CA90" s="103"/>
      <c r="CB90" s="103"/>
      <c r="CC90" s="103"/>
      <c r="CD90" s="103"/>
    </row>
    <row r="91" spans="1:82" s="117" customFormat="1" x14ac:dyDescent="0.2">
      <c r="A91" s="113" t="s">
        <v>446</v>
      </c>
      <c r="B91" s="113" t="s">
        <v>392</v>
      </c>
      <c r="C91" s="114" t="s">
        <v>447</v>
      </c>
      <c r="D91" s="114" t="s">
        <v>448</v>
      </c>
      <c r="E91" s="115"/>
      <c r="F91" s="112"/>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c r="AD91" s="103"/>
      <c r="AE91" s="103"/>
      <c r="AF91" s="103"/>
      <c r="AG91" s="103"/>
      <c r="AH91" s="103"/>
      <c r="AI91" s="103"/>
      <c r="AJ91" s="103"/>
      <c r="AK91" s="103"/>
      <c r="AL91" s="103"/>
      <c r="AM91" s="103"/>
      <c r="AN91" s="103"/>
      <c r="AO91" s="103"/>
      <c r="AP91" s="103"/>
      <c r="AQ91" s="103"/>
      <c r="AR91" s="103"/>
      <c r="AS91" s="103"/>
      <c r="AT91" s="103"/>
      <c r="AU91" s="103"/>
      <c r="AV91" s="103"/>
      <c r="AW91" s="103"/>
      <c r="AX91" s="103"/>
      <c r="AY91" s="103"/>
      <c r="AZ91" s="103"/>
      <c r="BA91" s="103"/>
      <c r="BB91" s="103"/>
      <c r="BC91" s="103"/>
      <c r="BD91" s="103"/>
      <c r="BE91" s="103"/>
      <c r="BF91" s="103"/>
      <c r="BG91" s="103"/>
      <c r="BH91" s="103"/>
      <c r="BI91" s="103"/>
      <c r="BJ91" s="103"/>
      <c r="BK91" s="103"/>
      <c r="BL91" s="103"/>
      <c r="BM91" s="103"/>
      <c r="BN91" s="103"/>
      <c r="BO91" s="103"/>
      <c r="BP91" s="103"/>
      <c r="BQ91" s="103"/>
      <c r="BR91" s="103"/>
      <c r="BS91" s="103"/>
      <c r="BT91" s="103"/>
      <c r="BU91" s="103"/>
      <c r="BV91" s="103"/>
      <c r="BW91" s="103"/>
      <c r="BX91" s="103"/>
      <c r="BY91" s="103"/>
      <c r="BZ91" s="103"/>
      <c r="CA91" s="103"/>
      <c r="CB91" s="103"/>
      <c r="CC91" s="103"/>
      <c r="CD91" s="103"/>
    </row>
    <row r="92" spans="1:82" s="117" customFormat="1" x14ac:dyDescent="0.2">
      <c r="A92" s="109" t="s">
        <v>449</v>
      </c>
      <c r="B92" s="109" t="s">
        <v>827</v>
      </c>
      <c r="C92" s="110" t="s">
        <v>450</v>
      </c>
      <c r="D92" s="110" t="s">
        <v>451</v>
      </c>
      <c r="E92" s="111"/>
      <c r="F92" s="112"/>
      <c r="G92" s="103"/>
      <c r="H92" s="103"/>
      <c r="I92" s="103"/>
      <c r="J92" s="103"/>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row>
    <row r="93" spans="1:82" s="117" customFormat="1" ht="32" x14ac:dyDescent="0.2">
      <c r="A93" s="113" t="s">
        <v>24</v>
      </c>
      <c r="B93" s="113" t="s">
        <v>396</v>
      </c>
      <c r="C93" s="114" t="s">
        <v>198</v>
      </c>
      <c r="D93" s="114" t="s">
        <v>735</v>
      </c>
      <c r="E93" s="115"/>
      <c r="F93" s="112"/>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row>
    <row r="94" spans="1:82" s="117" customFormat="1" ht="32" x14ac:dyDescent="0.2">
      <c r="A94" s="109" t="s">
        <v>452</v>
      </c>
      <c r="B94" s="109" t="s">
        <v>400</v>
      </c>
      <c r="C94" s="110" t="s">
        <v>453</v>
      </c>
      <c r="D94" s="110" t="s">
        <v>454</v>
      </c>
      <c r="E94" s="111" t="s">
        <v>455</v>
      </c>
      <c r="F94" s="112"/>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row>
    <row r="95" spans="1:82" s="117" customFormat="1" ht="64" x14ac:dyDescent="0.2">
      <c r="A95" s="113" t="s">
        <v>25</v>
      </c>
      <c r="B95" s="113" t="s">
        <v>404</v>
      </c>
      <c r="C95" s="133" t="s">
        <v>145</v>
      </c>
      <c r="D95" s="114" t="s">
        <v>146</v>
      </c>
      <c r="E95" s="115" t="s">
        <v>147</v>
      </c>
      <c r="F95" s="112"/>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row>
    <row r="96" spans="1:82" s="117" customFormat="1" x14ac:dyDescent="0.2">
      <c r="A96" s="109" t="s">
        <v>456</v>
      </c>
      <c r="B96" s="109" t="s">
        <v>17</v>
      </c>
      <c r="C96" s="136" t="s">
        <v>457</v>
      </c>
      <c r="D96" s="110" t="s">
        <v>458</v>
      </c>
      <c r="E96" s="111"/>
      <c r="F96" s="112"/>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row>
    <row r="97" spans="1:82" s="117" customFormat="1" ht="32" x14ac:dyDescent="0.2">
      <c r="A97" s="113" t="s">
        <v>459</v>
      </c>
      <c r="B97" s="113" t="s">
        <v>420</v>
      </c>
      <c r="C97" s="114" t="s">
        <v>460</v>
      </c>
      <c r="D97" s="114" t="s">
        <v>461</v>
      </c>
      <c r="E97" s="115" t="s">
        <v>462</v>
      </c>
      <c r="F97" s="112"/>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row>
    <row r="98" spans="1:82" s="117" customFormat="1" ht="48" x14ac:dyDescent="0.2">
      <c r="A98" s="109" t="s">
        <v>26</v>
      </c>
      <c r="B98" s="109" t="s">
        <v>423</v>
      </c>
      <c r="C98" s="110" t="s">
        <v>148</v>
      </c>
      <c r="D98" s="110" t="s">
        <v>149</v>
      </c>
      <c r="E98" s="111"/>
      <c r="F98" s="112"/>
      <c r="G98" s="103"/>
      <c r="H98" s="103"/>
      <c r="I98" s="103"/>
      <c r="J98" s="103"/>
      <c r="K98" s="103"/>
      <c r="L98" s="103"/>
      <c r="M98" s="103"/>
      <c r="N98" s="103"/>
      <c r="O98" s="103"/>
      <c r="P98" s="103"/>
      <c r="Q98" s="103"/>
      <c r="R98" s="103"/>
      <c r="S98" s="103"/>
      <c r="T98" s="103"/>
      <c r="U98" s="103"/>
      <c r="V98" s="103"/>
      <c r="W98" s="103"/>
      <c r="X98" s="103"/>
      <c r="Y98" s="103"/>
      <c r="Z98" s="103"/>
      <c r="AA98" s="103"/>
      <c r="AB98" s="103"/>
      <c r="AC98" s="103"/>
      <c r="AD98" s="103"/>
      <c r="AE98" s="103"/>
      <c r="AF98" s="103"/>
      <c r="AG98" s="103"/>
      <c r="AH98" s="103"/>
      <c r="AI98" s="103"/>
      <c r="AJ98" s="103"/>
      <c r="AK98" s="103"/>
      <c r="AL98" s="103"/>
      <c r="AM98" s="103"/>
      <c r="AN98" s="103"/>
      <c r="AO98" s="103"/>
      <c r="AP98" s="103"/>
      <c r="AQ98" s="103"/>
      <c r="AR98" s="103"/>
      <c r="AS98" s="103"/>
      <c r="AT98" s="103"/>
      <c r="AU98" s="103"/>
      <c r="AV98" s="103"/>
      <c r="AW98" s="103"/>
      <c r="AX98" s="103"/>
      <c r="AY98" s="103"/>
      <c r="AZ98" s="103"/>
      <c r="BA98" s="103"/>
      <c r="BB98" s="103"/>
      <c r="BC98" s="103"/>
      <c r="BD98" s="103"/>
      <c r="BE98" s="103"/>
      <c r="BF98" s="103"/>
      <c r="BG98" s="103"/>
      <c r="BH98" s="103"/>
      <c r="BI98" s="103"/>
      <c r="BJ98" s="103"/>
      <c r="BK98" s="103"/>
      <c r="BL98" s="103"/>
      <c r="BM98" s="103"/>
      <c r="BN98" s="103"/>
      <c r="BO98" s="103"/>
      <c r="BP98" s="103"/>
      <c r="BQ98" s="103"/>
      <c r="BR98" s="103"/>
      <c r="BS98" s="103"/>
      <c r="BT98" s="103"/>
      <c r="BU98" s="103"/>
      <c r="BV98" s="103"/>
      <c r="BW98" s="103"/>
      <c r="BX98" s="103"/>
      <c r="BY98" s="103"/>
      <c r="BZ98" s="103"/>
      <c r="CA98" s="103"/>
      <c r="CB98" s="103"/>
      <c r="CC98" s="103"/>
      <c r="CD98" s="103"/>
    </row>
    <row r="99" spans="1:82" s="117" customFormat="1" ht="32" x14ac:dyDescent="0.2">
      <c r="A99" s="113" t="s">
        <v>463</v>
      </c>
      <c r="B99" s="113" t="s">
        <v>427</v>
      </c>
      <c r="C99" s="114" t="s">
        <v>464</v>
      </c>
      <c r="D99" s="114" t="s">
        <v>465</v>
      </c>
      <c r="E99" s="115" t="s">
        <v>466</v>
      </c>
      <c r="F99" s="112"/>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3"/>
      <c r="BU99" s="103"/>
      <c r="BV99" s="103"/>
      <c r="BW99" s="103"/>
      <c r="BX99" s="103"/>
      <c r="BY99" s="103"/>
      <c r="BZ99" s="103"/>
      <c r="CA99" s="103"/>
      <c r="CB99" s="103"/>
      <c r="CC99" s="103"/>
      <c r="CD99" s="103"/>
    </row>
    <row r="100" spans="1:82" s="117" customFormat="1" ht="32" x14ac:dyDescent="0.2">
      <c r="A100" s="109" t="s">
        <v>467</v>
      </c>
      <c r="B100" s="109" t="s">
        <v>431</v>
      </c>
      <c r="C100" s="110" t="s">
        <v>468</v>
      </c>
      <c r="D100" s="110" t="s">
        <v>469</v>
      </c>
      <c r="E100" s="111" t="s">
        <v>470</v>
      </c>
      <c r="F100" s="112"/>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row>
    <row r="101" spans="1:82" s="117" customFormat="1" ht="48" x14ac:dyDescent="0.2">
      <c r="A101" s="113" t="s">
        <v>8</v>
      </c>
      <c r="B101" s="113" t="s">
        <v>22</v>
      </c>
      <c r="C101" s="114" t="s">
        <v>110</v>
      </c>
      <c r="D101" s="114" t="s">
        <v>111</v>
      </c>
      <c r="E101" s="115" t="s">
        <v>112</v>
      </c>
      <c r="F101" s="112"/>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row>
    <row r="102" spans="1:82" s="117" customFormat="1" x14ac:dyDescent="0.2">
      <c r="A102" s="120"/>
      <c r="B102" s="120"/>
      <c r="C102" s="121"/>
      <c r="D102" s="121" t="s">
        <v>150</v>
      </c>
      <c r="E102" s="123"/>
      <c r="F102" s="112"/>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row>
    <row r="103" spans="1:82" s="117" customFormat="1" ht="64" x14ac:dyDescent="0.2">
      <c r="A103" s="109" t="s">
        <v>471</v>
      </c>
      <c r="B103" s="109" t="s">
        <v>442</v>
      </c>
      <c r="C103" s="110" t="s">
        <v>472</v>
      </c>
      <c r="D103" s="110" t="s">
        <v>473</v>
      </c>
      <c r="E103" s="111" t="s">
        <v>474</v>
      </c>
      <c r="F103" s="112"/>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row>
    <row r="104" spans="1:82" s="117" customFormat="1" x14ac:dyDescent="0.2">
      <c r="A104" s="113" t="s">
        <v>475</v>
      </c>
      <c r="B104" s="113" t="s">
        <v>24</v>
      </c>
      <c r="C104" s="114" t="s">
        <v>476</v>
      </c>
      <c r="D104" s="114" t="s">
        <v>477</v>
      </c>
      <c r="E104" s="115" t="s">
        <v>478</v>
      </c>
      <c r="F104" s="112"/>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row>
    <row r="105" spans="1:82" s="117" customFormat="1" x14ac:dyDescent="0.2">
      <c r="A105" s="109" t="s">
        <v>479</v>
      </c>
      <c r="B105" s="109" t="s">
        <v>459</v>
      </c>
      <c r="C105" s="110" t="s">
        <v>480</v>
      </c>
      <c r="D105" s="110" t="s">
        <v>481</v>
      </c>
      <c r="E105" s="111"/>
      <c r="F105" s="112"/>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c r="AJ105" s="103"/>
      <c r="AK105" s="103"/>
      <c r="AL105" s="103"/>
      <c r="AM105" s="103"/>
      <c r="AN105" s="103"/>
      <c r="AO105" s="103"/>
      <c r="AP105" s="103"/>
      <c r="AQ105" s="103"/>
      <c r="AR105" s="103"/>
      <c r="AS105" s="103"/>
      <c r="AT105" s="103"/>
      <c r="AU105" s="103"/>
      <c r="AV105" s="103"/>
      <c r="AW105" s="103"/>
      <c r="AX105" s="103"/>
      <c r="AY105" s="103"/>
      <c r="AZ105" s="103"/>
      <c r="BA105" s="103"/>
      <c r="BB105" s="103"/>
      <c r="BC105" s="103"/>
      <c r="BD105" s="103"/>
      <c r="BE105" s="103"/>
      <c r="BF105" s="103"/>
      <c r="BG105" s="103"/>
      <c r="BH105" s="103"/>
      <c r="BI105" s="103"/>
      <c r="BJ105" s="103"/>
      <c r="BK105" s="103"/>
      <c r="BL105" s="103"/>
      <c r="BM105" s="103"/>
      <c r="BN105" s="103"/>
      <c r="BO105" s="103"/>
      <c r="BP105" s="103"/>
      <c r="BQ105" s="103"/>
      <c r="BR105" s="103"/>
      <c r="BS105" s="103"/>
      <c r="BT105" s="103"/>
      <c r="BU105" s="103"/>
      <c r="BV105" s="103"/>
      <c r="BW105" s="103"/>
      <c r="BX105" s="103"/>
      <c r="BY105" s="103"/>
      <c r="BZ105" s="103"/>
      <c r="CA105" s="103"/>
      <c r="CB105" s="103"/>
      <c r="CC105" s="103"/>
      <c r="CD105" s="103"/>
    </row>
    <row r="106" spans="1:82" s="117" customFormat="1" x14ac:dyDescent="0.2">
      <c r="A106" s="113" t="s">
        <v>482</v>
      </c>
      <c r="B106" s="113" t="s">
        <v>795</v>
      </c>
      <c r="C106" s="114" t="s">
        <v>483</v>
      </c>
      <c r="D106" s="114" t="s">
        <v>484</v>
      </c>
      <c r="E106" s="115" t="s">
        <v>485</v>
      </c>
      <c r="F106" s="112"/>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c r="AJ106" s="103"/>
      <c r="AK106" s="103"/>
      <c r="AL106" s="103"/>
      <c r="AM106" s="103"/>
      <c r="AN106" s="103"/>
      <c r="AO106" s="103"/>
      <c r="AP106" s="103"/>
      <c r="AQ106" s="103"/>
      <c r="AR106" s="103"/>
      <c r="AS106" s="103"/>
      <c r="AT106" s="103"/>
      <c r="AU106" s="103"/>
      <c r="AV106" s="103"/>
      <c r="AW106" s="103"/>
      <c r="AX106" s="103"/>
      <c r="AY106" s="103"/>
      <c r="AZ106" s="103"/>
      <c r="BA106" s="103"/>
      <c r="BB106" s="103"/>
      <c r="BC106" s="103"/>
      <c r="BD106" s="103"/>
      <c r="BE106" s="103"/>
      <c r="BF106" s="103"/>
      <c r="BG106" s="103"/>
      <c r="BH106" s="103"/>
      <c r="BI106" s="103"/>
      <c r="BJ106" s="103"/>
      <c r="BK106" s="103"/>
      <c r="BL106" s="103"/>
      <c r="BM106" s="103"/>
      <c r="BN106" s="103"/>
      <c r="BO106" s="103"/>
      <c r="BP106" s="103"/>
      <c r="BQ106" s="103"/>
      <c r="BR106" s="103"/>
      <c r="BS106" s="103"/>
      <c r="BT106" s="103"/>
      <c r="BU106" s="103"/>
      <c r="BV106" s="103"/>
      <c r="BW106" s="103"/>
      <c r="BX106" s="103"/>
      <c r="BY106" s="103"/>
      <c r="BZ106" s="103"/>
      <c r="CA106" s="103"/>
      <c r="CB106" s="103"/>
      <c r="CC106" s="103"/>
      <c r="CD106" s="103"/>
    </row>
    <row r="107" spans="1:82" s="117" customFormat="1" x14ac:dyDescent="0.2">
      <c r="A107" s="109" t="s">
        <v>486</v>
      </c>
      <c r="B107" s="109" t="s">
        <v>828</v>
      </c>
      <c r="C107" s="110" t="s">
        <v>487</v>
      </c>
      <c r="D107" s="110" t="s">
        <v>488</v>
      </c>
      <c r="E107" s="111" t="s">
        <v>489</v>
      </c>
      <c r="F107" s="112"/>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c r="AJ107" s="103"/>
      <c r="AK107" s="103"/>
      <c r="AL107" s="103"/>
      <c r="AM107" s="103"/>
      <c r="AN107" s="103"/>
      <c r="AO107" s="103"/>
      <c r="AP107" s="103"/>
      <c r="AQ107" s="103"/>
      <c r="AR107" s="103"/>
      <c r="AS107" s="103"/>
      <c r="AT107" s="103"/>
      <c r="AU107" s="103"/>
      <c r="AV107" s="103"/>
      <c r="AW107" s="103"/>
      <c r="AX107" s="103"/>
      <c r="AY107" s="103"/>
      <c r="AZ107" s="103"/>
      <c r="BA107" s="103"/>
      <c r="BB107" s="103"/>
      <c r="BC107" s="103"/>
      <c r="BD107" s="103"/>
      <c r="BE107" s="103"/>
      <c r="BF107" s="103"/>
      <c r="BG107" s="103"/>
      <c r="BH107" s="103"/>
      <c r="BI107" s="103"/>
      <c r="BJ107" s="103"/>
      <c r="BK107" s="103"/>
      <c r="BL107" s="103"/>
      <c r="BM107" s="103"/>
      <c r="BN107" s="103"/>
      <c r="BO107" s="103"/>
      <c r="BP107" s="103"/>
      <c r="BQ107" s="103"/>
      <c r="BR107" s="103"/>
      <c r="BS107" s="103"/>
      <c r="BT107" s="103"/>
      <c r="BU107" s="103"/>
      <c r="BV107" s="103"/>
      <c r="BW107" s="103"/>
      <c r="BX107" s="103"/>
      <c r="BY107" s="103"/>
      <c r="BZ107" s="103"/>
      <c r="CA107" s="103"/>
      <c r="CB107" s="103"/>
      <c r="CC107" s="103"/>
      <c r="CD107" s="103"/>
    </row>
    <row r="108" spans="1:82" s="117" customFormat="1" ht="64" x14ac:dyDescent="0.2">
      <c r="A108" s="124" t="s">
        <v>490</v>
      </c>
      <c r="B108" s="124" t="s">
        <v>829</v>
      </c>
      <c r="C108" s="114" t="s">
        <v>491</v>
      </c>
      <c r="D108" s="114" t="s">
        <v>492</v>
      </c>
      <c r="E108" s="115" t="s">
        <v>493</v>
      </c>
      <c r="F108" s="112"/>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c r="AX108" s="103"/>
      <c r="AY108" s="103"/>
      <c r="AZ108" s="103"/>
      <c r="BA108" s="103"/>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c r="CA108" s="103"/>
      <c r="CB108" s="103"/>
      <c r="CC108" s="103"/>
      <c r="CD108" s="103"/>
    </row>
    <row r="109" spans="1:82" s="117" customFormat="1" ht="32" x14ac:dyDescent="0.2">
      <c r="A109" s="116" t="s">
        <v>494</v>
      </c>
      <c r="B109" s="116" t="s">
        <v>830</v>
      </c>
      <c r="C109" s="110" t="s">
        <v>495</v>
      </c>
      <c r="D109" s="110" t="s">
        <v>496</v>
      </c>
      <c r="E109" s="111" t="s">
        <v>497</v>
      </c>
      <c r="F109" s="112"/>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c r="AJ109" s="103"/>
      <c r="AK109" s="103"/>
      <c r="AL109" s="103"/>
      <c r="AM109" s="103"/>
      <c r="AN109" s="103"/>
      <c r="AO109" s="103"/>
      <c r="AP109" s="103"/>
      <c r="AQ109" s="103"/>
      <c r="AR109" s="103"/>
      <c r="AS109" s="103"/>
      <c r="AT109" s="103"/>
      <c r="AU109" s="103"/>
      <c r="AV109" s="103"/>
      <c r="AW109" s="103"/>
      <c r="AX109" s="103"/>
      <c r="AY109" s="103"/>
      <c r="AZ109" s="103"/>
      <c r="BA109" s="103"/>
      <c r="BB109" s="103"/>
      <c r="BC109" s="103"/>
      <c r="BD109" s="103"/>
      <c r="BE109" s="103"/>
      <c r="BF109" s="103"/>
      <c r="BG109" s="103"/>
      <c r="BH109" s="103"/>
      <c r="BI109" s="103"/>
      <c r="BJ109" s="103"/>
      <c r="BK109" s="103"/>
      <c r="BL109" s="103"/>
      <c r="BM109" s="103"/>
      <c r="BN109" s="103"/>
      <c r="BO109" s="103"/>
      <c r="BP109" s="103"/>
      <c r="BQ109" s="103"/>
      <c r="BR109" s="103"/>
      <c r="BS109" s="103"/>
      <c r="BT109" s="103"/>
      <c r="BU109" s="103"/>
      <c r="BV109" s="103"/>
      <c r="BW109" s="103"/>
      <c r="BX109" s="103"/>
      <c r="BY109" s="103"/>
      <c r="BZ109" s="103"/>
      <c r="CA109" s="103"/>
      <c r="CB109" s="103"/>
      <c r="CC109" s="103"/>
      <c r="CD109" s="103"/>
    </row>
    <row r="110" spans="1:82" s="117" customFormat="1" ht="48" x14ac:dyDescent="0.2">
      <c r="A110" s="124" t="s">
        <v>498</v>
      </c>
      <c r="B110" s="124" t="s">
        <v>831</v>
      </c>
      <c r="C110" s="114" t="s">
        <v>499</v>
      </c>
      <c r="D110" s="114" t="s">
        <v>500</v>
      </c>
      <c r="E110" s="115"/>
      <c r="F110" s="112"/>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c r="AI110" s="103"/>
      <c r="AJ110" s="103"/>
      <c r="AK110" s="103"/>
      <c r="AL110" s="103"/>
      <c r="AM110" s="103"/>
      <c r="AN110" s="103"/>
      <c r="AO110" s="103"/>
      <c r="AP110" s="103"/>
      <c r="AQ110" s="103"/>
      <c r="AR110" s="103"/>
      <c r="AS110" s="103"/>
      <c r="AT110" s="103"/>
      <c r="AU110" s="103"/>
      <c r="AV110" s="103"/>
      <c r="AW110" s="103"/>
      <c r="AX110" s="103"/>
      <c r="AY110" s="103"/>
      <c r="AZ110" s="103"/>
      <c r="BA110" s="103"/>
      <c r="BB110" s="103"/>
      <c r="BC110" s="103"/>
      <c r="BD110" s="103"/>
      <c r="BE110" s="103"/>
      <c r="BF110" s="103"/>
      <c r="BG110" s="103"/>
      <c r="BH110" s="103"/>
      <c r="BI110" s="103"/>
      <c r="BJ110" s="103"/>
      <c r="BK110" s="103"/>
      <c r="BL110" s="103"/>
      <c r="BM110" s="103"/>
      <c r="BN110" s="103"/>
      <c r="BO110" s="103"/>
      <c r="BP110" s="103"/>
      <c r="BQ110" s="103"/>
      <c r="BR110" s="103"/>
      <c r="BS110" s="103"/>
      <c r="BT110" s="103"/>
      <c r="BU110" s="103"/>
      <c r="BV110" s="103"/>
      <c r="BW110" s="103"/>
      <c r="BX110" s="103"/>
      <c r="BY110" s="103"/>
      <c r="BZ110" s="103"/>
      <c r="CA110" s="103"/>
      <c r="CB110" s="103"/>
      <c r="CC110" s="103"/>
      <c r="CD110" s="103"/>
    </row>
    <row r="111" spans="1:82" s="117" customFormat="1" ht="48" x14ac:dyDescent="0.2">
      <c r="A111" s="109" t="s">
        <v>501</v>
      </c>
      <c r="B111" s="109" t="s">
        <v>832</v>
      </c>
      <c r="C111" s="110" t="s">
        <v>502</v>
      </c>
      <c r="D111" s="110" t="s">
        <v>503</v>
      </c>
      <c r="E111" s="111" t="s">
        <v>504</v>
      </c>
      <c r="F111" s="112"/>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03"/>
      <c r="AO111" s="103"/>
      <c r="AP111" s="103"/>
      <c r="AQ111" s="103"/>
      <c r="AR111" s="103"/>
      <c r="AS111" s="103"/>
      <c r="AT111" s="103"/>
      <c r="AU111" s="103"/>
      <c r="AV111" s="103"/>
      <c r="AW111" s="103"/>
      <c r="AX111" s="103"/>
      <c r="AY111" s="103"/>
      <c r="AZ111" s="103"/>
      <c r="BA111" s="103"/>
      <c r="BB111" s="103"/>
      <c r="BC111" s="103"/>
      <c r="BD111" s="103"/>
      <c r="BE111" s="103"/>
      <c r="BF111" s="103"/>
      <c r="BG111" s="103"/>
      <c r="BH111" s="103"/>
      <c r="BI111" s="103"/>
      <c r="BJ111" s="103"/>
      <c r="BK111" s="103"/>
      <c r="BL111" s="103"/>
      <c r="BM111" s="103"/>
      <c r="BN111" s="103"/>
      <c r="BO111" s="103"/>
      <c r="BP111" s="103"/>
      <c r="BQ111" s="103"/>
      <c r="BR111" s="103"/>
      <c r="BS111" s="103"/>
      <c r="BT111" s="103"/>
      <c r="BU111" s="103"/>
      <c r="BV111" s="103"/>
      <c r="BW111" s="103"/>
      <c r="BX111" s="103"/>
      <c r="BY111" s="103"/>
      <c r="BZ111" s="103"/>
      <c r="CA111" s="103"/>
      <c r="CB111" s="103"/>
      <c r="CC111" s="103"/>
      <c r="CD111" s="103"/>
    </row>
    <row r="112" spans="1:82" s="117" customFormat="1" ht="32" x14ac:dyDescent="0.2">
      <c r="A112" s="113" t="s">
        <v>505</v>
      </c>
      <c r="B112" s="113" t="s">
        <v>833</v>
      </c>
      <c r="C112" s="114" t="s">
        <v>506</v>
      </c>
      <c r="D112" s="114" t="s">
        <v>507</v>
      </c>
      <c r="E112" s="115" t="s">
        <v>508</v>
      </c>
      <c r="F112" s="112"/>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103"/>
      <c r="AG112" s="103"/>
      <c r="AH112" s="103"/>
      <c r="AI112" s="103"/>
      <c r="AJ112" s="103"/>
      <c r="AK112" s="103"/>
      <c r="AL112" s="103"/>
      <c r="AM112" s="103"/>
      <c r="AN112" s="103"/>
      <c r="AO112" s="103"/>
      <c r="AP112" s="103"/>
      <c r="AQ112" s="103"/>
      <c r="AR112" s="103"/>
      <c r="AS112" s="103"/>
      <c r="AT112" s="103"/>
      <c r="AU112" s="103"/>
      <c r="AV112" s="103"/>
      <c r="AW112" s="103"/>
      <c r="AX112" s="103"/>
      <c r="AY112" s="103"/>
      <c r="AZ112" s="103"/>
      <c r="BA112" s="103"/>
      <c r="BB112" s="103"/>
      <c r="BC112" s="103"/>
      <c r="BD112" s="103"/>
      <c r="BE112" s="103"/>
      <c r="BF112" s="103"/>
      <c r="BG112" s="103"/>
      <c r="BH112" s="103"/>
      <c r="BI112" s="103"/>
      <c r="BJ112" s="103"/>
      <c r="BK112" s="103"/>
      <c r="BL112" s="103"/>
      <c r="BM112" s="103"/>
      <c r="BN112" s="103"/>
      <c r="BO112" s="103"/>
      <c r="BP112" s="103"/>
      <c r="BQ112" s="103"/>
      <c r="BR112" s="103"/>
      <c r="BS112" s="103"/>
      <c r="BT112" s="103"/>
      <c r="BU112" s="103"/>
      <c r="BV112" s="103"/>
      <c r="BW112" s="103"/>
      <c r="BX112" s="103"/>
      <c r="BY112" s="103"/>
      <c r="BZ112" s="103"/>
      <c r="CA112" s="103"/>
      <c r="CB112" s="103"/>
      <c r="CC112" s="103"/>
      <c r="CD112" s="103"/>
    </row>
    <row r="113" spans="1:82" s="117" customFormat="1" ht="32" x14ac:dyDescent="0.2">
      <c r="A113" s="109" t="s">
        <v>509</v>
      </c>
      <c r="B113" s="109" t="s">
        <v>834</v>
      </c>
      <c r="C113" s="110" t="s">
        <v>510</v>
      </c>
      <c r="D113" s="110" t="s">
        <v>511</v>
      </c>
      <c r="E113" s="111"/>
      <c r="F113" s="112"/>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c r="AD113" s="103"/>
      <c r="AE113" s="103"/>
      <c r="AF113" s="103"/>
      <c r="AG113" s="103"/>
      <c r="AH113" s="103"/>
      <c r="AI113" s="103"/>
      <c r="AJ113" s="103"/>
      <c r="AK113" s="103"/>
      <c r="AL113" s="103"/>
      <c r="AM113" s="103"/>
      <c r="AN113" s="103"/>
      <c r="AO113" s="103"/>
      <c r="AP113" s="103"/>
      <c r="AQ113" s="103"/>
      <c r="AR113" s="103"/>
      <c r="AS113" s="103"/>
      <c r="AT113" s="103"/>
      <c r="AU113" s="103"/>
      <c r="AV113" s="103"/>
      <c r="AW113" s="103"/>
      <c r="AX113" s="103"/>
      <c r="AY113" s="103"/>
      <c r="AZ113" s="103"/>
      <c r="BA113" s="103"/>
      <c r="BB113" s="103"/>
      <c r="BC113" s="103"/>
      <c r="BD113" s="103"/>
      <c r="BE113" s="103"/>
      <c r="BF113" s="103"/>
      <c r="BG113" s="103"/>
      <c r="BH113" s="103"/>
      <c r="BI113" s="103"/>
      <c r="BJ113" s="103"/>
      <c r="BK113" s="103"/>
      <c r="BL113" s="103"/>
      <c r="BM113" s="103"/>
      <c r="BN113" s="103"/>
      <c r="BO113" s="103"/>
      <c r="BP113" s="103"/>
      <c r="BQ113" s="103"/>
      <c r="BR113" s="103"/>
      <c r="BS113" s="103"/>
      <c r="BT113" s="103"/>
      <c r="BU113" s="103"/>
      <c r="BV113" s="103"/>
      <c r="BW113" s="103"/>
      <c r="BX113" s="103"/>
      <c r="BY113" s="103"/>
      <c r="BZ113" s="103"/>
      <c r="CA113" s="103"/>
      <c r="CB113" s="103"/>
      <c r="CC113" s="103"/>
      <c r="CD113" s="103"/>
    </row>
    <row r="114" spans="1:82" s="117" customFormat="1" ht="32" x14ac:dyDescent="0.2">
      <c r="A114" s="113" t="s">
        <v>512</v>
      </c>
      <c r="B114" s="113" t="s">
        <v>835</v>
      </c>
      <c r="C114" s="114" t="s">
        <v>513</v>
      </c>
      <c r="D114" s="114" t="s">
        <v>514</v>
      </c>
      <c r="E114" s="115"/>
      <c r="F114" s="112"/>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c r="AJ114" s="103"/>
      <c r="AK114" s="103"/>
      <c r="AL114" s="103"/>
      <c r="AM114" s="103"/>
      <c r="AN114" s="103"/>
      <c r="AO114" s="103"/>
      <c r="AP114" s="103"/>
      <c r="AQ114" s="103"/>
      <c r="AR114" s="103"/>
      <c r="AS114" s="103"/>
      <c r="AT114" s="103"/>
      <c r="AU114" s="103"/>
      <c r="AV114" s="103"/>
      <c r="AW114" s="103"/>
      <c r="AX114" s="103"/>
      <c r="AY114" s="103"/>
      <c r="AZ114" s="103"/>
      <c r="BA114" s="103"/>
      <c r="BB114" s="103"/>
      <c r="BC114" s="103"/>
      <c r="BD114" s="103"/>
      <c r="BE114" s="103"/>
      <c r="BF114" s="103"/>
      <c r="BG114" s="103"/>
      <c r="BH114" s="103"/>
      <c r="BI114" s="103"/>
      <c r="BJ114" s="103"/>
      <c r="BK114" s="103"/>
      <c r="BL114" s="103"/>
      <c r="BM114" s="103"/>
      <c r="BN114" s="103"/>
      <c r="BO114" s="103"/>
      <c r="BP114" s="103"/>
      <c r="BQ114" s="103"/>
      <c r="BR114" s="103"/>
      <c r="BS114" s="103"/>
      <c r="BT114" s="103"/>
      <c r="BU114" s="103"/>
      <c r="BV114" s="103"/>
      <c r="BW114" s="103"/>
      <c r="BX114" s="103"/>
      <c r="BY114" s="103"/>
      <c r="BZ114" s="103"/>
      <c r="CA114" s="103"/>
      <c r="CB114" s="103"/>
      <c r="CC114" s="103"/>
      <c r="CD114" s="103"/>
    </row>
    <row r="115" spans="1:82" s="117" customFormat="1" ht="32" x14ac:dyDescent="0.2">
      <c r="A115" s="109" t="s">
        <v>515</v>
      </c>
      <c r="B115" s="109" t="s">
        <v>836</v>
      </c>
      <c r="C115" s="110" t="s">
        <v>516</v>
      </c>
      <c r="D115" s="110" t="s">
        <v>517</v>
      </c>
      <c r="E115" s="111"/>
      <c r="F115" s="112"/>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c r="AD115" s="103"/>
      <c r="AE115" s="103"/>
      <c r="AF115" s="103"/>
      <c r="AG115" s="103"/>
      <c r="AH115" s="103"/>
      <c r="AI115" s="103"/>
      <c r="AJ115" s="103"/>
      <c r="AK115" s="103"/>
      <c r="AL115" s="103"/>
      <c r="AM115" s="103"/>
      <c r="AN115" s="103"/>
      <c r="AO115" s="103"/>
      <c r="AP115" s="103"/>
      <c r="AQ115" s="103"/>
      <c r="AR115" s="103"/>
      <c r="AS115" s="103"/>
      <c r="AT115" s="103"/>
      <c r="AU115" s="103"/>
      <c r="AV115" s="103"/>
      <c r="AW115" s="103"/>
      <c r="AX115" s="103"/>
      <c r="AY115" s="103"/>
      <c r="AZ115" s="103"/>
      <c r="BA115" s="103"/>
      <c r="BB115" s="103"/>
      <c r="BC115" s="103"/>
      <c r="BD115" s="103"/>
      <c r="BE115" s="103"/>
      <c r="BF115" s="103"/>
      <c r="BG115" s="103"/>
      <c r="BH115" s="103"/>
      <c r="BI115" s="103"/>
      <c r="BJ115" s="103"/>
      <c r="BK115" s="103"/>
      <c r="BL115" s="103"/>
      <c r="BM115" s="103"/>
      <c r="BN115" s="103"/>
      <c r="BO115" s="103"/>
      <c r="BP115" s="103"/>
      <c r="BQ115" s="103"/>
      <c r="BR115" s="103"/>
      <c r="BS115" s="103"/>
      <c r="BT115" s="103"/>
      <c r="BU115" s="103"/>
      <c r="BV115" s="103"/>
      <c r="BW115" s="103"/>
      <c r="BX115" s="103"/>
      <c r="BY115" s="103"/>
      <c r="BZ115" s="103"/>
      <c r="CA115" s="103"/>
      <c r="CB115" s="103"/>
      <c r="CC115" s="103"/>
      <c r="CD115" s="103"/>
    </row>
    <row r="116" spans="1:82" s="117" customFormat="1" x14ac:dyDescent="0.2">
      <c r="A116" s="113" t="s">
        <v>518</v>
      </c>
      <c r="B116" s="113" t="s">
        <v>837</v>
      </c>
      <c r="C116" s="114" t="s">
        <v>519</v>
      </c>
      <c r="D116" s="114" t="s">
        <v>520</v>
      </c>
      <c r="E116" s="115" t="s">
        <v>521</v>
      </c>
      <c r="F116" s="112"/>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3"/>
      <c r="AC116" s="103"/>
      <c r="AD116" s="103"/>
      <c r="AE116" s="103"/>
      <c r="AF116" s="103"/>
      <c r="AG116" s="103"/>
      <c r="AH116" s="103"/>
      <c r="AI116" s="103"/>
      <c r="AJ116" s="103"/>
      <c r="AK116" s="103"/>
      <c r="AL116" s="103"/>
      <c r="AM116" s="103"/>
      <c r="AN116" s="103"/>
      <c r="AO116" s="103"/>
      <c r="AP116" s="103"/>
      <c r="AQ116" s="103"/>
      <c r="AR116" s="103"/>
      <c r="AS116" s="103"/>
      <c r="AT116" s="103"/>
      <c r="AU116" s="103"/>
      <c r="AV116" s="103"/>
      <c r="AW116" s="103"/>
      <c r="AX116" s="103"/>
      <c r="AY116" s="103"/>
      <c r="AZ116" s="103"/>
      <c r="BA116" s="103"/>
      <c r="BB116" s="103"/>
      <c r="BC116" s="103"/>
      <c r="BD116" s="103"/>
      <c r="BE116" s="103"/>
      <c r="BF116" s="103"/>
      <c r="BG116" s="103"/>
      <c r="BH116" s="103"/>
      <c r="BI116" s="103"/>
      <c r="BJ116" s="103"/>
      <c r="BK116" s="103"/>
      <c r="BL116" s="103"/>
      <c r="BM116" s="103"/>
      <c r="BN116" s="103"/>
      <c r="BO116" s="103"/>
      <c r="BP116" s="103"/>
      <c r="BQ116" s="103"/>
      <c r="BR116" s="103"/>
      <c r="BS116" s="103"/>
      <c r="BT116" s="103"/>
      <c r="BU116" s="103"/>
      <c r="BV116" s="103"/>
      <c r="BW116" s="103"/>
      <c r="BX116" s="103"/>
      <c r="BY116" s="103"/>
      <c r="BZ116" s="103"/>
      <c r="CA116" s="103"/>
      <c r="CB116" s="103"/>
      <c r="CC116" s="103"/>
      <c r="CD116" s="103"/>
    </row>
    <row r="117" spans="1:82" s="117" customFormat="1" ht="48" x14ac:dyDescent="0.2">
      <c r="A117" s="109" t="s">
        <v>522</v>
      </c>
      <c r="B117" s="109" t="s">
        <v>838</v>
      </c>
      <c r="C117" s="110" t="s">
        <v>523</v>
      </c>
      <c r="D117" s="110" t="s">
        <v>524</v>
      </c>
      <c r="E117" s="111" t="s">
        <v>525</v>
      </c>
      <c r="F117" s="112"/>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c r="AD117" s="103"/>
      <c r="AE117" s="103"/>
      <c r="AF117" s="103"/>
      <c r="AG117" s="103"/>
      <c r="AH117" s="103"/>
      <c r="AI117" s="103"/>
      <c r="AJ117" s="103"/>
      <c r="AK117" s="103"/>
      <c r="AL117" s="103"/>
      <c r="AM117" s="103"/>
      <c r="AN117" s="103"/>
      <c r="AO117" s="103"/>
      <c r="AP117" s="103"/>
      <c r="AQ117" s="103"/>
      <c r="AR117" s="103"/>
      <c r="AS117" s="103"/>
      <c r="AT117" s="103"/>
      <c r="AU117" s="103"/>
      <c r="AV117" s="103"/>
      <c r="AW117" s="103"/>
      <c r="AX117" s="103"/>
      <c r="AY117" s="103"/>
      <c r="AZ117" s="103"/>
      <c r="BA117" s="103"/>
      <c r="BB117" s="103"/>
      <c r="BC117" s="103"/>
      <c r="BD117" s="103"/>
      <c r="BE117" s="103"/>
      <c r="BF117" s="103"/>
      <c r="BG117" s="103"/>
      <c r="BH117" s="103"/>
      <c r="BI117" s="103"/>
      <c r="BJ117" s="103"/>
      <c r="BK117" s="103"/>
      <c r="BL117" s="103"/>
      <c r="BM117" s="103"/>
      <c r="BN117" s="103"/>
      <c r="BO117" s="103"/>
      <c r="BP117" s="103"/>
      <c r="BQ117" s="103"/>
      <c r="BR117" s="103"/>
      <c r="BS117" s="103"/>
      <c r="BT117" s="103"/>
      <c r="BU117" s="103"/>
      <c r="BV117" s="103"/>
      <c r="BW117" s="103"/>
      <c r="BX117" s="103"/>
      <c r="BY117" s="103"/>
      <c r="BZ117" s="103"/>
      <c r="CA117" s="103"/>
      <c r="CB117" s="103"/>
      <c r="CC117" s="103"/>
      <c r="CD117" s="103"/>
    </row>
    <row r="118" spans="1:82" s="117" customFormat="1" ht="32" x14ac:dyDescent="0.2">
      <c r="A118" s="109" t="s">
        <v>526</v>
      </c>
      <c r="B118" s="109" t="s">
        <v>839</v>
      </c>
      <c r="C118" s="110" t="s">
        <v>527</v>
      </c>
      <c r="D118" s="110" t="s">
        <v>528</v>
      </c>
      <c r="E118" s="111" t="s">
        <v>529</v>
      </c>
      <c r="F118" s="112"/>
      <c r="G118" s="103"/>
      <c r="H118" s="103"/>
      <c r="I118" s="103"/>
      <c r="J118" s="103"/>
      <c r="K118" s="103"/>
      <c r="L118" s="103"/>
      <c r="M118" s="103"/>
      <c r="N118" s="103"/>
      <c r="O118" s="103"/>
      <c r="P118" s="103"/>
      <c r="Q118" s="103"/>
      <c r="R118" s="103"/>
      <c r="S118" s="103"/>
      <c r="T118" s="103"/>
      <c r="U118" s="103"/>
      <c r="V118" s="103"/>
      <c r="W118" s="103"/>
      <c r="X118" s="103"/>
      <c r="Y118" s="103"/>
      <c r="Z118" s="103"/>
      <c r="AA118" s="103"/>
      <c r="AB118" s="103"/>
      <c r="AC118" s="103"/>
      <c r="AD118" s="103"/>
      <c r="AE118" s="103"/>
      <c r="AF118" s="103"/>
      <c r="AG118" s="103"/>
      <c r="AH118" s="103"/>
      <c r="AI118" s="103"/>
      <c r="AJ118" s="103"/>
      <c r="AK118" s="103"/>
      <c r="AL118" s="103"/>
      <c r="AM118" s="103"/>
      <c r="AN118" s="103"/>
      <c r="AO118" s="103"/>
      <c r="AP118" s="103"/>
      <c r="AQ118" s="103"/>
      <c r="AR118" s="103"/>
      <c r="AS118" s="103"/>
      <c r="AT118" s="103"/>
      <c r="AU118" s="103"/>
      <c r="AV118" s="103"/>
      <c r="AW118" s="103"/>
      <c r="AX118" s="103"/>
      <c r="AY118" s="103"/>
      <c r="AZ118" s="103"/>
      <c r="BA118" s="103"/>
      <c r="BB118" s="103"/>
      <c r="BC118" s="103"/>
      <c r="BD118" s="103"/>
      <c r="BE118" s="103"/>
      <c r="BF118" s="103"/>
      <c r="BG118" s="103"/>
      <c r="BH118" s="103"/>
      <c r="BI118" s="103"/>
      <c r="BJ118" s="103"/>
      <c r="BK118" s="103"/>
      <c r="BL118" s="103"/>
      <c r="BM118" s="103"/>
      <c r="BN118" s="103"/>
      <c r="BO118" s="103"/>
      <c r="BP118" s="103"/>
      <c r="BQ118" s="103"/>
      <c r="BR118" s="103"/>
      <c r="BS118" s="103"/>
      <c r="BT118" s="103"/>
      <c r="BU118" s="103"/>
      <c r="BV118" s="103"/>
      <c r="BW118" s="103"/>
      <c r="BX118" s="103"/>
      <c r="BY118" s="103"/>
      <c r="BZ118" s="103"/>
      <c r="CA118" s="103"/>
      <c r="CB118" s="103"/>
      <c r="CC118" s="103"/>
      <c r="CD118" s="103"/>
    </row>
    <row r="119" spans="1:82" s="117" customFormat="1" x14ac:dyDescent="0.2">
      <c r="A119" s="113" t="s">
        <v>530</v>
      </c>
      <c r="B119" s="113" t="s">
        <v>840</v>
      </c>
      <c r="C119" s="114" t="s">
        <v>531</v>
      </c>
      <c r="D119" s="114" t="s">
        <v>532</v>
      </c>
      <c r="E119" s="115" t="s">
        <v>533</v>
      </c>
      <c r="F119" s="112"/>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c r="AC119" s="103"/>
      <c r="AD119" s="103"/>
      <c r="AE119" s="103"/>
      <c r="AF119" s="103"/>
      <c r="AG119" s="103"/>
      <c r="AH119" s="103"/>
      <c r="AI119" s="103"/>
      <c r="AJ119" s="103"/>
      <c r="AK119" s="103"/>
      <c r="AL119" s="103"/>
      <c r="AM119" s="103"/>
      <c r="AN119" s="103"/>
      <c r="AO119" s="103"/>
      <c r="AP119" s="103"/>
      <c r="AQ119" s="103"/>
      <c r="AR119" s="103"/>
      <c r="AS119" s="103"/>
      <c r="AT119" s="103"/>
      <c r="AU119" s="103"/>
      <c r="AV119" s="103"/>
      <c r="AW119" s="103"/>
      <c r="AX119" s="103"/>
      <c r="AY119" s="103"/>
      <c r="AZ119" s="103"/>
      <c r="BA119" s="103"/>
      <c r="BB119" s="103"/>
      <c r="BC119" s="103"/>
      <c r="BD119" s="103"/>
      <c r="BE119" s="103"/>
      <c r="BF119" s="103"/>
      <c r="BG119" s="103"/>
      <c r="BH119" s="103"/>
      <c r="BI119" s="103"/>
      <c r="BJ119" s="103"/>
      <c r="BK119" s="103"/>
      <c r="BL119" s="103"/>
      <c r="BM119" s="103"/>
      <c r="BN119" s="103"/>
      <c r="BO119" s="103"/>
      <c r="BP119" s="103"/>
      <c r="BQ119" s="103"/>
      <c r="BR119" s="103"/>
      <c r="BS119" s="103"/>
      <c r="BT119" s="103"/>
      <c r="BU119" s="103"/>
      <c r="BV119" s="103"/>
      <c r="BW119" s="103"/>
      <c r="BX119" s="103"/>
      <c r="BY119" s="103"/>
      <c r="BZ119" s="103"/>
      <c r="CA119" s="103"/>
      <c r="CB119" s="103"/>
      <c r="CC119" s="103"/>
      <c r="CD119" s="103"/>
    </row>
    <row r="120" spans="1:82" s="117" customFormat="1" ht="32" x14ac:dyDescent="0.2">
      <c r="A120" s="109" t="s">
        <v>534</v>
      </c>
      <c r="B120" s="109" t="s">
        <v>841</v>
      </c>
      <c r="C120" s="110" t="s">
        <v>535</v>
      </c>
      <c r="D120" s="110" t="s">
        <v>536</v>
      </c>
      <c r="E120" s="111" t="s">
        <v>537</v>
      </c>
      <c r="F120" s="112"/>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c r="AC120" s="103"/>
      <c r="AD120" s="103"/>
      <c r="AE120" s="103"/>
      <c r="AF120" s="103"/>
      <c r="AG120" s="103"/>
      <c r="AH120" s="103"/>
      <c r="AI120" s="103"/>
      <c r="AJ120" s="103"/>
      <c r="AK120" s="103"/>
      <c r="AL120" s="103"/>
      <c r="AM120" s="103"/>
      <c r="AN120" s="103"/>
      <c r="AO120" s="103"/>
      <c r="AP120" s="103"/>
      <c r="AQ120" s="103"/>
      <c r="AR120" s="103"/>
      <c r="AS120" s="103"/>
      <c r="AT120" s="103"/>
      <c r="AU120" s="103"/>
      <c r="AV120" s="103"/>
      <c r="AW120" s="103"/>
      <c r="AX120" s="103"/>
      <c r="AY120" s="103"/>
      <c r="AZ120" s="103"/>
      <c r="BA120" s="103"/>
      <c r="BB120" s="103"/>
      <c r="BC120" s="103"/>
      <c r="BD120" s="103"/>
      <c r="BE120" s="103"/>
      <c r="BF120" s="103"/>
      <c r="BG120" s="103"/>
      <c r="BH120" s="103"/>
      <c r="BI120" s="103"/>
      <c r="BJ120" s="103"/>
      <c r="BK120" s="103"/>
      <c r="BL120" s="103"/>
      <c r="BM120" s="103"/>
      <c r="BN120" s="103"/>
      <c r="BO120" s="103"/>
      <c r="BP120" s="103"/>
      <c r="BQ120" s="103"/>
      <c r="BR120" s="103"/>
      <c r="BS120" s="103"/>
      <c r="BT120" s="103"/>
      <c r="BU120" s="103"/>
      <c r="BV120" s="103"/>
      <c r="BW120" s="103"/>
      <c r="BX120" s="103"/>
      <c r="BY120" s="103"/>
      <c r="BZ120" s="103"/>
      <c r="CA120" s="103"/>
      <c r="CB120" s="103"/>
      <c r="CC120" s="103"/>
      <c r="CD120" s="103"/>
    </row>
    <row r="121" spans="1:82" s="117" customFormat="1" ht="48" x14ac:dyDescent="0.2">
      <c r="A121" s="113" t="s">
        <v>538</v>
      </c>
      <c r="B121" s="113" t="s">
        <v>842</v>
      </c>
      <c r="C121" s="114" t="s">
        <v>539</v>
      </c>
      <c r="D121" s="114" t="s">
        <v>540</v>
      </c>
      <c r="E121" s="115" t="s">
        <v>541</v>
      </c>
      <c r="F121" s="112"/>
      <c r="G121" s="103"/>
      <c r="H121" s="103"/>
      <c r="I121" s="103"/>
      <c r="J121" s="103"/>
      <c r="K121" s="103"/>
      <c r="L121" s="103"/>
      <c r="M121" s="103"/>
      <c r="N121" s="103"/>
      <c r="O121" s="103"/>
      <c r="P121" s="103"/>
      <c r="Q121" s="103"/>
      <c r="R121" s="103"/>
      <c r="S121" s="103"/>
      <c r="T121" s="103"/>
      <c r="U121" s="103"/>
      <c r="V121" s="103"/>
      <c r="W121" s="103"/>
      <c r="X121" s="103"/>
      <c r="Y121" s="103"/>
      <c r="Z121" s="103"/>
      <c r="AA121" s="103"/>
      <c r="AB121" s="103"/>
      <c r="AC121" s="103"/>
      <c r="AD121" s="103"/>
      <c r="AE121" s="103"/>
      <c r="AF121" s="103"/>
      <c r="AG121" s="103"/>
      <c r="AH121" s="103"/>
      <c r="AI121" s="103"/>
      <c r="AJ121" s="103"/>
      <c r="AK121" s="103"/>
      <c r="AL121" s="103"/>
      <c r="AM121" s="103"/>
      <c r="AN121" s="103"/>
      <c r="AO121" s="103"/>
      <c r="AP121" s="103"/>
      <c r="AQ121" s="103"/>
      <c r="AR121" s="103"/>
      <c r="AS121" s="103"/>
      <c r="AT121" s="103"/>
      <c r="AU121" s="103"/>
      <c r="AV121" s="103"/>
      <c r="AW121" s="103"/>
      <c r="AX121" s="103"/>
      <c r="AY121" s="103"/>
      <c r="AZ121" s="103"/>
      <c r="BA121" s="103"/>
      <c r="BB121" s="103"/>
      <c r="BC121" s="103"/>
      <c r="BD121" s="103"/>
      <c r="BE121" s="103"/>
      <c r="BF121" s="103"/>
      <c r="BG121" s="103"/>
      <c r="BH121" s="103"/>
      <c r="BI121" s="103"/>
      <c r="BJ121" s="103"/>
      <c r="BK121" s="103"/>
      <c r="BL121" s="103"/>
      <c r="BM121" s="103"/>
      <c r="BN121" s="103"/>
      <c r="BO121" s="103"/>
      <c r="BP121" s="103"/>
      <c r="BQ121" s="103"/>
      <c r="BR121" s="103"/>
      <c r="BS121" s="103"/>
      <c r="BT121" s="103"/>
      <c r="BU121" s="103"/>
      <c r="BV121" s="103"/>
      <c r="BW121" s="103"/>
      <c r="BX121" s="103"/>
      <c r="BY121" s="103"/>
      <c r="BZ121" s="103"/>
      <c r="CA121" s="103"/>
      <c r="CB121" s="103"/>
      <c r="CC121" s="103"/>
      <c r="CD121" s="103"/>
    </row>
    <row r="122" spans="1:82" s="117" customFormat="1" ht="32" x14ac:dyDescent="0.2">
      <c r="A122" s="109" t="s">
        <v>28</v>
      </c>
      <c r="B122" s="109" t="s">
        <v>843</v>
      </c>
      <c r="C122" s="110" t="s">
        <v>154</v>
      </c>
      <c r="D122" s="110" t="s">
        <v>155</v>
      </c>
      <c r="E122" s="111"/>
      <c r="F122" s="112"/>
      <c r="G122" s="103"/>
      <c r="H122" s="103"/>
      <c r="I122" s="103"/>
      <c r="J122" s="103"/>
      <c r="K122" s="103"/>
      <c r="L122" s="103"/>
      <c r="M122" s="103"/>
      <c r="N122" s="103"/>
      <c r="O122" s="103"/>
      <c r="P122" s="103"/>
      <c r="Q122" s="103"/>
      <c r="R122" s="103"/>
      <c r="S122" s="103"/>
      <c r="T122" s="103"/>
      <c r="U122" s="103"/>
      <c r="V122" s="103"/>
      <c r="W122" s="103"/>
      <c r="X122" s="103"/>
      <c r="Y122" s="103"/>
      <c r="Z122" s="103"/>
      <c r="AA122" s="103"/>
      <c r="AB122" s="103"/>
      <c r="AC122" s="103"/>
      <c r="AD122" s="103"/>
      <c r="AE122" s="103"/>
      <c r="AF122" s="103"/>
      <c r="AG122" s="103"/>
      <c r="AH122" s="103"/>
      <c r="AI122" s="103"/>
      <c r="AJ122" s="103"/>
      <c r="AK122" s="103"/>
      <c r="AL122" s="103"/>
      <c r="AM122" s="103"/>
      <c r="AN122" s="103"/>
      <c r="AO122" s="103"/>
      <c r="AP122" s="103"/>
      <c r="AQ122" s="103"/>
      <c r="AR122" s="103"/>
      <c r="AS122" s="103"/>
      <c r="AT122" s="103"/>
      <c r="AU122" s="103"/>
      <c r="AV122" s="103"/>
      <c r="AW122" s="103"/>
      <c r="AX122" s="103"/>
      <c r="AY122" s="103"/>
      <c r="AZ122" s="103"/>
      <c r="BA122" s="103"/>
      <c r="BB122" s="103"/>
      <c r="BC122" s="103"/>
      <c r="BD122" s="103"/>
      <c r="BE122" s="103"/>
      <c r="BF122" s="103"/>
      <c r="BG122" s="103"/>
      <c r="BH122" s="103"/>
      <c r="BI122" s="103"/>
      <c r="BJ122" s="103"/>
      <c r="BK122" s="103"/>
      <c r="BL122" s="103"/>
      <c r="BM122" s="103"/>
      <c r="BN122" s="103"/>
      <c r="BO122" s="103"/>
      <c r="BP122" s="103"/>
      <c r="BQ122" s="103"/>
      <c r="BR122" s="103"/>
      <c r="BS122" s="103"/>
      <c r="BT122" s="103"/>
      <c r="BU122" s="103"/>
      <c r="BV122" s="103"/>
      <c r="BW122" s="103"/>
      <c r="BX122" s="103"/>
      <c r="BY122" s="103"/>
      <c r="BZ122" s="103"/>
      <c r="CA122" s="103"/>
      <c r="CB122" s="103"/>
      <c r="CC122" s="103"/>
      <c r="CD122" s="103"/>
    </row>
    <row r="123" spans="1:82" s="117" customFormat="1" ht="48" x14ac:dyDescent="0.2">
      <c r="A123" s="109" t="s">
        <v>542</v>
      </c>
      <c r="B123" s="109" t="s">
        <v>844</v>
      </c>
      <c r="C123" s="110" t="s">
        <v>543</v>
      </c>
      <c r="D123" s="110" t="s">
        <v>544</v>
      </c>
      <c r="E123" s="111"/>
      <c r="F123" s="112"/>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c r="AD123" s="103"/>
      <c r="AE123" s="103"/>
      <c r="AF123" s="103"/>
      <c r="AG123" s="103"/>
      <c r="AH123" s="103"/>
      <c r="AI123" s="103"/>
      <c r="AJ123" s="103"/>
      <c r="AK123" s="103"/>
      <c r="AL123" s="103"/>
      <c r="AM123" s="103"/>
      <c r="AN123" s="103"/>
      <c r="AO123" s="103"/>
      <c r="AP123" s="103"/>
      <c r="AQ123" s="103"/>
      <c r="AR123" s="103"/>
      <c r="AS123" s="103"/>
      <c r="AT123" s="103"/>
      <c r="AU123" s="103"/>
      <c r="AV123" s="103"/>
      <c r="AW123" s="103"/>
      <c r="AX123" s="103"/>
      <c r="AY123" s="103"/>
      <c r="AZ123" s="103"/>
      <c r="BA123" s="103"/>
      <c r="BB123" s="103"/>
      <c r="BC123" s="103"/>
      <c r="BD123" s="103"/>
      <c r="BE123" s="103"/>
      <c r="BF123" s="103"/>
      <c r="BG123" s="103"/>
      <c r="BH123" s="103"/>
      <c r="BI123" s="103"/>
      <c r="BJ123" s="103"/>
      <c r="BK123" s="103"/>
      <c r="BL123" s="103"/>
      <c r="BM123" s="103"/>
      <c r="BN123" s="103"/>
      <c r="BO123" s="103"/>
      <c r="BP123" s="103"/>
      <c r="BQ123" s="103"/>
      <c r="BR123" s="103"/>
      <c r="BS123" s="103"/>
      <c r="BT123" s="103"/>
      <c r="BU123" s="103"/>
      <c r="BV123" s="103"/>
      <c r="BW123" s="103"/>
      <c r="BX123" s="103"/>
      <c r="BY123" s="103"/>
      <c r="BZ123" s="103"/>
      <c r="CA123" s="103"/>
      <c r="CB123" s="103"/>
      <c r="CC123" s="103"/>
      <c r="CD123" s="103"/>
    </row>
    <row r="124" spans="1:82" s="117" customFormat="1" ht="64" x14ac:dyDescent="0.2">
      <c r="A124" s="113" t="s">
        <v>545</v>
      </c>
      <c r="B124" s="113" t="s">
        <v>845</v>
      </c>
      <c r="C124" s="114" t="s">
        <v>546</v>
      </c>
      <c r="D124" s="114" t="s">
        <v>547</v>
      </c>
      <c r="E124" s="115" t="s">
        <v>548</v>
      </c>
      <c r="F124" s="112"/>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c r="AD124" s="103"/>
      <c r="AE124" s="103"/>
      <c r="AF124" s="103"/>
      <c r="AG124" s="103"/>
      <c r="AH124" s="103"/>
      <c r="AI124" s="103"/>
      <c r="AJ124" s="103"/>
      <c r="AK124" s="103"/>
      <c r="AL124" s="103"/>
      <c r="AM124" s="103"/>
      <c r="AN124" s="103"/>
      <c r="AO124" s="103"/>
      <c r="AP124" s="103"/>
      <c r="AQ124" s="103"/>
      <c r="AR124" s="103"/>
      <c r="AS124" s="103"/>
      <c r="AT124" s="103"/>
      <c r="AU124" s="103"/>
      <c r="AV124" s="103"/>
      <c r="AW124" s="103"/>
      <c r="AX124" s="103"/>
      <c r="AY124" s="103"/>
      <c r="AZ124" s="103"/>
      <c r="BA124" s="103"/>
      <c r="BB124" s="103"/>
      <c r="BC124" s="103"/>
      <c r="BD124" s="103"/>
      <c r="BE124" s="103"/>
      <c r="BF124" s="103"/>
      <c r="BG124" s="103"/>
      <c r="BH124" s="103"/>
      <c r="BI124" s="103"/>
      <c r="BJ124" s="103"/>
      <c r="BK124" s="103"/>
      <c r="BL124" s="103"/>
      <c r="BM124" s="103"/>
      <c r="BN124" s="103"/>
      <c r="BO124" s="103"/>
      <c r="BP124" s="103"/>
      <c r="BQ124" s="103"/>
      <c r="BR124" s="103"/>
      <c r="BS124" s="103"/>
      <c r="BT124" s="103"/>
      <c r="BU124" s="103"/>
      <c r="BV124" s="103"/>
      <c r="BW124" s="103"/>
      <c r="BX124" s="103"/>
      <c r="BY124" s="103"/>
      <c r="BZ124" s="103"/>
      <c r="CA124" s="103"/>
      <c r="CB124" s="103"/>
      <c r="CC124" s="103"/>
      <c r="CD124" s="103"/>
    </row>
    <row r="125" spans="1:82" s="117" customFormat="1" ht="48" x14ac:dyDescent="0.2">
      <c r="A125" s="109" t="s">
        <v>549</v>
      </c>
      <c r="B125" s="109" t="s">
        <v>846</v>
      </c>
      <c r="C125" s="110" t="s">
        <v>550</v>
      </c>
      <c r="D125" s="110" t="s">
        <v>551</v>
      </c>
      <c r="E125" s="111" t="s">
        <v>552</v>
      </c>
      <c r="F125" s="112"/>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c r="AD125" s="103"/>
      <c r="AE125" s="103"/>
      <c r="AF125" s="103"/>
      <c r="AG125" s="103"/>
      <c r="AH125" s="103"/>
      <c r="AI125" s="103"/>
      <c r="AJ125" s="103"/>
      <c r="AK125" s="103"/>
      <c r="AL125" s="103"/>
      <c r="AM125" s="103"/>
      <c r="AN125" s="103"/>
      <c r="AO125" s="103"/>
      <c r="AP125" s="103"/>
      <c r="AQ125" s="103"/>
      <c r="AR125" s="103"/>
      <c r="AS125" s="103"/>
      <c r="AT125" s="103"/>
      <c r="AU125" s="103"/>
      <c r="AV125" s="103"/>
      <c r="AW125" s="103"/>
      <c r="AX125" s="103"/>
      <c r="AY125" s="103"/>
      <c r="AZ125" s="103"/>
      <c r="BA125" s="103"/>
      <c r="BB125" s="103"/>
      <c r="BC125" s="103"/>
      <c r="BD125" s="103"/>
      <c r="BE125" s="103"/>
      <c r="BF125" s="103"/>
      <c r="BG125" s="103"/>
      <c r="BH125" s="103"/>
      <c r="BI125" s="103"/>
      <c r="BJ125" s="103"/>
      <c r="BK125" s="103"/>
      <c r="BL125" s="103"/>
      <c r="BM125" s="103"/>
      <c r="BN125" s="103"/>
      <c r="BO125" s="103"/>
      <c r="BP125" s="103"/>
      <c r="BQ125" s="103"/>
      <c r="BR125" s="103"/>
      <c r="BS125" s="103"/>
      <c r="BT125" s="103"/>
      <c r="BU125" s="103"/>
      <c r="BV125" s="103"/>
      <c r="BW125" s="103"/>
      <c r="BX125" s="103"/>
      <c r="BY125" s="103"/>
      <c r="BZ125" s="103"/>
      <c r="CA125" s="103"/>
      <c r="CB125" s="103"/>
      <c r="CC125" s="103"/>
      <c r="CD125" s="103"/>
    </row>
    <row r="126" spans="1:82" s="117" customFormat="1" x14ac:dyDescent="0.2">
      <c r="A126" s="113" t="s">
        <v>553</v>
      </c>
      <c r="B126" s="113" t="s">
        <v>847</v>
      </c>
      <c r="C126" s="118" t="s">
        <v>554</v>
      </c>
      <c r="D126" s="114" t="s">
        <v>555</v>
      </c>
      <c r="E126" s="115" t="s">
        <v>556</v>
      </c>
      <c r="F126" s="112"/>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c r="AD126" s="103"/>
      <c r="AE126" s="103"/>
      <c r="AF126" s="103"/>
      <c r="AG126" s="103"/>
      <c r="AH126" s="103"/>
      <c r="AI126" s="103"/>
      <c r="AJ126" s="103"/>
      <c r="AK126" s="103"/>
      <c r="AL126" s="103"/>
      <c r="AM126" s="103"/>
      <c r="AN126" s="103"/>
      <c r="AO126" s="103"/>
      <c r="AP126" s="103"/>
      <c r="AQ126" s="103"/>
      <c r="AR126" s="103"/>
      <c r="AS126" s="103"/>
      <c r="AT126" s="103"/>
      <c r="AU126" s="103"/>
      <c r="AV126" s="103"/>
      <c r="AW126" s="103"/>
      <c r="AX126" s="103"/>
      <c r="AY126" s="103"/>
      <c r="AZ126" s="103"/>
      <c r="BA126" s="103"/>
      <c r="BB126" s="103"/>
      <c r="BC126" s="103"/>
      <c r="BD126" s="103"/>
      <c r="BE126" s="103"/>
      <c r="BF126" s="103"/>
      <c r="BG126" s="103"/>
      <c r="BH126" s="103"/>
      <c r="BI126" s="103"/>
      <c r="BJ126" s="103"/>
      <c r="BK126" s="103"/>
      <c r="BL126" s="103"/>
      <c r="BM126" s="103"/>
      <c r="BN126" s="103"/>
      <c r="BO126" s="103"/>
      <c r="BP126" s="103"/>
      <c r="BQ126" s="103"/>
      <c r="BR126" s="103"/>
      <c r="BS126" s="103"/>
      <c r="BT126" s="103"/>
      <c r="BU126" s="103"/>
      <c r="BV126" s="103"/>
      <c r="BW126" s="103"/>
      <c r="BX126" s="103"/>
      <c r="BY126" s="103"/>
      <c r="BZ126" s="103"/>
      <c r="CA126" s="103"/>
      <c r="CB126" s="103"/>
      <c r="CC126" s="103"/>
      <c r="CD126" s="103"/>
    </row>
    <row r="127" spans="1:82" s="117" customFormat="1" ht="32" x14ac:dyDescent="0.2">
      <c r="A127" s="109" t="s">
        <v>557</v>
      </c>
      <c r="B127" s="109" t="s">
        <v>848</v>
      </c>
      <c r="C127" s="110" t="s">
        <v>558</v>
      </c>
      <c r="D127" s="110" t="s">
        <v>559</v>
      </c>
      <c r="E127" s="111"/>
      <c r="F127" s="112"/>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c r="AD127" s="103"/>
      <c r="AE127" s="103"/>
      <c r="AF127" s="103"/>
      <c r="AG127" s="103"/>
      <c r="AH127" s="103"/>
      <c r="AI127" s="103"/>
      <c r="AJ127" s="103"/>
      <c r="AK127" s="103"/>
      <c r="AL127" s="103"/>
      <c r="AM127" s="103"/>
      <c r="AN127" s="103"/>
      <c r="AO127" s="103"/>
      <c r="AP127" s="103"/>
      <c r="AQ127" s="103"/>
      <c r="AR127" s="103"/>
      <c r="AS127" s="103"/>
      <c r="AT127" s="103"/>
      <c r="AU127" s="103"/>
      <c r="AV127" s="103"/>
      <c r="AW127" s="103"/>
      <c r="AX127" s="103"/>
      <c r="AY127" s="103"/>
      <c r="AZ127" s="103"/>
      <c r="BA127" s="103"/>
      <c r="BB127" s="103"/>
      <c r="BC127" s="103"/>
      <c r="BD127" s="103"/>
      <c r="BE127" s="103"/>
      <c r="BF127" s="103"/>
      <c r="BG127" s="103"/>
      <c r="BH127" s="103"/>
      <c r="BI127" s="103"/>
      <c r="BJ127" s="103"/>
      <c r="BK127" s="103"/>
      <c r="BL127" s="103"/>
      <c r="BM127" s="103"/>
      <c r="BN127" s="103"/>
      <c r="BO127" s="103"/>
      <c r="BP127" s="103"/>
      <c r="BQ127" s="103"/>
      <c r="BR127" s="103"/>
      <c r="BS127" s="103"/>
      <c r="BT127" s="103"/>
      <c r="BU127" s="103"/>
      <c r="BV127" s="103"/>
      <c r="BW127" s="103"/>
      <c r="BX127" s="103"/>
      <c r="BY127" s="103"/>
      <c r="BZ127" s="103"/>
      <c r="CA127" s="103"/>
      <c r="CB127" s="103"/>
      <c r="CC127" s="103"/>
      <c r="CD127" s="103"/>
    </row>
    <row r="128" spans="1:82" s="117" customFormat="1" ht="32" x14ac:dyDescent="0.2">
      <c r="A128" s="113" t="s">
        <v>560</v>
      </c>
      <c r="B128" s="113" t="s">
        <v>849</v>
      </c>
      <c r="C128" s="114" t="s">
        <v>561</v>
      </c>
      <c r="D128" s="114" t="s">
        <v>562</v>
      </c>
      <c r="E128" s="115"/>
      <c r="F128" s="112"/>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c r="AD128" s="103"/>
      <c r="AE128" s="103"/>
      <c r="AF128" s="103"/>
      <c r="AG128" s="103"/>
      <c r="AH128" s="103"/>
      <c r="AI128" s="103"/>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103"/>
      <c r="BG128" s="103"/>
      <c r="BH128" s="103"/>
      <c r="BI128" s="103"/>
      <c r="BJ128" s="103"/>
      <c r="BK128" s="103"/>
      <c r="BL128" s="103"/>
      <c r="BM128" s="103"/>
      <c r="BN128" s="103"/>
      <c r="BO128" s="103"/>
      <c r="BP128" s="103"/>
      <c r="BQ128" s="103"/>
      <c r="BR128" s="103"/>
      <c r="BS128" s="103"/>
      <c r="BT128" s="103"/>
      <c r="BU128" s="103"/>
      <c r="BV128" s="103"/>
      <c r="BW128" s="103"/>
      <c r="BX128" s="103"/>
      <c r="BY128" s="103"/>
      <c r="BZ128" s="103"/>
      <c r="CA128" s="103"/>
      <c r="CB128" s="103"/>
      <c r="CC128" s="103"/>
      <c r="CD128" s="103"/>
    </row>
    <row r="129" spans="1:82" s="117" customFormat="1" ht="80" x14ac:dyDescent="0.2">
      <c r="A129" s="109" t="s">
        <v>563</v>
      </c>
      <c r="B129" s="109" t="s">
        <v>850</v>
      </c>
      <c r="C129" s="110" t="s">
        <v>564</v>
      </c>
      <c r="D129" s="110" t="s">
        <v>565</v>
      </c>
      <c r="E129" s="111"/>
      <c r="F129" s="112"/>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c r="AD129" s="103"/>
      <c r="AE129" s="103"/>
      <c r="AF129" s="103"/>
      <c r="AG129" s="103"/>
      <c r="AH129" s="103"/>
      <c r="AI129" s="103"/>
      <c r="AJ129" s="103"/>
      <c r="AK129" s="103"/>
      <c r="AL129" s="103"/>
      <c r="AM129" s="103"/>
      <c r="AN129" s="103"/>
      <c r="AO129" s="103"/>
      <c r="AP129" s="103"/>
      <c r="AQ129" s="103"/>
      <c r="AR129" s="103"/>
      <c r="AS129" s="103"/>
      <c r="AT129" s="103"/>
      <c r="AU129" s="103"/>
      <c r="AV129" s="103"/>
      <c r="AW129" s="103"/>
      <c r="AX129" s="103"/>
      <c r="AY129" s="103"/>
      <c r="AZ129" s="103"/>
      <c r="BA129" s="103"/>
      <c r="BB129" s="103"/>
      <c r="BC129" s="103"/>
      <c r="BD129" s="103"/>
      <c r="BE129" s="103"/>
      <c r="BF129" s="103"/>
      <c r="BG129" s="103"/>
      <c r="BH129" s="103"/>
      <c r="BI129" s="103"/>
      <c r="BJ129" s="103"/>
      <c r="BK129" s="103"/>
      <c r="BL129" s="103"/>
      <c r="BM129" s="103"/>
      <c r="BN129" s="103"/>
      <c r="BO129" s="103"/>
      <c r="BP129" s="103"/>
      <c r="BQ129" s="103"/>
      <c r="BR129" s="103"/>
      <c r="BS129" s="103"/>
      <c r="BT129" s="103"/>
      <c r="BU129" s="103"/>
      <c r="BV129" s="103"/>
      <c r="BW129" s="103"/>
      <c r="BX129" s="103"/>
      <c r="BY129" s="103"/>
      <c r="BZ129" s="103"/>
      <c r="CA129" s="103"/>
      <c r="CB129" s="103"/>
      <c r="CC129" s="103"/>
      <c r="CD129" s="103"/>
    </row>
    <row r="130" spans="1:82" s="117" customFormat="1" ht="48" x14ac:dyDescent="0.2">
      <c r="A130" s="113" t="s">
        <v>566</v>
      </c>
      <c r="B130" s="113" t="s">
        <v>851</v>
      </c>
      <c r="C130" s="114" t="s">
        <v>567</v>
      </c>
      <c r="D130" s="114" t="s">
        <v>568</v>
      </c>
      <c r="E130" s="115"/>
      <c r="F130" s="112"/>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c r="AD130" s="103"/>
      <c r="AE130" s="103"/>
      <c r="AF130" s="103"/>
      <c r="AG130" s="103"/>
      <c r="AH130" s="103"/>
      <c r="AI130" s="103"/>
      <c r="AJ130" s="103"/>
      <c r="AK130" s="103"/>
      <c r="AL130" s="103"/>
      <c r="AM130" s="103"/>
      <c r="AN130" s="103"/>
      <c r="AO130" s="103"/>
      <c r="AP130" s="103"/>
      <c r="AQ130" s="103"/>
      <c r="AR130" s="103"/>
      <c r="AS130" s="103"/>
      <c r="AT130" s="103"/>
      <c r="AU130" s="103"/>
      <c r="AV130" s="103"/>
      <c r="AW130" s="103"/>
      <c r="AX130" s="103"/>
      <c r="AY130" s="103"/>
      <c r="AZ130" s="103"/>
      <c r="BA130" s="103"/>
      <c r="BB130" s="103"/>
      <c r="BC130" s="103"/>
      <c r="BD130" s="103"/>
      <c r="BE130" s="103"/>
      <c r="BF130" s="103"/>
      <c r="BG130" s="103"/>
      <c r="BH130" s="103"/>
      <c r="BI130" s="103"/>
      <c r="BJ130" s="103"/>
      <c r="BK130" s="103"/>
      <c r="BL130" s="103"/>
      <c r="BM130" s="103"/>
      <c r="BN130" s="103"/>
      <c r="BO130" s="103"/>
      <c r="BP130" s="103"/>
      <c r="BQ130" s="103"/>
      <c r="BR130" s="103"/>
      <c r="BS130" s="103"/>
      <c r="BT130" s="103"/>
      <c r="BU130" s="103"/>
      <c r="BV130" s="103"/>
      <c r="BW130" s="103"/>
      <c r="BX130" s="103"/>
      <c r="BY130" s="103"/>
      <c r="BZ130" s="103"/>
      <c r="CA130" s="103"/>
      <c r="CB130" s="103"/>
      <c r="CC130" s="103"/>
      <c r="CD130" s="103"/>
    </row>
    <row r="131" spans="1:82" s="117" customFormat="1" ht="48" x14ac:dyDescent="0.2">
      <c r="A131" s="109" t="s">
        <v>569</v>
      </c>
      <c r="B131" s="109" t="s">
        <v>852</v>
      </c>
      <c r="C131" s="110" t="s">
        <v>570</v>
      </c>
      <c r="D131" s="110" t="s">
        <v>571</v>
      </c>
      <c r="E131" s="111" t="s">
        <v>572</v>
      </c>
      <c r="F131" s="112"/>
      <c r="G131" s="103"/>
      <c r="H131" s="103"/>
      <c r="I131" s="103"/>
      <c r="J131" s="103"/>
      <c r="K131" s="103"/>
      <c r="L131" s="103"/>
      <c r="M131" s="103"/>
      <c r="N131" s="103"/>
      <c r="O131" s="103"/>
      <c r="P131" s="103"/>
      <c r="Q131" s="103"/>
      <c r="R131" s="103"/>
      <c r="S131" s="103"/>
      <c r="T131" s="103"/>
      <c r="U131" s="103"/>
      <c r="V131" s="103"/>
      <c r="W131" s="103"/>
      <c r="X131" s="103"/>
      <c r="Y131" s="103"/>
      <c r="Z131" s="103"/>
      <c r="AA131" s="103"/>
      <c r="AB131" s="103"/>
      <c r="AC131" s="103"/>
      <c r="AD131" s="103"/>
      <c r="AE131" s="103"/>
      <c r="AF131" s="103"/>
      <c r="AG131" s="103"/>
      <c r="AH131" s="103"/>
      <c r="AI131" s="103"/>
      <c r="AJ131" s="103"/>
      <c r="AK131" s="103"/>
      <c r="AL131" s="103"/>
      <c r="AM131" s="103"/>
      <c r="AN131" s="103"/>
      <c r="AO131" s="103"/>
      <c r="AP131" s="103"/>
      <c r="AQ131" s="103"/>
      <c r="AR131" s="103"/>
      <c r="AS131" s="103"/>
      <c r="AT131" s="103"/>
      <c r="AU131" s="103"/>
      <c r="AV131" s="103"/>
      <c r="AW131" s="103"/>
      <c r="AX131" s="103"/>
      <c r="AY131" s="103"/>
      <c r="AZ131" s="103"/>
      <c r="BA131" s="103"/>
      <c r="BB131" s="103"/>
      <c r="BC131" s="103"/>
      <c r="BD131" s="103"/>
      <c r="BE131" s="103"/>
      <c r="BF131" s="103"/>
      <c r="BG131" s="103"/>
      <c r="BH131" s="103"/>
      <c r="BI131" s="103"/>
      <c r="BJ131" s="103"/>
      <c r="BK131" s="103"/>
      <c r="BL131" s="103"/>
      <c r="BM131" s="103"/>
      <c r="BN131" s="103"/>
      <c r="BO131" s="103"/>
      <c r="BP131" s="103"/>
      <c r="BQ131" s="103"/>
      <c r="BR131" s="103"/>
      <c r="BS131" s="103"/>
      <c r="BT131" s="103"/>
      <c r="BU131" s="103"/>
      <c r="BV131" s="103"/>
      <c r="BW131" s="103"/>
      <c r="BX131" s="103"/>
      <c r="BY131" s="103"/>
      <c r="BZ131" s="103"/>
      <c r="CA131" s="103"/>
      <c r="CB131" s="103"/>
      <c r="CC131" s="103"/>
      <c r="CD131" s="103"/>
    </row>
    <row r="132" spans="1:82" s="117" customFormat="1" ht="32" x14ac:dyDescent="0.2">
      <c r="A132" s="113" t="s">
        <v>573</v>
      </c>
      <c r="B132" s="113" t="s">
        <v>853</v>
      </c>
      <c r="C132" s="114" t="s">
        <v>574</v>
      </c>
      <c r="D132" s="114" t="s">
        <v>575</v>
      </c>
      <c r="E132" s="115"/>
      <c r="F132" s="112"/>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c r="AC132" s="103"/>
      <c r="AD132" s="103"/>
      <c r="AE132" s="103"/>
      <c r="AF132" s="103"/>
      <c r="AG132" s="103"/>
      <c r="AH132" s="103"/>
      <c r="AI132" s="103"/>
      <c r="AJ132" s="103"/>
      <c r="AK132" s="103"/>
      <c r="AL132" s="103"/>
      <c r="AM132" s="103"/>
      <c r="AN132" s="103"/>
      <c r="AO132" s="103"/>
      <c r="AP132" s="103"/>
      <c r="AQ132" s="103"/>
      <c r="AR132" s="103"/>
      <c r="AS132" s="103"/>
      <c r="AT132" s="103"/>
      <c r="AU132" s="103"/>
      <c r="AV132" s="103"/>
      <c r="AW132" s="103"/>
      <c r="AX132" s="103"/>
      <c r="AY132" s="103"/>
      <c r="AZ132" s="103"/>
      <c r="BA132" s="103"/>
      <c r="BB132" s="103"/>
      <c r="BC132" s="103"/>
      <c r="BD132" s="103"/>
      <c r="BE132" s="103"/>
      <c r="BF132" s="103"/>
      <c r="BG132" s="103"/>
      <c r="BH132" s="103"/>
      <c r="BI132" s="103"/>
      <c r="BJ132" s="103"/>
      <c r="BK132" s="103"/>
      <c r="BL132" s="103"/>
      <c r="BM132" s="103"/>
      <c r="BN132" s="103"/>
      <c r="BO132" s="103"/>
      <c r="BP132" s="103"/>
      <c r="BQ132" s="103"/>
      <c r="BR132" s="103"/>
      <c r="BS132" s="103"/>
      <c r="BT132" s="103"/>
      <c r="BU132" s="103"/>
      <c r="BV132" s="103"/>
      <c r="BW132" s="103"/>
      <c r="BX132" s="103"/>
      <c r="BY132" s="103"/>
      <c r="BZ132" s="103"/>
      <c r="CA132" s="103"/>
      <c r="CB132" s="103"/>
      <c r="CC132" s="103"/>
      <c r="CD132" s="103"/>
    </row>
    <row r="133" spans="1:82" s="117" customFormat="1" x14ac:dyDescent="0.2">
      <c r="A133" s="109" t="s">
        <v>576</v>
      </c>
      <c r="B133" s="109" t="s">
        <v>854</v>
      </c>
      <c r="C133" s="110" t="s">
        <v>577</v>
      </c>
      <c r="D133" s="110" t="s">
        <v>578</v>
      </c>
      <c r="E133" s="111"/>
      <c r="F133" s="112"/>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c r="AC133" s="103"/>
      <c r="AD133" s="103"/>
      <c r="AE133" s="103"/>
      <c r="AF133" s="103"/>
      <c r="AG133" s="103"/>
      <c r="AH133" s="103"/>
      <c r="AI133" s="103"/>
      <c r="AJ133" s="103"/>
      <c r="AK133" s="103"/>
      <c r="AL133" s="103"/>
      <c r="AM133" s="103"/>
      <c r="AN133" s="103"/>
      <c r="AO133" s="103"/>
      <c r="AP133" s="103"/>
      <c r="AQ133" s="103"/>
      <c r="AR133" s="103"/>
      <c r="AS133" s="103"/>
      <c r="AT133" s="103"/>
      <c r="AU133" s="103"/>
      <c r="AV133" s="103"/>
      <c r="AW133" s="103"/>
      <c r="AX133" s="103"/>
      <c r="AY133" s="103"/>
      <c r="AZ133" s="103"/>
      <c r="BA133" s="103"/>
      <c r="BB133" s="103"/>
      <c r="BC133" s="103"/>
      <c r="BD133" s="103"/>
      <c r="BE133" s="103"/>
      <c r="BF133" s="103"/>
      <c r="BG133" s="103"/>
      <c r="BH133" s="103"/>
      <c r="BI133" s="103"/>
      <c r="BJ133" s="103"/>
      <c r="BK133" s="103"/>
      <c r="BL133" s="103"/>
      <c r="BM133" s="103"/>
      <c r="BN133" s="103"/>
      <c r="BO133" s="103"/>
      <c r="BP133" s="103"/>
      <c r="BQ133" s="103"/>
      <c r="BR133" s="103"/>
      <c r="BS133" s="103"/>
      <c r="BT133" s="103"/>
      <c r="BU133" s="103"/>
      <c r="BV133" s="103"/>
      <c r="BW133" s="103"/>
      <c r="BX133" s="103"/>
      <c r="BY133" s="103"/>
      <c r="BZ133" s="103"/>
      <c r="CA133" s="103"/>
      <c r="CB133" s="103"/>
      <c r="CC133" s="103"/>
      <c r="CD133" s="103"/>
    </row>
    <row r="134" spans="1:82" s="117" customFormat="1" x14ac:dyDescent="0.2">
      <c r="A134" s="109" t="s">
        <v>343</v>
      </c>
      <c r="B134" s="109" t="s">
        <v>855</v>
      </c>
      <c r="C134" s="110" t="s">
        <v>344</v>
      </c>
      <c r="D134" s="110" t="s">
        <v>345</v>
      </c>
      <c r="E134" s="111" t="s">
        <v>346</v>
      </c>
      <c r="F134" s="112"/>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03"/>
      <c r="AE134" s="103"/>
      <c r="AF134" s="103"/>
      <c r="AG134" s="103"/>
      <c r="AH134" s="103"/>
      <c r="AI134" s="103"/>
      <c r="AJ134" s="103"/>
      <c r="AK134" s="103"/>
      <c r="AL134" s="103"/>
      <c r="AM134" s="103"/>
      <c r="AN134" s="103"/>
      <c r="AO134" s="103"/>
      <c r="AP134" s="103"/>
      <c r="AQ134" s="103"/>
      <c r="AR134" s="103"/>
      <c r="AS134" s="103"/>
      <c r="AT134" s="103"/>
      <c r="AU134" s="103"/>
      <c r="AV134" s="103"/>
      <c r="AW134" s="103"/>
      <c r="AX134" s="103"/>
      <c r="AY134" s="103"/>
      <c r="AZ134" s="103"/>
      <c r="BA134" s="103"/>
      <c r="BB134" s="103"/>
      <c r="BC134" s="103"/>
      <c r="BD134" s="103"/>
      <c r="BE134" s="103"/>
      <c r="BF134" s="103"/>
      <c r="BG134" s="103"/>
      <c r="BH134" s="103"/>
      <c r="BI134" s="103"/>
      <c r="BJ134" s="103"/>
      <c r="BK134" s="103"/>
      <c r="BL134" s="103"/>
      <c r="BM134" s="103"/>
      <c r="BN134" s="103"/>
      <c r="BO134" s="103"/>
      <c r="BP134" s="103"/>
      <c r="BQ134" s="103"/>
      <c r="BR134" s="103"/>
      <c r="BS134" s="103"/>
      <c r="BT134" s="103"/>
      <c r="BU134" s="103"/>
      <c r="BV134" s="103"/>
      <c r="BW134" s="103"/>
      <c r="BX134" s="103"/>
      <c r="BY134" s="103"/>
      <c r="BZ134" s="103"/>
      <c r="CA134" s="103"/>
      <c r="CB134" s="103"/>
      <c r="CC134" s="103"/>
      <c r="CD134" s="103"/>
    </row>
    <row r="135" spans="1:82" s="117" customFormat="1" ht="32" x14ac:dyDescent="0.2">
      <c r="A135" s="109" t="s">
        <v>336</v>
      </c>
      <c r="B135" s="109" t="s">
        <v>856</v>
      </c>
      <c r="C135" s="110" t="s">
        <v>337</v>
      </c>
      <c r="D135" s="110" t="s">
        <v>338</v>
      </c>
      <c r="E135" s="111" t="s">
        <v>339</v>
      </c>
      <c r="F135" s="112"/>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c r="AD135" s="103"/>
      <c r="AE135" s="103"/>
      <c r="AF135" s="103"/>
      <c r="AG135" s="103"/>
      <c r="AH135" s="103"/>
      <c r="AI135" s="103"/>
      <c r="AJ135" s="103"/>
      <c r="AK135" s="103"/>
      <c r="AL135" s="103"/>
      <c r="AM135" s="103"/>
      <c r="AN135" s="103"/>
      <c r="AO135" s="103"/>
      <c r="AP135" s="103"/>
      <c r="AQ135" s="103"/>
      <c r="AR135" s="103"/>
      <c r="AS135" s="103"/>
      <c r="AT135" s="103"/>
      <c r="AU135" s="103"/>
      <c r="AV135" s="103"/>
      <c r="AW135" s="103"/>
      <c r="AX135" s="103"/>
      <c r="AY135" s="103"/>
      <c r="AZ135" s="103"/>
      <c r="BA135" s="103"/>
      <c r="BB135" s="103"/>
      <c r="BC135" s="103"/>
      <c r="BD135" s="103"/>
      <c r="BE135" s="103"/>
      <c r="BF135" s="103"/>
      <c r="BG135" s="103"/>
      <c r="BH135" s="103"/>
      <c r="BI135" s="103"/>
      <c r="BJ135" s="103"/>
      <c r="BK135" s="103"/>
      <c r="BL135" s="103"/>
      <c r="BM135" s="103"/>
      <c r="BN135" s="103"/>
      <c r="BO135" s="103"/>
      <c r="BP135" s="103"/>
      <c r="BQ135" s="103"/>
      <c r="BR135" s="103"/>
      <c r="BS135" s="103"/>
      <c r="BT135" s="103"/>
      <c r="BU135" s="103"/>
      <c r="BV135" s="103"/>
      <c r="BW135" s="103"/>
      <c r="BX135" s="103"/>
      <c r="BY135" s="103"/>
      <c r="BZ135" s="103"/>
      <c r="CA135" s="103"/>
      <c r="CB135" s="103"/>
      <c r="CC135" s="103"/>
      <c r="CD135" s="103"/>
    </row>
    <row r="136" spans="1:82" s="117" customFormat="1" ht="64" x14ac:dyDescent="0.2">
      <c r="A136" s="113" t="s">
        <v>579</v>
      </c>
      <c r="B136" s="113" t="s">
        <v>857</v>
      </c>
      <c r="C136" s="114" t="s">
        <v>580</v>
      </c>
      <c r="D136" s="114" t="s">
        <v>581</v>
      </c>
      <c r="E136" s="115"/>
      <c r="F136" s="112"/>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c r="AC136" s="103"/>
      <c r="AD136" s="103"/>
      <c r="AE136" s="103"/>
      <c r="AF136" s="103"/>
      <c r="AG136" s="103"/>
      <c r="AH136" s="103"/>
      <c r="AI136" s="103"/>
      <c r="AJ136" s="103"/>
      <c r="AK136" s="103"/>
      <c r="AL136" s="103"/>
      <c r="AM136" s="103"/>
      <c r="AN136" s="103"/>
      <c r="AO136" s="103"/>
      <c r="AP136" s="103"/>
      <c r="AQ136" s="103"/>
      <c r="AR136" s="103"/>
      <c r="AS136" s="103"/>
      <c r="AT136" s="103"/>
      <c r="AU136" s="103"/>
      <c r="AV136" s="103"/>
      <c r="AW136" s="103"/>
      <c r="AX136" s="103"/>
      <c r="AY136" s="103"/>
      <c r="AZ136" s="103"/>
      <c r="BA136" s="103"/>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c r="CA136" s="103"/>
      <c r="CB136" s="103"/>
      <c r="CC136" s="103"/>
      <c r="CD136" s="103"/>
    </row>
    <row r="137" spans="1:82" s="117" customFormat="1" ht="32" x14ac:dyDescent="0.2">
      <c r="A137" s="109" t="s">
        <v>582</v>
      </c>
      <c r="B137" s="109" t="s">
        <v>858</v>
      </c>
      <c r="C137" s="110" t="s">
        <v>583</v>
      </c>
      <c r="D137" s="110" t="s">
        <v>584</v>
      </c>
      <c r="E137" s="137"/>
      <c r="F137" s="110"/>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c r="AC137" s="103"/>
      <c r="AD137" s="103"/>
      <c r="AE137" s="103"/>
      <c r="AF137" s="103"/>
      <c r="AG137" s="103"/>
      <c r="AH137" s="103"/>
      <c r="AI137" s="103"/>
      <c r="AJ137" s="103"/>
      <c r="AK137" s="103"/>
      <c r="AL137" s="103"/>
      <c r="AM137" s="103"/>
      <c r="AN137" s="103"/>
      <c r="AO137" s="103"/>
      <c r="AP137" s="103"/>
      <c r="AQ137" s="103"/>
      <c r="AR137" s="103"/>
      <c r="AS137" s="103"/>
      <c r="AT137" s="103"/>
      <c r="AU137" s="103"/>
      <c r="AV137" s="103"/>
      <c r="AW137" s="103"/>
      <c r="AX137" s="103"/>
      <c r="AY137" s="103"/>
      <c r="AZ137" s="103"/>
      <c r="BA137" s="103"/>
      <c r="BB137" s="103"/>
      <c r="BC137" s="103"/>
      <c r="BD137" s="103"/>
      <c r="BE137" s="103"/>
      <c r="BF137" s="103"/>
      <c r="BG137" s="103"/>
      <c r="BH137" s="103"/>
      <c r="BI137" s="103"/>
      <c r="BJ137" s="103"/>
      <c r="BK137" s="103"/>
      <c r="BL137" s="103"/>
      <c r="BM137" s="103"/>
      <c r="BN137" s="103"/>
      <c r="BO137" s="103"/>
      <c r="BP137" s="103"/>
      <c r="BQ137" s="103"/>
      <c r="BR137" s="103"/>
      <c r="BS137" s="103"/>
      <c r="BT137" s="103"/>
      <c r="BU137" s="103"/>
      <c r="BV137" s="103"/>
      <c r="BW137" s="103"/>
      <c r="BX137" s="103"/>
      <c r="BY137" s="103"/>
      <c r="BZ137" s="103"/>
      <c r="CA137" s="103"/>
      <c r="CB137" s="103"/>
      <c r="CC137" s="103"/>
      <c r="CD137" s="103"/>
    </row>
    <row r="138" spans="1:82" s="117" customFormat="1" ht="48" x14ac:dyDescent="0.2">
      <c r="A138" s="113" t="s">
        <v>585</v>
      </c>
      <c r="B138" s="113" t="s">
        <v>859</v>
      </c>
      <c r="C138" s="114" t="s">
        <v>586</v>
      </c>
      <c r="D138" s="114" t="s">
        <v>587</v>
      </c>
      <c r="E138" s="115"/>
      <c r="F138" s="112"/>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103"/>
      <c r="AH138" s="103"/>
      <c r="AI138" s="103"/>
      <c r="AJ138" s="103"/>
      <c r="AK138" s="103"/>
      <c r="AL138" s="103"/>
      <c r="AM138" s="103"/>
      <c r="AN138" s="103"/>
      <c r="AO138" s="103"/>
      <c r="AP138" s="103"/>
      <c r="AQ138" s="103"/>
      <c r="AR138" s="103"/>
      <c r="AS138" s="103"/>
      <c r="AT138" s="103"/>
      <c r="AU138" s="103"/>
      <c r="AV138" s="103"/>
      <c r="AW138" s="103"/>
      <c r="AX138" s="103"/>
      <c r="AY138" s="103"/>
      <c r="AZ138" s="103"/>
      <c r="BA138" s="103"/>
      <c r="BB138" s="103"/>
      <c r="BC138" s="103"/>
      <c r="BD138" s="103"/>
      <c r="BE138" s="103"/>
      <c r="BF138" s="103"/>
      <c r="BG138" s="103"/>
      <c r="BH138" s="103"/>
      <c r="BI138" s="103"/>
      <c r="BJ138" s="103"/>
      <c r="BK138" s="103"/>
      <c r="BL138" s="103"/>
      <c r="BM138" s="103"/>
      <c r="BN138" s="103"/>
      <c r="BO138" s="103"/>
      <c r="BP138" s="103"/>
      <c r="BQ138" s="103"/>
      <c r="BR138" s="103"/>
      <c r="BS138" s="103"/>
      <c r="BT138" s="103"/>
      <c r="BU138" s="103"/>
      <c r="BV138" s="103"/>
      <c r="BW138" s="103"/>
      <c r="BX138" s="103"/>
      <c r="BY138" s="103"/>
      <c r="BZ138" s="103"/>
      <c r="CA138" s="103"/>
      <c r="CB138" s="103"/>
      <c r="CC138" s="103"/>
      <c r="CD138" s="103"/>
    </row>
    <row r="139" spans="1:82" s="117" customFormat="1" ht="144" x14ac:dyDescent="0.2">
      <c r="A139" s="116" t="s">
        <v>21</v>
      </c>
      <c r="B139" s="116" t="s">
        <v>860</v>
      </c>
      <c r="C139" s="110" t="s">
        <v>136</v>
      </c>
      <c r="D139" s="110" t="s">
        <v>137</v>
      </c>
      <c r="E139" s="111"/>
      <c r="F139" s="112"/>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c r="AD139" s="103"/>
      <c r="AE139" s="103"/>
      <c r="AF139" s="103"/>
      <c r="AG139" s="103"/>
      <c r="AH139" s="103"/>
      <c r="AI139" s="103"/>
      <c r="AJ139" s="103"/>
      <c r="AK139" s="103"/>
      <c r="AL139" s="103"/>
      <c r="AM139" s="103"/>
      <c r="AN139" s="103"/>
      <c r="AO139" s="103"/>
      <c r="AP139" s="103"/>
      <c r="AQ139" s="103"/>
      <c r="AR139" s="103"/>
      <c r="AS139" s="103"/>
      <c r="AT139" s="103"/>
      <c r="AU139" s="103"/>
      <c r="AV139" s="103"/>
      <c r="AW139" s="103"/>
      <c r="AX139" s="103"/>
      <c r="AY139" s="103"/>
      <c r="AZ139" s="103"/>
      <c r="BA139" s="103"/>
      <c r="BB139" s="103"/>
      <c r="BC139" s="103"/>
      <c r="BD139" s="103"/>
      <c r="BE139" s="103"/>
      <c r="BF139" s="103"/>
      <c r="BG139" s="103"/>
      <c r="BH139" s="103"/>
      <c r="BI139" s="103"/>
      <c r="BJ139" s="103"/>
      <c r="BK139" s="103"/>
      <c r="BL139" s="103"/>
      <c r="BM139" s="103"/>
      <c r="BN139" s="103"/>
      <c r="BO139" s="103"/>
      <c r="BP139" s="103"/>
      <c r="BQ139" s="103"/>
      <c r="BR139" s="103"/>
      <c r="BS139" s="103"/>
      <c r="BT139" s="103"/>
      <c r="BU139" s="103"/>
      <c r="BV139" s="103"/>
      <c r="BW139" s="103"/>
      <c r="BX139" s="103"/>
      <c r="BY139" s="103"/>
      <c r="BZ139" s="103"/>
      <c r="CA139" s="103"/>
      <c r="CB139" s="103"/>
      <c r="CC139" s="103"/>
      <c r="CD139" s="103"/>
    </row>
    <row r="140" spans="1:82" s="117" customFormat="1" x14ac:dyDescent="0.2">
      <c r="A140" s="113" t="s">
        <v>32</v>
      </c>
      <c r="B140" s="113" t="s">
        <v>861</v>
      </c>
      <c r="C140" s="114" t="s">
        <v>163</v>
      </c>
      <c r="D140" s="114" t="s">
        <v>164</v>
      </c>
      <c r="E140" s="134"/>
      <c r="F140" s="112"/>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c r="AD140" s="103"/>
      <c r="AE140" s="103"/>
      <c r="AF140" s="103"/>
      <c r="AG140" s="103"/>
      <c r="AH140" s="103"/>
      <c r="AI140" s="103"/>
      <c r="AJ140" s="103"/>
      <c r="AK140" s="103"/>
      <c r="AL140" s="103"/>
      <c r="AM140" s="103"/>
      <c r="AN140" s="103"/>
      <c r="AO140" s="103"/>
      <c r="AP140" s="103"/>
      <c r="AQ140" s="103"/>
      <c r="AR140" s="103"/>
      <c r="AS140" s="103"/>
      <c r="AT140" s="103"/>
      <c r="AU140" s="103"/>
      <c r="AV140" s="103"/>
      <c r="AW140" s="103"/>
      <c r="AX140" s="103"/>
      <c r="AY140" s="103"/>
      <c r="AZ140" s="103"/>
      <c r="BA140" s="103"/>
      <c r="BB140" s="103"/>
      <c r="BC140" s="103"/>
      <c r="BD140" s="103"/>
      <c r="BE140" s="103"/>
      <c r="BF140" s="103"/>
      <c r="BG140" s="103"/>
      <c r="BH140" s="103"/>
      <c r="BI140" s="103"/>
      <c r="BJ140" s="103"/>
      <c r="BK140" s="103"/>
      <c r="BL140" s="103"/>
      <c r="BM140" s="103"/>
      <c r="BN140" s="103"/>
      <c r="BO140" s="103"/>
      <c r="BP140" s="103"/>
      <c r="BQ140" s="103"/>
      <c r="BR140" s="103"/>
      <c r="BS140" s="103"/>
      <c r="BT140" s="103"/>
      <c r="BU140" s="103"/>
      <c r="BV140" s="103"/>
      <c r="BW140" s="103"/>
      <c r="BX140" s="103"/>
      <c r="BY140" s="103"/>
      <c r="BZ140" s="103"/>
      <c r="CA140" s="103"/>
      <c r="CB140" s="103"/>
      <c r="CC140" s="103"/>
      <c r="CD140" s="103"/>
    </row>
    <row r="141" spans="1:82" s="117" customFormat="1" ht="64" x14ac:dyDescent="0.2">
      <c r="A141" s="109" t="s">
        <v>11</v>
      </c>
      <c r="B141" s="109" t="s">
        <v>862</v>
      </c>
      <c r="C141" s="110" t="s">
        <v>119</v>
      </c>
      <c r="D141" s="110" t="s">
        <v>120</v>
      </c>
      <c r="E141" s="111"/>
      <c r="F141" s="112"/>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c r="AD141" s="103"/>
      <c r="AE141" s="103"/>
      <c r="AF141" s="103"/>
      <c r="AG141" s="103"/>
      <c r="AH141" s="103"/>
      <c r="AI141" s="103"/>
      <c r="AJ141" s="103"/>
      <c r="AK141" s="103"/>
      <c r="AL141" s="103"/>
      <c r="AM141" s="103"/>
      <c r="AN141" s="103"/>
      <c r="AO141" s="103"/>
      <c r="AP141" s="103"/>
      <c r="AQ141" s="103"/>
      <c r="AR141" s="103"/>
      <c r="AS141" s="103"/>
      <c r="AT141" s="103"/>
      <c r="AU141" s="103"/>
      <c r="AV141" s="103"/>
      <c r="AW141" s="103"/>
      <c r="AX141" s="103"/>
      <c r="AY141" s="103"/>
      <c r="AZ141" s="103"/>
      <c r="BA141" s="103"/>
      <c r="BB141" s="103"/>
      <c r="BC141" s="103"/>
      <c r="BD141" s="103"/>
      <c r="BE141" s="103"/>
      <c r="BF141" s="103"/>
      <c r="BG141" s="103"/>
      <c r="BH141" s="103"/>
      <c r="BI141" s="103"/>
      <c r="BJ141" s="103"/>
      <c r="BK141" s="103"/>
      <c r="BL141" s="103"/>
      <c r="BM141" s="103"/>
      <c r="BN141" s="103"/>
      <c r="BO141" s="103"/>
      <c r="BP141" s="103"/>
      <c r="BQ141" s="103"/>
      <c r="BR141" s="103"/>
      <c r="BS141" s="103"/>
      <c r="BT141" s="103"/>
      <c r="BU141" s="103"/>
      <c r="BV141" s="103"/>
      <c r="BW141" s="103"/>
      <c r="BX141" s="103"/>
      <c r="BY141" s="103"/>
      <c r="BZ141" s="103"/>
      <c r="CA141" s="103"/>
      <c r="CB141" s="103"/>
      <c r="CC141" s="103"/>
      <c r="CD141" s="103"/>
    </row>
    <row r="142" spans="1:82" ht="32" x14ac:dyDescent="0.2">
      <c r="A142" s="113" t="s">
        <v>358</v>
      </c>
      <c r="B142" s="113" t="s">
        <v>863</v>
      </c>
      <c r="C142" s="114" t="s">
        <v>359</v>
      </c>
      <c r="D142" s="114" t="s">
        <v>360</v>
      </c>
      <c r="E142" s="115"/>
      <c r="F142" s="112"/>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c r="AD142" s="103"/>
      <c r="AE142" s="103"/>
      <c r="AF142" s="103"/>
      <c r="AG142" s="103"/>
      <c r="AH142" s="103"/>
      <c r="AI142" s="103"/>
      <c r="AJ142" s="103"/>
      <c r="AK142" s="103"/>
      <c r="AL142" s="103"/>
      <c r="AM142" s="103"/>
      <c r="AN142" s="103"/>
      <c r="AO142" s="103"/>
      <c r="AP142" s="103"/>
      <c r="AQ142" s="103"/>
      <c r="AR142" s="103"/>
      <c r="AS142" s="103"/>
      <c r="AT142" s="103"/>
      <c r="AU142" s="103"/>
      <c r="AV142" s="103"/>
      <c r="AW142" s="103"/>
      <c r="AX142" s="103"/>
      <c r="AY142" s="103"/>
      <c r="AZ142" s="103"/>
      <c r="BA142" s="103"/>
      <c r="BB142" s="103"/>
      <c r="BC142" s="103"/>
      <c r="BD142" s="103"/>
      <c r="BE142" s="103"/>
      <c r="BF142" s="103"/>
      <c r="BG142" s="103"/>
      <c r="BH142" s="103"/>
      <c r="BI142" s="103"/>
      <c r="BJ142" s="103"/>
      <c r="BK142" s="103"/>
      <c r="BL142" s="103"/>
      <c r="BM142" s="103"/>
      <c r="BN142" s="103"/>
      <c r="BO142" s="103"/>
      <c r="BP142" s="103"/>
      <c r="BQ142" s="103"/>
      <c r="BR142" s="103"/>
      <c r="BS142" s="103"/>
      <c r="BT142" s="103"/>
      <c r="BU142" s="103"/>
      <c r="BV142" s="103"/>
      <c r="BW142" s="103"/>
      <c r="BX142" s="103"/>
      <c r="BY142" s="103"/>
      <c r="BZ142" s="103"/>
      <c r="CA142" s="103"/>
      <c r="CB142" s="103"/>
      <c r="CC142" s="103"/>
      <c r="CD142" s="103"/>
    </row>
    <row r="143" spans="1:82" s="117" customFormat="1" ht="48" x14ac:dyDescent="0.2">
      <c r="A143" s="109" t="s">
        <v>9</v>
      </c>
      <c r="B143" s="109" t="s">
        <v>864</v>
      </c>
      <c r="C143" s="110" t="s">
        <v>113</v>
      </c>
      <c r="D143" s="110" t="s">
        <v>114</v>
      </c>
      <c r="E143" s="111" t="s">
        <v>115</v>
      </c>
      <c r="F143" s="112"/>
      <c r="G143" s="103"/>
      <c r="H143" s="103"/>
      <c r="I143" s="103"/>
      <c r="J143" s="103"/>
      <c r="K143" s="103"/>
      <c r="L143" s="103"/>
      <c r="M143" s="103"/>
      <c r="N143" s="103"/>
      <c r="O143" s="103"/>
      <c r="P143" s="103"/>
      <c r="Q143" s="103"/>
      <c r="R143" s="103"/>
      <c r="S143" s="103"/>
      <c r="T143" s="103"/>
      <c r="U143" s="103"/>
      <c r="V143" s="103"/>
      <c r="W143" s="103"/>
      <c r="X143" s="103"/>
      <c r="Y143" s="103"/>
      <c r="Z143" s="103"/>
      <c r="AA143" s="103"/>
      <c r="AB143" s="103"/>
      <c r="AC143" s="103"/>
      <c r="AD143" s="103"/>
      <c r="AE143" s="103"/>
      <c r="AF143" s="103"/>
      <c r="AG143" s="103"/>
      <c r="AH143" s="103"/>
      <c r="AI143" s="103"/>
      <c r="AJ143" s="103"/>
      <c r="AK143" s="103"/>
      <c r="AL143" s="103"/>
      <c r="AM143" s="103"/>
      <c r="AN143" s="103"/>
      <c r="AO143" s="103"/>
      <c r="AP143" s="103"/>
      <c r="AQ143" s="103"/>
      <c r="AR143" s="103"/>
      <c r="AS143" s="103"/>
      <c r="AT143" s="103"/>
      <c r="AU143" s="103"/>
      <c r="AV143" s="103"/>
      <c r="AW143" s="103"/>
      <c r="AX143" s="103"/>
      <c r="AY143" s="103"/>
      <c r="AZ143" s="103"/>
      <c r="BA143" s="103"/>
      <c r="BB143" s="103"/>
      <c r="BC143" s="103"/>
      <c r="BD143" s="103"/>
      <c r="BE143" s="103"/>
      <c r="BF143" s="103"/>
      <c r="BG143" s="103"/>
      <c r="BH143" s="103"/>
      <c r="BI143" s="103"/>
      <c r="BJ143" s="103"/>
      <c r="BK143" s="103"/>
      <c r="BL143" s="103"/>
      <c r="BM143" s="103"/>
      <c r="BN143" s="103"/>
      <c r="BO143" s="103"/>
      <c r="BP143" s="103"/>
      <c r="BQ143" s="103"/>
      <c r="BR143" s="103"/>
      <c r="BS143" s="103"/>
      <c r="BT143" s="103"/>
      <c r="BU143" s="103"/>
      <c r="BV143" s="103"/>
      <c r="BW143" s="103"/>
      <c r="BX143" s="103"/>
      <c r="BY143" s="103"/>
      <c r="BZ143" s="103"/>
      <c r="CA143" s="103"/>
      <c r="CB143" s="103"/>
      <c r="CC143" s="103"/>
      <c r="CD143" s="103"/>
    </row>
    <row r="144" spans="1:82" s="117" customFormat="1" x14ac:dyDescent="0.2">
      <c r="A144" s="120"/>
      <c r="B144" s="120"/>
      <c r="C144" s="121"/>
      <c r="D144" s="122" t="s">
        <v>162</v>
      </c>
      <c r="E144" s="123"/>
      <c r="F144" s="112"/>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c r="AC144" s="103"/>
      <c r="AD144" s="103"/>
      <c r="AE144" s="103"/>
      <c r="AF144" s="103"/>
      <c r="AG144" s="103"/>
      <c r="AH144" s="103"/>
      <c r="AI144" s="103"/>
      <c r="AJ144" s="103"/>
      <c r="AK144" s="103"/>
      <c r="AL144" s="103"/>
      <c r="AM144" s="103"/>
      <c r="AN144" s="103"/>
      <c r="AO144" s="103"/>
      <c r="AP144" s="103"/>
      <c r="AQ144" s="103"/>
      <c r="AR144" s="103"/>
      <c r="AS144" s="103"/>
      <c r="AT144" s="103"/>
      <c r="AU144" s="103"/>
      <c r="AV144" s="103"/>
      <c r="AW144" s="103"/>
      <c r="AX144" s="103"/>
      <c r="AY144" s="103"/>
      <c r="AZ144" s="103"/>
      <c r="BA144" s="103"/>
      <c r="BB144" s="103"/>
      <c r="BC144" s="103"/>
      <c r="BD144" s="103"/>
      <c r="BE144" s="103"/>
      <c r="BF144" s="103"/>
      <c r="BG144" s="103"/>
      <c r="BH144" s="103"/>
      <c r="BI144" s="103"/>
      <c r="BJ144" s="103"/>
      <c r="BK144" s="103"/>
      <c r="BL144" s="103"/>
      <c r="BM144" s="103"/>
      <c r="BN144" s="103"/>
      <c r="BO144" s="103"/>
      <c r="BP144" s="103"/>
      <c r="BQ144" s="103"/>
      <c r="BR144" s="103"/>
      <c r="BS144" s="103"/>
      <c r="BT144" s="103"/>
      <c r="BU144" s="103"/>
      <c r="BV144" s="103"/>
      <c r="BW144" s="103"/>
      <c r="BX144" s="103"/>
      <c r="BY144" s="103"/>
      <c r="BZ144" s="103"/>
      <c r="CA144" s="103"/>
      <c r="CB144" s="103"/>
      <c r="CC144" s="103"/>
      <c r="CD144" s="103"/>
    </row>
    <row r="145" spans="1:82" s="117" customFormat="1" ht="32" x14ac:dyDescent="0.2">
      <c r="A145" s="113" t="s">
        <v>588</v>
      </c>
      <c r="B145" s="113" t="s">
        <v>471</v>
      </c>
      <c r="C145" s="114" t="s">
        <v>589</v>
      </c>
      <c r="D145" s="114" t="s">
        <v>590</v>
      </c>
      <c r="E145" s="115" t="s">
        <v>591</v>
      </c>
      <c r="F145" s="112"/>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c r="AC145" s="103"/>
      <c r="AD145" s="103"/>
      <c r="AE145" s="103"/>
      <c r="AF145" s="103"/>
      <c r="AG145" s="103"/>
      <c r="AH145" s="103"/>
      <c r="AI145" s="103"/>
      <c r="AJ145" s="103"/>
      <c r="AK145" s="103"/>
      <c r="AL145" s="103"/>
      <c r="AM145" s="103"/>
      <c r="AN145" s="103"/>
      <c r="AO145" s="103"/>
      <c r="AP145" s="103"/>
      <c r="AQ145" s="103"/>
      <c r="AR145" s="103"/>
      <c r="AS145" s="103"/>
      <c r="AT145" s="103"/>
      <c r="AU145" s="103"/>
      <c r="AV145" s="103"/>
      <c r="AW145" s="103"/>
      <c r="AX145" s="103"/>
      <c r="AY145" s="103"/>
      <c r="AZ145" s="103"/>
      <c r="BA145" s="103"/>
      <c r="BB145" s="103"/>
      <c r="BC145" s="103"/>
      <c r="BD145" s="103"/>
      <c r="BE145" s="103"/>
      <c r="BF145" s="103"/>
      <c r="BG145" s="103"/>
      <c r="BH145" s="103"/>
      <c r="BI145" s="103"/>
      <c r="BJ145" s="103"/>
      <c r="BK145" s="103"/>
      <c r="BL145" s="103"/>
      <c r="BM145" s="103"/>
      <c r="BN145" s="103"/>
      <c r="BO145" s="103"/>
      <c r="BP145" s="103"/>
      <c r="BQ145" s="103"/>
      <c r="BR145" s="103"/>
      <c r="BS145" s="103"/>
      <c r="BT145" s="103"/>
      <c r="BU145" s="103"/>
      <c r="BV145" s="103"/>
      <c r="BW145" s="103"/>
      <c r="BX145" s="103"/>
      <c r="BY145" s="103"/>
      <c r="BZ145" s="103"/>
      <c r="CA145" s="103"/>
      <c r="CB145" s="103"/>
      <c r="CC145" s="103"/>
      <c r="CD145" s="103"/>
    </row>
    <row r="146" spans="1:82" s="117" customFormat="1" ht="32" x14ac:dyDescent="0.2">
      <c r="A146" s="109" t="s">
        <v>592</v>
      </c>
      <c r="B146" s="109" t="s">
        <v>475</v>
      </c>
      <c r="C146" s="110" t="s">
        <v>593</v>
      </c>
      <c r="D146" s="110" t="s">
        <v>594</v>
      </c>
      <c r="E146" s="111" t="s">
        <v>595</v>
      </c>
      <c r="F146" s="112"/>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c r="AD146" s="103"/>
      <c r="AE146" s="103"/>
      <c r="AF146" s="103"/>
      <c r="AG146" s="103"/>
      <c r="AH146" s="103"/>
      <c r="AI146" s="103"/>
      <c r="AJ146" s="103"/>
      <c r="AK146" s="103"/>
      <c r="AL146" s="103"/>
      <c r="AM146" s="103"/>
      <c r="AN146" s="103"/>
      <c r="AO146" s="103"/>
      <c r="AP146" s="103"/>
      <c r="AQ146" s="103"/>
      <c r="AR146" s="103"/>
      <c r="AS146" s="103"/>
      <c r="AT146" s="103"/>
      <c r="AU146" s="103"/>
      <c r="AV146" s="103"/>
      <c r="AW146" s="103"/>
      <c r="AX146" s="103"/>
      <c r="AY146" s="103"/>
      <c r="AZ146" s="103"/>
      <c r="BA146" s="103"/>
      <c r="BB146" s="103"/>
      <c r="BC146" s="103"/>
      <c r="BD146" s="103"/>
      <c r="BE146" s="103"/>
      <c r="BF146" s="103"/>
      <c r="BG146" s="103"/>
      <c r="BH146" s="103"/>
      <c r="BI146" s="103"/>
      <c r="BJ146" s="103"/>
      <c r="BK146" s="103"/>
      <c r="BL146" s="103"/>
      <c r="BM146" s="103"/>
      <c r="BN146" s="103"/>
      <c r="BO146" s="103"/>
      <c r="BP146" s="103"/>
      <c r="BQ146" s="103"/>
      <c r="BR146" s="103"/>
      <c r="BS146" s="103"/>
      <c r="BT146" s="103"/>
      <c r="BU146" s="103"/>
      <c r="BV146" s="103"/>
      <c r="BW146" s="103"/>
      <c r="BX146" s="103"/>
      <c r="BY146" s="103"/>
      <c r="BZ146" s="103"/>
      <c r="CA146" s="103"/>
      <c r="CB146" s="103"/>
      <c r="CC146" s="103"/>
      <c r="CD146" s="103"/>
    </row>
    <row r="147" spans="1:82" s="117" customFormat="1" ht="32" x14ac:dyDescent="0.2">
      <c r="A147" s="113" t="s">
        <v>596</v>
      </c>
      <c r="B147" s="113" t="s">
        <v>479</v>
      </c>
      <c r="C147" s="114" t="s">
        <v>597</v>
      </c>
      <c r="D147" s="114" t="s">
        <v>598</v>
      </c>
      <c r="E147" s="115" t="s">
        <v>599</v>
      </c>
      <c r="F147" s="112"/>
      <c r="G147" s="103"/>
      <c r="H147" s="103"/>
      <c r="I147" s="103"/>
      <c r="J147" s="103"/>
      <c r="K147" s="103"/>
      <c r="L147" s="103"/>
      <c r="M147" s="103"/>
      <c r="N147" s="103"/>
      <c r="O147" s="103"/>
      <c r="P147" s="103"/>
      <c r="Q147" s="103"/>
      <c r="R147" s="103"/>
      <c r="S147" s="103"/>
      <c r="T147" s="103"/>
      <c r="U147" s="103"/>
      <c r="V147" s="103"/>
      <c r="W147" s="103"/>
      <c r="X147" s="103"/>
      <c r="Y147" s="103"/>
      <c r="Z147" s="103"/>
      <c r="AA147" s="103"/>
      <c r="AB147" s="103"/>
      <c r="AC147" s="103"/>
      <c r="AD147" s="103"/>
      <c r="AE147" s="103"/>
      <c r="AF147" s="103"/>
      <c r="AG147" s="103"/>
      <c r="AH147" s="103"/>
      <c r="AI147" s="103"/>
      <c r="AJ147" s="103"/>
      <c r="AK147" s="103"/>
      <c r="AL147" s="103"/>
      <c r="AM147" s="103"/>
      <c r="AN147" s="103"/>
      <c r="AO147" s="103"/>
      <c r="AP147" s="103"/>
      <c r="AQ147" s="103"/>
      <c r="AR147" s="103"/>
      <c r="AS147" s="103"/>
      <c r="AT147" s="103"/>
      <c r="AU147" s="103"/>
      <c r="AV147" s="103"/>
      <c r="AW147" s="103"/>
      <c r="AX147" s="103"/>
      <c r="AY147" s="103"/>
      <c r="AZ147" s="103"/>
      <c r="BA147" s="103"/>
      <c r="BB147" s="103"/>
      <c r="BC147" s="103"/>
      <c r="BD147" s="103"/>
      <c r="BE147" s="103"/>
      <c r="BF147" s="103"/>
      <c r="BG147" s="103"/>
      <c r="BH147" s="103"/>
      <c r="BI147" s="103"/>
      <c r="BJ147" s="103"/>
      <c r="BK147" s="103"/>
      <c r="BL147" s="103"/>
      <c r="BM147" s="103"/>
      <c r="BN147" s="103"/>
      <c r="BO147" s="103"/>
      <c r="BP147" s="103"/>
      <c r="BQ147" s="103"/>
      <c r="BR147" s="103"/>
      <c r="BS147" s="103"/>
      <c r="BT147" s="103"/>
      <c r="BU147" s="103"/>
      <c r="BV147" s="103"/>
      <c r="BW147" s="103"/>
      <c r="BX147" s="103"/>
      <c r="BY147" s="103"/>
      <c r="BZ147" s="103"/>
      <c r="CA147" s="103"/>
      <c r="CB147" s="103"/>
      <c r="CC147" s="103"/>
      <c r="CD147" s="103"/>
    </row>
    <row r="148" spans="1:82" s="117" customFormat="1" ht="64" x14ac:dyDescent="0.2">
      <c r="A148" s="109" t="s">
        <v>600</v>
      </c>
      <c r="B148" s="109" t="s">
        <v>482</v>
      </c>
      <c r="C148" s="110" t="s">
        <v>601</v>
      </c>
      <c r="D148" s="110" t="s">
        <v>602</v>
      </c>
      <c r="E148" s="111" t="s">
        <v>603</v>
      </c>
      <c r="F148" s="112"/>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c r="AD148" s="103"/>
      <c r="AE148" s="103"/>
      <c r="AF148" s="103"/>
      <c r="AG148" s="103"/>
      <c r="AH148" s="103"/>
      <c r="AI148" s="103"/>
      <c r="AJ148" s="103"/>
      <c r="AK148" s="103"/>
      <c r="AL148" s="103"/>
      <c r="AM148" s="103"/>
      <c r="AN148" s="103"/>
      <c r="AO148" s="103"/>
      <c r="AP148" s="103"/>
      <c r="AQ148" s="103"/>
      <c r="AR148" s="103"/>
      <c r="AS148" s="103"/>
      <c r="AT148" s="103"/>
      <c r="AU148" s="103"/>
      <c r="AV148" s="103"/>
      <c r="AW148" s="103"/>
      <c r="AX148" s="103"/>
      <c r="AY148" s="103"/>
      <c r="AZ148" s="103"/>
      <c r="BA148" s="103"/>
      <c r="BB148" s="103"/>
      <c r="BC148" s="103"/>
      <c r="BD148" s="103"/>
      <c r="BE148" s="103"/>
      <c r="BF148" s="103"/>
      <c r="BG148" s="103"/>
      <c r="BH148" s="103"/>
      <c r="BI148" s="103"/>
      <c r="BJ148" s="103"/>
      <c r="BK148" s="103"/>
      <c r="BL148" s="103"/>
      <c r="BM148" s="103"/>
      <c r="BN148" s="103"/>
      <c r="BO148" s="103"/>
      <c r="BP148" s="103"/>
      <c r="BQ148" s="103"/>
      <c r="BR148" s="103"/>
      <c r="BS148" s="103"/>
      <c r="BT148" s="103"/>
      <c r="BU148" s="103"/>
      <c r="BV148" s="103"/>
      <c r="BW148" s="103"/>
      <c r="BX148" s="103"/>
      <c r="BY148" s="103"/>
      <c r="BZ148" s="103"/>
      <c r="CA148" s="103"/>
      <c r="CB148" s="103"/>
      <c r="CC148" s="103"/>
      <c r="CD148" s="103"/>
    </row>
    <row r="149" spans="1:82" s="117" customFormat="1" ht="64" x14ac:dyDescent="0.2">
      <c r="A149" s="113" t="s">
        <v>604</v>
      </c>
      <c r="B149" s="113" t="s">
        <v>865</v>
      </c>
      <c r="C149" s="114" t="s">
        <v>87</v>
      </c>
      <c r="D149" s="114" t="s">
        <v>605</v>
      </c>
      <c r="E149" s="115" t="s">
        <v>606</v>
      </c>
      <c r="F149" s="112"/>
      <c r="G149" s="103"/>
      <c r="H149" s="103"/>
      <c r="I149" s="103"/>
      <c r="J149" s="103"/>
      <c r="K149" s="103"/>
      <c r="L149" s="103"/>
      <c r="M149" s="103"/>
      <c r="N149" s="103"/>
      <c r="O149" s="103"/>
      <c r="P149" s="103"/>
      <c r="Q149" s="103"/>
      <c r="R149" s="103"/>
      <c r="S149" s="103"/>
      <c r="T149" s="103"/>
      <c r="U149" s="103"/>
      <c r="V149" s="103"/>
      <c r="W149" s="103"/>
      <c r="X149" s="103"/>
      <c r="Y149" s="103"/>
      <c r="Z149" s="103"/>
      <c r="AA149" s="103"/>
      <c r="AB149" s="103"/>
      <c r="AC149" s="103"/>
      <c r="AD149" s="103"/>
      <c r="AE149" s="103"/>
      <c r="AF149" s="103"/>
      <c r="AG149" s="103"/>
      <c r="AH149" s="103"/>
      <c r="AI149" s="103"/>
      <c r="AJ149" s="103"/>
      <c r="AK149" s="103"/>
      <c r="AL149" s="103"/>
      <c r="AM149" s="103"/>
      <c r="AN149" s="103"/>
      <c r="AO149" s="103"/>
      <c r="AP149" s="103"/>
      <c r="AQ149" s="103"/>
      <c r="AR149" s="103"/>
      <c r="AS149" s="103"/>
      <c r="AT149" s="103"/>
      <c r="AU149" s="103"/>
      <c r="AV149" s="103"/>
      <c r="AW149" s="103"/>
      <c r="AX149" s="103"/>
      <c r="AY149" s="103"/>
      <c r="AZ149" s="103"/>
      <c r="BA149" s="103"/>
      <c r="BB149" s="103"/>
      <c r="BC149" s="103"/>
      <c r="BD149" s="103"/>
      <c r="BE149" s="103"/>
      <c r="BF149" s="103"/>
      <c r="BG149" s="103"/>
      <c r="BH149" s="103"/>
      <c r="BI149" s="103"/>
      <c r="BJ149" s="103"/>
      <c r="BK149" s="103"/>
      <c r="BL149" s="103"/>
      <c r="BM149" s="103"/>
      <c r="BN149" s="103"/>
      <c r="BO149" s="103"/>
      <c r="BP149" s="103"/>
      <c r="BQ149" s="103"/>
      <c r="BR149" s="103"/>
      <c r="BS149" s="103"/>
      <c r="BT149" s="103"/>
      <c r="BU149" s="103"/>
      <c r="BV149" s="103"/>
      <c r="BW149" s="103"/>
      <c r="BX149" s="103"/>
      <c r="BY149" s="103"/>
      <c r="BZ149" s="103"/>
      <c r="CA149" s="103"/>
      <c r="CB149" s="103"/>
      <c r="CC149" s="103"/>
      <c r="CD149" s="103"/>
    </row>
    <row r="150" spans="1:82" s="117" customFormat="1" ht="32" x14ac:dyDescent="0.2">
      <c r="A150" s="109" t="s">
        <v>607</v>
      </c>
      <c r="B150" s="109" t="s">
        <v>866</v>
      </c>
      <c r="C150" s="110" t="s">
        <v>608</v>
      </c>
      <c r="D150" s="110" t="s">
        <v>609</v>
      </c>
      <c r="E150" s="111"/>
      <c r="F150" s="112"/>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c r="AC150" s="103"/>
      <c r="AD150" s="103"/>
      <c r="AE150" s="103"/>
      <c r="AF150" s="103"/>
      <c r="AG150" s="103"/>
      <c r="AH150" s="103"/>
      <c r="AI150" s="103"/>
      <c r="AJ150" s="103"/>
      <c r="AK150" s="103"/>
      <c r="AL150" s="103"/>
      <c r="AM150" s="103"/>
      <c r="AN150" s="103"/>
      <c r="AO150" s="103"/>
      <c r="AP150" s="103"/>
      <c r="AQ150" s="103"/>
      <c r="AR150" s="103"/>
      <c r="AS150" s="103"/>
      <c r="AT150" s="103"/>
      <c r="AU150" s="103"/>
      <c r="AV150" s="103"/>
      <c r="AW150" s="103"/>
      <c r="AX150" s="103"/>
      <c r="AY150" s="103"/>
      <c r="AZ150" s="103"/>
      <c r="BA150" s="103"/>
      <c r="BB150" s="103"/>
      <c r="BC150" s="103"/>
      <c r="BD150" s="103"/>
      <c r="BE150" s="103"/>
      <c r="BF150" s="103"/>
      <c r="BG150" s="103"/>
      <c r="BH150" s="103"/>
      <c r="BI150" s="103"/>
      <c r="BJ150" s="103"/>
      <c r="BK150" s="103"/>
      <c r="BL150" s="103"/>
      <c r="BM150" s="103"/>
      <c r="BN150" s="103"/>
      <c r="BO150" s="103"/>
      <c r="BP150" s="103"/>
      <c r="BQ150" s="103"/>
      <c r="BR150" s="103"/>
      <c r="BS150" s="103"/>
      <c r="BT150" s="103"/>
      <c r="BU150" s="103"/>
      <c r="BV150" s="103"/>
      <c r="BW150" s="103"/>
      <c r="BX150" s="103"/>
      <c r="BY150" s="103"/>
      <c r="BZ150" s="103"/>
      <c r="CA150" s="103"/>
      <c r="CB150" s="103"/>
      <c r="CC150" s="103"/>
      <c r="CD150" s="103"/>
    </row>
    <row r="151" spans="1:82" s="117" customFormat="1" ht="80" x14ac:dyDescent="0.2">
      <c r="A151" s="113" t="s">
        <v>610</v>
      </c>
      <c r="B151" s="113" t="s">
        <v>486</v>
      </c>
      <c r="C151" s="114" t="s">
        <v>611</v>
      </c>
      <c r="D151" s="114" t="s">
        <v>612</v>
      </c>
      <c r="E151" s="115" t="s">
        <v>613</v>
      </c>
      <c r="F151" s="112"/>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103"/>
      <c r="AG151" s="103"/>
      <c r="AH151" s="103"/>
      <c r="AI151" s="103"/>
      <c r="AJ151" s="103"/>
      <c r="AK151" s="103"/>
      <c r="AL151" s="103"/>
      <c r="AM151" s="103"/>
      <c r="AN151" s="103"/>
      <c r="AO151" s="103"/>
      <c r="AP151" s="103"/>
      <c r="AQ151" s="103"/>
      <c r="AR151" s="103"/>
      <c r="AS151" s="103"/>
      <c r="AT151" s="103"/>
      <c r="AU151" s="103"/>
      <c r="AV151" s="103"/>
      <c r="AW151" s="103"/>
      <c r="AX151" s="103"/>
      <c r="AY151" s="103"/>
      <c r="AZ151" s="103"/>
      <c r="BA151" s="103"/>
      <c r="BB151" s="103"/>
      <c r="BC151" s="103"/>
      <c r="BD151" s="103"/>
      <c r="BE151" s="103"/>
      <c r="BF151" s="103"/>
      <c r="BG151" s="103"/>
      <c r="BH151" s="103"/>
      <c r="BI151" s="103"/>
      <c r="BJ151" s="103"/>
      <c r="BK151" s="103"/>
      <c r="BL151" s="103"/>
      <c r="BM151" s="103"/>
      <c r="BN151" s="103"/>
      <c r="BO151" s="103"/>
      <c r="BP151" s="103"/>
      <c r="BQ151" s="103"/>
      <c r="BR151" s="103"/>
      <c r="BS151" s="103"/>
      <c r="BT151" s="103"/>
      <c r="BU151" s="103"/>
      <c r="BV151" s="103"/>
      <c r="BW151" s="103"/>
      <c r="BX151" s="103"/>
      <c r="BY151" s="103"/>
      <c r="BZ151" s="103"/>
      <c r="CA151" s="103"/>
      <c r="CB151" s="103"/>
      <c r="CC151" s="103"/>
      <c r="CD151" s="103"/>
    </row>
    <row r="152" spans="1:82" s="117" customFormat="1" ht="48" x14ac:dyDescent="0.2">
      <c r="A152" s="116" t="s">
        <v>614</v>
      </c>
      <c r="B152" s="116" t="s">
        <v>490</v>
      </c>
      <c r="C152" s="110" t="s">
        <v>615</v>
      </c>
      <c r="D152" s="110" t="s">
        <v>616</v>
      </c>
      <c r="E152" s="111"/>
      <c r="F152" s="112"/>
      <c r="G152" s="103"/>
      <c r="H152" s="103"/>
      <c r="I152" s="103"/>
      <c r="J152" s="103"/>
      <c r="K152" s="103"/>
      <c r="L152" s="103"/>
      <c r="M152" s="103"/>
      <c r="N152" s="103"/>
      <c r="O152" s="103"/>
      <c r="P152" s="103"/>
      <c r="Q152" s="103"/>
      <c r="R152" s="103"/>
      <c r="S152" s="103"/>
      <c r="T152" s="103"/>
      <c r="U152" s="103"/>
      <c r="V152" s="103"/>
      <c r="W152" s="103"/>
      <c r="X152" s="103"/>
      <c r="Y152" s="103"/>
      <c r="Z152" s="103"/>
      <c r="AA152" s="103"/>
      <c r="AB152" s="103"/>
      <c r="AC152" s="103"/>
      <c r="AD152" s="103"/>
      <c r="AE152" s="103"/>
      <c r="AF152" s="103"/>
      <c r="AG152" s="103"/>
      <c r="AH152" s="103"/>
      <c r="AI152" s="103"/>
      <c r="AJ152" s="103"/>
      <c r="AK152" s="103"/>
      <c r="AL152" s="103"/>
      <c r="AM152" s="103"/>
      <c r="AN152" s="103"/>
      <c r="AO152" s="103"/>
      <c r="AP152" s="103"/>
      <c r="AQ152" s="103"/>
      <c r="AR152" s="103"/>
      <c r="AS152" s="103"/>
      <c r="AT152" s="103"/>
      <c r="AU152" s="103"/>
      <c r="AV152" s="103"/>
      <c r="AW152" s="103"/>
      <c r="AX152" s="103"/>
      <c r="AY152" s="103"/>
      <c r="AZ152" s="103"/>
      <c r="BA152" s="103"/>
      <c r="BB152" s="103"/>
      <c r="BC152" s="103"/>
      <c r="BD152" s="103"/>
      <c r="BE152" s="103"/>
      <c r="BF152" s="103"/>
      <c r="BG152" s="103"/>
      <c r="BH152" s="103"/>
      <c r="BI152" s="103"/>
      <c r="BJ152" s="103"/>
      <c r="BK152" s="103"/>
      <c r="BL152" s="103"/>
      <c r="BM152" s="103"/>
      <c r="BN152" s="103"/>
      <c r="BO152" s="103"/>
      <c r="BP152" s="103"/>
      <c r="BQ152" s="103"/>
      <c r="BR152" s="103"/>
      <c r="BS152" s="103"/>
      <c r="BT152" s="103"/>
      <c r="BU152" s="103"/>
      <c r="BV152" s="103"/>
      <c r="BW152" s="103"/>
      <c r="BX152" s="103"/>
      <c r="BY152" s="103"/>
      <c r="BZ152" s="103"/>
      <c r="CA152" s="103"/>
      <c r="CB152" s="103"/>
      <c r="CC152" s="103"/>
      <c r="CD152" s="103"/>
    </row>
    <row r="153" spans="1:82" s="117" customFormat="1" x14ac:dyDescent="0.2">
      <c r="A153" s="124" t="s">
        <v>617</v>
      </c>
      <c r="B153" s="124" t="s">
        <v>494</v>
      </c>
      <c r="C153" s="114" t="s">
        <v>618</v>
      </c>
      <c r="D153" s="114" t="s">
        <v>619</v>
      </c>
      <c r="E153" s="115"/>
      <c r="F153" s="112"/>
      <c r="G153" s="103"/>
      <c r="H153" s="103"/>
      <c r="I153" s="103"/>
      <c r="J153" s="103"/>
      <c r="K153" s="103"/>
      <c r="L153" s="103"/>
      <c r="M153" s="103"/>
      <c r="N153" s="103"/>
      <c r="O153" s="103"/>
      <c r="P153" s="103"/>
      <c r="Q153" s="103"/>
      <c r="R153" s="103"/>
      <c r="S153" s="103"/>
      <c r="T153" s="103"/>
      <c r="U153" s="103"/>
      <c r="V153" s="103"/>
      <c r="W153" s="103"/>
      <c r="X153" s="103"/>
      <c r="Y153" s="103"/>
      <c r="Z153" s="103"/>
      <c r="AA153" s="103"/>
      <c r="AB153" s="103"/>
      <c r="AC153" s="103"/>
      <c r="AD153" s="103"/>
      <c r="AE153" s="103"/>
      <c r="AF153" s="103"/>
      <c r="AG153" s="103"/>
      <c r="AH153" s="103"/>
      <c r="AI153" s="103"/>
      <c r="AJ153" s="103"/>
      <c r="AK153" s="103"/>
      <c r="AL153" s="103"/>
      <c r="AM153" s="103"/>
      <c r="AN153" s="103"/>
      <c r="AO153" s="103"/>
      <c r="AP153" s="103"/>
      <c r="AQ153" s="103"/>
      <c r="AR153" s="103"/>
      <c r="AS153" s="103"/>
      <c r="AT153" s="103"/>
      <c r="AU153" s="103"/>
      <c r="AV153" s="103"/>
      <c r="AW153" s="103"/>
      <c r="AX153" s="103"/>
      <c r="AY153" s="103"/>
      <c r="AZ153" s="103"/>
      <c r="BA153" s="103"/>
      <c r="BB153" s="103"/>
      <c r="BC153" s="103"/>
      <c r="BD153" s="103"/>
      <c r="BE153" s="103"/>
      <c r="BF153" s="103"/>
      <c r="BG153" s="103"/>
      <c r="BH153" s="103"/>
      <c r="BI153" s="103"/>
      <c r="BJ153" s="103"/>
      <c r="BK153" s="103"/>
      <c r="BL153" s="103"/>
      <c r="BM153" s="103"/>
      <c r="BN153" s="103"/>
      <c r="BO153" s="103"/>
      <c r="BP153" s="103"/>
      <c r="BQ153" s="103"/>
      <c r="BR153" s="103"/>
      <c r="BS153" s="103"/>
      <c r="BT153" s="103"/>
      <c r="BU153" s="103"/>
      <c r="BV153" s="103"/>
      <c r="BW153" s="103"/>
      <c r="BX153" s="103"/>
      <c r="BY153" s="103"/>
      <c r="BZ153" s="103"/>
      <c r="CA153" s="103"/>
      <c r="CB153" s="103"/>
      <c r="CC153" s="103"/>
      <c r="CD153" s="103"/>
    </row>
    <row r="154" spans="1:82" s="117" customFormat="1" x14ac:dyDescent="0.2">
      <c r="A154" s="109" t="s">
        <v>620</v>
      </c>
      <c r="B154" s="109" t="s">
        <v>501</v>
      </c>
      <c r="C154" s="110" t="s">
        <v>621</v>
      </c>
      <c r="D154" s="110" t="s">
        <v>622</v>
      </c>
      <c r="E154" s="111"/>
      <c r="F154" s="112"/>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c r="AC154" s="103"/>
      <c r="AD154" s="103"/>
      <c r="AE154" s="103"/>
      <c r="AF154" s="103"/>
      <c r="AG154" s="103"/>
      <c r="AH154" s="103"/>
      <c r="AI154" s="103"/>
      <c r="AJ154" s="103"/>
      <c r="AK154" s="103"/>
      <c r="AL154" s="103"/>
      <c r="AM154" s="103"/>
      <c r="AN154" s="103"/>
      <c r="AO154" s="103"/>
      <c r="AP154" s="103"/>
      <c r="AQ154" s="103"/>
      <c r="AR154" s="103"/>
      <c r="AS154" s="103"/>
      <c r="AT154" s="103"/>
      <c r="AU154" s="103"/>
      <c r="AV154" s="103"/>
      <c r="AW154" s="103"/>
      <c r="AX154" s="103"/>
      <c r="AY154" s="103"/>
      <c r="AZ154" s="103"/>
      <c r="BA154" s="103"/>
      <c r="BB154" s="103"/>
      <c r="BC154" s="103"/>
      <c r="BD154" s="103"/>
      <c r="BE154" s="103"/>
      <c r="BF154" s="103"/>
      <c r="BG154" s="103"/>
      <c r="BH154" s="103"/>
      <c r="BI154" s="103"/>
      <c r="BJ154" s="103"/>
      <c r="BK154" s="103"/>
      <c r="BL154" s="103"/>
      <c r="BM154" s="103"/>
      <c r="BN154" s="103"/>
      <c r="BO154" s="103"/>
      <c r="BP154" s="103"/>
      <c r="BQ154" s="103"/>
      <c r="BR154" s="103"/>
      <c r="BS154" s="103"/>
      <c r="BT154" s="103"/>
      <c r="BU154" s="103"/>
      <c r="BV154" s="103"/>
      <c r="BW154" s="103"/>
      <c r="BX154" s="103"/>
      <c r="BY154" s="103"/>
      <c r="BZ154" s="103"/>
      <c r="CA154" s="103"/>
      <c r="CB154" s="103"/>
      <c r="CC154" s="103"/>
      <c r="CD154" s="103"/>
    </row>
    <row r="155" spans="1:82" s="117" customFormat="1" ht="48" x14ac:dyDescent="0.2">
      <c r="A155" s="109" t="s">
        <v>33</v>
      </c>
      <c r="B155" s="109" t="s">
        <v>505</v>
      </c>
      <c r="C155" s="110" t="s">
        <v>166</v>
      </c>
      <c r="D155" s="110" t="s">
        <v>167</v>
      </c>
      <c r="E155" s="111"/>
      <c r="F155" s="112"/>
      <c r="G155" s="103"/>
      <c r="H155" s="103"/>
      <c r="I155" s="103"/>
      <c r="J155" s="103"/>
      <c r="K155" s="103"/>
      <c r="L155" s="103"/>
      <c r="M155" s="103"/>
      <c r="N155" s="103"/>
      <c r="O155" s="103"/>
      <c r="P155" s="103"/>
      <c r="Q155" s="103"/>
      <c r="R155" s="103"/>
      <c r="S155" s="103"/>
      <c r="T155" s="103"/>
      <c r="U155" s="103"/>
      <c r="V155" s="103"/>
      <c r="W155" s="103"/>
      <c r="X155" s="103"/>
      <c r="Y155" s="103"/>
      <c r="Z155" s="103"/>
      <c r="AA155" s="103"/>
      <c r="AB155" s="103"/>
      <c r="AC155" s="103"/>
      <c r="AD155" s="103"/>
      <c r="AE155" s="103"/>
      <c r="AF155" s="103"/>
      <c r="AG155" s="103"/>
      <c r="AH155" s="103"/>
      <c r="AI155" s="103"/>
      <c r="AJ155" s="103"/>
      <c r="AK155" s="103"/>
      <c r="AL155" s="103"/>
      <c r="AM155" s="103"/>
      <c r="AN155" s="103"/>
      <c r="AO155" s="103"/>
      <c r="AP155" s="103"/>
      <c r="AQ155" s="103"/>
      <c r="AR155" s="103"/>
      <c r="AS155" s="103"/>
      <c r="AT155" s="103"/>
      <c r="AU155" s="103"/>
      <c r="AV155" s="103"/>
      <c r="AW155" s="103"/>
      <c r="AX155" s="103"/>
      <c r="AY155" s="103"/>
      <c r="AZ155" s="103"/>
      <c r="BA155" s="103"/>
      <c r="BB155" s="103"/>
      <c r="BC155" s="103"/>
      <c r="BD155" s="103"/>
      <c r="BE155" s="103"/>
      <c r="BF155" s="103"/>
      <c r="BG155" s="103"/>
      <c r="BH155" s="103"/>
      <c r="BI155" s="103"/>
      <c r="BJ155" s="103"/>
      <c r="BK155" s="103"/>
      <c r="BL155" s="103"/>
      <c r="BM155" s="103"/>
      <c r="BN155" s="103"/>
      <c r="BO155" s="103"/>
      <c r="BP155" s="103"/>
      <c r="BQ155" s="103"/>
      <c r="BR155" s="103"/>
      <c r="BS155" s="103"/>
      <c r="BT155" s="103"/>
      <c r="BU155" s="103"/>
      <c r="BV155" s="103"/>
      <c r="BW155" s="103"/>
      <c r="BX155" s="103"/>
      <c r="BY155" s="103"/>
      <c r="BZ155" s="103"/>
      <c r="CA155" s="103"/>
      <c r="CB155" s="103"/>
      <c r="CC155" s="103"/>
      <c r="CD155" s="103"/>
    </row>
    <row r="156" spans="1:82" s="117" customFormat="1" x14ac:dyDescent="0.2">
      <c r="A156" s="138"/>
      <c r="B156" s="138"/>
      <c r="C156" s="121"/>
      <c r="D156" s="122" t="s">
        <v>165</v>
      </c>
      <c r="E156" s="123"/>
      <c r="F156" s="112"/>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c r="AC156" s="103"/>
      <c r="AD156" s="103"/>
      <c r="AE156" s="103"/>
      <c r="AF156" s="103"/>
      <c r="AG156" s="103"/>
      <c r="AH156" s="103"/>
      <c r="AI156" s="103"/>
      <c r="AJ156" s="103"/>
      <c r="AK156" s="103"/>
      <c r="AL156" s="103"/>
      <c r="AM156" s="103"/>
      <c r="AN156" s="103"/>
      <c r="AO156" s="103"/>
      <c r="AP156" s="103"/>
      <c r="AQ156" s="103"/>
      <c r="AR156" s="103"/>
      <c r="AS156" s="103"/>
      <c r="AT156" s="103"/>
      <c r="AU156" s="103"/>
      <c r="AV156" s="103"/>
      <c r="AW156" s="103"/>
      <c r="AX156" s="103"/>
      <c r="AY156" s="103"/>
      <c r="AZ156" s="103"/>
      <c r="BA156" s="103"/>
      <c r="BB156" s="103"/>
      <c r="BC156" s="103"/>
      <c r="BD156" s="103"/>
      <c r="BE156" s="103"/>
      <c r="BF156" s="103"/>
      <c r="BG156" s="103"/>
      <c r="BH156" s="103"/>
      <c r="BI156" s="103"/>
      <c r="BJ156" s="103"/>
      <c r="BK156" s="103"/>
      <c r="BL156" s="103"/>
      <c r="BM156" s="103"/>
      <c r="BN156" s="103"/>
      <c r="BO156" s="103"/>
      <c r="BP156" s="103"/>
      <c r="BQ156" s="103"/>
      <c r="BR156" s="103"/>
      <c r="BS156" s="103"/>
      <c r="BT156" s="103"/>
      <c r="BU156" s="103"/>
      <c r="BV156" s="103"/>
      <c r="BW156" s="103"/>
      <c r="BX156" s="103"/>
      <c r="BY156" s="103"/>
      <c r="BZ156" s="103"/>
      <c r="CA156" s="103"/>
      <c r="CB156" s="103"/>
      <c r="CC156" s="103"/>
      <c r="CD156" s="103"/>
    </row>
    <row r="157" spans="1:82" s="117" customFormat="1" ht="64" x14ac:dyDescent="0.2">
      <c r="A157" s="113" t="s">
        <v>623</v>
      </c>
      <c r="B157" s="113" t="s">
        <v>588</v>
      </c>
      <c r="C157" s="114" t="s">
        <v>624</v>
      </c>
      <c r="D157" s="114" t="s">
        <v>625</v>
      </c>
      <c r="E157" s="115" t="s">
        <v>626</v>
      </c>
      <c r="F157" s="112"/>
      <c r="G157" s="103"/>
      <c r="H157" s="103"/>
      <c r="I157" s="103"/>
      <c r="J157" s="103"/>
      <c r="K157" s="103"/>
      <c r="L157" s="103"/>
      <c r="M157" s="103"/>
      <c r="N157" s="103"/>
      <c r="O157" s="103"/>
      <c r="P157" s="103"/>
      <c r="Q157" s="103"/>
      <c r="R157" s="103"/>
      <c r="S157" s="103"/>
      <c r="T157" s="103"/>
      <c r="U157" s="103"/>
      <c r="V157" s="103"/>
      <c r="W157" s="103"/>
      <c r="X157" s="103"/>
      <c r="Y157" s="103"/>
      <c r="Z157" s="103"/>
      <c r="AA157" s="103"/>
      <c r="AB157" s="103"/>
      <c r="AC157" s="103"/>
      <c r="AD157" s="103"/>
      <c r="AE157" s="103"/>
      <c r="AF157" s="103"/>
      <c r="AG157" s="103"/>
      <c r="AH157" s="103"/>
      <c r="AI157" s="103"/>
      <c r="AJ157" s="103"/>
      <c r="AK157" s="103"/>
      <c r="AL157" s="103"/>
      <c r="AM157" s="103"/>
      <c r="AN157" s="103"/>
      <c r="AO157" s="103"/>
      <c r="AP157" s="103"/>
      <c r="AQ157" s="103"/>
      <c r="AR157" s="103"/>
      <c r="AS157" s="103"/>
      <c r="AT157" s="103"/>
      <c r="AU157" s="103"/>
      <c r="AV157" s="103"/>
      <c r="AW157" s="103"/>
      <c r="AX157" s="103"/>
      <c r="AY157" s="103"/>
      <c r="AZ157" s="103"/>
      <c r="BA157" s="103"/>
      <c r="BB157" s="103"/>
      <c r="BC157" s="103"/>
      <c r="BD157" s="103"/>
      <c r="BE157" s="103"/>
      <c r="BF157" s="103"/>
      <c r="BG157" s="103"/>
      <c r="BH157" s="103"/>
      <c r="BI157" s="103"/>
      <c r="BJ157" s="103"/>
      <c r="BK157" s="103"/>
      <c r="BL157" s="103"/>
      <c r="BM157" s="103"/>
      <c r="BN157" s="103"/>
      <c r="BO157" s="103"/>
      <c r="BP157" s="103"/>
      <c r="BQ157" s="103"/>
      <c r="BR157" s="103"/>
      <c r="BS157" s="103"/>
      <c r="BT157" s="103"/>
      <c r="BU157" s="103"/>
      <c r="BV157" s="103"/>
      <c r="BW157" s="103"/>
      <c r="BX157" s="103"/>
      <c r="BY157" s="103"/>
      <c r="BZ157" s="103"/>
      <c r="CA157" s="103"/>
      <c r="CB157" s="103"/>
      <c r="CC157" s="103"/>
      <c r="CD157" s="103"/>
    </row>
    <row r="158" spans="1:82" s="117" customFormat="1" ht="48" x14ac:dyDescent="0.2">
      <c r="A158" s="109" t="s">
        <v>627</v>
      </c>
      <c r="B158" s="109" t="s">
        <v>592</v>
      </c>
      <c r="C158" s="110" t="s">
        <v>628</v>
      </c>
      <c r="D158" s="110" t="s">
        <v>629</v>
      </c>
      <c r="E158" s="111" t="s">
        <v>630</v>
      </c>
      <c r="F158" s="112"/>
      <c r="G158" s="103"/>
      <c r="H158" s="103"/>
      <c r="I158" s="103"/>
      <c r="J158" s="103"/>
      <c r="K158" s="103"/>
      <c r="L158" s="103"/>
      <c r="M158" s="103"/>
      <c r="N158" s="103"/>
      <c r="O158" s="103"/>
      <c r="P158" s="103"/>
      <c r="Q158" s="103"/>
      <c r="R158" s="103"/>
      <c r="S158" s="103"/>
      <c r="T158" s="103"/>
      <c r="U158" s="103"/>
      <c r="V158" s="103"/>
      <c r="W158" s="103"/>
      <c r="X158" s="103"/>
      <c r="Y158" s="103"/>
      <c r="Z158" s="103"/>
      <c r="AA158" s="103"/>
      <c r="AB158" s="103"/>
      <c r="AC158" s="103"/>
      <c r="AD158" s="103"/>
      <c r="AE158" s="103"/>
      <c r="AF158" s="103"/>
      <c r="AG158" s="103"/>
      <c r="AH158" s="103"/>
      <c r="AI158" s="103"/>
      <c r="AJ158" s="103"/>
      <c r="AK158" s="103"/>
      <c r="AL158" s="103"/>
      <c r="AM158" s="103"/>
      <c r="AN158" s="103"/>
      <c r="AO158" s="103"/>
      <c r="AP158" s="103"/>
      <c r="AQ158" s="103"/>
      <c r="AR158" s="103"/>
      <c r="AS158" s="103"/>
      <c r="AT158" s="103"/>
      <c r="AU158" s="103"/>
      <c r="AV158" s="103"/>
      <c r="AW158" s="103"/>
      <c r="AX158" s="103"/>
      <c r="AY158" s="103"/>
      <c r="AZ158" s="103"/>
      <c r="BA158" s="103"/>
      <c r="BB158" s="103"/>
      <c r="BC158" s="103"/>
      <c r="BD158" s="103"/>
      <c r="BE158" s="103"/>
      <c r="BF158" s="103"/>
      <c r="BG158" s="103"/>
      <c r="BH158" s="103"/>
      <c r="BI158" s="103"/>
      <c r="BJ158" s="103"/>
      <c r="BK158" s="103"/>
      <c r="BL158" s="103"/>
      <c r="BM158" s="103"/>
      <c r="BN158" s="103"/>
      <c r="BO158" s="103"/>
      <c r="BP158" s="103"/>
      <c r="BQ158" s="103"/>
      <c r="BR158" s="103"/>
      <c r="BS158" s="103"/>
      <c r="BT158" s="103"/>
      <c r="BU158" s="103"/>
      <c r="BV158" s="103"/>
      <c r="BW158" s="103"/>
      <c r="BX158" s="103"/>
      <c r="BY158" s="103"/>
      <c r="BZ158" s="103"/>
      <c r="CA158" s="103"/>
      <c r="CB158" s="103"/>
      <c r="CC158" s="103"/>
      <c r="CD158" s="103"/>
    </row>
    <row r="159" spans="1:82" s="117" customFormat="1" ht="33" x14ac:dyDescent="0.2">
      <c r="A159" s="113" t="s">
        <v>631</v>
      </c>
      <c r="B159" s="113" t="s">
        <v>596</v>
      </c>
      <c r="C159" s="114" t="s">
        <v>632</v>
      </c>
      <c r="D159" s="114" t="s">
        <v>710</v>
      </c>
      <c r="E159" s="115" t="s">
        <v>633</v>
      </c>
      <c r="F159" s="112"/>
      <c r="G159" s="103"/>
      <c r="H159" s="103"/>
      <c r="I159" s="103"/>
      <c r="J159" s="103"/>
      <c r="K159" s="103"/>
      <c r="L159" s="103"/>
      <c r="M159" s="103"/>
      <c r="N159" s="103"/>
      <c r="O159" s="103"/>
      <c r="P159" s="103"/>
      <c r="Q159" s="103"/>
      <c r="R159" s="103"/>
      <c r="S159" s="103"/>
      <c r="T159" s="103"/>
      <c r="U159" s="103"/>
      <c r="V159" s="103"/>
      <c r="W159" s="103"/>
      <c r="X159" s="103"/>
      <c r="Y159" s="103"/>
      <c r="Z159" s="103"/>
      <c r="AA159" s="103"/>
      <c r="AB159" s="103"/>
      <c r="AC159" s="103"/>
      <c r="AD159" s="103"/>
      <c r="AE159" s="103"/>
      <c r="AF159" s="103"/>
      <c r="AG159" s="103"/>
      <c r="AH159" s="103"/>
      <c r="AI159" s="103"/>
      <c r="AJ159" s="103"/>
      <c r="AK159" s="103"/>
      <c r="AL159" s="103"/>
      <c r="AM159" s="103"/>
      <c r="AN159" s="103"/>
      <c r="AO159" s="103"/>
      <c r="AP159" s="103"/>
      <c r="AQ159" s="103"/>
      <c r="AR159" s="103"/>
      <c r="AS159" s="103"/>
      <c r="AT159" s="103"/>
      <c r="AU159" s="103"/>
      <c r="AV159" s="103"/>
      <c r="AW159" s="103"/>
      <c r="AX159" s="103"/>
      <c r="AY159" s="103"/>
      <c r="AZ159" s="103"/>
      <c r="BA159" s="103"/>
      <c r="BB159" s="103"/>
      <c r="BC159" s="103"/>
      <c r="BD159" s="103"/>
      <c r="BE159" s="103"/>
      <c r="BF159" s="103"/>
      <c r="BG159" s="103"/>
      <c r="BH159" s="103"/>
      <c r="BI159" s="103"/>
      <c r="BJ159" s="103"/>
      <c r="BK159" s="103"/>
      <c r="BL159" s="103"/>
      <c r="BM159" s="103"/>
      <c r="BN159" s="103"/>
      <c r="BO159" s="103"/>
      <c r="BP159" s="103"/>
      <c r="BQ159" s="103"/>
      <c r="BR159" s="103"/>
      <c r="BS159" s="103"/>
      <c r="BT159" s="103"/>
      <c r="BU159" s="103"/>
      <c r="BV159" s="103"/>
      <c r="BW159" s="103"/>
      <c r="BX159" s="103"/>
      <c r="BY159" s="103"/>
      <c r="BZ159" s="103"/>
      <c r="CA159" s="103"/>
      <c r="CB159" s="103"/>
      <c r="CC159" s="103"/>
      <c r="CD159" s="103"/>
    </row>
    <row r="160" spans="1:82" s="117" customFormat="1" ht="32" x14ac:dyDescent="0.2">
      <c r="A160" s="109" t="s">
        <v>31</v>
      </c>
      <c r="B160" s="109" t="s">
        <v>600</v>
      </c>
      <c r="C160" s="114" t="s">
        <v>160</v>
      </c>
      <c r="D160" s="110" t="s">
        <v>161</v>
      </c>
      <c r="E160" s="111"/>
      <c r="F160" s="112"/>
      <c r="G160" s="103"/>
      <c r="H160" s="103"/>
      <c r="I160" s="103"/>
      <c r="J160" s="103"/>
      <c r="K160" s="103"/>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103"/>
      <c r="AQ160" s="103"/>
      <c r="AR160" s="103"/>
      <c r="AS160" s="103"/>
      <c r="AT160" s="103"/>
      <c r="AU160" s="103"/>
      <c r="AV160" s="103"/>
      <c r="AW160" s="103"/>
      <c r="AX160" s="103"/>
      <c r="AY160" s="103"/>
      <c r="AZ160" s="103"/>
      <c r="BA160" s="103"/>
      <c r="BB160" s="103"/>
      <c r="BC160" s="103"/>
      <c r="BD160" s="103"/>
      <c r="BE160" s="103"/>
      <c r="BF160" s="103"/>
      <c r="BG160" s="103"/>
      <c r="BH160" s="103"/>
      <c r="BI160" s="103"/>
      <c r="BJ160" s="103"/>
      <c r="BK160" s="103"/>
      <c r="BL160" s="103"/>
      <c r="BM160" s="103"/>
      <c r="BN160" s="103"/>
      <c r="BO160" s="103"/>
      <c r="BP160" s="103"/>
      <c r="BQ160" s="103"/>
      <c r="BR160" s="103"/>
      <c r="BS160" s="103"/>
      <c r="BT160" s="103"/>
      <c r="BU160" s="103"/>
      <c r="BV160" s="103"/>
      <c r="BW160" s="103"/>
      <c r="BX160" s="103"/>
      <c r="BY160" s="103"/>
      <c r="BZ160" s="103"/>
      <c r="CA160" s="103"/>
      <c r="CB160" s="103"/>
      <c r="CC160" s="103"/>
      <c r="CD160" s="103"/>
    </row>
    <row r="161" spans="1:82" x14ac:dyDescent="0.2">
      <c r="A161" s="139"/>
      <c r="B161" s="139"/>
      <c r="C161" s="140"/>
      <c r="D161" s="141" t="s">
        <v>168</v>
      </c>
      <c r="E161" s="142"/>
      <c r="F161" s="112"/>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103"/>
      <c r="AQ161" s="103"/>
      <c r="AR161" s="103"/>
      <c r="AS161" s="103"/>
      <c r="AT161" s="103"/>
      <c r="AU161" s="103"/>
      <c r="AV161" s="103"/>
      <c r="AW161" s="103"/>
      <c r="AX161" s="103"/>
      <c r="AY161" s="103"/>
      <c r="AZ161" s="103"/>
      <c r="BA161" s="103"/>
      <c r="BB161" s="103"/>
      <c r="BC161" s="103"/>
      <c r="BD161" s="103"/>
      <c r="BE161" s="103"/>
      <c r="BF161" s="103"/>
      <c r="BG161" s="103"/>
      <c r="BH161" s="103"/>
      <c r="BI161" s="103"/>
      <c r="BJ161" s="103"/>
      <c r="BK161" s="103"/>
      <c r="BL161" s="103"/>
      <c r="BM161" s="103"/>
      <c r="BN161" s="103"/>
      <c r="BO161" s="103"/>
      <c r="BP161" s="103"/>
      <c r="BQ161" s="103"/>
      <c r="BR161" s="103"/>
      <c r="BS161" s="103"/>
      <c r="BT161" s="103"/>
      <c r="BU161" s="103"/>
      <c r="BV161" s="103"/>
      <c r="BW161" s="103"/>
      <c r="BX161" s="103"/>
      <c r="BY161" s="103"/>
      <c r="BZ161" s="103"/>
      <c r="CA161" s="103"/>
      <c r="CB161" s="103"/>
      <c r="CC161" s="103"/>
      <c r="CD161" s="103"/>
    </row>
    <row r="162" spans="1:82" ht="80" x14ac:dyDescent="0.2">
      <c r="A162" s="128" t="s">
        <v>34</v>
      </c>
      <c r="B162" s="128" t="s">
        <v>623</v>
      </c>
      <c r="C162" s="129" t="s">
        <v>634</v>
      </c>
      <c r="D162" s="110" t="s">
        <v>711</v>
      </c>
      <c r="E162" s="130"/>
      <c r="F162" s="112"/>
      <c r="G162" s="103"/>
      <c r="H162" s="103"/>
      <c r="I162" s="103"/>
      <c r="J162" s="103"/>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103"/>
      <c r="AQ162" s="103"/>
      <c r="AR162" s="103"/>
      <c r="AS162" s="103"/>
      <c r="AT162" s="103"/>
      <c r="AU162" s="103"/>
      <c r="AV162" s="103"/>
      <c r="AW162" s="103"/>
      <c r="AX162" s="103"/>
      <c r="AY162" s="103"/>
      <c r="AZ162" s="103"/>
      <c r="BA162" s="103"/>
      <c r="BB162" s="103"/>
      <c r="BC162" s="103"/>
      <c r="BD162" s="103"/>
      <c r="BE162" s="103"/>
      <c r="BF162" s="103"/>
      <c r="BG162" s="103"/>
      <c r="BH162" s="103"/>
      <c r="BI162" s="103"/>
      <c r="BJ162" s="103"/>
      <c r="BK162" s="103"/>
      <c r="BL162" s="103"/>
      <c r="BM162" s="103"/>
      <c r="BN162" s="103"/>
      <c r="BO162" s="103"/>
      <c r="BP162" s="103"/>
      <c r="BQ162" s="103"/>
      <c r="BR162" s="103"/>
      <c r="BS162" s="103"/>
      <c r="BT162" s="103"/>
      <c r="BU162" s="103"/>
      <c r="BV162" s="103"/>
      <c r="BW162" s="103"/>
      <c r="BX162" s="103"/>
      <c r="BY162" s="103"/>
      <c r="BZ162" s="103"/>
      <c r="CA162" s="103"/>
      <c r="CB162" s="103"/>
      <c r="CC162" s="103"/>
      <c r="CD162" s="103"/>
    </row>
    <row r="163" spans="1:82" ht="80" x14ac:dyDescent="0.2">
      <c r="A163" s="143" t="s">
        <v>35</v>
      </c>
      <c r="B163" s="143" t="s">
        <v>627</v>
      </c>
      <c r="C163" s="144" t="s">
        <v>635</v>
      </c>
      <c r="D163" s="114" t="s">
        <v>636</v>
      </c>
      <c r="E163" s="134"/>
      <c r="F163" s="112"/>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103"/>
      <c r="AQ163" s="103"/>
      <c r="AR163" s="103"/>
      <c r="AS163" s="103"/>
      <c r="AT163" s="103"/>
      <c r="AU163" s="103"/>
      <c r="AV163" s="103"/>
      <c r="AW163" s="103"/>
      <c r="AX163" s="103"/>
      <c r="AY163" s="103"/>
      <c r="AZ163" s="103"/>
      <c r="BA163" s="103"/>
      <c r="BB163" s="103"/>
      <c r="BC163" s="103"/>
      <c r="BD163" s="103"/>
      <c r="BE163" s="103"/>
      <c r="BF163" s="103"/>
      <c r="BG163" s="103"/>
      <c r="BH163" s="103"/>
      <c r="BI163" s="103"/>
      <c r="BJ163" s="103"/>
      <c r="BK163" s="103"/>
      <c r="BL163" s="103"/>
      <c r="BM163" s="103"/>
      <c r="BN163" s="103"/>
      <c r="BO163" s="103"/>
      <c r="BP163" s="103"/>
      <c r="BQ163" s="103"/>
      <c r="BR163" s="103"/>
      <c r="BS163" s="103"/>
      <c r="BT163" s="103"/>
      <c r="BU163" s="103"/>
      <c r="BV163" s="103"/>
      <c r="BW163" s="103"/>
      <c r="BX163" s="103"/>
      <c r="BY163" s="103"/>
      <c r="BZ163" s="103"/>
      <c r="CA163" s="103"/>
      <c r="CB163" s="103"/>
      <c r="CC163" s="103"/>
      <c r="CD163" s="103"/>
    </row>
    <row r="164" spans="1:82" ht="80" x14ac:dyDescent="0.2">
      <c r="A164" s="128" t="s">
        <v>36</v>
      </c>
      <c r="B164" s="128" t="s">
        <v>631</v>
      </c>
      <c r="C164" s="129" t="s">
        <v>637</v>
      </c>
      <c r="D164" s="110" t="s">
        <v>638</v>
      </c>
      <c r="E164" s="130"/>
      <c r="F164" s="112"/>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c r="AP164" s="103"/>
      <c r="AQ164" s="103"/>
      <c r="AR164" s="103"/>
      <c r="AS164" s="103"/>
      <c r="AT164" s="103"/>
      <c r="AU164" s="103"/>
      <c r="AV164" s="103"/>
      <c r="AW164" s="103"/>
      <c r="AX164" s="103"/>
      <c r="AY164" s="103"/>
      <c r="AZ164" s="103"/>
      <c r="BA164" s="103"/>
      <c r="BB164" s="103"/>
      <c r="BC164" s="103"/>
      <c r="BD164" s="103"/>
      <c r="BE164" s="103"/>
      <c r="BF164" s="103"/>
      <c r="BG164" s="103"/>
      <c r="BH164" s="103"/>
      <c r="BI164" s="103"/>
      <c r="BJ164" s="103"/>
      <c r="BK164" s="103"/>
      <c r="BL164" s="103"/>
      <c r="BM164" s="103"/>
      <c r="BN164" s="103"/>
      <c r="BO164" s="103"/>
      <c r="BP164" s="103"/>
      <c r="BQ164" s="103"/>
      <c r="BR164" s="103"/>
      <c r="BS164" s="103"/>
      <c r="BT164" s="103"/>
      <c r="BU164" s="103"/>
      <c r="BV164" s="103"/>
      <c r="BW164" s="103"/>
      <c r="BX164" s="103"/>
      <c r="BY164" s="103"/>
      <c r="BZ164" s="103"/>
      <c r="CA164" s="103"/>
      <c r="CB164" s="103"/>
      <c r="CC164" s="103"/>
      <c r="CD164" s="103"/>
    </row>
    <row r="165" spans="1:82" ht="80" x14ac:dyDescent="0.2">
      <c r="A165" s="143" t="s">
        <v>37</v>
      </c>
      <c r="B165" s="143" t="s">
        <v>33</v>
      </c>
      <c r="C165" s="144" t="s">
        <v>639</v>
      </c>
      <c r="D165" s="114" t="s">
        <v>640</v>
      </c>
      <c r="E165" s="134"/>
      <c r="F165" s="112"/>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c r="AP165" s="103"/>
      <c r="AQ165" s="103"/>
      <c r="AR165" s="103"/>
      <c r="AS165" s="103"/>
      <c r="AT165" s="103"/>
      <c r="AU165" s="103"/>
      <c r="AV165" s="103"/>
      <c r="AW165" s="103"/>
      <c r="AX165" s="103"/>
      <c r="AY165" s="103"/>
      <c r="AZ165" s="103"/>
      <c r="BA165" s="103"/>
      <c r="BB165" s="103"/>
      <c r="BC165" s="103"/>
      <c r="BD165" s="103"/>
      <c r="BE165" s="103"/>
      <c r="BF165" s="103"/>
      <c r="BG165" s="103"/>
      <c r="BH165" s="103"/>
      <c r="BI165" s="103"/>
      <c r="BJ165" s="103"/>
      <c r="BK165" s="103"/>
      <c r="BL165" s="103"/>
      <c r="BM165" s="103"/>
      <c r="BN165" s="103"/>
      <c r="BO165" s="103"/>
      <c r="BP165" s="103"/>
      <c r="BQ165" s="103"/>
      <c r="BR165" s="103"/>
      <c r="BS165" s="103"/>
      <c r="BT165" s="103"/>
      <c r="BU165" s="103"/>
      <c r="BV165" s="103"/>
      <c r="BW165" s="103"/>
      <c r="BX165" s="103"/>
      <c r="BY165" s="103"/>
      <c r="BZ165" s="103"/>
      <c r="CA165" s="103"/>
      <c r="CB165" s="103"/>
      <c r="CC165" s="103"/>
      <c r="CD165" s="103"/>
    </row>
    <row r="166" spans="1:82" ht="48" x14ac:dyDescent="0.2">
      <c r="A166" s="128" t="s">
        <v>38</v>
      </c>
      <c r="B166" s="128" t="s">
        <v>867</v>
      </c>
      <c r="C166" s="129" t="s">
        <v>641</v>
      </c>
      <c r="D166" s="110" t="s">
        <v>642</v>
      </c>
      <c r="E166" s="130"/>
      <c r="F166" s="112"/>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c r="AP166" s="103"/>
      <c r="AQ166" s="103"/>
      <c r="AR166" s="103"/>
      <c r="AS166" s="103"/>
      <c r="AT166" s="103"/>
      <c r="AU166" s="103"/>
      <c r="AV166" s="103"/>
      <c r="AW166" s="103"/>
      <c r="AX166" s="103"/>
      <c r="AY166" s="103"/>
      <c r="AZ166" s="103"/>
      <c r="BA166" s="103"/>
      <c r="BB166" s="103"/>
      <c r="BC166" s="103"/>
      <c r="BD166" s="103"/>
      <c r="BE166" s="103"/>
      <c r="BF166" s="103"/>
      <c r="BG166" s="103"/>
      <c r="BH166" s="103"/>
      <c r="BI166" s="103"/>
      <c r="BJ166" s="103"/>
      <c r="BK166" s="103"/>
      <c r="BL166" s="103"/>
      <c r="BM166" s="103"/>
      <c r="BN166" s="103"/>
      <c r="BO166" s="103"/>
      <c r="BP166" s="103"/>
      <c r="BQ166" s="103"/>
      <c r="BR166" s="103"/>
      <c r="BS166" s="103"/>
      <c r="BT166" s="103"/>
      <c r="BU166" s="103"/>
      <c r="BV166" s="103"/>
      <c r="BW166" s="103"/>
      <c r="BX166" s="103"/>
      <c r="BY166" s="103"/>
      <c r="BZ166" s="103"/>
      <c r="CA166" s="103"/>
      <c r="CB166" s="103"/>
      <c r="CC166" s="103"/>
      <c r="CD166" s="103"/>
    </row>
    <row r="167" spans="1:82" ht="80" x14ac:dyDescent="0.2">
      <c r="A167" s="143" t="s">
        <v>39</v>
      </c>
      <c r="B167" s="143" t="s">
        <v>868</v>
      </c>
      <c r="C167" s="144" t="s">
        <v>643</v>
      </c>
      <c r="D167" s="114" t="s">
        <v>712</v>
      </c>
      <c r="E167" s="134"/>
      <c r="F167" s="112"/>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c r="AJ167" s="103"/>
      <c r="AK167" s="103"/>
      <c r="AL167" s="103"/>
      <c r="AM167" s="103"/>
      <c r="AN167" s="103"/>
      <c r="AO167" s="103"/>
      <c r="AP167" s="103"/>
      <c r="AQ167" s="103"/>
      <c r="AR167" s="103"/>
      <c r="AS167" s="103"/>
      <c r="AT167" s="103"/>
      <c r="AU167" s="103"/>
      <c r="AV167" s="103"/>
      <c r="AW167" s="103"/>
      <c r="AX167" s="103"/>
      <c r="AY167" s="103"/>
      <c r="AZ167" s="103"/>
      <c r="BA167" s="103"/>
      <c r="BB167" s="103"/>
      <c r="BC167" s="103"/>
      <c r="BD167" s="103"/>
      <c r="BE167" s="103"/>
      <c r="BF167" s="103"/>
      <c r="BG167" s="103"/>
      <c r="BH167" s="103"/>
      <c r="BI167" s="103"/>
      <c r="BJ167" s="103"/>
      <c r="BK167" s="103"/>
      <c r="BL167" s="103"/>
      <c r="BM167" s="103"/>
      <c r="BN167" s="103"/>
      <c r="BO167" s="103"/>
      <c r="BP167" s="103"/>
      <c r="BQ167" s="103"/>
      <c r="BR167" s="103"/>
      <c r="BS167" s="103"/>
      <c r="BT167" s="103"/>
      <c r="BU167" s="103"/>
      <c r="BV167" s="103"/>
      <c r="BW167" s="103"/>
      <c r="BX167" s="103"/>
      <c r="BY167" s="103"/>
      <c r="BZ167" s="103"/>
      <c r="CA167" s="103"/>
      <c r="CB167" s="103"/>
      <c r="CC167" s="103"/>
      <c r="CD167" s="103"/>
    </row>
    <row r="168" spans="1:82" ht="64" x14ac:dyDescent="0.2">
      <c r="A168" s="128" t="s">
        <v>40</v>
      </c>
      <c r="B168" s="128" t="s">
        <v>869</v>
      </c>
      <c r="C168" s="103" t="s">
        <v>644</v>
      </c>
      <c r="D168" s="110" t="s">
        <v>645</v>
      </c>
      <c r="E168" s="130"/>
      <c r="F168" s="112"/>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c r="AP168" s="103"/>
      <c r="AQ168" s="103"/>
      <c r="AR168" s="103"/>
      <c r="AS168" s="103"/>
      <c r="AT168" s="103"/>
      <c r="AU168" s="103"/>
      <c r="AV168" s="103"/>
      <c r="AW168" s="103"/>
      <c r="AX168" s="103"/>
      <c r="AY168" s="103"/>
      <c r="AZ168" s="103"/>
      <c r="BA168" s="103"/>
      <c r="BB168" s="103"/>
      <c r="BC168" s="103"/>
      <c r="BD168" s="103"/>
      <c r="BE168" s="103"/>
      <c r="BF168" s="103"/>
      <c r="BG168" s="103"/>
      <c r="BH168" s="103"/>
      <c r="BI168" s="103"/>
      <c r="BJ168" s="103"/>
      <c r="BK168" s="103"/>
      <c r="BL168" s="103"/>
      <c r="BM168" s="103"/>
      <c r="BN168" s="103"/>
      <c r="BO168" s="103"/>
      <c r="BP168" s="103"/>
      <c r="BQ168" s="103"/>
      <c r="BR168" s="103"/>
      <c r="BS168" s="103"/>
      <c r="BT168" s="103"/>
      <c r="BU168" s="103"/>
      <c r="BV168" s="103"/>
      <c r="BW168" s="103"/>
      <c r="BX168" s="103"/>
      <c r="BY168" s="103"/>
      <c r="BZ168" s="103"/>
      <c r="CA168" s="103"/>
      <c r="CB168" s="103"/>
      <c r="CC168" s="103"/>
      <c r="CD168" s="103"/>
    </row>
    <row r="169" spans="1:82" ht="80" x14ac:dyDescent="0.2">
      <c r="A169" s="143" t="s">
        <v>41</v>
      </c>
      <c r="B169" s="143" t="s">
        <v>870</v>
      </c>
      <c r="C169" s="145" t="s">
        <v>646</v>
      </c>
      <c r="D169" s="114" t="s">
        <v>647</v>
      </c>
      <c r="E169" s="134"/>
      <c r="F169" s="112"/>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c r="AP169" s="103"/>
      <c r="AQ169" s="103"/>
      <c r="AR169" s="103"/>
      <c r="AS169" s="103"/>
      <c r="AT169" s="103"/>
      <c r="AU169" s="103"/>
      <c r="AV169" s="103"/>
      <c r="AW169" s="103"/>
      <c r="AX169" s="103"/>
      <c r="AY169" s="103"/>
      <c r="AZ169" s="103"/>
      <c r="BA169" s="103"/>
      <c r="BB169" s="103"/>
      <c r="BC169" s="103"/>
      <c r="BD169" s="103"/>
      <c r="BE169" s="103"/>
      <c r="BF169" s="103"/>
      <c r="BG169" s="103"/>
      <c r="BH169" s="103"/>
      <c r="BI169" s="103"/>
      <c r="BJ169" s="103"/>
      <c r="BK169" s="103"/>
      <c r="BL169" s="103"/>
      <c r="BM169" s="103"/>
      <c r="BN169" s="103"/>
      <c r="BO169" s="103"/>
      <c r="BP169" s="103"/>
      <c r="BQ169" s="103"/>
      <c r="BR169" s="103"/>
      <c r="BS169" s="103"/>
      <c r="BT169" s="103"/>
      <c r="BU169" s="103"/>
      <c r="BV169" s="103"/>
      <c r="BW169" s="103"/>
      <c r="BX169" s="103"/>
      <c r="BY169" s="103"/>
      <c r="BZ169" s="103"/>
      <c r="CA169" s="103"/>
      <c r="CB169" s="103"/>
      <c r="CC169" s="103"/>
      <c r="CD169" s="103"/>
    </row>
    <row r="170" spans="1:82" x14ac:dyDescent="0.2">
      <c r="A170" s="139"/>
      <c r="B170" s="139"/>
      <c r="C170" s="140"/>
      <c r="D170" s="141" t="s">
        <v>169</v>
      </c>
      <c r="E170" s="142"/>
      <c r="F170" s="112"/>
      <c r="G170" s="103"/>
      <c r="H170" s="103"/>
      <c r="I170" s="103"/>
      <c r="J170" s="103"/>
      <c r="K170" s="103"/>
      <c r="L170" s="103"/>
      <c r="M170" s="103"/>
      <c r="N170" s="103"/>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c r="AP170" s="103"/>
      <c r="AQ170" s="103"/>
      <c r="AR170" s="103"/>
      <c r="AS170" s="103"/>
      <c r="AT170" s="103"/>
      <c r="AU170" s="103"/>
      <c r="AV170" s="103"/>
      <c r="AW170" s="103"/>
      <c r="AX170" s="103"/>
      <c r="AY170" s="103"/>
      <c r="AZ170" s="103"/>
      <c r="BA170" s="103"/>
      <c r="BB170" s="103"/>
      <c r="BC170" s="103"/>
      <c r="BD170" s="103"/>
      <c r="BE170" s="103"/>
      <c r="BF170" s="103"/>
      <c r="BG170" s="103"/>
      <c r="BH170" s="103"/>
      <c r="BI170" s="103"/>
      <c r="BJ170" s="103"/>
      <c r="BK170" s="103"/>
      <c r="BL170" s="103"/>
      <c r="BM170" s="103"/>
      <c r="BN170" s="103"/>
      <c r="BO170" s="103"/>
      <c r="BP170" s="103"/>
      <c r="BQ170" s="103"/>
      <c r="BR170" s="103"/>
      <c r="BS170" s="103"/>
      <c r="BT170" s="103"/>
      <c r="BU170" s="103"/>
      <c r="BV170" s="103"/>
      <c r="BW170" s="103"/>
      <c r="BX170" s="103"/>
      <c r="BY170" s="103"/>
      <c r="BZ170" s="103"/>
      <c r="CA170" s="103"/>
      <c r="CB170" s="103"/>
      <c r="CC170" s="103"/>
      <c r="CD170" s="103"/>
    </row>
    <row r="171" spans="1:82" ht="32" x14ac:dyDescent="0.2">
      <c r="A171" s="113" t="s">
        <v>42</v>
      </c>
      <c r="B171" s="113" t="s">
        <v>34</v>
      </c>
      <c r="C171" s="114" t="s">
        <v>648</v>
      </c>
      <c r="D171" s="146" t="s">
        <v>713</v>
      </c>
      <c r="E171" s="115" t="s">
        <v>649</v>
      </c>
      <c r="F171" s="112"/>
      <c r="G171" s="103"/>
      <c r="H171" s="103"/>
      <c r="I171" s="103"/>
      <c r="J171" s="103"/>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c r="AP171" s="103"/>
      <c r="AQ171" s="103"/>
      <c r="AR171" s="103"/>
      <c r="AS171" s="103"/>
      <c r="AT171" s="103"/>
      <c r="AU171" s="103"/>
      <c r="AV171" s="103"/>
      <c r="AW171" s="103"/>
      <c r="AX171" s="103"/>
      <c r="AY171" s="103"/>
      <c r="AZ171" s="103"/>
      <c r="BA171" s="103"/>
      <c r="BB171" s="103"/>
      <c r="BC171" s="103"/>
      <c r="BD171" s="103"/>
      <c r="BE171" s="103"/>
      <c r="BF171" s="103"/>
      <c r="BG171" s="103"/>
      <c r="BH171" s="103"/>
      <c r="BI171" s="103"/>
      <c r="BJ171" s="103"/>
      <c r="BK171" s="103"/>
      <c r="BL171" s="103"/>
      <c r="BM171" s="103"/>
      <c r="BN171" s="103"/>
      <c r="BO171" s="103"/>
      <c r="BP171" s="103"/>
      <c r="BQ171" s="103"/>
      <c r="BR171" s="103"/>
      <c r="BS171" s="103"/>
      <c r="BT171" s="103"/>
      <c r="BU171" s="103"/>
      <c r="BV171" s="103"/>
      <c r="BW171" s="103"/>
      <c r="BX171" s="103"/>
      <c r="BY171" s="103"/>
      <c r="BZ171" s="103"/>
      <c r="CA171" s="103"/>
      <c r="CB171" s="103"/>
      <c r="CC171" s="103"/>
      <c r="CD171" s="103"/>
    </row>
    <row r="172" spans="1:82" ht="48" x14ac:dyDescent="0.2">
      <c r="A172" s="116" t="s">
        <v>43</v>
      </c>
      <c r="B172" s="116" t="s">
        <v>871</v>
      </c>
      <c r="C172" s="110" t="s">
        <v>650</v>
      </c>
      <c r="D172" s="147" t="s">
        <v>651</v>
      </c>
      <c r="E172" s="111"/>
      <c r="F172" s="112"/>
      <c r="G172" s="103"/>
      <c r="H172" s="103"/>
      <c r="I172" s="103"/>
      <c r="J172" s="103"/>
      <c r="K172" s="103"/>
      <c r="L172" s="103"/>
      <c r="M172" s="103"/>
      <c r="N172" s="103"/>
      <c r="O172" s="103"/>
      <c r="P172" s="103"/>
      <c r="Q172" s="103"/>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c r="AP172" s="103"/>
      <c r="AQ172" s="103"/>
      <c r="AR172" s="103"/>
      <c r="AS172" s="103"/>
      <c r="AT172" s="103"/>
      <c r="AU172" s="103"/>
      <c r="AV172" s="103"/>
      <c r="AW172" s="103"/>
      <c r="AX172" s="103"/>
      <c r="AY172" s="103"/>
      <c r="AZ172" s="103"/>
      <c r="BA172" s="103"/>
      <c r="BB172" s="103"/>
      <c r="BC172" s="103"/>
      <c r="BD172" s="103"/>
      <c r="BE172" s="103"/>
      <c r="BF172" s="103"/>
      <c r="BG172" s="103"/>
      <c r="BH172" s="103"/>
      <c r="BI172" s="103"/>
      <c r="BJ172" s="103"/>
      <c r="BK172" s="103"/>
      <c r="BL172" s="103"/>
      <c r="BM172" s="103"/>
      <c r="BN172" s="103"/>
      <c r="BO172" s="103"/>
      <c r="BP172" s="103"/>
      <c r="BQ172" s="103"/>
      <c r="BR172" s="103"/>
      <c r="BS172" s="103"/>
      <c r="BT172" s="103"/>
      <c r="BU172" s="103"/>
      <c r="BV172" s="103"/>
      <c r="BW172" s="103"/>
      <c r="BX172" s="103"/>
      <c r="BY172" s="103"/>
      <c r="BZ172" s="103"/>
      <c r="CA172" s="103"/>
      <c r="CB172" s="103"/>
      <c r="CC172" s="103"/>
      <c r="CD172" s="103"/>
    </row>
    <row r="173" spans="1:82" ht="64" x14ac:dyDescent="0.2">
      <c r="A173" s="124" t="s">
        <v>44</v>
      </c>
      <c r="B173" s="124" t="s">
        <v>872</v>
      </c>
      <c r="C173" s="114" t="s">
        <v>652</v>
      </c>
      <c r="D173" s="148" t="s">
        <v>714</v>
      </c>
      <c r="E173" s="115"/>
      <c r="F173" s="112"/>
      <c r="G173" s="103"/>
      <c r="H173" s="103"/>
      <c r="I173" s="103"/>
      <c r="J173" s="103"/>
      <c r="K173" s="103"/>
      <c r="L173" s="103"/>
      <c r="M173" s="103"/>
      <c r="N173" s="103"/>
      <c r="O173" s="103"/>
      <c r="P173" s="103"/>
      <c r="Q173" s="103"/>
      <c r="R173" s="103"/>
      <c r="S173" s="103"/>
      <c r="T173" s="103"/>
      <c r="U173" s="103"/>
      <c r="V173" s="103"/>
      <c r="W173" s="103"/>
      <c r="X173" s="103"/>
      <c r="Y173" s="103"/>
      <c r="Z173" s="103"/>
      <c r="AA173" s="103"/>
      <c r="AB173" s="103"/>
      <c r="AC173" s="103"/>
      <c r="AD173" s="103"/>
      <c r="AE173" s="103"/>
      <c r="AF173" s="103"/>
      <c r="AG173" s="103"/>
      <c r="AH173" s="103"/>
      <c r="AI173" s="103"/>
      <c r="AJ173" s="103"/>
      <c r="AK173" s="103"/>
      <c r="AL173" s="103"/>
      <c r="AM173" s="103"/>
      <c r="AN173" s="103"/>
      <c r="AO173" s="103"/>
      <c r="AP173" s="103"/>
      <c r="AQ173" s="103"/>
      <c r="AR173" s="103"/>
      <c r="AS173" s="103"/>
      <c r="AT173" s="103"/>
      <c r="AU173" s="103"/>
      <c r="AV173" s="103"/>
      <c r="AW173" s="103"/>
      <c r="AX173" s="103"/>
      <c r="AY173" s="103"/>
      <c r="AZ173" s="103"/>
      <c r="BA173" s="103"/>
      <c r="BB173" s="103"/>
      <c r="BC173" s="103"/>
      <c r="BD173" s="103"/>
      <c r="BE173" s="103"/>
      <c r="BF173" s="103"/>
      <c r="BG173" s="103"/>
      <c r="BH173" s="103"/>
      <c r="BI173" s="103"/>
      <c r="BJ173" s="103"/>
      <c r="BK173" s="103"/>
      <c r="BL173" s="103"/>
      <c r="BM173" s="103"/>
      <c r="BN173" s="103"/>
      <c r="BO173" s="103"/>
      <c r="BP173" s="103"/>
      <c r="BQ173" s="103"/>
      <c r="BR173" s="103"/>
      <c r="BS173" s="103"/>
      <c r="BT173" s="103"/>
      <c r="BU173" s="103"/>
      <c r="BV173" s="103"/>
      <c r="BW173" s="103"/>
      <c r="BX173" s="103"/>
      <c r="BY173" s="103"/>
      <c r="BZ173" s="103"/>
      <c r="CA173" s="103"/>
      <c r="CB173" s="103"/>
      <c r="CC173" s="103"/>
      <c r="CD173" s="103"/>
    </row>
    <row r="174" spans="1:82" ht="48" x14ac:dyDescent="0.2">
      <c r="A174" s="128" t="s">
        <v>45</v>
      </c>
      <c r="B174" s="128" t="s">
        <v>35</v>
      </c>
      <c r="C174" s="129" t="s">
        <v>653</v>
      </c>
      <c r="D174" s="110" t="s">
        <v>654</v>
      </c>
      <c r="E174" s="130"/>
      <c r="F174" s="112"/>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103"/>
      <c r="AO174" s="103"/>
      <c r="AP174" s="103"/>
      <c r="AQ174" s="103"/>
      <c r="AR174" s="103"/>
      <c r="AS174" s="103"/>
      <c r="AT174" s="103"/>
      <c r="AU174" s="103"/>
      <c r="AV174" s="103"/>
      <c r="AW174" s="103"/>
      <c r="AX174" s="103"/>
      <c r="AY174" s="103"/>
      <c r="AZ174" s="103"/>
      <c r="BA174" s="103"/>
      <c r="BB174" s="103"/>
      <c r="BC174" s="103"/>
      <c r="BD174" s="103"/>
      <c r="BE174" s="103"/>
      <c r="BF174" s="103"/>
      <c r="BG174" s="103"/>
      <c r="BH174" s="103"/>
      <c r="BI174" s="103"/>
      <c r="BJ174" s="103"/>
      <c r="BK174" s="103"/>
      <c r="BL174" s="103"/>
      <c r="BM174" s="103"/>
      <c r="BN174" s="103"/>
      <c r="BO174" s="103"/>
      <c r="BP174" s="103"/>
      <c r="BQ174" s="103"/>
      <c r="BR174" s="103"/>
      <c r="BS174" s="103"/>
      <c r="BT174" s="103"/>
      <c r="BU174" s="103"/>
      <c r="BV174" s="103"/>
      <c r="BW174" s="103"/>
      <c r="BX174" s="103"/>
      <c r="BY174" s="103"/>
      <c r="BZ174" s="103"/>
      <c r="CA174" s="103"/>
      <c r="CB174" s="103"/>
      <c r="CC174" s="103"/>
      <c r="CD174" s="103"/>
    </row>
    <row r="175" spans="1:82" ht="80" x14ac:dyDescent="0.2">
      <c r="A175" s="143" t="s">
        <v>46</v>
      </c>
      <c r="B175" s="143" t="s">
        <v>36</v>
      </c>
      <c r="C175" s="144" t="s">
        <v>655</v>
      </c>
      <c r="D175" s="114" t="s">
        <v>656</v>
      </c>
      <c r="E175" s="134"/>
      <c r="F175" s="112"/>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103"/>
      <c r="AO175" s="103"/>
      <c r="AP175" s="103"/>
      <c r="AQ175" s="103"/>
      <c r="AR175" s="103"/>
      <c r="AS175" s="103"/>
      <c r="AT175" s="103"/>
      <c r="AU175" s="103"/>
      <c r="AV175" s="103"/>
      <c r="AW175" s="103"/>
      <c r="AX175" s="103"/>
      <c r="AY175" s="103"/>
      <c r="AZ175" s="103"/>
      <c r="BA175" s="103"/>
      <c r="BB175" s="103"/>
      <c r="BC175" s="103"/>
      <c r="BD175" s="103"/>
      <c r="BE175" s="103"/>
      <c r="BF175" s="103"/>
      <c r="BG175" s="103"/>
      <c r="BH175" s="103"/>
      <c r="BI175" s="103"/>
      <c r="BJ175" s="103"/>
      <c r="BK175" s="103"/>
      <c r="BL175" s="103"/>
      <c r="BM175" s="103"/>
      <c r="BN175" s="103"/>
      <c r="BO175" s="103"/>
      <c r="BP175" s="103"/>
      <c r="BQ175" s="103"/>
      <c r="BR175" s="103"/>
      <c r="BS175" s="103"/>
      <c r="BT175" s="103"/>
      <c r="BU175" s="103"/>
      <c r="BV175" s="103"/>
      <c r="BW175" s="103"/>
      <c r="BX175" s="103"/>
      <c r="BY175" s="103"/>
      <c r="BZ175" s="103"/>
      <c r="CA175" s="103"/>
      <c r="CB175" s="103"/>
      <c r="CC175" s="103"/>
      <c r="CD175" s="103"/>
    </row>
    <row r="176" spans="1:82" ht="48" x14ac:dyDescent="0.2">
      <c r="A176" s="128" t="s">
        <v>47</v>
      </c>
      <c r="B176" s="128" t="s">
        <v>37</v>
      </c>
      <c r="C176" s="129" t="s">
        <v>657</v>
      </c>
      <c r="D176" s="110" t="s">
        <v>658</v>
      </c>
      <c r="E176" s="130"/>
      <c r="F176" s="112"/>
      <c r="G176" s="103"/>
      <c r="H176" s="103"/>
      <c r="I176" s="103"/>
      <c r="J176" s="103"/>
      <c r="K176" s="103"/>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03"/>
      <c r="AO176" s="103"/>
      <c r="AP176" s="103"/>
      <c r="AQ176" s="103"/>
      <c r="AR176" s="103"/>
      <c r="AS176" s="103"/>
      <c r="AT176" s="103"/>
      <c r="AU176" s="103"/>
      <c r="AV176" s="103"/>
      <c r="AW176" s="103"/>
      <c r="AX176" s="103"/>
      <c r="AY176" s="103"/>
      <c r="AZ176" s="103"/>
      <c r="BA176" s="103"/>
      <c r="BB176" s="103"/>
      <c r="BC176" s="103"/>
      <c r="BD176" s="103"/>
      <c r="BE176" s="103"/>
      <c r="BF176" s="103"/>
      <c r="BG176" s="103"/>
      <c r="BH176" s="103"/>
      <c r="BI176" s="103"/>
      <c r="BJ176" s="103"/>
      <c r="BK176" s="103"/>
      <c r="BL176" s="103"/>
      <c r="BM176" s="103"/>
      <c r="BN176" s="103"/>
      <c r="BO176" s="103"/>
      <c r="BP176" s="103"/>
      <c r="BQ176" s="103"/>
      <c r="BR176" s="103"/>
      <c r="BS176" s="103"/>
      <c r="BT176" s="103"/>
      <c r="BU176" s="103"/>
      <c r="BV176" s="103"/>
      <c r="BW176" s="103"/>
      <c r="BX176" s="103"/>
      <c r="BY176" s="103"/>
      <c r="BZ176" s="103"/>
      <c r="CA176" s="103"/>
      <c r="CB176" s="103"/>
      <c r="CC176" s="103"/>
      <c r="CD176" s="103"/>
    </row>
    <row r="177" spans="1:82" ht="64" x14ac:dyDescent="0.2">
      <c r="A177" s="143" t="s">
        <v>48</v>
      </c>
      <c r="B177" s="143" t="s">
        <v>38</v>
      </c>
      <c r="C177" s="144" t="s">
        <v>659</v>
      </c>
      <c r="D177" s="114" t="s">
        <v>660</v>
      </c>
      <c r="E177" s="134"/>
      <c r="F177" s="112"/>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03"/>
      <c r="AO177" s="103"/>
      <c r="AP177" s="103"/>
      <c r="AQ177" s="103"/>
      <c r="AR177" s="103"/>
      <c r="AS177" s="103"/>
      <c r="AT177" s="103"/>
      <c r="AU177" s="103"/>
      <c r="AV177" s="103"/>
      <c r="AW177" s="103"/>
      <c r="AX177" s="103"/>
      <c r="AY177" s="103"/>
      <c r="AZ177" s="103"/>
      <c r="BA177" s="103"/>
      <c r="BB177" s="103"/>
      <c r="BC177" s="103"/>
      <c r="BD177" s="103"/>
      <c r="BE177" s="103"/>
      <c r="BF177" s="103"/>
      <c r="BG177" s="103"/>
      <c r="BH177" s="103"/>
      <c r="BI177" s="103"/>
      <c r="BJ177" s="103"/>
      <c r="BK177" s="103"/>
      <c r="BL177" s="103"/>
      <c r="BM177" s="103"/>
      <c r="BN177" s="103"/>
      <c r="BO177" s="103"/>
      <c r="BP177" s="103"/>
      <c r="BQ177" s="103"/>
      <c r="BR177" s="103"/>
      <c r="BS177" s="103"/>
      <c r="BT177" s="103"/>
      <c r="BU177" s="103"/>
      <c r="BV177" s="103"/>
      <c r="BW177" s="103"/>
      <c r="BX177" s="103"/>
      <c r="BY177" s="103"/>
      <c r="BZ177" s="103"/>
      <c r="CA177" s="103"/>
      <c r="CB177" s="103"/>
      <c r="CC177" s="103"/>
      <c r="CD177" s="103"/>
    </row>
    <row r="178" spans="1:82" ht="48" x14ac:dyDescent="0.2">
      <c r="A178" s="128" t="s">
        <v>49</v>
      </c>
      <c r="B178" s="128" t="s">
        <v>39</v>
      </c>
      <c r="C178" s="129" t="s">
        <v>661</v>
      </c>
      <c r="D178" s="110" t="s">
        <v>662</v>
      </c>
      <c r="E178" s="130"/>
      <c r="F178" s="112"/>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03"/>
      <c r="AO178" s="103"/>
      <c r="AP178" s="103"/>
      <c r="AQ178" s="103"/>
      <c r="AR178" s="103"/>
      <c r="AS178" s="103"/>
      <c r="AT178" s="103"/>
      <c r="AU178" s="103"/>
      <c r="AV178" s="103"/>
      <c r="AW178" s="103"/>
      <c r="AX178" s="103"/>
      <c r="AY178" s="103"/>
      <c r="AZ178" s="103"/>
      <c r="BA178" s="103"/>
      <c r="BB178" s="103"/>
      <c r="BC178" s="103"/>
      <c r="BD178" s="103"/>
      <c r="BE178" s="103"/>
      <c r="BF178" s="103"/>
      <c r="BG178" s="103"/>
      <c r="BH178" s="103"/>
      <c r="BI178" s="103"/>
      <c r="BJ178" s="103"/>
      <c r="BK178" s="103"/>
      <c r="BL178" s="103"/>
      <c r="BM178" s="103"/>
      <c r="BN178" s="103"/>
      <c r="BO178" s="103"/>
      <c r="BP178" s="103"/>
      <c r="BQ178" s="103"/>
      <c r="BR178" s="103"/>
      <c r="BS178" s="103"/>
      <c r="BT178" s="103"/>
      <c r="BU178" s="103"/>
      <c r="BV178" s="103"/>
      <c r="BW178" s="103"/>
      <c r="BX178" s="103"/>
      <c r="BY178" s="103"/>
      <c r="BZ178" s="103"/>
      <c r="CA178" s="103"/>
      <c r="CB178" s="103"/>
      <c r="CC178" s="103"/>
      <c r="CD178" s="103"/>
    </row>
    <row r="179" spans="1:82" ht="32" x14ac:dyDescent="0.2">
      <c r="A179" s="143" t="s">
        <v>50</v>
      </c>
      <c r="B179" s="143" t="s">
        <v>40</v>
      </c>
      <c r="C179" s="144" t="s">
        <v>663</v>
      </c>
      <c r="D179" s="114" t="s">
        <v>664</v>
      </c>
      <c r="E179" s="134"/>
      <c r="F179" s="112"/>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03"/>
      <c r="AO179" s="103"/>
      <c r="AP179" s="103"/>
      <c r="AQ179" s="103"/>
      <c r="AR179" s="103"/>
      <c r="AS179" s="103"/>
      <c r="AT179" s="103"/>
      <c r="AU179" s="103"/>
      <c r="AV179" s="103"/>
      <c r="AW179" s="103"/>
      <c r="AX179" s="103"/>
      <c r="AY179" s="103"/>
      <c r="AZ179" s="103"/>
      <c r="BA179" s="103"/>
      <c r="BB179" s="103"/>
      <c r="BC179" s="103"/>
      <c r="BD179" s="103"/>
      <c r="BE179" s="103"/>
      <c r="BF179" s="103"/>
      <c r="BG179" s="103"/>
      <c r="BH179" s="103"/>
      <c r="BI179" s="103"/>
      <c r="BJ179" s="103"/>
      <c r="BK179" s="103"/>
      <c r="BL179" s="103"/>
      <c r="BM179" s="103"/>
      <c r="BN179" s="103"/>
      <c r="BO179" s="103"/>
      <c r="BP179" s="103"/>
      <c r="BQ179" s="103"/>
      <c r="BR179" s="103"/>
      <c r="BS179" s="103"/>
      <c r="BT179" s="103"/>
      <c r="BU179" s="103"/>
      <c r="BV179" s="103"/>
      <c r="BW179" s="103"/>
      <c r="BX179" s="103"/>
      <c r="BY179" s="103"/>
      <c r="BZ179" s="103"/>
      <c r="CA179" s="103"/>
      <c r="CB179" s="103"/>
      <c r="CC179" s="103"/>
      <c r="CD179" s="103"/>
    </row>
    <row r="180" spans="1:82" ht="32" x14ac:dyDescent="0.2">
      <c r="A180" s="128" t="s">
        <v>51</v>
      </c>
      <c r="B180" s="128" t="s">
        <v>41</v>
      </c>
      <c r="C180" s="129" t="s">
        <v>665</v>
      </c>
      <c r="D180" s="110" t="s">
        <v>666</v>
      </c>
      <c r="E180" s="130"/>
      <c r="F180" s="112"/>
      <c r="G180" s="103"/>
      <c r="H180" s="103"/>
      <c r="I180" s="103"/>
      <c r="J180" s="103"/>
      <c r="K180" s="103"/>
      <c r="L180" s="103"/>
      <c r="M180" s="103"/>
      <c r="N180" s="103"/>
      <c r="O180" s="103"/>
      <c r="P180" s="103"/>
      <c r="Q180" s="103"/>
      <c r="R180" s="103"/>
      <c r="S180" s="103"/>
      <c r="T180" s="103"/>
      <c r="U180" s="103"/>
      <c r="V180" s="103"/>
      <c r="W180" s="103"/>
      <c r="X180" s="103"/>
      <c r="Y180" s="103"/>
      <c r="Z180" s="103"/>
      <c r="AA180" s="103"/>
      <c r="AB180" s="103"/>
      <c r="AC180" s="103"/>
      <c r="AD180" s="103"/>
      <c r="AE180" s="103"/>
      <c r="AF180" s="103"/>
      <c r="AG180" s="103"/>
      <c r="AH180" s="103"/>
      <c r="AI180" s="103"/>
      <c r="AJ180" s="103"/>
      <c r="AK180" s="103"/>
      <c r="AL180" s="103"/>
      <c r="AM180" s="103"/>
      <c r="AN180" s="103"/>
      <c r="AO180" s="103"/>
      <c r="AP180" s="103"/>
      <c r="AQ180" s="103"/>
      <c r="AR180" s="103"/>
      <c r="AS180" s="103"/>
      <c r="AT180" s="103"/>
      <c r="AU180" s="103"/>
      <c r="AV180" s="103"/>
      <c r="AW180" s="103"/>
      <c r="AX180" s="103"/>
      <c r="AY180" s="103"/>
      <c r="AZ180" s="103"/>
      <c r="BA180" s="103"/>
      <c r="BB180" s="103"/>
      <c r="BC180" s="103"/>
      <c r="BD180" s="103"/>
      <c r="BE180" s="103"/>
      <c r="BF180" s="103"/>
      <c r="BG180" s="103"/>
      <c r="BH180" s="103"/>
      <c r="BI180" s="103"/>
      <c r="BJ180" s="103"/>
      <c r="BK180" s="103"/>
      <c r="BL180" s="103"/>
      <c r="BM180" s="103"/>
      <c r="BN180" s="103"/>
      <c r="BO180" s="103"/>
      <c r="BP180" s="103"/>
      <c r="BQ180" s="103"/>
      <c r="BR180" s="103"/>
      <c r="BS180" s="103"/>
      <c r="BT180" s="103"/>
      <c r="BU180" s="103"/>
      <c r="BV180" s="103"/>
      <c r="BW180" s="103"/>
      <c r="BX180" s="103"/>
      <c r="BY180" s="103"/>
      <c r="BZ180" s="103"/>
      <c r="CA180" s="103"/>
      <c r="CB180" s="103"/>
      <c r="CC180" s="103"/>
      <c r="CD180" s="103"/>
    </row>
    <row r="181" spans="1:82" ht="32" x14ac:dyDescent="0.2">
      <c r="A181" s="143" t="s">
        <v>52</v>
      </c>
      <c r="B181" s="143" t="s">
        <v>873</v>
      </c>
      <c r="C181" s="144" t="s">
        <v>667</v>
      </c>
      <c r="D181" s="114" t="s">
        <v>668</v>
      </c>
      <c r="E181" s="134"/>
      <c r="F181" s="112"/>
      <c r="G181" s="103"/>
      <c r="H181" s="103"/>
      <c r="I181" s="103"/>
      <c r="J181" s="103"/>
      <c r="K181" s="103"/>
      <c r="L181" s="103"/>
      <c r="M181" s="103"/>
      <c r="N181" s="103"/>
      <c r="O181" s="103"/>
      <c r="P181" s="103"/>
      <c r="Q181" s="103"/>
      <c r="R181" s="103"/>
      <c r="S181" s="103"/>
      <c r="T181" s="103"/>
      <c r="U181" s="103"/>
      <c r="V181" s="103"/>
      <c r="W181" s="103"/>
      <c r="X181" s="103"/>
      <c r="Y181" s="103"/>
      <c r="Z181" s="103"/>
      <c r="AA181" s="103"/>
      <c r="AB181" s="103"/>
      <c r="AC181" s="103"/>
      <c r="AD181" s="103"/>
      <c r="AE181" s="103"/>
      <c r="AF181" s="103"/>
      <c r="AG181" s="103"/>
      <c r="AH181" s="103"/>
      <c r="AI181" s="103"/>
      <c r="AJ181" s="103"/>
      <c r="AK181" s="103"/>
      <c r="AL181" s="103"/>
      <c r="AM181" s="103"/>
      <c r="AN181" s="103"/>
      <c r="AO181" s="103"/>
      <c r="AP181" s="103"/>
      <c r="AQ181" s="103"/>
      <c r="AR181" s="103"/>
      <c r="AS181" s="103"/>
      <c r="AT181" s="103"/>
      <c r="AU181" s="103"/>
      <c r="AV181" s="103"/>
      <c r="AW181" s="103"/>
      <c r="AX181" s="103"/>
      <c r="AY181" s="103"/>
      <c r="AZ181" s="103"/>
      <c r="BA181" s="103"/>
      <c r="BB181" s="103"/>
      <c r="BC181" s="103"/>
      <c r="BD181" s="103"/>
      <c r="BE181" s="103"/>
      <c r="BF181" s="103"/>
      <c r="BG181" s="103"/>
      <c r="BH181" s="103"/>
      <c r="BI181" s="103"/>
      <c r="BJ181" s="103"/>
      <c r="BK181" s="103"/>
      <c r="BL181" s="103"/>
      <c r="BM181" s="103"/>
      <c r="BN181" s="103"/>
      <c r="BO181" s="103"/>
      <c r="BP181" s="103"/>
      <c r="BQ181" s="103"/>
      <c r="BR181" s="103"/>
      <c r="BS181" s="103"/>
      <c r="BT181" s="103"/>
      <c r="BU181" s="103"/>
      <c r="BV181" s="103"/>
      <c r="BW181" s="103"/>
      <c r="BX181" s="103"/>
      <c r="BY181" s="103"/>
      <c r="BZ181" s="103"/>
      <c r="CA181" s="103"/>
      <c r="CB181" s="103"/>
      <c r="CC181" s="103"/>
      <c r="CD181" s="103"/>
    </row>
    <row r="182" spans="1:82" x14ac:dyDescent="0.2">
      <c r="A182" s="139"/>
      <c r="B182" s="139"/>
      <c r="C182" s="140"/>
      <c r="D182" s="141" t="s">
        <v>170</v>
      </c>
      <c r="E182" s="142"/>
      <c r="F182" s="112"/>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c r="AD182" s="103"/>
      <c r="AE182" s="103"/>
      <c r="AF182" s="103"/>
      <c r="AG182" s="103"/>
      <c r="AH182" s="103"/>
      <c r="AI182" s="103"/>
      <c r="AJ182" s="103"/>
      <c r="AK182" s="103"/>
      <c r="AL182" s="103"/>
      <c r="AM182" s="103"/>
      <c r="AN182" s="103"/>
      <c r="AO182" s="103"/>
      <c r="AP182" s="103"/>
      <c r="AQ182" s="103"/>
      <c r="AR182" s="103"/>
      <c r="AS182" s="103"/>
      <c r="AT182" s="103"/>
      <c r="AU182" s="103"/>
      <c r="AV182" s="103"/>
      <c r="AW182" s="103"/>
      <c r="AX182" s="103"/>
      <c r="AY182" s="103"/>
      <c r="AZ182" s="103"/>
      <c r="BA182" s="103"/>
      <c r="BB182" s="103"/>
      <c r="BC182" s="103"/>
      <c r="BD182" s="103"/>
      <c r="BE182" s="103"/>
      <c r="BF182" s="103"/>
      <c r="BG182" s="103"/>
      <c r="BH182" s="103"/>
      <c r="BI182" s="103"/>
      <c r="BJ182" s="103"/>
      <c r="BK182" s="103"/>
      <c r="BL182" s="103"/>
      <c r="BM182" s="103"/>
      <c r="BN182" s="103"/>
      <c r="BO182" s="103"/>
      <c r="BP182" s="103"/>
      <c r="BQ182" s="103"/>
      <c r="BR182" s="103"/>
      <c r="BS182" s="103"/>
      <c r="BT182" s="103"/>
      <c r="BU182" s="103"/>
      <c r="BV182" s="103"/>
      <c r="BW182" s="103"/>
      <c r="BX182" s="103"/>
      <c r="BY182" s="103"/>
      <c r="BZ182" s="103"/>
      <c r="CA182" s="103"/>
      <c r="CB182" s="103"/>
      <c r="CC182" s="103"/>
      <c r="CD182" s="103"/>
    </row>
    <row r="183" spans="1:82" s="117" customFormat="1" ht="48" x14ac:dyDescent="0.2">
      <c r="A183" s="113" t="s">
        <v>53</v>
      </c>
      <c r="B183" s="113" t="s">
        <v>42</v>
      </c>
      <c r="C183" s="114" t="s">
        <v>171</v>
      </c>
      <c r="D183" s="114" t="s">
        <v>741</v>
      </c>
      <c r="E183" s="115"/>
      <c r="F183" s="112"/>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c r="AD183" s="103"/>
      <c r="AE183" s="103"/>
      <c r="AF183" s="103"/>
      <c r="AG183" s="103"/>
      <c r="AH183" s="103"/>
      <c r="AI183" s="103"/>
      <c r="AJ183" s="103"/>
      <c r="AK183" s="103"/>
      <c r="AL183" s="103"/>
      <c r="AM183" s="103"/>
      <c r="AN183" s="103"/>
      <c r="AO183" s="103"/>
      <c r="AP183" s="103"/>
      <c r="AQ183" s="103"/>
      <c r="AR183" s="103"/>
      <c r="AS183" s="103"/>
      <c r="AT183" s="103"/>
      <c r="AU183" s="103"/>
      <c r="AV183" s="103"/>
      <c r="AW183" s="103"/>
      <c r="AX183" s="103"/>
      <c r="AY183" s="103"/>
      <c r="AZ183" s="103"/>
      <c r="BA183" s="103"/>
      <c r="BB183" s="103"/>
      <c r="BC183" s="103"/>
      <c r="BD183" s="103"/>
      <c r="BE183" s="103"/>
      <c r="BF183" s="103"/>
      <c r="BG183" s="103"/>
      <c r="BH183" s="103"/>
      <c r="BI183" s="103"/>
      <c r="BJ183" s="103"/>
      <c r="BK183" s="103"/>
      <c r="BL183" s="103"/>
      <c r="BM183" s="103"/>
      <c r="BN183" s="103"/>
      <c r="BO183" s="103"/>
      <c r="BP183" s="103"/>
      <c r="BQ183" s="103"/>
      <c r="BR183" s="103"/>
      <c r="BS183" s="103"/>
      <c r="BT183" s="103"/>
      <c r="BU183" s="103"/>
      <c r="BV183" s="103"/>
      <c r="BW183" s="103"/>
      <c r="BX183" s="103"/>
      <c r="BY183" s="103"/>
      <c r="BZ183" s="103"/>
      <c r="CA183" s="103"/>
      <c r="CB183" s="103"/>
      <c r="CC183" s="103"/>
      <c r="CD183" s="103"/>
    </row>
    <row r="184" spans="1:82" s="117" customFormat="1" ht="64" x14ac:dyDescent="0.2">
      <c r="A184" s="109" t="s">
        <v>669</v>
      </c>
      <c r="B184" s="109" t="s">
        <v>43</v>
      </c>
      <c r="C184" s="110" t="s">
        <v>670</v>
      </c>
      <c r="D184" s="110" t="s">
        <v>671</v>
      </c>
      <c r="E184" s="111" t="s">
        <v>672</v>
      </c>
      <c r="F184" s="112"/>
      <c r="G184" s="103"/>
      <c r="H184" s="103"/>
      <c r="I184" s="103"/>
      <c r="J184" s="103"/>
      <c r="K184" s="103"/>
      <c r="L184" s="103"/>
      <c r="M184" s="103"/>
      <c r="N184" s="103"/>
      <c r="O184" s="103"/>
      <c r="P184" s="103"/>
      <c r="Q184" s="103"/>
      <c r="R184" s="103"/>
      <c r="S184" s="103"/>
      <c r="T184" s="103"/>
      <c r="U184" s="103"/>
      <c r="V184" s="103"/>
      <c r="W184" s="103"/>
      <c r="X184" s="103"/>
      <c r="Y184" s="103"/>
      <c r="Z184" s="103"/>
      <c r="AA184" s="103"/>
      <c r="AB184" s="103"/>
      <c r="AC184" s="103"/>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c r="AX184" s="103"/>
      <c r="AY184" s="103"/>
      <c r="AZ184" s="103"/>
      <c r="BA184" s="103"/>
      <c r="BB184" s="103"/>
      <c r="BC184" s="103"/>
      <c r="BD184" s="103"/>
      <c r="BE184" s="103"/>
      <c r="BF184" s="103"/>
      <c r="BG184" s="103"/>
      <c r="BH184" s="103"/>
      <c r="BI184" s="103"/>
      <c r="BJ184" s="103"/>
      <c r="BK184" s="103"/>
      <c r="BL184" s="103"/>
      <c r="BM184" s="103"/>
      <c r="BN184" s="103"/>
      <c r="BO184" s="103"/>
      <c r="BP184" s="103"/>
      <c r="BQ184" s="103"/>
      <c r="BR184" s="103"/>
      <c r="BS184" s="103"/>
      <c r="BT184" s="103"/>
      <c r="BU184" s="103"/>
      <c r="BV184" s="103"/>
      <c r="BW184" s="103"/>
      <c r="BX184" s="103"/>
      <c r="BY184" s="103"/>
      <c r="BZ184" s="103"/>
      <c r="CA184" s="103"/>
      <c r="CB184" s="103"/>
      <c r="CC184" s="103"/>
      <c r="CD184" s="103"/>
    </row>
    <row r="185" spans="1:82" s="117" customFormat="1" ht="48" x14ac:dyDescent="0.2">
      <c r="A185" s="113" t="s">
        <v>673</v>
      </c>
      <c r="B185" s="113" t="s">
        <v>44</v>
      </c>
      <c r="C185" s="114" t="s">
        <v>674</v>
      </c>
      <c r="D185" s="114" t="s">
        <v>675</v>
      </c>
      <c r="E185" s="115"/>
      <c r="F185" s="112"/>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103"/>
      <c r="AH185" s="103"/>
      <c r="AI185" s="103"/>
      <c r="AJ185" s="103"/>
      <c r="AK185" s="103"/>
      <c r="AL185" s="103"/>
      <c r="AM185" s="103"/>
      <c r="AN185" s="103"/>
      <c r="AO185" s="103"/>
      <c r="AP185" s="103"/>
      <c r="AQ185" s="103"/>
      <c r="AR185" s="103"/>
      <c r="AS185" s="103"/>
      <c r="AT185" s="103"/>
      <c r="AU185" s="103"/>
      <c r="AV185" s="103"/>
      <c r="AW185" s="103"/>
      <c r="AX185" s="103"/>
      <c r="AY185" s="103"/>
      <c r="AZ185" s="103"/>
      <c r="BA185" s="103"/>
      <c r="BB185" s="103"/>
      <c r="BC185" s="103"/>
      <c r="BD185" s="103"/>
      <c r="BE185" s="103"/>
      <c r="BF185" s="103"/>
      <c r="BG185" s="103"/>
      <c r="BH185" s="103"/>
      <c r="BI185" s="103"/>
      <c r="BJ185" s="103"/>
      <c r="BK185" s="103"/>
      <c r="BL185" s="103"/>
      <c r="BM185" s="103"/>
      <c r="BN185" s="103"/>
      <c r="BO185" s="103"/>
      <c r="BP185" s="103"/>
      <c r="BQ185" s="103"/>
      <c r="BR185" s="103"/>
      <c r="BS185" s="103"/>
      <c r="BT185" s="103"/>
      <c r="BU185" s="103"/>
      <c r="BV185" s="103"/>
      <c r="BW185" s="103"/>
      <c r="BX185" s="103"/>
      <c r="BY185" s="103"/>
      <c r="BZ185" s="103"/>
      <c r="CA185" s="103"/>
      <c r="CB185" s="103"/>
      <c r="CC185" s="103"/>
      <c r="CD185" s="103"/>
    </row>
    <row r="186" spans="1:82" s="117" customFormat="1" ht="32" x14ac:dyDescent="0.2">
      <c r="A186" s="109" t="s">
        <v>54</v>
      </c>
      <c r="B186" s="109" t="s">
        <v>45</v>
      </c>
      <c r="C186" s="110" t="s">
        <v>172</v>
      </c>
      <c r="D186" s="110" t="s">
        <v>173</v>
      </c>
      <c r="E186" s="111"/>
      <c r="F186" s="112"/>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c r="AD186" s="103"/>
      <c r="AE186" s="103"/>
      <c r="AF186" s="103"/>
      <c r="AG186" s="103"/>
      <c r="AH186" s="103"/>
      <c r="AI186" s="103"/>
      <c r="AJ186" s="103"/>
      <c r="AK186" s="103"/>
      <c r="AL186" s="103"/>
      <c r="AM186" s="103"/>
      <c r="AN186" s="103"/>
      <c r="AO186" s="103"/>
      <c r="AP186" s="103"/>
      <c r="AQ186" s="103"/>
      <c r="AR186" s="103"/>
      <c r="AS186" s="103"/>
      <c r="AT186" s="103"/>
      <c r="AU186" s="103"/>
      <c r="AV186" s="103"/>
      <c r="AW186" s="103"/>
      <c r="AX186" s="103"/>
      <c r="AY186" s="103"/>
      <c r="AZ186" s="103"/>
      <c r="BA186" s="103"/>
      <c r="BB186" s="103"/>
      <c r="BC186" s="103"/>
      <c r="BD186" s="103"/>
      <c r="BE186" s="103"/>
      <c r="BF186" s="103"/>
      <c r="BG186" s="103"/>
      <c r="BH186" s="103"/>
      <c r="BI186" s="103"/>
      <c r="BJ186" s="103"/>
      <c r="BK186" s="103"/>
      <c r="BL186" s="103"/>
      <c r="BM186" s="103"/>
      <c r="BN186" s="103"/>
      <c r="BO186" s="103"/>
      <c r="BP186" s="103"/>
      <c r="BQ186" s="103"/>
      <c r="BR186" s="103"/>
      <c r="BS186" s="103"/>
      <c r="BT186" s="103"/>
      <c r="BU186" s="103"/>
      <c r="BV186" s="103"/>
      <c r="BW186" s="103"/>
      <c r="BX186" s="103"/>
      <c r="BY186" s="103"/>
      <c r="BZ186" s="103"/>
      <c r="CA186" s="103"/>
      <c r="CB186" s="103"/>
      <c r="CC186" s="103"/>
      <c r="CD186" s="103"/>
    </row>
    <row r="187" spans="1:82" s="117" customFormat="1" ht="49" x14ac:dyDescent="0.2">
      <c r="A187" s="113" t="s">
        <v>55</v>
      </c>
      <c r="B187" s="113" t="s">
        <v>46</v>
      </c>
      <c r="C187" s="145" t="s">
        <v>174</v>
      </c>
      <c r="D187" s="114" t="s">
        <v>715</v>
      </c>
      <c r="E187" s="115"/>
      <c r="F187" s="112"/>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c r="AX187" s="103"/>
      <c r="AY187" s="103"/>
      <c r="AZ187" s="103"/>
      <c r="BA187" s="103"/>
      <c r="BB187" s="103"/>
      <c r="BC187" s="103"/>
      <c r="BD187" s="103"/>
      <c r="BE187" s="103"/>
      <c r="BF187" s="103"/>
      <c r="BG187" s="103"/>
      <c r="BH187" s="103"/>
      <c r="BI187" s="103"/>
      <c r="BJ187" s="103"/>
      <c r="BK187" s="103"/>
      <c r="BL187" s="103"/>
      <c r="BM187" s="103"/>
      <c r="BN187" s="103"/>
      <c r="BO187" s="103"/>
      <c r="BP187" s="103"/>
      <c r="BQ187" s="103"/>
      <c r="BR187" s="103"/>
      <c r="BS187" s="103"/>
      <c r="BT187" s="103"/>
      <c r="BU187" s="103"/>
      <c r="BV187" s="103"/>
      <c r="BW187" s="103"/>
      <c r="BX187" s="103"/>
      <c r="BY187" s="103"/>
      <c r="BZ187" s="103"/>
      <c r="CA187" s="103"/>
      <c r="CB187" s="103"/>
      <c r="CC187" s="103"/>
      <c r="CD187" s="103"/>
    </row>
    <row r="188" spans="1:82" s="117" customFormat="1" x14ac:dyDescent="0.2">
      <c r="A188" s="113" t="s">
        <v>27</v>
      </c>
      <c r="B188" s="113" t="s">
        <v>47</v>
      </c>
      <c r="C188" s="114" t="s">
        <v>151</v>
      </c>
      <c r="D188" s="114" t="s">
        <v>152</v>
      </c>
      <c r="E188" s="115" t="s">
        <v>153</v>
      </c>
      <c r="F188" s="112"/>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c r="AD188" s="103"/>
      <c r="AE188" s="103"/>
      <c r="AF188" s="103"/>
      <c r="AG188" s="103"/>
      <c r="AH188" s="103"/>
      <c r="AI188" s="103"/>
      <c r="AJ188" s="103"/>
      <c r="AK188" s="103"/>
      <c r="AL188" s="103"/>
      <c r="AM188" s="103"/>
      <c r="AN188" s="103"/>
      <c r="AO188" s="103"/>
      <c r="AP188" s="103"/>
      <c r="AQ188" s="103"/>
      <c r="AR188" s="103"/>
      <c r="AS188" s="103"/>
      <c r="AT188" s="103"/>
      <c r="AU188" s="103"/>
      <c r="AV188" s="103"/>
      <c r="AW188" s="103"/>
      <c r="AX188" s="103"/>
      <c r="AY188" s="103"/>
      <c r="AZ188" s="103"/>
      <c r="BA188" s="103"/>
      <c r="BB188" s="103"/>
      <c r="BC188" s="103"/>
      <c r="BD188" s="103"/>
      <c r="BE188" s="103"/>
      <c r="BF188" s="103"/>
      <c r="BG188" s="103"/>
      <c r="BH188" s="103"/>
      <c r="BI188" s="103"/>
      <c r="BJ188" s="103"/>
      <c r="BK188" s="103"/>
      <c r="BL188" s="103"/>
      <c r="BM188" s="103"/>
      <c r="BN188" s="103"/>
      <c r="BO188" s="103"/>
      <c r="BP188" s="103"/>
      <c r="BQ188" s="103"/>
      <c r="BR188" s="103"/>
      <c r="BS188" s="103"/>
      <c r="BT188" s="103"/>
      <c r="BU188" s="103"/>
      <c r="BV188" s="103"/>
      <c r="BW188" s="103"/>
      <c r="BX188" s="103"/>
      <c r="BY188" s="103"/>
      <c r="BZ188" s="103"/>
      <c r="CA188" s="103"/>
      <c r="CB188" s="103"/>
      <c r="CC188" s="103"/>
      <c r="CD188" s="103"/>
    </row>
    <row r="189" spans="1:82" x14ac:dyDescent="0.2">
      <c r="A189" s="139"/>
      <c r="B189" s="139"/>
      <c r="C189" s="140"/>
      <c r="D189" s="141" t="s">
        <v>175</v>
      </c>
      <c r="E189" s="142"/>
      <c r="F189" s="112"/>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c r="AD189" s="103"/>
      <c r="AE189" s="103"/>
      <c r="AF189" s="103"/>
      <c r="AG189" s="103"/>
      <c r="AH189" s="103"/>
      <c r="AI189" s="103"/>
      <c r="AJ189" s="103"/>
      <c r="AK189" s="103"/>
      <c r="AL189" s="103"/>
      <c r="AM189" s="103"/>
      <c r="AN189" s="103"/>
      <c r="AO189" s="103"/>
      <c r="AP189" s="103"/>
      <c r="AQ189" s="103"/>
      <c r="AR189" s="103"/>
      <c r="AS189" s="103"/>
      <c r="AT189" s="103"/>
      <c r="AU189" s="103"/>
      <c r="AV189" s="103"/>
      <c r="AW189" s="103"/>
      <c r="AX189" s="103"/>
      <c r="AY189" s="103"/>
      <c r="AZ189" s="103"/>
      <c r="BA189" s="103"/>
      <c r="BB189" s="103"/>
      <c r="BC189" s="103"/>
      <c r="BD189" s="103"/>
      <c r="BE189" s="103"/>
      <c r="BF189" s="103"/>
      <c r="BG189" s="103"/>
      <c r="BH189" s="103"/>
      <c r="BI189" s="103"/>
      <c r="BJ189" s="103"/>
      <c r="BK189" s="103"/>
      <c r="BL189" s="103"/>
      <c r="BM189" s="103"/>
      <c r="BN189" s="103"/>
      <c r="BO189" s="103"/>
      <c r="BP189" s="103"/>
      <c r="BQ189" s="103"/>
      <c r="BR189" s="103"/>
      <c r="BS189" s="103"/>
      <c r="BT189" s="103"/>
      <c r="BU189" s="103"/>
      <c r="BV189" s="103"/>
      <c r="BW189" s="103"/>
      <c r="BX189" s="103"/>
      <c r="BY189" s="103"/>
      <c r="BZ189" s="103"/>
      <c r="CA189" s="103"/>
      <c r="CB189" s="103"/>
      <c r="CC189" s="103"/>
      <c r="CD189" s="103"/>
    </row>
    <row r="190" spans="1:82" x14ac:dyDescent="0.2">
      <c r="A190" s="149" t="s">
        <v>58</v>
      </c>
      <c r="B190" s="149" t="s">
        <v>53</v>
      </c>
      <c r="C190" s="103" t="s">
        <v>676</v>
      </c>
      <c r="D190" s="110" t="s">
        <v>677</v>
      </c>
      <c r="E190" s="130"/>
      <c r="F190" s="112"/>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c r="AD190" s="103"/>
      <c r="AE190" s="103"/>
      <c r="AF190" s="103"/>
      <c r="AG190" s="103"/>
      <c r="AH190" s="103"/>
      <c r="AI190" s="103"/>
      <c r="AJ190" s="103"/>
      <c r="AK190" s="103"/>
      <c r="AL190" s="103"/>
      <c r="AM190" s="103"/>
      <c r="AN190" s="103"/>
      <c r="AO190" s="103"/>
      <c r="AP190" s="103"/>
      <c r="AQ190" s="103"/>
      <c r="AR190" s="103"/>
      <c r="AS190" s="103"/>
      <c r="AT190" s="103"/>
      <c r="AU190" s="103"/>
      <c r="AV190" s="103"/>
      <c r="AW190" s="103"/>
      <c r="AX190" s="103"/>
      <c r="AY190" s="103"/>
      <c r="AZ190" s="103"/>
      <c r="BA190" s="103"/>
      <c r="BB190" s="103"/>
      <c r="BC190" s="103"/>
      <c r="BD190" s="103"/>
      <c r="BE190" s="103"/>
      <c r="BF190" s="103"/>
      <c r="BG190" s="103"/>
      <c r="BH190" s="103"/>
      <c r="BI190" s="103"/>
      <c r="BJ190" s="103"/>
      <c r="BK190" s="103"/>
      <c r="BL190" s="103"/>
      <c r="BM190" s="103"/>
      <c r="BN190" s="103"/>
      <c r="BO190" s="103"/>
      <c r="BP190" s="103"/>
      <c r="BQ190" s="103"/>
      <c r="BR190" s="103"/>
      <c r="BS190" s="103"/>
      <c r="BT190" s="103"/>
      <c r="BU190" s="103"/>
      <c r="BV190" s="103"/>
      <c r="BW190" s="103"/>
      <c r="BX190" s="103"/>
      <c r="BY190" s="103"/>
      <c r="BZ190" s="103"/>
      <c r="CA190" s="103"/>
      <c r="CB190" s="103"/>
      <c r="CC190" s="103"/>
      <c r="CD190" s="103"/>
    </row>
    <row r="191" spans="1:82" s="151" customFormat="1" ht="32" x14ac:dyDescent="0.2">
      <c r="A191" s="150" t="s">
        <v>59</v>
      </c>
      <c r="B191" s="150" t="s">
        <v>54</v>
      </c>
      <c r="C191" s="145" t="s">
        <v>678</v>
      </c>
      <c r="D191" s="114" t="s">
        <v>679</v>
      </c>
      <c r="E191" s="134"/>
      <c r="F191" s="112"/>
      <c r="G191" s="103"/>
      <c r="H191" s="131"/>
      <c r="I191" s="131"/>
      <c r="J191" s="131"/>
      <c r="K191" s="131"/>
      <c r="L191" s="131"/>
      <c r="M191" s="131"/>
      <c r="N191" s="131"/>
      <c r="O191" s="131"/>
      <c r="P191" s="131"/>
      <c r="Q191" s="131"/>
      <c r="R191" s="131"/>
      <c r="S191" s="131"/>
      <c r="T191" s="131"/>
      <c r="U191" s="131"/>
      <c r="V191" s="131"/>
      <c r="W191" s="131"/>
      <c r="X191" s="131"/>
      <c r="Y191" s="131"/>
      <c r="Z191" s="131"/>
      <c r="AA191" s="131"/>
      <c r="AB191" s="131"/>
      <c r="AC191" s="131"/>
      <c r="AD191" s="131"/>
      <c r="AE191" s="131"/>
      <c r="AF191" s="131"/>
      <c r="AG191" s="131"/>
      <c r="AH191" s="131"/>
      <c r="AI191" s="131"/>
      <c r="AJ191" s="131"/>
      <c r="AK191" s="131"/>
      <c r="AL191" s="131"/>
      <c r="AM191" s="131"/>
      <c r="AN191" s="131"/>
      <c r="AO191" s="131"/>
      <c r="AP191" s="131"/>
      <c r="AQ191" s="131"/>
      <c r="AR191" s="131"/>
      <c r="AS191" s="131"/>
      <c r="AT191" s="131"/>
      <c r="AU191" s="131"/>
      <c r="AV191" s="131"/>
      <c r="AW191" s="131"/>
      <c r="AX191" s="131"/>
      <c r="AY191" s="131"/>
      <c r="AZ191" s="131"/>
      <c r="BA191" s="131"/>
      <c r="BB191" s="131"/>
      <c r="BC191" s="131"/>
      <c r="BD191" s="131"/>
      <c r="BE191" s="131"/>
      <c r="BF191" s="131"/>
      <c r="BG191" s="131"/>
      <c r="BH191" s="131"/>
      <c r="BI191" s="131"/>
      <c r="BJ191" s="131"/>
      <c r="BK191" s="131"/>
      <c r="BL191" s="131"/>
      <c r="BM191" s="131"/>
      <c r="BN191" s="131"/>
      <c r="BO191" s="131"/>
      <c r="BP191" s="131"/>
      <c r="BQ191" s="131"/>
      <c r="BR191" s="131"/>
      <c r="BS191" s="131"/>
      <c r="BT191" s="131"/>
      <c r="BU191" s="131"/>
      <c r="BV191" s="131"/>
      <c r="BW191" s="131"/>
      <c r="BX191" s="131"/>
      <c r="BY191" s="131"/>
      <c r="BZ191" s="131"/>
      <c r="CA191" s="131"/>
      <c r="CB191" s="131"/>
      <c r="CC191" s="131"/>
      <c r="CD191" s="131"/>
    </row>
    <row r="192" spans="1:82" s="151" customFormat="1" x14ac:dyDescent="0.2">
      <c r="A192" s="149" t="s">
        <v>60</v>
      </c>
      <c r="B192" s="149" t="s">
        <v>55</v>
      </c>
      <c r="C192" s="103" t="s">
        <v>680</v>
      </c>
      <c r="D192" s="110" t="s">
        <v>681</v>
      </c>
      <c r="E192" s="130"/>
      <c r="F192" s="112"/>
      <c r="G192" s="103"/>
      <c r="H192" s="131"/>
      <c r="I192" s="131"/>
      <c r="J192" s="131"/>
      <c r="K192" s="131"/>
      <c r="L192" s="131"/>
      <c r="M192" s="131"/>
      <c r="N192" s="131"/>
      <c r="O192" s="131"/>
      <c r="P192" s="131"/>
      <c r="Q192" s="131"/>
      <c r="R192" s="131"/>
      <c r="S192" s="131"/>
      <c r="T192" s="131"/>
      <c r="U192" s="131"/>
      <c r="V192" s="131"/>
      <c r="W192" s="131"/>
      <c r="X192" s="131"/>
      <c r="Y192" s="131"/>
      <c r="Z192" s="131"/>
      <c r="AA192" s="131"/>
      <c r="AB192" s="131"/>
      <c r="AC192" s="131"/>
      <c r="AD192" s="131"/>
      <c r="AE192" s="131"/>
      <c r="AF192" s="131"/>
      <c r="AG192" s="131"/>
      <c r="AH192" s="131"/>
      <c r="AI192" s="131"/>
      <c r="AJ192" s="131"/>
      <c r="AK192" s="131"/>
      <c r="AL192" s="131"/>
      <c r="AM192" s="131"/>
      <c r="AN192" s="131"/>
      <c r="AO192" s="131"/>
      <c r="AP192" s="131"/>
      <c r="AQ192" s="131"/>
      <c r="AR192" s="131"/>
      <c r="AS192" s="131"/>
      <c r="AT192" s="131"/>
      <c r="AU192" s="131"/>
      <c r="AV192" s="131"/>
      <c r="AW192" s="131"/>
      <c r="AX192" s="131"/>
      <c r="AY192" s="131"/>
      <c r="AZ192" s="131"/>
      <c r="BA192" s="131"/>
      <c r="BB192" s="131"/>
      <c r="BC192" s="131"/>
      <c r="BD192" s="131"/>
      <c r="BE192" s="131"/>
      <c r="BF192" s="131"/>
      <c r="BG192" s="131"/>
      <c r="BH192" s="131"/>
      <c r="BI192" s="131"/>
      <c r="BJ192" s="131"/>
      <c r="BK192" s="131"/>
      <c r="BL192" s="131"/>
      <c r="BM192" s="131"/>
      <c r="BN192" s="131"/>
      <c r="BO192" s="131"/>
      <c r="BP192" s="131"/>
      <c r="BQ192" s="131"/>
      <c r="BR192" s="131"/>
      <c r="BS192" s="131"/>
      <c r="BT192" s="131"/>
      <c r="BU192" s="131"/>
      <c r="BV192" s="131"/>
      <c r="BW192" s="131"/>
      <c r="BX192" s="131"/>
      <c r="BY192" s="131"/>
      <c r="BZ192" s="131"/>
      <c r="CA192" s="131"/>
      <c r="CB192" s="131"/>
      <c r="CC192" s="131"/>
      <c r="CD192" s="131"/>
    </row>
    <row r="193" spans="1:82" s="151" customFormat="1" x14ac:dyDescent="0.2">
      <c r="A193" s="150" t="s">
        <v>61</v>
      </c>
      <c r="B193" s="150" t="s">
        <v>56</v>
      </c>
      <c r="C193" s="145" t="s">
        <v>682</v>
      </c>
      <c r="D193" s="114" t="s">
        <v>683</v>
      </c>
      <c r="E193" s="134"/>
      <c r="F193" s="112"/>
      <c r="G193" s="103"/>
      <c r="H193" s="131"/>
      <c r="I193" s="131"/>
      <c r="J193" s="131"/>
      <c r="K193" s="131"/>
      <c r="L193" s="131"/>
      <c r="M193" s="131"/>
      <c r="N193" s="131"/>
      <c r="O193" s="131"/>
      <c r="P193" s="131"/>
      <c r="Q193" s="131"/>
      <c r="R193" s="131"/>
      <c r="S193" s="131"/>
      <c r="T193" s="131"/>
      <c r="U193" s="131"/>
      <c r="V193" s="131"/>
      <c r="W193" s="131"/>
      <c r="X193" s="131"/>
      <c r="Y193" s="131"/>
      <c r="Z193" s="131"/>
      <c r="AA193" s="131"/>
      <c r="AB193" s="131"/>
      <c r="AC193" s="131"/>
      <c r="AD193" s="131"/>
      <c r="AE193" s="131"/>
      <c r="AF193" s="131"/>
      <c r="AG193" s="131"/>
      <c r="AH193" s="131"/>
      <c r="AI193" s="131"/>
      <c r="AJ193" s="131"/>
      <c r="AK193" s="131"/>
      <c r="AL193" s="131"/>
      <c r="AM193" s="131"/>
      <c r="AN193" s="131"/>
      <c r="AO193" s="131"/>
      <c r="AP193" s="131"/>
      <c r="AQ193" s="131"/>
      <c r="AR193" s="131"/>
      <c r="AS193" s="131"/>
      <c r="AT193" s="131"/>
      <c r="AU193" s="131"/>
      <c r="AV193" s="131"/>
      <c r="AW193" s="131"/>
      <c r="AX193" s="131"/>
      <c r="AY193" s="131"/>
      <c r="AZ193" s="131"/>
      <c r="BA193" s="131"/>
      <c r="BB193" s="131"/>
      <c r="BC193" s="131"/>
      <c r="BD193" s="131"/>
      <c r="BE193" s="131"/>
      <c r="BF193" s="131"/>
      <c r="BG193" s="131"/>
      <c r="BH193" s="131"/>
      <c r="BI193" s="131"/>
      <c r="BJ193" s="131"/>
      <c r="BK193" s="131"/>
      <c r="BL193" s="131"/>
      <c r="BM193" s="131"/>
      <c r="BN193" s="131"/>
      <c r="BO193" s="131"/>
      <c r="BP193" s="131"/>
      <c r="BQ193" s="131"/>
      <c r="BR193" s="131"/>
      <c r="BS193" s="131"/>
      <c r="BT193" s="131"/>
      <c r="BU193" s="131"/>
      <c r="BV193" s="131"/>
      <c r="BW193" s="131"/>
      <c r="BX193" s="131"/>
      <c r="BY193" s="131"/>
      <c r="BZ193" s="131"/>
      <c r="CA193" s="131"/>
      <c r="CB193" s="131"/>
      <c r="CC193" s="131"/>
      <c r="CD193" s="131"/>
    </row>
    <row r="194" spans="1:82" s="151" customFormat="1" x14ac:dyDescent="0.2">
      <c r="A194" s="128" t="s">
        <v>62</v>
      </c>
      <c r="B194" s="128" t="s">
        <v>874</v>
      </c>
      <c r="C194" s="103" t="s">
        <v>684</v>
      </c>
      <c r="D194" s="110" t="s">
        <v>685</v>
      </c>
      <c r="E194" s="130"/>
      <c r="F194" s="112"/>
      <c r="G194" s="103"/>
      <c r="H194" s="131"/>
      <c r="I194" s="131"/>
      <c r="J194" s="131"/>
      <c r="K194" s="131"/>
      <c r="L194" s="131"/>
      <c r="M194" s="131"/>
      <c r="N194" s="131"/>
      <c r="O194" s="131"/>
      <c r="P194" s="131"/>
      <c r="Q194" s="131"/>
      <c r="R194" s="131"/>
      <c r="S194" s="131"/>
      <c r="T194" s="131"/>
      <c r="U194" s="131"/>
      <c r="V194" s="131"/>
      <c r="W194" s="131"/>
      <c r="X194" s="131"/>
      <c r="Y194" s="131"/>
      <c r="Z194" s="131"/>
      <c r="AA194" s="131"/>
      <c r="AB194" s="131"/>
      <c r="AC194" s="131"/>
      <c r="AD194" s="131"/>
      <c r="AE194" s="131"/>
      <c r="AF194" s="131"/>
      <c r="AG194" s="131"/>
      <c r="AH194" s="131"/>
      <c r="AI194" s="131"/>
      <c r="AJ194" s="131"/>
      <c r="AK194" s="131"/>
      <c r="AL194" s="131"/>
      <c r="AM194" s="131"/>
      <c r="AN194" s="131"/>
      <c r="AO194" s="131"/>
      <c r="AP194" s="131"/>
      <c r="AQ194" s="131"/>
      <c r="AR194" s="131"/>
      <c r="AS194" s="131"/>
      <c r="AT194" s="131"/>
      <c r="AU194" s="131"/>
      <c r="AV194" s="131"/>
      <c r="AW194" s="131"/>
      <c r="AX194" s="131"/>
      <c r="AY194" s="131"/>
      <c r="AZ194" s="131"/>
      <c r="BA194" s="131"/>
      <c r="BB194" s="131"/>
      <c r="BC194" s="131"/>
      <c r="BD194" s="131"/>
      <c r="BE194" s="131"/>
      <c r="BF194" s="131"/>
      <c r="BG194" s="131"/>
      <c r="BH194" s="131"/>
      <c r="BI194" s="131"/>
      <c r="BJ194" s="131"/>
      <c r="BK194" s="131"/>
      <c r="BL194" s="131"/>
      <c r="BM194" s="131"/>
      <c r="BN194" s="131"/>
      <c r="BO194" s="131"/>
      <c r="BP194" s="131"/>
      <c r="BQ194" s="131"/>
      <c r="BR194" s="131"/>
      <c r="BS194" s="131"/>
      <c r="BT194" s="131"/>
      <c r="BU194" s="131"/>
      <c r="BV194" s="131"/>
      <c r="BW194" s="131"/>
      <c r="BX194" s="131"/>
      <c r="BY194" s="131"/>
      <c r="BZ194" s="131"/>
      <c r="CA194" s="131"/>
      <c r="CB194" s="131"/>
      <c r="CC194" s="131"/>
      <c r="CD194" s="131"/>
    </row>
    <row r="195" spans="1:82" s="151" customFormat="1" x14ac:dyDescent="0.2">
      <c r="A195" s="143" t="s">
        <v>63</v>
      </c>
      <c r="B195" s="143" t="s">
        <v>875</v>
      </c>
      <c r="C195" s="145" t="s">
        <v>686</v>
      </c>
      <c r="D195" s="114" t="s">
        <v>687</v>
      </c>
      <c r="E195" s="134"/>
      <c r="F195" s="112"/>
      <c r="G195" s="103"/>
      <c r="H195" s="131"/>
      <c r="I195" s="131"/>
      <c r="J195" s="131"/>
      <c r="K195" s="131"/>
      <c r="L195" s="131"/>
      <c r="M195" s="131"/>
      <c r="N195" s="131"/>
      <c r="O195" s="131"/>
      <c r="P195" s="131"/>
      <c r="Q195" s="131"/>
      <c r="R195" s="131"/>
      <c r="S195" s="131"/>
      <c r="T195" s="131"/>
      <c r="U195" s="131"/>
      <c r="V195" s="131"/>
      <c r="W195" s="131"/>
      <c r="X195" s="131"/>
      <c r="Y195" s="131"/>
      <c r="Z195" s="131"/>
      <c r="AA195" s="131"/>
      <c r="AB195" s="131"/>
      <c r="AC195" s="131"/>
      <c r="AD195" s="131"/>
      <c r="AE195" s="131"/>
      <c r="AF195" s="131"/>
      <c r="AG195" s="131"/>
      <c r="AH195" s="131"/>
      <c r="AI195" s="131"/>
      <c r="AJ195" s="131"/>
      <c r="AK195" s="131"/>
      <c r="AL195" s="131"/>
      <c r="AM195" s="131"/>
      <c r="AN195" s="131"/>
      <c r="AO195" s="131"/>
      <c r="AP195" s="131"/>
      <c r="AQ195" s="131"/>
      <c r="AR195" s="131"/>
      <c r="AS195" s="131"/>
      <c r="AT195" s="131"/>
      <c r="AU195" s="131"/>
      <c r="AV195" s="131"/>
      <c r="AW195" s="131"/>
      <c r="AX195" s="131"/>
      <c r="AY195" s="131"/>
      <c r="AZ195" s="131"/>
      <c r="BA195" s="131"/>
      <c r="BB195" s="131"/>
      <c r="BC195" s="131"/>
      <c r="BD195" s="131"/>
      <c r="BE195" s="131"/>
      <c r="BF195" s="131"/>
      <c r="BG195" s="131"/>
      <c r="BH195" s="131"/>
      <c r="BI195" s="131"/>
      <c r="BJ195" s="131"/>
      <c r="BK195" s="131"/>
      <c r="BL195" s="131"/>
      <c r="BM195" s="131"/>
      <c r="BN195" s="131"/>
      <c r="BO195" s="131"/>
      <c r="BP195" s="131"/>
      <c r="BQ195" s="131"/>
      <c r="BR195" s="131"/>
      <c r="BS195" s="131"/>
      <c r="BT195" s="131"/>
      <c r="BU195" s="131"/>
      <c r="BV195" s="131"/>
      <c r="BW195" s="131"/>
      <c r="BX195" s="131"/>
      <c r="BY195" s="131"/>
      <c r="BZ195" s="131"/>
      <c r="CA195" s="131"/>
      <c r="CB195" s="131"/>
      <c r="CC195" s="131"/>
      <c r="CD195" s="131"/>
    </row>
    <row r="196" spans="1:82" s="151" customFormat="1" ht="32" x14ac:dyDescent="0.2">
      <c r="A196" s="128" t="s">
        <v>64</v>
      </c>
      <c r="B196" s="128" t="s">
        <v>876</v>
      </c>
      <c r="C196" s="103" t="s">
        <v>688</v>
      </c>
      <c r="D196" s="110" t="s">
        <v>689</v>
      </c>
      <c r="E196" s="130"/>
      <c r="F196" s="112"/>
      <c r="G196" s="103"/>
      <c r="H196" s="131"/>
      <c r="I196" s="131"/>
      <c r="J196" s="131"/>
      <c r="K196" s="131"/>
      <c r="L196" s="131"/>
      <c r="M196" s="131"/>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c r="AI196" s="131"/>
      <c r="AJ196" s="131"/>
      <c r="AK196" s="131"/>
      <c r="AL196" s="131"/>
      <c r="AM196" s="131"/>
      <c r="AN196" s="131"/>
      <c r="AO196" s="131"/>
      <c r="AP196" s="131"/>
      <c r="AQ196" s="131"/>
      <c r="AR196" s="131"/>
      <c r="AS196" s="131"/>
      <c r="AT196" s="131"/>
      <c r="AU196" s="131"/>
      <c r="AV196" s="131"/>
      <c r="AW196" s="131"/>
      <c r="AX196" s="131"/>
      <c r="AY196" s="131"/>
      <c r="AZ196" s="131"/>
      <c r="BA196" s="131"/>
      <c r="BB196" s="131"/>
      <c r="BC196" s="131"/>
      <c r="BD196" s="131"/>
      <c r="BE196" s="131"/>
      <c r="BF196" s="131"/>
      <c r="BG196" s="131"/>
      <c r="BH196" s="131"/>
      <c r="BI196" s="131"/>
      <c r="BJ196" s="131"/>
      <c r="BK196" s="131"/>
      <c r="BL196" s="131"/>
      <c r="BM196" s="131"/>
      <c r="BN196" s="131"/>
      <c r="BO196" s="131"/>
      <c r="BP196" s="131"/>
      <c r="BQ196" s="131"/>
      <c r="BR196" s="131"/>
      <c r="BS196" s="131"/>
      <c r="BT196" s="131"/>
      <c r="BU196" s="131"/>
      <c r="BV196" s="131"/>
      <c r="BW196" s="131"/>
      <c r="BX196" s="131"/>
      <c r="BY196" s="131"/>
      <c r="BZ196" s="131"/>
      <c r="CA196" s="131"/>
      <c r="CB196" s="131"/>
      <c r="CC196" s="131"/>
      <c r="CD196" s="131"/>
    </row>
    <row r="197" spans="1:82" s="151" customFormat="1" ht="32" x14ac:dyDescent="0.2">
      <c r="A197" s="143" t="s">
        <v>65</v>
      </c>
      <c r="B197" s="143" t="s">
        <v>877</v>
      </c>
      <c r="C197" s="145" t="s">
        <v>690</v>
      </c>
      <c r="D197" s="114" t="s">
        <v>691</v>
      </c>
      <c r="E197" s="134"/>
      <c r="F197" s="112"/>
      <c r="G197" s="103"/>
      <c r="H197" s="131"/>
      <c r="I197" s="131"/>
      <c r="J197" s="131"/>
      <c r="K197" s="131"/>
      <c r="L197" s="131"/>
      <c r="M197" s="131"/>
      <c r="N197" s="131"/>
      <c r="O197" s="131"/>
      <c r="P197" s="131"/>
      <c r="Q197" s="131"/>
      <c r="R197" s="131"/>
      <c r="S197" s="131"/>
      <c r="T197" s="131"/>
      <c r="U197" s="131"/>
      <c r="V197" s="131"/>
      <c r="W197" s="131"/>
      <c r="X197" s="131"/>
      <c r="Y197" s="131"/>
      <c r="Z197" s="131"/>
      <c r="AA197" s="131"/>
      <c r="AB197" s="131"/>
      <c r="AC197" s="131"/>
      <c r="AD197" s="131"/>
      <c r="AE197" s="131"/>
      <c r="AF197" s="131"/>
      <c r="AG197" s="131"/>
      <c r="AH197" s="131"/>
      <c r="AI197" s="131"/>
      <c r="AJ197" s="131"/>
      <c r="AK197" s="131"/>
      <c r="AL197" s="131"/>
      <c r="AM197" s="131"/>
      <c r="AN197" s="131"/>
      <c r="AO197" s="131"/>
      <c r="AP197" s="131"/>
      <c r="AQ197" s="131"/>
      <c r="AR197" s="131"/>
      <c r="AS197" s="131"/>
      <c r="AT197" s="131"/>
      <c r="AU197" s="131"/>
      <c r="AV197" s="131"/>
      <c r="AW197" s="131"/>
      <c r="AX197" s="131"/>
      <c r="AY197" s="131"/>
      <c r="AZ197" s="131"/>
      <c r="BA197" s="131"/>
      <c r="BB197" s="131"/>
      <c r="BC197" s="131"/>
      <c r="BD197" s="131"/>
      <c r="BE197" s="131"/>
      <c r="BF197" s="131"/>
      <c r="BG197" s="131"/>
      <c r="BH197" s="131"/>
      <c r="BI197" s="131"/>
      <c r="BJ197" s="131"/>
      <c r="BK197" s="131"/>
      <c r="BL197" s="131"/>
      <c r="BM197" s="131"/>
      <c r="BN197" s="131"/>
      <c r="BO197" s="131"/>
      <c r="BP197" s="131"/>
      <c r="BQ197" s="131"/>
      <c r="BR197" s="131"/>
      <c r="BS197" s="131"/>
      <c r="BT197" s="131"/>
      <c r="BU197" s="131"/>
      <c r="BV197" s="131"/>
      <c r="BW197" s="131"/>
      <c r="BX197" s="131"/>
      <c r="BY197" s="131"/>
      <c r="BZ197" s="131"/>
      <c r="CA197" s="131"/>
      <c r="CB197" s="131"/>
      <c r="CC197" s="131"/>
      <c r="CD197" s="131"/>
    </row>
    <row r="198" spans="1:82" s="151" customFormat="1" ht="32" x14ac:dyDescent="0.2">
      <c r="A198" s="128" t="s">
        <v>66</v>
      </c>
      <c r="B198" s="128" t="s">
        <v>878</v>
      </c>
      <c r="C198" s="103" t="s">
        <v>692</v>
      </c>
      <c r="D198" s="110" t="s">
        <v>693</v>
      </c>
      <c r="E198" s="130"/>
      <c r="F198" s="112"/>
      <c r="G198" s="103"/>
      <c r="H198" s="131"/>
      <c r="I198" s="131"/>
      <c r="J198" s="131"/>
      <c r="K198" s="131"/>
      <c r="L198" s="131"/>
      <c r="M198" s="131"/>
      <c r="N198" s="131"/>
      <c r="O198" s="131"/>
      <c r="P198" s="131"/>
      <c r="Q198" s="131"/>
      <c r="R198" s="131"/>
      <c r="S198" s="131"/>
      <c r="T198" s="131"/>
      <c r="U198" s="131"/>
      <c r="V198" s="131"/>
      <c r="W198" s="131"/>
      <c r="X198" s="131"/>
      <c r="Y198" s="131"/>
      <c r="Z198" s="131"/>
      <c r="AA198" s="131"/>
      <c r="AB198" s="131"/>
      <c r="AC198" s="131"/>
      <c r="AD198" s="131"/>
      <c r="AE198" s="131"/>
      <c r="AF198" s="131"/>
      <c r="AG198" s="131"/>
      <c r="AH198" s="131"/>
      <c r="AI198" s="131"/>
      <c r="AJ198" s="131"/>
      <c r="AK198" s="131"/>
      <c r="AL198" s="131"/>
      <c r="AM198" s="131"/>
      <c r="AN198" s="131"/>
      <c r="AO198" s="131"/>
      <c r="AP198" s="131"/>
      <c r="AQ198" s="131"/>
      <c r="AR198" s="131"/>
      <c r="AS198" s="131"/>
      <c r="AT198" s="131"/>
      <c r="AU198" s="131"/>
      <c r="AV198" s="131"/>
      <c r="AW198" s="131"/>
      <c r="AX198" s="131"/>
      <c r="AY198" s="131"/>
      <c r="AZ198" s="131"/>
      <c r="BA198" s="131"/>
      <c r="BB198" s="131"/>
      <c r="BC198" s="131"/>
      <c r="BD198" s="131"/>
      <c r="BE198" s="131"/>
      <c r="BF198" s="131"/>
      <c r="BG198" s="131"/>
      <c r="BH198" s="131"/>
      <c r="BI198" s="131"/>
      <c r="BJ198" s="131"/>
      <c r="BK198" s="131"/>
      <c r="BL198" s="131"/>
      <c r="BM198" s="131"/>
      <c r="BN198" s="131"/>
      <c r="BO198" s="131"/>
      <c r="BP198" s="131"/>
      <c r="BQ198" s="131"/>
      <c r="BR198" s="131"/>
      <c r="BS198" s="131"/>
      <c r="BT198" s="131"/>
      <c r="BU198" s="131"/>
      <c r="BV198" s="131"/>
      <c r="BW198" s="131"/>
      <c r="BX198" s="131"/>
      <c r="BY198" s="131"/>
      <c r="BZ198" s="131"/>
      <c r="CA198" s="131"/>
      <c r="CB198" s="131"/>
      <c r="CC198" s="131"/>
      <c r="CD198" s="131"/>
    </row>
    <row r="199" spans="1:82" s="151" customFormat="1" ht="32" x14ac:dyDescent="0.2">
      <c r="A199" s="143" t="s">
        <v>67</v>
      </c>
      <c r="B199" s="143" t="s">
        <v>879</v>
      </c>
      <c r="C199" s="145" t="s">
        <v>694</v>
      </c>
      <c r="D199" s="114" t="s">
        <v>695</v>
      </c>
      <c r="E199" s="134"/>
      <c r="F199" s="112"/>
      <c r="G199" s="103"/>
      <c r="H199" s="131"/>
      <c r="I199" s="131"/>
      <c r="J199" s="131"/>
      <c r="K199" s="131"/>
      <c r="L199" s="131"/>
      <c r="M199" s="131"/>
      <c r="N199" s="131"/>
      <c r="O199" s="131"/>
      <c r="P199" s="131"/>
      <c r="Q199" s="131"/>
      <c r="R199" s="131"/>
      <c r="S199" s="131"/>
      <c r="T199" s="131"/>
      <c r="U199" s="131"/>
      <c r="V199" s="131"/>
      <c r="W199" s="131"/>
      <c r="X199" s="131"/>
      <c r="Y199" s="131"/>
      <c r="Z199" s="131"/>
      <c r="AA199" s="131"/>
      <c r="AB199" s="131"/>
      <c r="AC199" s="131"/>
      <c r="AD199" s="131"/>
      <c r="AE199" s="131"/>
      <c r="AF199" s="131"/>
      <c r="AG199" s="131"/>
      <c r="AH199" s="131"/>
      <c r="AI199" s="131"/>
      <c r="AJ199" s="131"/>
      <c r="AK199" s="131"/>
      <c r="AL199" s="131"/>
      <c r="AM199" s="131"/>
      <c r="AN199" s="131"/>
      <c r="AO199" s="131"/>
      <c r="AP199" s="131"/>
      <c r="AQ199" s="131"/>
      <c r="AR199" s="131"/>
      <c r="AS199" s="131"/>
      <c r="AT199" s="131"/>
      <c r="AU199" s="131"/>
      <c r="AV199" s="131"/>
      <c r="AW199" s="131"/>
      <c r="AX199" s="131"/>
      <c r="AY199" s="131"/>
      <c r="AZ199" s="131"/>
      <c r="BA199" s="131"/>
      <c r="BB199" s="131"/>
      <c r="BC199" s="131"/>
      <c r="BD199" s="131"/>
      <c r="BE199" s="131"/>
      <c r="BF199" s="131"/>
      <c r="BG199" s="131"/>
      <c r="BH199" s="131"/>
      <c r="BI199" s="131"/>
      <c r="BJ199" s="131"/>
      <c r="BK199" s="131"/>
      <c r="BL199" s="131"/>
      <c r="BM199" s="131"/>
      <c r="BN199" s="131"/>
      <c r="BO199" s="131"/>
      <c r="BP199" s="131"/>
      <c r="BQ199" s="131"/>
      <c r="BR199" s="131"/>
      <c r="BS199" s="131"/>
      <c r="BT199" s="131"/>
      <c r="BU199" s="131"/>
      <c r="BV199" s="131"/>
      <c r="BW199" s="131"/>
      <c r="BX199" s="131"/>
      <c r="BY199" s="131"/>
      <c r="BZ199" s="131"/>
      <c r="CA199" s="131"/>
      <c r="CB199" s="131"/>
      <c r="CC199" s="131"/>
      <c r="CD199" s="131"/>
    </row>
    <row r="200" spans="1:82" s="151" customFormat="1" x14ac:dyDescent="0.2">
      <c r="A200" s="128" t="s">
        <v>68</v>
      </c>
      <c r="B200" s="128" t="s">
        <v>880</v>
      </c>
      <c r="C200" s="103" t="s">
        <v>696</v>
      </c>
      <c r="D200" s="110" t="s">
        <v>697</v>
      </c>
      <c r="E200" s="130"/>
      <c r="F200" s="112"/>
      <c r="G200" s="103"/>
      <c r="H200" s="131"/>
      <c r="I200" s="131"/>
      <c r="J200" s="131"/>
      <c r="K200" s="131"/>
      <c r="L200" s="131"/>
      <c r="M200" s="131"/>
      <c r="N200" s="131"/>
      <c r="O200" s="131"/>
      <c r="P200" s="131"/>
      <c r="Q200" s="131"/>
      <c r="R200" s="131"/>
      <c r="S200" s="131"/>
      <c r="T200" s="131"/>
      <c r="U200" s="131"/>
      <c r="V200" s="131"/>
      <c r="W200" s="131"/>
      <c r="X200" s="131"/>
      <c r="Y200" s="131"/>
      <c r="Z200" s="131"/>
      <c r="AA200" s="131"/>
      <c r="AB200" s="131"/>
      <c r="AC200" s="131"/>
      <c r="AD200" s="131"/>
      <c r="AE200" s="131"/>
      <c r="AF200" s="131"/>
      <c r="AG200" s="131"/>
      <c r="AH200" s="131"/>
      <c r="AI200" s="131"/>
      <c r="AJ200" s="131"/>
      <c r="AK200" s="131"/>
      <c r="AL200" s="131"/>
      <c r="AM200" s="131"/>
      <c r="AN200" s="131"/>
      <c r="AO200" s="131"/>
      <c r="AP200" s="131"/>
      <c r="AQ200" s="131"/>
      <c r="AR200" s="131"/>
      <c r="AS200" s="131"/>
      <c r="AT200" s="131"/>
      <c r="AU200" s="131"/>
      <c r="AV200" s="131"/>
      <c r="AW200" s="131"/>
      <c r="AX200" s="131"/>
      <c r="AY200" s="131"/>
      <c r="AZ200" s="131"/>
      <c r="BA200" s="131"/>
      <c r="BB200" s="131"/>
      <c r="BC200" s="131"/>
      <c r="BD200" s="131"/>
      <c r="BE200" s="131"/>
      <c r="BF200" s="131"/>
      <c r="BG200" s="131"/>
      <c r="BH200" s="131"/>
      <c r="BI200" s="131"/>
      <c r="BJ200" s="131"/>
      <c r="BK200" s="131"/>
      <c r="BL200" s="131"/>
      <c r="BM200" s="131"/>
      <c r="BN200" s="131"/>
      <c r="BO200" s="131"/>
      <c r="BP200" s="131"/>
      <c r="BQ200" s="131"/>
      <c r="BR200" s="131"/>
      <c r="BS200" s="131"/>
      <c r="BT200" s="131"/>
      <c r="BU200" s="131"/>
      <c r="BV200" s="131"/>
      <c r="BW200" s="131"/>
      <c r="BX200" s="131"/>
      <c r="BY200" s="131"/>
      <c r="BZ200" s="131"/>
      <c r="CA200" s="131"/>
      <c r="CB200" s="131"/>
      <c r="CC200" s="131"/>
      <c r="CD200" s="131"/>
    </row>
    <row r="201" spans="1:82" s="151" customFormat="1" x14ac:dyDescent="0.2">
      <c r="A201" s="143" t="s">
        <v>69</v>
      </c>
      <c r="B201" s="143" t="s">
        <v>881</v>
      </c>
      <c r="C201" s="145" t="s">
        <v>698</v>
      </c>
      <c r="D201" s="114" t="s">
        <v>699</v>
      </c>
      <c r="E201" s="134"/>
      <c r="F201" s="112"/>
      <c r="G201" s="103"/>
      <c r="H201" s="131"/>
      <c r="I201" s="131"/>
      <c r="J201" s="131"/>
      <c r="K201" s="131"/>
      <c r="L201" s="131"/>
      <c r="M201" s="131"/>
      <c r="N201" s="131"/>
      <c r="O201" s="131"/>
      <c r="P201" s="131"/>
      <c r="Q201" s="131"/>
      <c r="R201" s="131"/>
      <c r="S201" s="131"/>
      <c r="T201" s="131"/>
      <c r="U201" s="131"/>
      <c r="V201" s="131"/>
      <c r="W201" s="131"/>
      <c r="X201" s="131"/>
      <c r="Y201" s="131"/>
      <c r="Z201" s="131"/>
      <c r="AA201" s="131"/>
      <c r="AB201" s="131"/>
      <c r="AC201" s="131"/>
      <c r="AD201" s="131"/>
      <c r="AE201" s="131"/>
      <c r="AF201" s="131"/>
      <c r="AG201" s="131"/>
      <c r="AH201" s="131"/>
      <c r="AI201" s="131"/>
      <c r="AJ201" s="131"/>
      <c r="AK201" s="131"/>
      <c r="AL201" s="131"/>
      <c r="AM201" s="131"/>
      <c r="AN201" s="131"/>
      <c r="AO201" s="131"/>
      <c r="AP201" s="131"/>
      <c r="AQ201" s="131"/>
      <c r="AR201" s="131"/>
      <c r="AS201" s="131"/>
      <c r="AT201" s="131"/>
      <c r="AU201" s="131"/>
      <c r="AV201" s="131"/>
      <c r="AW201" s="131"/>
      <c r="AX201" s="131"/>
      <c r="AY201" s="131"/>
      <c r="AZ201" s="131"/>
      <c r="BA201" s="131"/>
      <c r="BB201" s="131"/>
      <c r="BC201" s="131"/>
      <c r="BD201" s="131"/>
      <c r="BE201" s="131"/>
      <c r="BF201" s="131"/>
      <c r="BG201" s="131"/>
      <c r="BH201" s="131"/>
      <c r="BI201" s="131"/>
      <c r="BJ201" s="131"/>
      <c r="BK201" s="131"/>
      <c r="BL201" s="131"/>
      <c r="BM201" s="131"/>
      <c r="BN201" s="131"/>
      <c r="BO201" s="131"/>
      <c r="BP201" s="131"/>
      <c r="BQ201" s="131"/>
      <c r="BR201" s="131"/>
      <c r="BS201" s="131"/>
      <c r="BT201" s="131"/>
      <c r="BU201" s="131"/>
      <c r="BV201" s="131"/>
      <c r="BW201" s="131"/>
      <c r="BX201" s="131"/>
      <c r="BY201" s="131"/>
      <c r="BZ201" s="131"/>
      <c r="CA201" s="131"/>
      <c r="CB201" s="131"/>
      <c r="CC201" s="131"/>
      <c r="CD201" s="131"/>
    </row>
    <row r="202" spans="1:82" s="151" customFormat="1" ht="32" x14ac:dyDescent="0.2">
      <c r="A202" s="128" t="s">
        <v>70</v>
      </c>
      <c r="B202" s="128" t="s">
        <v>882</v>
      </c>
      <c r="C202" s="103" t="s">
        <v>700</v>
      </c>
      <c r="D202" s="110" t="s">
        <v>701</v>
      </c>
      <c r="E202" s="130"/>
      <c r="F202" s="112"/>
      <c r="G202" s="103"/>
      <c r="H202" s="131"/>
      <c r="I202" s="131"/>
      <c r="J202" s="131"/>
      <c r="K202" s="131"/>
      <c r="L202" s="131"/>
      <c r="M202" s="131"/>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c r="AN202" s="131"/>
      <c r="AO202" s="131"/>
      <c r="AP202" s="131"/>
      <c r="AQ202" s="131"/>
      <c r="AR202" s="131"/>
      <c r="AS202" s="131"/>
      <c r="AT202" s="131"/>
      <c r="AU202" s="131"/>
      <c r="AV202" s="131"/>
      <c r="AW202" s="131"/>
      <c r="AX202" s="131"/>
      <c r="AY202" s="131"/>
      <c r="AZ202" s="131"/>
      <c r="BA202" s="131"/>
      <c r="BB202" s="131"/>
      <c r="BC202" s="131"/>
      <c r="BD202" s="131"/>
      <c r="BE202" s="131"/>
      <c r="BF202" s="131"/>
      <c r="BG202" s="131"/>
      <c r="BH202" s="131"/>
      <c r="BI202" s="131"/>
      <c r="BJ202" s="131"/>
      <c r="BK202" s="131"/>
      <c r="BL202" s="131"/>
      <c r="BM202" s="131"/>
      <c r="BN202" s="131"/>
      <c r="BO202" s="131"/>
      <c r="BP202" s="131"/>
      <c r="BQ202" s="131"/>
      <c r="BR202" s="131"/>
      <c r="BS202" s="131"/>
      <c r="BT202" s="131"/>
      <c r="BU202" s="131"/>
      <c r="BV202" s="131"/>
      <c r="BW202" s="131"/>
      <c r="BX202" s="131"/>
      <c r="BY202" s="131"/>
      <c r="BZ202" s="131"/>
      <c r="CA202" s="131"/>
      <c r="CB202" s="131"/>
      <c r="CC202" s="131"/>
      <c r="CD202" s="131"/>
    </row>
    <row r="203" spans="1:82" s="151" customFormat="1" x14ac:dyDescent="0.2">
      <c r="A203" s="143" t="s">
        <v>71</v>
      </c>
      <c r="B203" s="143" t="s">
        <v>883</v>
      </c>
      <c r="C203" s="145" t="s">
        <v>702</v>
      </c>
      <c r="D203" s="114" t="s">
        <v>703</v>
      </c>
      <c r="E203" s="134"/>
      <c r="F203" s="112"/>
      <c r="G203" s="103"/>
      <c r="H203" s="131"/>
      <c r="I203" s="131"/>
      <c r="J203" s="131"/>
      <c r="K203" s="131"/>
      <c r="L203" s="131"/>
      <c r="M203" s="131"/>
      <c r="N203" s="131"/>
      <c r="O203" s="131"/>
      <c r="P203" s="131"/>
      <c r="Q203" s="131"/>
      <c r="R203" s="131"/>
      <c r="S203" s="131"/>
      <c r="T203" s="131"/>
      <c r="U203" s="131"/>
      <c r="V203" s="131"/>
      <c r="W203" s="131"/>
      <c r="X203" s="131"/>
      <c r="Y203" s="131"/>
      <c r="Z203" s="131"/>
      <c r="AA203" s="131"/>
      <c r="AB203" s="131"/>
      <c r="AC203" s="131"/>
      <c r="AD203" s="131"/>
      <c r="AE203" s="131"/>
      <c r="AF203" s="131"/>
      <c r="AG203" s="131"/>
      <c r="AH203" s="131"/>
      <c r="AI203" s="131"/>
      <c r="AJ203" s="131"/>
      <c r="AK203" s="131"/>
      <c r="AL203" s="131"/>
      <c r="AM203" s="131"/>
      <c r="AN203" s="131"/>
      <c r="AO203" s="131"/>
      <c r="AP203" s="131"/>
      <c r="AQ203" s="131"/>
      <c r="AR203" s="131"/>
      <c r="AS203" s="131"/>
      <c r="AT203" s="131"/>
      <c r="AU203" s="131"/>
      <c r="AV203" s="131"/>
      <c r="AW203" s="131"/>
      <c r="AX203" s="131"/>
      <c r="AY203" s="131"/>
      <c r="AZ203" s="131"/>
      <c r="BA203" s="131"/>
      <c r="BB203" s="131"/>
      <c r="BC203" s="131"/>
      <c r="BD203" s="131"/>
      <c r="BE203" s="131"/>
      <c r="BF203" s="131"/>
      <c r="BG203" s="131"/>
      <c r="BH203" s="131"/>
      <c r="BI203" s="131"/>
      <c r="BJ203" s="131"/>
      <c r="BK203" s="131"/>
      <c r="BL203" s="131"/>
      <c r="BM203" s="131"/>
      <c r="BN203" s="131"/>
      <c r="BO203" s="131"/>
      <c r="BP203" s="131"/>
      <c r="BQ203" s="131"/>
      <c r="BR203" s="131"/>
      <c r="BS203" s="131"/>
      <c r="BT203" s="131"/>
      <c r="BU203" s="131"/>
      <c r="BV203" s="131"/>
      <c r="BW203" s="131"/>
      <c r="BX203" s="131"/>
      <c r="BY203" s="131"/>
      <c r="BZ203" s="131"/>
      <c r="CA203" s="131"/>
      <c r="CB203" s="131"/>
      <c r="CC203" s="131"/>
      <c r="CD203" s="131"/>
    </row>
    <row r="204" spans="1:82" s="151" customFormat="1" ht="80" x14ac:dyDescent="0.2">
      <c r="A204" s="128" t="s">
        <v>72</v>
      </c>
      <c r="B204" s="128" t="s">
        <v>884</v>
      </c>
      <c r="C204" s="103" t="s">
        <v>704</v>
      </c>
      <c r="D204" s="110" t="s">
        <v>705</v>
      </c>
      <c r="E204" s="130"/>
      <c r="F204" s="112"/>
      <c r="G204" s="103"/>
      <c r="H204" s="131"/>
      <c r="I204" s="131"/>
      <c r="J204" s="131"/>
      <c r="K204" s="131"/>
      <c r="L204" s="131"/>
      <c r="M204" s="131"/>
      <c r="N204" s="131"/>
      <c r="O204" s="131"/>
      <c r="P204" s="131"/>
      <c r="Q204" s="131"/>
      <c r="R204" s="131"/>
      <c r="S204" s="131"/>
      <c r="T204" s="131"/>
      <c r="U204" s="131"/>
      <c r="V204" s="131"/>
      <c r="W204" s="131"/>
      <c r="X204" s="131"/>
      <c r="Y204" s="131"/>
      <c r="Z204" s="131"/>
      <c r="AA204" s="131"/>
      <c r="AB204" s="131"/>
      <c r="AC204" s="131"/>
      <c r="AD204" s="131"/>
      <c r="AE204" s="131"/>
      <c r="AF204" s="131"/>
      <c r="AG204" s="131"/>
      <c r="AH204" s="131"/>
      <c r="AI204" s="131"/>
      <c r="AJ204" s="131"/>
      <c r="AK204" s="131"/>
      <c r="AL204" s="131"/>
      <c r="AM204" s="131"/>
      <c r="AN204" s="131"/>
      <c r="AO204" s="131"/>
      <c r="AP204" s="131"/>
      <c r="AQ204" s="131"/>
      <c r="AR204" s="131"/>
      <c r="AS204" s="131"/>
      <c r="AT204" s="131"/>
      <c r="AU204" s="131"/>
      <c r="AV204" s="131"/>
      <c r="AW204" s="131"/>
      <c r="AX204" s="131"/>
      <c r="AY204" s="131"/>
      <c r="AZ204" s="131"/>
      <c r="BA204" s="131"/>
      <c r="BB204" s="131"/>
      <c r="BC204" s="131"/>
      <c r="BD204" s="131"/>
      <c r="BE204" s="131"/>
      <c r="BF204" s="131"/>
      <c r="BG204" s="131"/>
      <c r="BH204" s="131"/>
      <c r="BI204" s="131"/>
      <c r="BJ204" s="131"/>
      <c r="BK204" s="131"/>
      <c r="BL204" s="131"/>
      <c r="BM204" s="131"/>
      <c r="BN204" s="131"/>
      <c r="BO204" s="131"/>
      <c r="BP204" s="131"/>
      <c r="BQ204" s="131"/>
      <c r="BR204" s="131"/>
      <c r="BS204" s="131"/>
      <c r="BT204" s="131"/>
      <c r="BU204" s="131"/>
      <c r="BV204" s="131"/>
      <c r="BW204" s="131"/>
      <c r="BX204" s="131"/>
      <c r="BY204" s="131"/>
      <c r="BZ204" s="131"/>
      <c r="CA204" s="131"/>
      <c r="CB204" s="131"/>
      <c r="CC204" s="131"/>
      <c r="CD204" s="131"/>
    </row>
    <row r="205" spans="1:82" s="151" customFormat="1" ht="48" x14ac:dyDescent="0.2">
      <c r="A205" s="143" t="s">
        <v>73</v>
      </c>
      <c r="B205" s="143" t="s">
        <v>885</v>
      </c>
      <c r="C205" s="145" t="s">
        <v>706</v>
      </c>
      <c r="D205" s="114" t="s">
        <v>707</v>
      </c>
      <c r="E205" s="134"/>
      <c r="F205" s="112"/>
      <c r="G205" s="103"/>
      <c r="H205" s="131"/>
      <c r="I205" s="131"/>
      <c r="J205" s="131"/>
      <c r="K205" s="131"/>
      <c r="L205" s="131"/>
      <c r="M205" s="131"/>
      <c r="N205" s="131"/>
      <c r="O205" s="131"/>
      <c r="P205" s="131"/>
      <c r="Q205" s="131"/>
      <c r="R205" s="131"/>
      <c r="S205" s="131"/>
      <c r="T205" s="131"/>
      <c r="U205" s="131"/>
      <c r="V205" s="131"/>
      <c r="W205" s="131"/>
      <c r="X205" s="131"/>
      <c r="Y205" s="131"/>
      <c r="Z205" s="131"/>
      <c r="AA205" s="131"/>
      <c r="AB205" s="131"/>
      <c r="AC205" s="131"/>
      <c r="AD205" s="131"/>
      <c r="AE205" s="131"/>
      <c r="AF205" s="131"/>
      <c r="AG205" s="131"/>
      <c r="AH205" s="131"/>
      <c r="AI205" s="131"/>
      <c r="AJ205" s="131"/>
      <c r="AK205" s="131"/>
      <c r="AL205" s="131"/>
      <c r="AM205" s="131"/>
      <c r="AN205" s="131"/>
      <c r="AO205" s="131"/>
      <c r="AP205" s="131"/>
      <c r="AQ205" s="131"/>
      <c r="AR205" s="131"/>
      <c r="AS205" s="131"/>
      <c r="AT205" s="131"/>
      <c r="AU205" s="131"/>
      <c r="AV205" s="131"/>
      <c r="AW205" s="131"/>
      <c r="AX205" s="131"/>
      <c r="AY205" s="131"/>
      <c r="AZ205" s="131"/>
      <c r="BA205" s="131"/>
      <c r="BB205" s="131"/>
      <c r="BC205" s="131"/>
      <c r="BD205" s="131"/>
      <c r="BE205" s="131"/>
      <c r="BF205" s="131"/>
      <c r="BG205" s="131"/>
      <c r="BH205" s="131"/>
      <c r="BI205" s="131"/>
      <c r="BJ205" s="131"/>
      <c r="BK205" s="131"/>
      <c r="BL205" s="131"/>
      <c r="BM205" s="131"/>
      <c r="BN205" s="131"/>
      <c r="BO205" s="131"/>
      <c r="BP205" s="131"/>
      <c r="BQ205" s="131"/>
      <c r="BR205" s="131"/>
      <c r="BS205" s="131"/>
      <c r="BT205" s="131"/>
      <c r="BU205" s="131"/>
      <c r="BV205" s="131"/>
      <c r="BW205" s="131"/>
      <c r="BX205" s="131"/>
      <c r="BY205" s="131"/>
      <c r="BZ205" s="131"/>
      <c r="CA205" s="131"/>
      <c r="CB205" s="131"/>
      <c r="CC205" s="131"/>
      <c r="CD205" s="131"/>
    </row>
    <row r="206" spans="1:82" s="151" customFormat="1" ht="48" x14ac:dyDescent="0.2">
      <c r="A206" s="152" t="s">
        <v>74</v>
      </c>
      <c r="B206" s="152" t="s">
        <v>886</v>
      </c>
      <c r="C206" s="153" t="s">
        <v>708</v>
      </c>
      <c r="D206" s="154" t="s">
        <v>709</v>
      </c>
      <c r="E206" s="155"/>
      <c r="F206" s="112"/>
      <c r="G206" s="103"/>
      <c r="H206" s="131"/>
      <c r="I206" s="131"/>
      <c r="J206" s="131"/>
      <c r="K206" s="131"/>
      <c r="L206" s="131"/>
      <c r="M206" s="131"/>
      <c r="N206" s="131"/>
      <c r="O206" s="131"/>
      <c r="P206" s="131"/>
      <c r="Q206" s="131"/>
      <c r="R206" s="131"/>
      <c r="S206" s="131"/>
      <c r="T206" s="131"/>
      <c r="U206" s="131"/>
      <c r="V206" s="131"/>
      <c r="W206" s="131"/>
      <c r="X206" s="131"/>
      <c r="Y206" s="131"/>
      <c r="Z206" s="131"/>
      <c r="AA206" s="131"/>
      <c r="AB206" s="131"/>
      <c r="AC206" s="131"/>
      <c r="AD206" s="131"/>
      <c r="AE206" s="131"/>
      <c r="AF206" s="131"/>
      <c r="AG206" s="131"/>
      <c r="AH206" s="131"/>
      <c r="AI206" s="131"/>
      <c r="AJ206" s="131"/>
      <c r="AK206" s="131"/>
      <c r="AL206" s="131"/>
      <c r="AM206" s="131"/>
      <c r="AN206" s="131"/>
      <c r="AO206" s="131"/>
      <c r="AP206" s="131"/>
      <c r="AQ206" s="131"/>
      <c r="AR206" s="131"/>
      <c r="AS206" s="131"/>
      <c r="AT206" s="131"/>
      <c r="AU206" s="131"/>
      <c r="AV206" s="131"/>
      <c r="AW206" s="131"/>
      <c r="AX206" s="131"/>
      <c r="AY206" s="131"/>
      <c r="AZ206" s="131"/>
      <c r="BA206" s="131"/>
      <c r="BB206" s="131"/>
      <c r="BC206" s="131"/>
      <c r="BD206" s="131"/>
      <c r="BE206" s="131"/>
      <c r="BF206" s="131"/>
      <c r="BG206" s="131"/>
      <c r="BH206" s="131"/>
      <c r="BI206" s="131"/>
      <c r="BJ206" s="131"/>
      <c r="BK206" s="131"/>
      <c r="BL206" s="131"/>
      <c r="BM206" s="131"/>
      <c r="BN206" s="131"/>
      <c r="BO206" s="131"/>
      <c r="BP206" s="131"/>
      <c r="BQ206" s="131"/>
      <c r="BR206" s="131"/>
      <c r="BS206" s="131"/>
      <c r="BT206" s="131"/>
      <c r="BU206" s="131"/>
      <c r="BV206" s="131"/>
      <c r="BW206" s="131"/>
      <c r="BX206" s="131"/>
      <c r="BY206" s="131"/>
      <c r="BZ206" s="131"/>
      <c r="CA206" s="131"/>
      <c r="CB206" s="131"/>
      <c r="CC206" s="131"/>
      <c r="CD206" s="131"/>
    </row>
    <row r="207" spans="1:82" ht="17" thickBot="1" x14ac:dyDescent="0.25">
      <c r="A207" s="156"/>
      <c r="B207" s="156"/>
      <c r="C207" s="157"/>
      <c r="D207" s="158"/>
      <c r="E207" s="159"/>
      <c r="F207" s="112"/>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c r="AD207" s="103"/>
      <c r="AE207" s="103"/>
      <c r="AF207" s="103"/>
      <c r="AG207" s="103"/>
      <c r="AH207" s="103"/>
      <c r="AI207" s="103"/>
      <c r="AJ207" s="103"/>
      <c r="AK207" s="103"/>
      <c r="AL207" s="103"/>
      <c r="AM207" s="103"/>
      <c r="AN207" s="103"/>
      <c r="AO207" s="103"/>
      <c r="AP207" s="103"/>
      <c r="AQ207" s="103"/>
      <c r="AR207" s="103"/>
      <c r="AS207" s="103"/>
      <c r="AT207" s="103"/>
      <c r="AU207" s="103"/>
      <c r="AV207" s="103"/>
      <c r="AW207" s="103"/>
      <c r="AX207" s="103"/>
      <c r="AY207" s="103"/>
      <c r="AZ207" s="103"/>
      <c r="BA207" s="103"/>
      <c r="BB207" s="103"/>
      <c r="BC207" s="103"/>
      <c r="BD207" s="103"/>
      <c r="BE207" s="103"/>
      <c r="BF207" s="103"/>
      <c r="BG207" s="103"/>
      <c r="BH207" s="103"/>
      <c r="BI207" s="103"/>
      <c r="BJ207" s="103"/>
      <c r="BK207" s="103"/>
      <c r="BL207" s="103"/>
      <c r="BM207" s="103"/>
      <c r="BN207" s="103"/>
      <c r="BO207" s="103"/>
      <c r="BP207" s="103"/>
      <c r="BQ207" s="103"/>
      <c r="BR207" s="103"/>
      <c r="BS207" s="103"/>
      <c r="BT207" s="103"/>
      <c r="BU207" s="103"/>
      <c r="BV207" s="103"/>
      <c r="BW207" s="103"/>
      <c r="BX207" s="103"/>
      <c r="BY207" s="103"/>
      <c r="BZ207" s="103"/>
      <c r="CA207" s="103"/>
      <c r="CB207" s="103"/>
      <c r="CC207" s="103"/>
      <c r="CD207" s="103"/>
    </row>
    <row r="208" spans="1:82" x14ac:dyDescent="0.2">
      <c r="A208" s="160"/>
      <c r="B208" s="160"/>
      <c r="C208" s="129"/>
      <c r="D208" s="110"/>
      <c r="E208" s="131"/>
      <c r="F208" s="112"/>
      <c r="G208" s="103"/>
      <c r="H208" s="103"/>
      <c r="I208" s="103"/>
      <c r="J208" s="103"/>
      <c r="K208" s="103"/>
      <c r="L208" s="103"/>
      <c r="M208" s="103"/>
      <c r="N208" s="103"/>
      <c r="O208" s="103"/>
      <c r="P208" s="103"/>
      <c r="Q208" s="103"/>
      <c r="R208" s="103"/>
      <c r="S208" s="103"/>
      <c r="T208" s="103"/>
      <c r="U208" s="103"/>
      <c r="V208" s="103"/>
      <c r="W208" s="103"/>
      <c r="X208" s="103"/>
      <c r="Y208" s="103"/>
      <c r="Z208" s="103"/>
      <c r="AA208" s="103"/>
      <c r="AB208" s="103"/>
      <c r="AC208" s="103"/>
      <c r="AD208" s="103"/>
      <c r="AE208" s="103"/>
      <c r="AF208" s="103"/>
      <c r="AG208" s="103"/>
      <c r="AH208" s="103"/>
      <c r="AI208" s="103"/>
      <c r="AJ208" s="103"/>
      <c r="AK208" s="103"/>
      <c r="AL208" s="103"/>
      <c r="AM208" s="103"/>
      <c r="AN208" s="103"/>
      <c r="AO208" s="103"/>
      <c r="AP208" s="103"/>
      <c r="AQ208" s="103"/>
      <c r="AR208" s="103"/>
      <c r="AS208" s="103"/>
      <c r="AT208" s="103"/>
      <c r="AU208" s="103"/>
      <c r="AV208" s="103"/>
      <c r="AW208" s="103"/>
      <c r="AX208" s="103"/>
      <c r="AY208" s="103"/>
      <c r="AZ208" s="103"/>
      <c r="BA208" s="103"/>
      <c r="BB208" s="103"/>
      <c r="BC208" s="103"/>
      <c r="BD208" s="103"/>
      <c r="BE208" s="103"/>
      <c r="BF208" s="103"/>
      <c r="BG208" s="103"/>
      <c r="BH208" s="103"/>
      <c r="BI208" s="103"/>
      <c r="BJ208" s="103"/>
      <c r="BK208" s="103"/>
      <c r="BL208" s="103"/>
      <c r="BM208" s="103"/>
      <c r="BN208" s="103"/>
      <c r="BO208" s="103"/>
      <c r="BP208" s="103"/>
      <c r="BQ208" s="103"/>
      <c r="BR208" s="103"/>
      <c r="BS208" s="103"/>
      <c r="BT208" s="103"/>
      <c r="BU208" s="103"/>
      <c r="BV208" s="103"/>
      <c r="BW208" s="103"/>
      <c r="BX208" s="103"/>
      <c r="BY208" s="103"/>
      <c r="BZ208" s="103"/>
      <c r="CA208" s="103"/>
      <c r="CB208" s="103"/>
      <c r="CC208" s="103"/>
      <c r="CD208" s="103"/>
    </row>
    <row r="209" spans="1:82" ht="17" thickBot="1" x14ac:dyDescent="0.25">
      <c r="A209" s="160"/>
      <c r="B209" s="160"/>
      <c r="C209" s="129"/>
      <c r="D209" s="110"/>
      <c r="E209" s="131"/>
      <c r="F209" s="112"/>
      <c r="G209" s="103"/>
      <c r="H209" s="103"/>
      <c r="I209" s="103"/>
      <c r="J209" s="103"/>
      <c r="K209" s="103"/>
      <c r="L209" s="103"/>
      <c r="M209" s="103"/>
      <c r="N209" s="103"/>
      <c r="O209" s="103"/>
      <c r="P209" s="103"/>
      <c r="Q209" s="103"/>
      <c r="R209" s="103"/>
      <c r="S209" s="103"/>
      <c r="T209" s="103"/>
      <c r="U209" s="103"/>
      <c r="V209" s="103"/>
      <c r="W209" s="103"/>
      <c r="X209" s="103"/>
      <c r="Y209" s="103"/>
      <c r="Z209" s="103"/>
      <c r="AA209" s="103"/>
      <c r="AB209" s="103"/>
      <c r="AC209" s="103"/>
      <c r="AD209" s="103"/>
      <c r="AE209" s="103"/>
      <c r="AF209" s="103"/>
      <c r="AG209" s="103"/>
      <c r="AH209" s="103"/>
      <c r="AI209" s="103"/>
      <c r="AJ209" s="103"/>
      <c r="AK209" s="103"/>
      <c r="AL209" s="103"/>
      <c r="AM209" s="103"/>
      <c r="AN209" s="103"/>
      <c r="AO209" s="103"/>
      <c r="AP209" s="103"/>
      <c r="AQ209" s="103"/>
      <c r="AR209" s="103"/>
      <c r="AS209" s="103"/>
      <c r="AT209" s="103"/>
      <c r="AU209" s="103"/>
      <c r="AV209" s="103"/>
      <c r="AW209" s="103"/>
      <c r="AX209" s="103"/>
      <c r="AY209" s="103"/>
      <c r="AZ209" s="103"/>
      <c r="BA209" s="103"/>
      <c r="BB209" s="103"/>
      <c r="BC209" s="103"/>
      <c r="BD209" s="103"/>
      <c r="BE209" s="103"/>
      <c r="BF209" s="103"/>
      <c r="BG209" s="103"/>
      <c r="BH209" s="103"/>
      <c r="BI209" s="103"/>
      <c r="BJ209" s="103"/>
      <c r="BK209" s="103"/>
      <c r="BL209" s="103"/>
      <c r="BM209" s="103"/>
      <c r="BN209" s="103"/>
      <c r="BO209" s="103"/>
      <c r="BP209" s="103"/>
      <c r="BQ209" s="103"/>
      <c r="BR209" s="103"/>
      <c r="BS209" s="103"/>
      <c r="BT209" s="103"/>
      <c r="BU209" s="103"/>
      <c r="BV209" s="103"/>
      <c r="BW209" s="103"/>
      <c r="BX209" s="103"/>
      <c r="BY209" s="103"/>
      <c r="BZ209" s="103"/>
      <c r="CA209" s="103"/>
      <c r="CB209" s="103"/>
      <c r="CC209" s="103"/>
      <c r="CD209" s="103"/>
    </row>
    <row r="210" spans="1:82" x14ac:dyDescent="0.2">
      <c r="A210" s="160"/>
      <c r="B210" s="160"/>
      <c r="C210" s="161" t="s">
        <v>176</v>
      </c>
      <c r="D210" s="162">
        <v>113</v>
      </c>
      <c r="E210" s="131"/>
      <c r="F210" s="112"/>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c r="AD210" s="103"/>
      <c r="AE210" s="103"/>
      <c r="AF210" s="103"/>
      <c r="AG210" s="103"/>
      <c r="AH210" s="103"/>
      <c r="AI210" s="103"/>
      <c r="AJ210" s="103"/>
      <c r="AK210" s="103"/>
      <c r="AL210" s="103"/>
      <c r="AM210" s="103"/>
      <c r="AN210" s="103"/>
      <c r="AO210" s="103"/>
      <c r="AP210" s="103"/>
      <c r="AQ210" s="103"/>
      <c r="AR210" s="103"/>
      <c r="AS210" s="103"/>
      <c r="AT210" s="103"/>
      <c r="AU210" s="103"/>
      <c r="AV210" s="103"/>
      <c r="AW210" s="103"/>
      <c r="AX210" s="103"/>
      <c r="AY210" s="103"/>
      <c r="AZ210" s="103"/>
      <c r="BA210" s="103"/>
      <c r="BB210" s="103"/>
      <c r="BC210" s="103"/>
      <c r="BD210" s="103"/>
      <c r="BE210" s="103"/>
      <c r="BF210" s="103"/>
      <c r="BG210" s="103"/>
      <c r="BH210" s="103"/>
      <c r="BI210" s="103"/>
      <c r="BJ210" s="103"/>
      <c r="BK210" s="103"/>
      <c r="BL210" s="103"/>
      <c r="BM210" s="103"/>
      <c r="BN210" s="103"/>
      <c r="BO210" s="103"/>
      <c r="BP210" s="103"/>
      <c r="BQ210" s="103"/>
      <c r="BR210" s="103"/>
      <c r="BS210" s="103"/>
      <c r="BT210" s="103"/>
      <c r="BU210" s="103"/>
      <c r="BV210" s="103"/>
      <c r="BW210" s="103"/>
      <c r="BX210" s="103"/>
      <c r="BY210" s="103"/>
      <c r="BZ210" s="103"/>
      <c r="CA210" s="103"/>
      <c r="CB210" s="103"/>
      <c r="CC210" s="103"/>
      <c r="CD210" s="103"/>
    </row>
    <row r="211" spans="1:82" x14ac:dyDescent="0.2">
      <c r="A211" s="160"/>
      <c r="B211" s="160"/>
      <c r="C211" s="163" t="s">
        <v>177</v>
      </c>
      <c r="D211" s="130">
        <v>73</v>
      </c>
      <c r="E211" s="131"/>
      <c r="F211" s="112"/>
      <c r="G211" s="103"/>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c r="AD211" s="103"/>
      <c r="AE211" s="103"/>
      <c r="AF211" s="103"/>
      <c r="AG211" s="103"/>
      <c r="AH211" s="103"/>
      <c r="AI211" s="103"/>
      <c r="AJ211" s="103"/>
      <c r="AK211" s="103"/>
      <c r="AL211" s="103"/>
      <c r="AM211" s="103"/>
      <c r="AN211" s="103"/>
      <c r="AO211" s="103"/>
      <c r="AP211" s="103"/>
      <c r="AQ211" s="103"/>
      <c r="AR211" s="103"/>
      <c r="AS211" s="103"/>
      <c r="AT211" s="103"/>
      <c r="AU211" s="103"/>
      <c r="AV211" s="103"/>
      <c r="AW211" s="103"/>
      <c r="AX211" s="103"/>
      <c r="AY211" s="103"/>
      <c r="AZ211" s="103"/>
      <c r="BA211" s="103"/>
      <c r="BB211" s="103"/>
      <c r="BC211" s="103"/>
      <c r="BD211" s="103"/>
      <c r="BE211" s="103"/>
      <c r="BF211" s="103"/>
      <c r="BG211" s="103"/>
      <c r="BH211" s="103"/>
      <c r="BI211" s="103"/>
      <c r="BJ211" s="103"/>
      <c r="BK211" s="103"/>
      <c r="BL211" s="103"/>
      <c r="BM211" s="103"/>
      <c r="BN211" s="103"/>
      <c r="BO211" s="103"/>
      <c r="BP211" s="103"/>
      <c r="BQ211" s="103"/>
      <c r="BR211" s="103"/>
      <c r="BS211" s="103"/>
      <c r="BT211" s="103"/>
      <c r="BU211" s="103"/>
      <c r="BV211" s="103"/>
      <c r="BW211" s="103"/>
      <c r="BX211" s="103"/>
      <c r="BY211" s="103"/>
      <c r="BZ211" s="103"/>
      <c r="CA211" s="103"/>
      <c r="CB211" s="103"/>
      <c r="CC211" s="103"/>
      <c r="CD211" s="103"/>
    </row>
    <row r="212" spans="1:82" ht="17" thickBot="1" x14ac:dyDescent="0.25">
      <c r="A212" s="160"/>
      <c r="B212" s="160"/>
      <c r="C212" s="164" t="s">
        <v>178</v>
      </c>
      <c r="D212" s="165">
        <v>6</v>
      </c>
      <c r="E212" s="131"/>
      <c r="F212" s="112"/>
      <c r="G212" s="103"/>
      <c r="H212" s="103"/>
      <c r="I212" s="103"/>
      <c r="J212" s="103"/>
      <c r="K212" s="103"/>
      <c r="L212" s="103"/>
      <c r="M212" s="103"/>
      <c r="N212" s="103"/>
      <c r="O212" s="103"/>
      <c r="P212" s="103"/>
      <c r="Q212" s="103"/>
      <c r="R212" s="103"/>
      <c r="S212" s="103"/>
      <c r="T212" s="103"/>
      <c r="U212" s="103"/>
      <c r="V212" s="103"/>
      <c r="W212" s="103"/>
      <c r="X212" s="103"/>
      <c r="Y212" s="103"/>
      <c r="Z212" s="103"/>
      <c r="AA212" s="103"/>
      <c r="AB212" s="103"/>
      <c r="AC212" s="103"/>
      <c r="AD212" s="103"/>
      <c r="AE212" s="103"/>
      <c r="AF212" s="103"/>
      <c r="AG212" s="103"/>
      <c r="AH212" s="103"/>
      <c r="AI212" s="103"/>
      <c r="AJ212" s="103"/>
      <c r="AK212" s="103"/>
      <c r="AL212" s="103"/>
      <c r="AM212" s="103"/>
      <c r="AN212" s="103"/>
      <c r="AO212" s="103"/>
      <c r="AP212" s="103"/>
      <c r="AQ212" s="103"/>
      <c r="AR212" s="103"/>
      <c r="AS212" s="103"/>
      <c r="AT212" s="103"/>
      <c r="AU212" s="103"/>
      <c r="AV212" s="103"/>
      <c r="AW212" s="103"/>
      <c r="AX212" s="103"/>
      <c r="AY212" s="103"/>
      <c r="AZ212" s="103"/>
      <c r="BA212" s="103"/>
      <c r="BB212" s="103"/>
      <c r="BC212" s="103"/>
      <c r="BD212" s="103"/>
      <c r="BE212" s="103"/>
      <c r="BF212" s="103"/>
      <c r="BG212" s="103"/>
      <c r="BH212" s="103"/>
      <c r="BI212" s="103"/>
      <c r="BJ212" s="103"/>
      <c r="BK212" s="103"/>
      <c r="BL212" s="103"/>
      <c r="BM212" s="103"/>
      <c r="BN212" s="103"/>
      <c r="BO212" s="103"/>
      <c r="BP212" s="103"/>
      <c r="BQ212" s="103"/>
      <c r="BR212" s="103"/>
      <c r="BS212" s="103"/>
      <c r="BT212" s="103"/>
      <c r="BU212" s="103"/>
      <c r="BV212" s="103"/>
      <c r="BW212" s="103"/>
      <c r="BX212" s="103"/>
      <c r="BY212" s="103"/>
      <c r="BZ212" s="103"/>
      <c r="CA212" s="103"/>
      <c r="CB212" s="103"/>
      <c r="CC212" s="103"/>
      <c r="CD212" s="103"/>
    </row>
    <row r="213" spans="1:82" ht="17" thickBot="1" x14ac:dyDescent="0.25">
      <c r="A213" s="160"/>
      <c r="B213" s="160"/>
      <c r="C213" s="166"/>
      <c r="D213" s="110"/>
      <c r="E213" s="131"/>
      <c r="F213" s="112"/>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c r="AX213" s="103"/>
      <c r="AY213" s="103"/>
      <c r="AZ213" s="103"/>
      <c r="BA213" s="103"/>
      <c r="BB213" s="103"/>
      <c r="BC213" s="103"/>
      <c r="BD213" s="103"/>
      <c r="BE213" s="103"/>
      <c r="BF213" s="103"/>
      <c r="BG213" s="103"/>
      <c r="BH213" s="103"/>
      <c r="BI213" s="103"/>
      <c r="BJ213" s="103"/>
      <c r="BK213" s="103"/>
      <c r="BL213" s="103"/>
      <c r="BM213" s="103"/>
      <c r="BN213" s="103"/>
      <c r="BO213" s="103"/>
      <c r="BP213" s="103"/>
      <c r="BQ213" s="103"/>
      <c r="BR213" s="103"/>
      <c r="BS213" s="103"/>
      <c r="BT213" s="103"/>
      <c r="BU213" s="103"/>
      <c r="BV213" s="103"/>
      <c r="BW213" s="103"/>
      <c r="BX213" s="103"/>
      <c r="BY213" s="103"/>
      <c r="BZ213" s="103"/>
      <c r="CA213" s="103"/>
      <c r="CB213" s="103"/>
      <c r="CC213" s="103"/>
      <c r="CD213" s="103"/>
    </row>
    <row r="214" spans="1:82" ht="15" customHeight="1" x14ac:dyDescent="0.2">
      <c r="A214" s="167"/>
      <c r="B214" s="167"/>
      <c r="C214" s="168" t="s">
        <v>179</v>
      </c>
      <c r="D214" s="169">
        <v>192</v>
      </c>
      <c r="E214" s="131"/>
      <c r="F214" s="112"/>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c r="AD214" s="103"/>
      <c r="AE214" s="103"/>
      <c r="AF214" s="103"/>
      <c r="AG214" s="103"/>
      <c r="AH214" s="103"/>
      <c r="AI214" s="103"/>
      <c r="AJ214" s="103"/>
      <c r="AK214" s="103"/>
      <c r="AL214" s="103"/>
      <c r="AM214" s="103"/>
      <c r="AN214" s="103"/>
      <c r="AO214" s="103"/>
      <c r="AP214" s="103"/>
      <c r="AQ214" s="103"/>
      <c r="AR214" s="103"/>
      <c r="AS214" s="103"/>
      <c r="AT214" s="103"/>
      <c r="AU214" s="103"/>
      <c r="AV214" s="103"/>
      <c r="AW214" s="103"/>
      <c r="AX214" s="103"/>
      <c r="AY214" s="103"/>
      <c r="AZ214" s="103"/>
      <c r="BA214" s="103"/>
      <c r="BB214" s="103"/>
      <c r="BC214" s="103"/>
      <c r="BD214" s="103"/>
      <c r="BE214" s="103"/>
      <c r="BF214" s="103"/>
      <c r="BG214" s="103"/>
      <c r="BH214" s="103"/>
      <c r="BI214" s="103"/>
      <c r="BJ214" s="103"/>
      <c r="BK214" s="103"/>
      <c r="BL214" s="103"/>
      <c r="BM214" s="103"/>
      <c r="BN214" s="103"/>
      <c r="BO214" s="103"/>
      <c r="BP214" s="103"/>
      <c r="BQ214" s="103"/>
      <c r="BR214" s="103"/>
      <c r="BS214" s="103"/>
      <c r="BT214" s="103"/>
      <c r="BU214" s="103"/>
      <c r="BV214" s="103"/>
      <c r="BW214" s="103"/>
      <c r="BX214" s="103"/>
      <c r="BY214" s="103"/>
      <c r="BZ214" s="103"/>
      <c r="CA214" s="103"/>
      <c r="CB214" s="103"/>
      <c r="CC214" s="103"/>
      <c r="CD214" s="103"/>
    </row>
    <row r="215" spans="1:82" ht="15" customHeight="1" x14ac:dyDescent="0.2">
      <c r="A215" s="167"/>
      <c r="B215" s="167"/>
      <c r="C215" s="170" t="s">
        <v>180</v>
      </c>
      <c r="D215" s="111">
        <v>228</v>
      </c>
      <c r="E215" s="131"/>
      <c r="F215" s="112"/>
      <c r="G215" s="103"/>
      <c r="H215" s="103"/>
      <c r="I215" s="103"/>
      <c r="J215" s="103"/>
      <c r="K215" s="103"/>
      <c r="L215" s="103"/>
      <c r="M215" s="103"/>
      <c r="N215" s="103"/>
      <c r="O215" s="103"/>
      <c r="P215" s="103"/>
      <c r="Q215" s="103"/>
      <c r="R215" s="103"/>
      <c r="S215" s="103"/>
      <c r="T215" s="103"/>
      <c r="U215" s="103"/>
      <c r="V215" s="103"/>
      <c r="W215" s="103"/>
      <c r="X215" s="103"/>
      <c r="Y215" s="103"/>
      <c r="Z215" s="103"/>
      <c r="AA215" s="103"/>
      <c r="AB215" s="103"/>
      <c r="AC215" s="103"/>
      <c r="AD215" s="103"/>
      <c r="AE215" s="103"/>
      <c r="AF215" s="103"/>
      <c r="AG215" s="103"/>
      <c r="AH215" s="103"/>
      <c r="AI215" s="103"/>
      <c r="AJ215" s="103"/>
      <c r="AK215" s="103"/>
      <c r="AL215" s="103"/>
      <c r="AM215" s="103"/>
      <c r="AN215" s="103"/>
      <c r="AO215" s="103"/>
      <c r="AP215" s="103"/>
      <c r="AQ215" s="103"/>
      <c r="AR215" s="103"/>
      <c r="AS215" s="103"/>
      <c r="AT215" s="103"/>
      <c r="AU215" s="103"/>
      <c r="AV215" s="103"/>
      <c r="AW215" s="103"/>
      <c r="AX215" s="103"/>
      <c r="AY215" s="103"/>
      <c r="AZ215" s="103"/>
      <c r="BA215" s="103"/>
      <c r="BB215" s="103"/>
      <c r="BC215" s="103"/>
      <c r="BD215" s="103"/>
      <c r="BE215" s="103"/>
      <c r="BF215" s="103"/>
      <c r="BG215" s="103"/>
      <c r="BH215" s="103"/>
      <c r="BI215" s="103"/>
      <c r="BJ215" s="103"/>
      <c r="BK215" s="103"/>
      <c r="BL215" s="103"/>
      <c r="BM215" s="103"/>
      <c r="BN215" s="103"/>
      <c r="BO215" s="103"/>
      <c r="BP215" s="103"/>
      <c r="BQ215" s="103"/>
      <c r="BR215" s="103"/>
      <c r="BS215" s="103"/>
      <c r="BT215" s="103"/>
      <c r="BU215" s="103"/>
      <c r="BV215" s="103"/>
      <c r="BW215" s="103"/>
      <c r="BX215" s="103"/>
      <c r="BY215" s="103"/>
      <c r="BZ215" s="103"/>
      <c r="CA215" s="103"/>
      <c r="CB215" s="103"/>
      <c r="CC215" s="103"/>
      <c r="CD215" s="103"/>
    </row>
    <row r="216" spans="1:82" ht="16" customHeight="1" thickBot="1" x14ac:dyDescent="0.25">
      <c r="A216" s="167"/>
      <c r="B216" s="167"/>
      <c r="C216" s="171" t="s">
        <v>181</v>
      </c>
      <c r="D216" s="172">
        <v>420</v>
      </c>
      <c r="E216" s="131"/>
      <c r="F216" s="112"/>
      <c r="G216" s="103"/>
      <c r="H216" s="103"/>
      <c r="I216" s="103"/>
      <c r="J216" s="103"/>
      <c r="K216" s="103"/>
      <c r="L216" s="103"/>
      <c r="M216" s="103"/>
      <c r="N216" s="103"/>
      <c r="O216" s="103"/>
      <c r="P216" s="103"/>
      <c r="Q216" s="103"/>
      <c r="R216" s="103"/>
      <c r="S216" s="103"/>
      <c r="T216" s="103"/>
      <c r="U216" s="103"/>
      <c r="V216" s="103"/>
      <c r="W216" s="103"/>
      <c r="X216" s="103"/>
      <c r="Y216" s="103"/>
      <c r="Z216" s="103"/>
      <c r="AA216" s="103"/>
      <c r="AB216" s="103"/>
      <c r="AC216" s="103"/>
      <c r="AD216" s="103"/>
      <c r="AE216" s="103"/>
      <c r="AF216" s="103"/>
      <c r="AG216" s="103"/>
      <c r="AH216" s="103"/>
      <c r="AI216" s="103"/>
      <c r="AJ216" s="103"/>
      <c r="AK216" s="103"/>
      <c r="AL216" s="103"/>
      <c r="AM216" s="103"/>
      <c r="AN216" s="103"/>
      <c r="AO216" s="103"/>
      <c r="AP216" s="103"/>
      <c r="AQ216" s="103"/>
      <c r="AR216" s="103"/>
      <c r="AS216" s="103"/>
      <c r="AT216" s="103"/>
      <c r="AU216" s="103"/>
      <c r="AV216" s="103"/>
      <c r="AW216" s="103"/>
      <c r="AX216" s="103"/>
      <c r="AY216" s="103"/>
      <c r="AZ216" s="103"/>
      <c r="BA216" s="103"/>
      <c r="BB216" s="103"/>
      <c r="BC216" s="103"/>
      <c r="BD216" s="103"/>
      <c r="BE216" s="103"/>
      <c r="BF216" s="103"/>
      <c r="BG216" s="103"/>
      <c r="BH216" s="103"/>
      <c r="BI216" s="103"/>
      <c r="BJ216" s="103"/>
      <c r="BK216" s="103"/>
      <c r="BL216" s="103"/>
      <c r="BM216" s="103"/>
      <c r="BN216" s="103"/>
      <c r="BO216" s="103"/>
      <c r="BP216" s="103"/>
      <c r="BQ216" s="103"/>
      <c r="BR216" s="103"/>
      <c r="BS216" s="103"/>
      <c r="BT216" s="103"/>
      <c r="BU216" s="103"/>
      <c r="BV216" s="103"/>
      <c r="BW216" s="103"/>
      <c r="BX216" s="103"/>
      <c r="BY216" s="103"/>
      <c r="BZ216" s="103"/>
      <c r="CA216" s="103"/>
      <c r="CB216" s="103"/>
      <c r="CC216" s="103"/>
      <c r="CD216" s="103"/>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DBE4-BB5C-E14E-AA54-19E056A5A9AE}">
  <dimension ref="A1:O20"/>
  <sheetViews>
    <sheetView zoomScale="86" zoomScaleNormal="75" workbookViewId="0">
      <pane ySplit="1" topLeftCell="A5" activePane="bottomLeft" state="frozen"/>
      <selection activeCell="W7" sqref="W7"/>
      <selection pane="bottomLeft" activeCell="W7" sqref="W7"/>
    </sheetView>
  </sheetViews>
  <sheetFormatPr baseColWidth="10" defaultRowHeight="172" customHeight="1" x14ac:dyDescent="0.2"/>
  <cols>
    <col min="1" max="1" width="10.83203125" style="10"/>
    <col min="2" max="4" width="31.6640625" style="10" customWidth="1"/>
    <col min="5" max="5" width="40.5" style="8" customWidth="1"/>
    <col min="6" max="6" width="34.33203125" style="8" customWidth="1"/>
    <col min="7" max="7" width="18.83203125" style="8" customWidth="1"/>
    <col min="8" max="8" width="39" style="8" customWidth="1"/>
    <col min="9" max="9" width="42" style="8" customWidth="1"/>
    <col min="10" max="10" width="18.83203125" style="8" customWidth="1"/>
    <col min="11" max="11" width="50.33203125" style="8" customWidth="1"/>
    <col min="12" max="12" width="31" style="8" customWidth="1"/>
    <col min="13" max="13" width="28.6640625" style="8" customWidth="1"/>
    <col min="14" max="14" width="19.1640625" style="8" customWidth="1"/>
    <col min="15" max="15" width="17.1640625" style="8" customWidth="1"/>
    <col min="16" max="16384" width="10.83203125" style="1"/>
  </cols>
  <sheetData>
    <row r="1" spans="1:15" s="14" customFormat="1" ht="56" customHeight="1" x14ac:dyDescent="0.2">
      <c r="A1" s="2" t="s">
        <v>75</v>
      </c>
      <c r="B1" s="2" t="s">
        <v>182</v>
      </c>
      <c r="C1" s="2" t="s">
        <v>183</v>
      </c>
      <c r="D1" s="2" t="s">
        <v>82</v>
      </c>
      <c r="E1" s="3" t="s">
        <v>184</v>
      </c>
      <c r="F1" s="3" t="s">
        <v>185</v>
      </c>
      <c r="G1" s="3" t="s">
        <v>80</v>
      </c>
      <c r="H1" s="3" t="s">
        <v>186</v>
      </c>
      <c r="I1" s="3" t="s">
        <v>77</v>
      </c>
      <c r="J1" s="3" t="s">
        <v>187</v>
      </c>
      <c r="K1" s="3" t="s">
        <v>188</v>
      </c>
      <c r="L1" s="3" t="s">
        <v>79</v>
      </c>
      <c r="M1" s="3" t="s">
        <v>189</v>
      </c>
      <c r="N1" s="3" t="s">
        <v>78</v>
      </c>
      <c r="O1" s="3" t="s">
        <v>720</v>
      </c>
    </row>
    <row r="2" spans="1:15" ht="173" customHeight="1" x14ac:dyDescent="0.2">
      <c r="A2" s="9" t="s">
        <v>190</v>
      </c>
      <c r="B2" s="11" t="s">
        <v>191</v>
      </c>
      <c r="C2" s="11" t="s">
        <v>192</v>
      </c>
      <c r="D2" s="11" t="s">
        <v>193</v>
      </c>
      <c r="E2" s="4" t="b">
        <v>0</v>
      </c>
      <c r="F2" s="4" t="b">
        <v>1</v>
      </c>
      <c r="G2" s="4" t="b">
        <v>0</v>
      </c>
      <c r="H2" s="4" t="b">
        <v>0</v>
      </c>
      <c r="I2" s="4" t="b">
        <v>0</v>
      </c>
      <c r="J2" s="4" t="b">
        <v>0</v>
      </c>
      <c r="K2" s="4" t="b">
        <v>0</v>
      </c>
      <c r="L2" s="4" t="b">
        <v>0</v>
      </c>
      <c r="M2" s="4" t="b">
        <v>0</v>
      </c>
      <c r="N2" s="4" t="b">
        <v>0</v>
      </c>
      <c r="O2" s="4" t="s">
        <v>719</v>
      </c>
    </row>
    <row r="3" spans="1:15" ht="173" customHeight="1" x14ac:dyDescent="0.2">
      <c r="A3" s="10">
        <v>1</v>
      </c>
      <c r="B3" s="12" t="s">
        <v>88</v>
      </c>
      <c r="C3" s="13" t="s">
        <v>90</v>
      </c>
      <c r="D3" s="13" t="s">
        <v>723</v>
      </c>
      <c r="E3" s="5" t="b">
        <v>0</v>
      </c>
      <c r="F3" s="5" t="b">
        <v>0</v>
      </c>
      <c r="G3" s="5" t="b">
        <v>0</v>
      </c>
      <c r="H3" s="5" t="b">
        <v>0</v>
      </c>
      <c r="I3" s="5" t="b">
        <v>0</v>
      </c>
      <c r="J3" s="5" t="b">
        <v>0</v>
      </c>
      <c r="K3" s="5" t="b">
        <v>0</v>
      </c>
      <c r="L3" s="5" t="b">
        <v>0</v>
      </c>
      <c r="M3" s="5" t="b">
        <v>0</v>
      </c>
      <c r="N3" s="5" t="b">
        <v>0</v>
      </c>
      <c r="O3" s="5" t="s">
        <v>719</v>
      </c>
    </row>
    <row r="4" spans="1:15" ht="173" customHeight="1" x14ac:dyDescent="0.2">
      <c r="A4" s="10">
        <v>3</v>
      </c>
      <c r="B4" s="12" t="s">
        <v>95</v>
      </c>
      <c r="C4" s="13" t="s">
        <v>97</v>
      </c>
      <c r="D4" s="13" t="s">
        <v>725</v>
      </c>
      <c r="E4" s="5" t="b">
        <v>0</v>
      </c>
      <c r="F4" s="5" t="b">
        <v>0</v>
      </c>
      <c r="G4" s="5" t="b">
        <v>0</v>
      </c>
      <c r="H4" s="5" t="b">
        <v>0</v>
      </c>
      <c r="I4" s="5" t="b">
        <v>0</v>
      </c>
      <c r="J4" s="5" t="b">
        <v>0</v>
      </c>
      <c r="K4" s="5" t="b">
        <v>0</v>
      </c>
      <c r="L4" s="5" t="b">
        <v>0</v>
      </c>
      <c r="M4" s="5" t="b">
        <v>0</v>
      </c>
      <c r="N4" s="5" t="b">
        <v>0</v>
      </c>
      <c r="O4" s="5" t="s">
        <v>721</v>
      </c>
    </row>
    <row r="5" spans="1:15" ht="238" x14ac:dyDescent="0.2">
      <c r="A5" s="10">
        <v>6</v>
      </c>
      <c r="B5" s="12" t="s">
        <v>102</v>
      </c>
      <c r="C5" s="13"/>
      <c r="D5" s="13" t="s">
        <v>727</v>
      </c>
      <c r="E5" s="5" t="b">
        <v>0</v>
      </c>
      <c r="F5" s="5" t="b">
        <v>0</v>
      </c>
      <c r="G5" s="5" t="b">
        <v>0</v>
      </c>
      <c r="H5" s="5" t="b">
        <v>0</v>
      </c>
      <c r="I5" s="5" t="b">
        <v>0</v>
      </c>
      <c r="J5" s="5" t="b">
        <v>0</v>
      </c>
      <c r="K5" s="5" t="b">
        <v>0</v>
      </c>
      <c r="L5" s="5" t="b">
        <v>0</v>
      </c>
      <c r="M5" s="5" t="b">
        <v>0</v>
      </c>
      <c r="N5" s="5" t="b">
        <v>0</v>
      </c>
      <c r="O5" s="5" t="s">
        <v>719</v>
      </c>
    </row>
    <row r="6" spans="1:15" ht="204" x14ac:dyDescent="0.2">
      <c r="A6" s="10">
        <v>7</v>
      </c>
      <c r="B6" s="12" t="s">
        <v>104</v>
      </c>
      <c r="C6" s="13" t="s">
        <v>106</v>
      </c>
      <c r="D6" s="13" t="s">
        <v>728</v>
      </c>
      <c r="E6" s="5" t="b">
        <v>0</v>
      </c>
      <c r="F6" s="5" t="b">
        <v>0</v>
      </c>
      <c r="G6" s="5" t="b">
        <v>0</v>
      </c>
      <c r="H6" s="5" t="b">
        <v>0</v>
      </c>
      <c r="I6" s="5" t="b">
        <v>0</v>
      </c>
      <c r="J6" s="5" t="b">
        <v>0</v>
      </c>
      <c r="K6" s="5" t="b">
        <v>0</v>
      </c>
      <c r="L6" s="5" t="b">
        <v>0</v>
      </c>
      <c r="M6" s="5" t="b">
        <v>0</v>
      </c>
      <c r="N6" s="5" t="b">
        <v>0</v>
      </c>
      <c r="O6" s="5" t="s">
        <v>719</v>
      </c>
    </row>
    <row r="7" spans="1:15" ht="136" x14ac:dyDescent="0.2">
      <c r="A7" s="10">
        <v>8</v>
      </c>
      <c r="B7" s="12" t="s">
        <v>195</v>
      </c>
      <c r="C7" s="13" t="s">
        <v>196</v>
      </c>
      <c r="D7" s="13" t="s">
        <v>109</v>
      </c>
      <c r="E7" s="5" t="b">
        <v>0</v>
      </c>
      <c r="F7" s="5" t="b">
        <v>0</v>
      </c>
      <c r="G7" s="5" t="b">
        <v>0</v>
      </c>
      <c r="H7" s="5" t="b">
        <v>0</v>
      </c>
      <c r="I7" s="5" t="b">
        <v>0</v>
      </c>
      <c r="J7" s="5" t="b">
        <v>0</v>
      </c>
      <c r="K7" s="5" t="b">
        <v>0</v>
      </c>
      <c r="L7" s="5" t="b">
        <v>0</v>
      </c>
      <c r="M7" s="5" t="b">
        <v>0</v>
      </c>
      <c r="N7" s="5" t="b">
        <v>0</v>
      </c>
      <c r="O7" s="5" t="s">
        <v>719</v>
      </c>
    </row>
    <row r="8" spans="1:15" ht="221" x14ac:dyDescent="0.2">
      <c r="A8" s="10">
        <v>10</v>
      </c>
      <c r="B8" s="12" t="s">
        <v>113</v>
      </c>
      <c r="C8" s="13" t="s">
        <v>115</v>
      </c>
      <c r="D8" s="13" t="s">
        <v>730</v>
      </c>
      <c r="E8" s="5" t="b">
        <v>0</v>
      </c>
      <c r="F8" s="5" t="b">
        <v>0</v>
      </c>
      <c r="G8" s="5" t="b">
        <v>0</v>
      </c>
      <c r="H8" s="5" t="b">
        <v>0</v>
      </c>
      <c r="I8" s="5" t="b">
        <v>0</v>
      </c>
      <c r="J8" s="5" t="b">
        <v>0</v>
      </c>
      <c r="K8" s="5" t="b">
        <v>0</v>
      </c>
      <c r="L8" s="5" t="b">
        <v>0</v>
      </c>
      <c r="M8" s="5" t="b">
        <v>0</v>
      </c>
      <c r="N8" s="5" t="b">
        <v>0</v>
      </c>
      <c r="O8" s="5" t="s">
        <v>719</v>
      </c>
    </row>
    <row r="9" spans="1:15" ht="238" x14ac:dyDescent="0.2">
      <c r="A9" s="10">
        <v>12</v>
      </c>
      <c r="B9" s="12" t="s">
        <v>119</v>
      </c>
      <c r="C9" s="13"/>
      <c r="D9" s="13" t="s">
        <v>120</v>
      </c>
      <c r="E9" s="5" t="b">
        <v>0</v>
      </c>
      <c r="F9" s="5" t="b">
        <v>0</v>
      </c>
      <c r="G9" s="5" t="b">
        <v>0</v>
      </c>
      <c r="H9" s="5" t="b">
        <v>0</v>
      </c>
      <c r="I9" s="5" t="b">
        <v>0</v>
      </c>
      <c r="J9" s="5" t="b">
        <v>0</v>
      </c>
      <c r="K9" s="5" t="b">
        <v>0</v>
      </c>
      <c r="L9" s="5" t="b">
        <v>0</v>
      </c>
      <c r="M9" s="5" t="b">
        <v>0</v>
      </c>
      <c r="N9" s="5" t="b">
        <v>0</v>
      </c>
      <c r="O9" s="5" t="s">
        <v>721</v>
      </c>
    </row>
    <row r="10" spans="1:15" ht="409.6" x14ac:dyDescent="0.2">
      <c r="A10" s="10">
        <v>15</v>
      </c>
      <c r="B10" s="12" t="s">
        <v>16</v>
      </c>
      <c r="C10" s="13"/>
      <c r="D10" s="13" t="s">
        <v>126</v>
      </c>
      <c r="E10" s="5" t="b">
        <v>0</v>
      </c>
      <c r="F10" s="5" t="b">
        <v>0</v>
      </c>
      <c r="G10" s="5" t="b">
        <v>0</v>
      </c>
      <c r="H10" s="5" t="b">
        <v>0</v>
      </c>
      <c r="I10" s="5" t="b">
        <v>0</v>
      </c>
      <c r="J10" s="5" t="b">
        <v>0</v>
      </c>
      <c r="K10" s="5" t="b">
        <v>0</v>
      </c>
      <c r="L10" s="5" t="b">
        <v>0</v>
      </c>
      <c r="M10" s="5" t="b">
        <v>0</v>
      </c>
      <c r="N10" s="5" t="b">
        <v>0</v>
      </c>
      <c r="O10" s="5" t="s">
        <v>721</v>
      </c>
    </row>
    <row r="11" spans="1:15" ht="173" customHeight="1" x14ac:dyDescent="0.2">
      <c r="A11" s="10">
        <v>16</v>
      </c>
      <c r="B11" s="12" t="s">
        <v>127</v>
      </c>
      <c r="C11" s="13"/>
      <c r="D11" s="13" t="s">
        <v>128</v>
      </c>
      <c r="E11" s="5" t="b">
        <v>0</v>
      </c>
      <c r="F11" s="5" t="b">
        <v>0</v>
      </c>
      <c r="G11" s="5" t="b">
        <v>0</v>
      </c>
      <c r="H11" s="5" t="b">
        <v>0</v>
      </c>
      <c r="I11" s="5" t="b">
        <v>0</v>
      </c>
      <c r="J11" s="5" t="b">
        <v>0</v>
      </c>
      <c r="K11" s="5" t="b">
        <v>0</v>
      </c>
      <c r="L11" s="5" t="b">
        <v>0</v>
      </c>
      <c r="M11" s="5" t="b">
        <v>0</v>
      </c>
      <c r="N11" s="5" t="b">
        <v>0</v>
      </c>
      <c r="O11" s="5" t="s">
        <v>719</v>
      </c>
    </row>
    <row r="12" spans="1:15" ht="306" x14ac:dyDescent="0.2">
      <c r="A12" s="10">
        <v>21</v>
      </c>
      <c r="B12" s="12" t="s">
        <v>138</v>
      </c>
      <c r="C12" s="13"/>
      <c r="D12" s="13" t="s">
        <v>734</v>
      </c>
      <c r="E12" s="5" t="b">
        <v>0</v>
      </c>
      <c r="F12" s="5" t="b">
        <v>0</v>
      </c>
      <c r="G12" s="5" t="b">
        <v>0</v>
      </c>
      <c r="H12" s="5" t="b">
        <v>0</v>
      </c>
      <c r="I12" s="5" t="b">
        <v>0</v>
      </c>
      <c r="J12" s="5" t="b">
        <v>0</v>
      </c>
      <c r="K12" s="5" t="b">
        <v>0</v>
      </c>
      <c r="L12" s="5" t="b">
        <v>0</v>
      </c>
      <c r="M12" s="5" t="b">
        <v>0</v>
      </c>
      <c r="N12" s="5" t="b">
        <v>0</v>
      </c>
      <c r="O12" s="5" t="s">
        <v>721</v>
      </c>
    </row>
    <row r="13" spans="1:15" ht="204" x14ac:dyDescent="0.2">
      <c r="A13" s="10">
        <v>22</v>
      </c>
      <c r="B13" s="12" t="s">
        <v>140</v>
      </c>
      <c r="C13" s="13"/>
      <c r="D13" s="13" t="s">
        <v>141</v>
      </c>
      <c r="E13" s="5" t="b">
        <v>0</v>
      </c>
      <c r="F13" s="5" t="b">
        <v>0</v>
      </c>
      <c r="G13" s="5" t="b">
        <v>0</v>
      </c>
      <c r="H13" s="5" t="b">
        <v>0</v>
      </c>
      <c r="I13" s="5" t="b">
        <v>0</v>
      </c>
      <c r="J13" s="5" t="b">
        <v>0</v>
      </c>
      <c r="K13" s="5" t="b">
        <v>0</v>
      </c>
      <c r="L13" s="5" t="b">
        <v>0</v>
      </c>
      <c r="M13" s="5" t="b">
        <v>0</v>
      </c>
      <c r="N13" s="5" t="b">
        <v>0</v>
      </c>
      <c r="O13" s="5" t="s">
        <v>721</v>
      </c>
    </row>
    <row r="14" spans="1:15" ht="238" x14ac:dyDescent="0.2">
      <c r="A14" s="10">
        <v>24</v>
      </c>
      <c r="B14" s="12" t="s">
        <v>145</v>
      </c>
      <c r="C14" s="13" t="s">
        <v>147</v>
      </c>
      <c r="D14" s="13" t="s">
        <v>146</v>
      </c>
      <c r="E14" s="5" t="b">
        <v>0</v>
      </c>
      <c r="F14" s="5" t="b">
        <v>0</v>
      </c>
      <c r="G14" s="5" t="b">
        <v>0</v>
      </c>
      <c r="H14" s="5" t="b">
        <v>0</v>
      </c>
      <c r="I14" s="5" t="b">
        <v>0</v>
      </c>
      <c r="J14" s="5" t="b">
        <v>0</v>
      </c>
      <c r="K14" s="5" t="b">
        <v>0</v>
      </c>
      <c r="L14" s="5" t="b">
        <v>0</v>
      </c>
      <c r="M14" s="5" t="b">
        <v>0</v>
      </c>
      <c r="N14" s="5" t="b">
        <v>0</v>
      </c>
      <c r="O14" s="5" t="s">
        <v>719</v>
      </c>
    </row>
    <row r="15" spans="1:15" ht="187" x14ac:dyDescent="0.2">
      <c r="A15" s="10">
        <v>25</v>
      </c>
      <c r="B15" s="12" t="s">
        <v>148</v>
      </c>
      <c r="C15" s="13"/>
      <c r="D15" s="13" t="s">
        <v>736</v>
      </c>
      <c r="E15" s="5" t="b">
        <v>0</v>
      </c>
      <c r="F15" s="5" t="b">
        <v>0</v>
      </c>
      <c r="G15" s="5" t="b">
        <v>0</v>
      </c>
      <c r="H15" s="5" t="b">
        <v>0</v>
      </c>
      <c r="I15" s="5" t="b">
        <v>0</v>
      </c>
      <c r="J15" s="5" t="b">
        <v>0</v>
      </c>
      <c r="K15" s="5" t="b">
        <v>0</v>
      </c>
      <c r="L15" s="5" t="b">
        <v>0</v>
      </c>
      <c r="M15" s="5" t="b">
        <v>0</v>
      </c>
      <c r="N15" s="5" t="b">
        <v>0</v>
      </c>
      <c r="O15" s="5" t="s">
        <v>719</v>
      </c>
    </row>
    <row r="16" spans="1:15" ht="172" customHeight="1" x14ac:dyDescent="0.2">
      <c r="A16" s="10">
        <v>27</v>
      </c>
      <c r="B16" s="12" t="s">
        <v>154</v>
      </c>
      <c r="C16" s="13"/>
      <c r="D16" s="13" t="s">
        <v>155</v>
      </c>
      <c r="E16" s="5" t="b">
        <v>0</v>
      </c>
      <c r="F16" s="5" t="b">
        <v>0</v>
      </c>
      <c r="G16" s="5" t="b">
        <v>0</v>
      </c>
      <c r="H16" s="5" t="b">
        <v>0</v>
      </c>
      <c r="I16" s="5" t="b">
        <v>0</v>
      </c>
      <c r="J16" s="5" t="b">
        <v>0</v>
      </c>
      <c r="K16" s="5" t="b">
        <v>0</v>
      </c>
      <c r="L16" s="5" t="b">
        <v>0</v>
      </c>
      <c r="M16" s="5" t="b">
        <v>0</v>
      </c>
      <c r="N16" s="5" t="b">
        <v>0</v>
      </c>
      <c r="O16" s="5" t="s">
        <v>719</v>
      </c>
    </row>
    <row r="17" spans="1:15" ht="204" x14ac:dyDescent="0.2">
      <c r="A17" s="10">
        <v>30</v>
      </c>
      <c r="B17" s="12" t="s">
        <v>160</v>
      </c>
      <c r="C17" s="13"/>
      <c r="D17" s="13" t="s">
        <v>737</v>
      </c>
      <c r="E17" s="5" t="b">
        <v>0</v>
      </c>
      <c r="F17" s="5" t="b">
        <v>0</v>
      </c>
      <c r="G17" s="5" t="b">
        <v>0</v>
      </c>
      <c r="H17" s="5" t="b">
        <v>0</v>
      </c>
      <c r="I17" s="5" t="b">
        <v>0</v>
      </c>
      <c r="J17" s="5" t="b">
        <v>0</v>
      </c>
      <c r="K17" s="5" t="b">
        <v>0</v>
      </c>
      <c r="L17" s="5" t="b">
        <v>0</v>
      </c>
      <c r="M17" s="5" t="b">
        <v>0</v>
      </c>
      <c r="N17" s="5" t="b">
        <v>0</v>
      </c>
      <c r="O17" s="5" t="s">
        <v>721</v>
      </c>
    </row>
    <row r="18" spans="1:15" ht="172" customHeight="1" x14ac:dyDescent="0.2">
      <c r="A18" s="10">
        <v>32</v>
      </c>
      <c r="B18" s="12" t="s">
        <v>166</v>
      </c>
      <c r="C18" s="13"/>
      <c r="D18" s="13" t="s">
        <v>739</v>
      </c>
      <c r="E18" s="5" t="b">
        <v>0</v>
      </c>
      <c r="F18" s="5" t="b">
        <v>0</v>
      </c>
      <c r="G18" s="5" t="b">
        <v>0</v>
      </c>
      <c r="H18" s="5" t="b">
        <v>0</v>
      </c>
      <c r="I18" s="5" t="b">
        <v>0</v>
      </c>
      <c r="J18" s="5" t="b">
        <v>0</v>
      </c>
      <c r="K18" s="5" t="b">
        <v>0</v>
      </c>
      <c r="L18" s="5" t="b">
        <v>0</v>
      </c>
      <c r="M18" s="5" t="b">
        <v>0</v>
      </c>
      <c r="N18" s="5" t="b">
        <v>0</v>
      </c>
      <c r="O18" s="5" t="s">
        <v>721</v>
      </c>
    </row>
    <row r="19" spans="1:15" ht="172" customHeight="1" x14ac:dyDescent="0.2">
      <c r="A19" s="10">
        <v>35</v>
      </c>
      <c r="B19" s="12" t="s">
        <v>174</v>
      </c>
      <c r="C19" s="13"/>
      <c r="D19" s="13" t="s">
        <v>742</v>
      </c>
      <c r="E19" s="5" t="b">
        <v>0</v>
      </c>
      <c r="F19" s="5" t="b">
        <v>0</v>
      </c>
      <c r="G19" s="5" t="b">
        <v>0</v>
      </c>
      <c r="H19" s="5" t="b">
        <v>0</v>
      </c>
      <c r="I19" s="5" t="b">
        <v>0</v>
      </c>
      <c r="J19" s="5" t="b">
        <v>0</v>
      </c>
      <c r="K19" s="5" t="b">
        <v>0</v>
      </c>
      <c r="L19" s="5" t="b">
        <v>0</v>
      </c>
      <c r="M19" s="5" t="b">
        <v>0</v>
      </c>
      <c r="N19" s="5" t="b">
        <v>0</v>
      </c>
      <c r="O19" s="5" t="s">
        <v>721</v>
      </c>
    </row>
    <row r="20" spans="1:15" ht="172" customHeight="1" x14ac:dyDescent="0.2">
      <c r="A20" s="10">
        <v>36</v>
      </c>
      <c r="B20" s="12" t="s">
        <v>57</v>
      </c>
      <c r="C20" s="13"/>
      <c r="D20" s="13" t="s">
        <v>743</v>
      </c>
      <c r="E20" s="5" t="b">
        <v>0</v>
      </c>
      <c r="F20" s="5" t="b">
        <v>0</v>
      </c>
      <c r="G20" s="5" t="b">
        <v>0</v>
      </c>
      <c r="H20" s="5" t="b">
        <v>0</v>
      </c>
      <c r="I20" s="5" t="b">
        <v>0</v>
      </c>
      <c r="J20" s="5" t="b">
        <v>0</v>
      </c>
      <c r="K20" s="5" t="b">
        <v>0</v>
      </c>
      <c r="L20" s="5" t="b">
        <v>0</v>
      </c>
      <c r="M20" s="5" t="b">
        <v>0</v>
      </c>
      <c r="N20" s="5" t="b">
        <v>0</v>
      </c>
      <c r="O20" s="5" t="s">
        <v>721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9834-B43F-1648-9053-D66F6BDBBDF1}">
  <dimension ref="A1:F11"/>
  <sheetViews>
    <sheetView zoomScale="87" workbookViewId="0">
      <pane ySplit="1" topLeftCell="A2" activePane="bottomLeft" state="frozen"/>
      <selection activeCell="W7" sqref="W7"/>
      <selection pane="bottomLeft" activeCell="W7" sqref="W7"/>
    </sheetView>
  </sheetViews>
  <sheetFormatPr baseColWidth="10" defaultRowHeight="16" x14ac:dyDescent="0.2"/>
  <cols>
    <col min="1" max="1" width="10.83203125" style="10"/>
    <col min="2" max="4" width="31.6640625" style="10" customWidth="1"/>
    <col min="5" max="5" width="25" style="8" bestFit="1" customWidth="1"/>
    <col min="6" max="6" width="27.6640625" style="1" customWidth="1"/>
    <col min="7" max="16384" width="10.83203125" style="1"/>
  </cols>
  <sheetData>
    <row r="1" spans="1:6" s="14" customFormat="1" ht="48" customHeight="1" x14ac:dyDescent="0.2">
      <c r="A1" s="2" t="s">
        <v>75</v>
      </c>
      <c r="B1" s="2" t="s">
        <v>182</v>
      </c>
      <c r="C1" s="2" t="s">
        <v>183</v>
      </c>
      <c r="D1" s="2" t="s">
        <v>82</v>
      </c>
      <c r="E1" s="3" t="s">
        <v>717</v>
      </c>
      <c r="F1" s="3" t="s">
        <v>718</v>
      </c>
    </row>
    <row r="2" spans="1:6" ht="136" x14ac:dyDescent="0.2">
      <c r="A2" s="9" t="s">
        <v>190</v>
      </c>
      <c r="B2" s="11" t="s">
        <v>191</v>
      </c>
      <c r="C2" s="11" t="s">
        <v>192</v>
      </c>
      <c r="D2" s="11" t="s">
        <v>193</v>
      </c>
      <c r="E2" s="4" t="b">
        <v>1</v>
      </c>
      <c r="F2" s="7" t="s">
        <v>194</v>
      </c>
    </row>
    <row r="3" spans="1:6" ht="119" x14ac:dyDescent="0.2">
      <c r="A3" s="10">
        <v>1</v>
      </c>
      <c r="B3" s="12" t="s">
        <v>88</v>
      </c>
      <c r="C3" s="13" t="s">
        <v>90</v>
      </c>
      <c r="D3" s="13" t="s">
        <v>723</v>
      </c>
      <c r="E3" s="5" t="b">
        <v>0</v>
      </c>
      <c r="F3" s="8"/>
    </row>
    <row r="4" spans="1:6" ht="238" x14ac:dyDescent="0.2">
      <c r="A4" s="10">
        <v>6</v>
      </c>
      <c r="B4" s="12" t="s">
        <v>102</v>
      </c>
      <c r="C4" s="13"/>
      <c r="D4" s="13" t="s">
        <v>727</v>
      </c>
      <c r="E4" s="5" t="b">
        <v>0</v>
      </c>
      <c r="F4" s="8" t="s">
        <v>271</v>
      </c>
    </row>
    <row r="5" spans="1:6" ht="204" x14ac:dyDescent="0.2">
      <c r="A5" s="10">
        <v>7</v>
      </c>
      <c r="B5" s="12" t="s">
        <v>104</v>
      </c>
      <c r="C5" s="13" t="s">
        <v>106</v>
      </c>
      <c r="D5" s="13" t="s">
        <v>728</v>
      </c>
      <c r="E5" s="5" t="b">
        <v>0</v>
      </c>
      <c r="F5" s="8"/>
    </row>
    <row r="6" spans="1:6" ht="136" x14ac:dyDescent="0.2">
      <c r="A6" s="10">
        <v>8</v>
      </c>
      <c r="B6" s="12" t="s">
        <v>195</v>
      </c>
      <c r="C6" s="13" t="s">
        <v>196</v>
      </c>
      <c r="D6" s="13" t="s">
        <v>109</v>
      </c>
      <c r="E6" s="5" t="b">
        <v>0</v>
      </c>
      <c r="F6" s="8"/>
    </row>
    <row r="7" spans="1:6" ht="221" x14ac:dyDescent="0.2">
      <c r="A7" s="10">
        <v>10</v>
      </c>
      <c r="B7" s="12" t="s">
        <v>113</v>
      </c>
      <c r="C7" s="13" t="s">
        <v>115</v>
      </c>
      <c r="D7" s="13" t="s">
        <v>730</v>
      </c>
      <c r="E7" s="5" t="b">
        <v>0</v>
      </c>
      <c r="F7" s="8"/>
    </row>
    <row r="8" spans="1:6" ht="170" x14ac:dyDescent="0.2">
      <c r="A8" s="10">
        <v>16</v>
      </c>
      <c r="B8" s="12" t="s">
        <v>127</v>
      </c>
      <c r="C8" s="13"/>
      <c r="D8" s="13" t="s">
        <v>128</v>
      </c>
      <c r="E8" s="5" t="b">
        <v>0</v>
      </c>
      <c r="F8" s="8"/>
    </row>
    <row r="9" spans="1:6" ht="238" x14ac:dyDescent="0.2">
      <c r="A9" s="10">
        <v>24</v>
      </c>
      <c r="B9" s="12" t="s">
        <v>145</v>
      </c>
      <c r="C9" s="13" t="s">
        <v>147</v>
      </c>
      <c r="D9" s="13" t="s">
        <v>146</v>
      </c>
      <c r="E9" s="5" t="b">
        <v>0</v>
      </c>
      <c r="F9" s="8"/>
    </row>
    <row r="10" spans="1:6" ht="187" x14ac:dyDescent="0.2">
      <c r="A10" s="10">
        <v>25</v>
      </c>
      <c r="B10" s="12" t="s">
        <v>148</v>
      </c>
      <c r="C10" s="13"/>
      <c r="D10" s="13" t="s">
        <v>736</v>
      </c>
      <c r="E10" s="5" t="b">
        <v>0</v>
      </c>
      <c r="F10" s="8"/>
    </row>
    <row r="11" spans="1:6" ht="136" x14ac:dyDescent="0.2">
      <c r="A11" s="10">
        <v>27</v>
      </c>
      <c r="B11" s="12" t="s">
        <v>154</v>
      </c>
      <c r="C11" s="13"/>
      <c r="D11" s="13" t="s">
        <v>155</v>
      </c>
      <c r="E11" s="5" t="b">
        <v>0</v>
      </c>
      <c r="F11" s="8"/>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CAC7-6303-CA4C-99E9-34A1C1B5BBCC}">
  <dimension ref="A1:O20"/>
  <sheetViews>
    <sheetView zoomScale="75" workbookViewId="0">
      <pane ySplit="1" topLeftCell="A2" activePane="bottomLeft" state="frozen"/>
      <selection activeCell="W7" sqref="W7"/>
      <selection pane="bottomLeft" activeCell="W7" sqref="W7"/>
    </sheetView>
  </sheetViews>
  <sheetFormatPr baseColWidth="10" defaultRowHeight="16" x14ac:dyDescent="0.2"/>
  <cols>
    <col min="1" max="1" width="10.83203125" style="10"/>
    <col min="2" max="4" width="27" style="10" customWidth="1"/>
    <col min="5" max="5" width="40.5" style="1" customWidth="1"/>
    <col min="6" max="6" width="34.33203125" style="1" customWidth="1"/>
    <col min="7" max="7" width="19.83203125" style="1" customWidth="1"/>
    <col min="8" max="8" width="39" style="1" customWidth="1"/>
    <col min="9" max="9" width="42" style="1" customWidth="1"/>
    <col min="10" max="10" width="19.83203125" style="1" customWidth="1"/>
    <col min="11" max="11" width="50.33203125" style="1" customWidth="1"/>
    <col min="12" max="12" width="31" style="1" customWidth="1"/>
    <col min="13" max="13" width="28.6640625" style="1" customWidth="1"/>
    <col min="14" max="14" width="19.83203125" style="1" customWidth="1"/>
    <col min="15" max="15" width="22" style="1" bestFit="1" customWidth="1"/>
    <col min="16" max="16384" width="10.83203125" style="1"/>
  </cols>
  <sheetData>
    <row r="1" spans="1:15" ht="50" customHeight="1" x14ac:dyDescent="0.2">
      <c r="A1" s="2" t="s">
        <v>75</v>
      </c>
      <c r="B1" s="2" t="s">
        <v>182</v>
      </c>
      <c r="C1" s="2" t="s">
        <v>183</v>
      </c>
      <c r="D1" s="2" t="s">
        <v>82</v>
      </c>
      <c r="E1" s="3" t="s">
        <v>184</v>
      </c>
      <c r="F1" s="3" t="s">
        <v>185</v>
      </c>
      <c r="G1" s="3" t="s">
        <v>80</v>
      </c>
      <c r="H1" s="3" t="s">
        <v>186</v>
      </c>
      <c r="I1" s="3" t="s">
        <v>77</v>
      </c>
      <c r="J1" s="3" t="s">
        <v>187</v>
      </c>
      <c r="K1" s="3" t="s">
        <v>188</v>
      </c>
      <c r="L1" s="3" t="s">
        <v>79</v>
      </c>
      <c r="M1" s="3" t="s">
        <v>189</v>
      </c>
      <c r="N1" s="3" t="s">
        <v>78</v>
      </c>
      <c r="O1" s="3" t="s">
        <v>720</v>
      </c>
    </row>
    <row r="2" spans="1:15" ht="170" x14ac:dyDescent="0.2">
      <c r="A2" s="9" t="s">
        <v>190</v>
      </c>
      <c r="B2" s="11" t="s">
        <v>191</v>
      </c>
      <c r="C2" s="11" t="s">
        <v>192</v>
      </c>
      <c r="D2" s="11" t="s">
        <v>193</v>
      </c>
      <c r="E2" s="4" t="b">
        <v>0</v>
      </c>
      <c r="F2" s="4" t="b">
        <v>1</v>
      </c>
      <c r="G2" s="4" t="b">
        <v>0</v>
      </c>
      <c r="H2" s="4" t="b">
        <v>0</v>
      </c>
      <c r="I2" s="4" t="b">
        <v>0</v>
      </c>
      <c r="J2" s="4" t="b">
        <v>0</v>
      </c>
      <c r="K2" s="4" t="b">
        <v>0</v>
      </c>
      <c r="L2" s="4" t="b">
        <v>0</v>
      </c>
      <c r="M2" s="4" t="b">
        <v>0</v>
      </c>
      <c r="N2" s="4" t="b">
        <v>0</v>
      </c>
      <c r="O2" s="4" t="s">
        <v>719</v>
      </c>
    </row>
    <row r="3" spans="1:15" ht="221" x14ac:dyDescent="0.2">
      <c r="A3" s="10">
        <v>2</v>
      </c>
      <c r="B3" s="12" t="s">
        <v>91</v>
      </c>
      <c r="C3" s="13" t="s">
        <v>93</v>
      </c>
      <c r="D3" s="13" t="s">
        <v>724</v>
      </c>
      <c r="E3" s="6" t="b">
        <v>0</v>
      </c>
      <c r="F3" s="6" t="b">
        <v>0</v>
      </c>
      <c r="G3" s="6" t="b">
        <v>0</v>
      </c>
      <c r="H3" s="6" t="b">
        <v>0</v>
      </c>
      <c r="I3" s="6" t="b">
        <v>0</v>
      </c>
      <c r="J3" s="6" t="b">
        <v>0</v>
      </c>
      <c r="K3" s="6" t="b">
        <v>0</v>
      </c>
      <c r="L3" s="6" t="b">
        <v>0</v>
      </c>
      <c r="M3" s="6" t="b">
        <v>0</v>
      </c>
      <c r="N3" s="6" t="b">
        <v>0</v>
      </c>
      <c r="O3" s="5" t="s">
        <v>719</v>
      </c>
    </row>
    <row r="4" spans="1:15" ht="136" x14ac:dyDescent="0.2">
      <c r="A4" s="10">
        <v>4</v>
      </c>
      <c r="B4" s="12" t="s">
        <v>98</v>
      </c>
      <c r="C4" s="13"/>
      <c r="D4" s="13" t="s">
        <v>726</v>
      </c>
      <c r="E4" s="6" t="b">
        <v>0</v>
      </c>
      <c r="F4" s="6" t="b">
        <v>0</v>
      </c>
      <c r="G4" s="6" t="b">
        <v>0</v>
      </c>
      <c r="H4" s="6" t="b">
        <v>0</v>
      </c>
      <c r="I4" s="6" t="b">
        <v>0</v>
      </c>
      <c r="J4" s="6" t="b">
        <v>0</v>
      </c>
      <c r="K4" s="6" t="b">
        <v>0</v>
      </c>
      <c r="L4" s="6" t="b">
        <v>0</v>
      </c>
      <c r="M4" s="6" t="b">
        <v>0</v>
      </c>
      <c r="N4" s="6" t="b">
        <v>0</v>
      </c>
      <c r="O4" s="5" t="s">
        <v>719</v>
      </c>
    </row>
    <row r="5" spans="1:15" ht="170" x14ac:dyDescent="0.2">
      <c r="A5" s="10">
        <v>5</v>
      </c>
      <c r="B5" s="12" t="s">
        <v>100</v>
      </c>
      <c r="C5" s="13"/>
      <c r="D5" s="13" t="s">
        <v>722</v>
      </c>
      <c r="E5" s="6" t="b">
        <v>0</v>
      </c>
      <c r="F5" s="6" t="b">
        <v>0</v>
      </c>
      <c r="G5" s="6" t="b">
        <v>0</v>
      </c>
      <c r="H5" s="6" t="b">
        <v>0</v>
      </c>
      <c r="I5" s="6" t="b">
        <v>0</v>
      </c>
      <c r="J5" s="6" t="b">
        <v>0</v>
      </c>
      <c r="K5" s="6" t="b">
        <v>0</v>
      </c>
      <c r="L5" s="6" t="b">
        <v>0</v>
      </c>
      <c r="M5" s="6" t="b">
        <v>0</v>
      </c>
      <c r="N5" s="6" t="b">
        <v>0</v>
      </c>
      <c r="O5" s="5" t="s">
        <v>719</v>
      </c>
    </row>
    <row r="6" spans="1:15" ht="272" x14ac:dyDescent="0.2">
      <c r="A6" s="10">
        <v>9</v>
      </c>
      <c r="B6" s="12" t="s">
        <v>110</v>
      </c>
      <c r="C6" s="13" t="s">
        <v>112</v>
      </c>
      <c r="D6" s="13" t="s">
        <v>729</v>
      </c>
      <c r="E6" s="6" t="b">
        <v>0</v>
      </c>
      <c r="F6" s="6" t="b">
        <v>0</v>
      </c>
      <c r="G6" s="6" t="b">
        <v>0</v>
      </c>
      <c r="H6" s="6" t="b">
        <v>0</v>
      </c>
      <c r="I6" s="6" t="b">
        <v>0</v>
      </c>
      <c r="J6" s="6" t="b">
        <v>0</v>
      </c>
      <c r="K6" s="6" t="b">
        <v>0</v>
      </c>
      <c r="L6" s="6" t="b">
        <v>0</v>
      </c>
      <c r="M6" s="6" t="b">
        <v>0</v>
      </c>
      <c r="N6" s="6" t="b">
        <v>0</v>
      </c>
      <c r="O6" s="5" t="s">
        <v>719</v>
      </c>
    </row>
    <row r="7" spans="1:15" ht="409.6" x14ac:dyDescent="0.2">
      <c r="A7" s="10">
        <v>11</v>
      </c>
      <c r="B7" s="12" t="s">
        <v>116</v>
      </c>
      <c r="C7" s="13" t="s">
        <v>118</v>
      </c>
      <c r="D7" s="13" t="s">
        <v>731</v>
      </c>
      <c r="E7" s="6" t="b">
        <v>0</v>
      </c>
      <c r="F7" s="6" t="b">
        <v>0</v>
      </c>
      <c r="G7" s="6" t="b">
        <v>0</v>
      </c>
      <c r="H7" s="6" t="b">
        <v>0</v>
      </c>
      <c r="I7" s="6" t="b">
        <v>0</v>
      </c>
      <c r="J7" s="6" t="b">
        <v>0</v>
      </c>
      <c r="K7" s="6" t="b">
        <v>0</v>
      </c>
      <c r="L7" s="6" t="b">
        <v>0</v>
      </c>
      <c r="M7" s="6" t="b">
        <v>0</v>
      </c>
      <c r="N7" s="6" t="b">
        <v>0</v>
      </c>
      <c r="O7" s="6" t="s">
        <v>721</v>
      </c>
    </row>
    <row r="8" spans="1:15" ht="68" x14ac:dyDescent="0.2">
      <c r="A8" s="10">
        <v>13</v>
      </c>
      <c r="B8" s="12" t="s">
        <v>121</v>
      </c>
      <c r="C8" s="13"/>
      <c r="D8" s="13" t="s">
        <v>732</v>
      </c>
      <c r="E8" s="6" t="b">
        <v>0</v>
      </c>
      <c r="F8" s="6" t="b">
        <v>0</v>
      </c>
      <c r="G8" s="6" t="b">
        <v>0</v>
      </c>
      <c r="H8" s="6" t="b">
        <v>0</v>
      </c>
      <c r="I8" s="6" t="b">
        <v>0</v>
      </c>
      <c r="J8" s="6" t="b">
        <v>0</v>
      </c>
      <c r="K8" s="6" t="b">
        <v>0</v>
      </c>
      <c r="L8" s="6" t="b">
        <v>0</v>
      </c>
      <c r="M8" s="6" t="b">
        <v>0</v>
      </c>
      <c r="N8" s="6" t="b">
        <v>0</v>
      </c>
      <c r="O8" s="6" t="s">
        <v>721</v>
      </c>
    </row>
    <row r="9" spans="1:15" ht="221" x14ac:dyDescent="0.2">
      <c r="A9" s="10">
        <v>14</v>
      </c>
      <c r="B9" s="12" t="s">
        <v>14</v>
      </c>
      <c r="C9" s="13"/>
      <c r="D9" s="13" t="s">
        <v>124</v>
      </c>
      <c r="E9" s="6" t="b">
        <v>0</v>
      </c>
      <c r="F9" s="6" t="b">
        <v>0</v>
      </c>
      <c r="G9" s="6" t="b">
        <v>0</v>
      </c>
      <c r="H9" s="6" t="b">
        <v>0</v>
      </c>
      <c r="I9" s="6" t="b">
        <v>0</v>
      </c>
      <c r="J9" s="6" t="b">
        <v>0</v>
      </c>
      <c r="K9" s="6" t="b">
        <v>0</v>
      </c>
      <c r="L9" s="6" t="b">
        <v>0</v>
      </c>
      <c r="M9" s="6" t="b">
        <v>0</v>
      </c>
      <c r="N9" s="6" t="b">
        <v>0</v>
      </c>
      <c r="O9" s="6" t="s">
        <v>721</v>
      </c>
    </row>
    <row r="10" spans="1:15" ht="153" x14ac:dyDescent="0.2">
      <c r="A10" s="10">
        <v>17</v>
      </c>
      <c r="B10" s="12" t="s">
        <v>129</v>
      </c>
      <c r="C10" s="13" t="s">
        <v>131</v>
      </c>
      <c r="D10" s="13" t="s">
        <v>130</v>
      </c>
      <c r="E10" s="6" t="b">
        <v>0</v>
      </c>
      <c r="F10" s="6" t="b">
        <v>0</v>
      </c>
      <c r="G10" s="6" t="b">
        <v>0</v>
      </c>
      <c r="H10" s="6" t="b">
        <v>0</v>
      </c>
      <c r="I10" s="6" t="b">
        <v>0</v>
      </c>
      <c r="J10" s="6" t="b">
        <v>0</v>
      </c>
      <c r="K10" s="6" t="b">
        <v>0</v>
      </c>
      <c r="L10" s="6" t="b">
        <v>0</v>
      </c>
      <c r="M10" s="6" t="b">
        <v>0</v>
      </c>
      <c r="N10" s="6" t="b">
        <v>0</v>
      </c>
      <c r="O10" s="5" t="s">
        <v>719</v>
      </c>
    </row>
    <row r="11" spans="1:15" ht="85" x14ac:dyDescent="0.2">
      <c r="A11" s="10">
        <v>18</v>
      </c>
      <c r="B11" s="12" t="s">
        <v>132</v>
      </c>
      <c r="C11" s="13"/>
      <c r="D11" s="13" t="s">
        <v>133</v>
      </c>
      <c r="E11" s="6" t="b">
        <v>0</v>
      </c>
      <c r="F11" s="6" t="b">
        <v>0</v>
      </c>
      <c r="G11" s="6" t="b">
        <v>0</v>
      </c>
      <c r="H11" s="6" t="b">
        <v>0</v>
      </c>
      <c r="I11" s="6" t="b">
        <v>0</v>
      </c>
      <c r="J11" s="6" t="b">
        <v>0</v>
      </c>
      <c r="K11" s="6" t="b">
        <v>0</v>
      </c>
      <c r="L11" s="6" t="b">
        <v>0</v>
      </c>
      <c r="M11" s="6" t="b">
        <v>0</v>
      </c>
      <c r="N11" s="6" t="b">
        <v>0</v>
      </c>
      <c r="O11" s="5" t="s">
        <v>719</v>
      </c>
    </row>
    <row r="12" spans="1:15" ht="204" x14ac:dyDescent="0.2">
      <c r="A12" s="10">
        <v>19</v>
      </c>
      <c r="B12" s="12" t="s">
        <v>134</v>
      </c>
      <c r="C12" s="13"/>
      <c r="D12" s="13" t="s">
        <v>733</v>
      </c>
      <c r="E12" s="6" t="b">
        <v>0</v>
      </c>
      <c r="F12" s="6" t="b">
        <v>0</v>
      </c>
      <c r="G12" s="6" t="b">
        <v>0</v>
      </c>
      <c r="H12" s="6" t="b">
        <v>0</v>
      </c>
      <c r="I12" s="6" t="b">
        <v>0</v>
      </c>
      <c r="J12" s="6" t="b">
        <v>0</v>
      </c>
      <c r="K12" s="6" t="b">
        <v>0</v>
      </c>
      <c r="L12" s="6" t="b">
        <v>0</v>
      </c>
      <c r="M12" s="6" t="b">
        <v>0</v>
      </c>
      <c r="N12" s="6" t="b">
        <v>0</v>
      </c>
      <c r="O12" s="5" t="s">
        <v>719</v>
      </c>
    </row>
    <row r="13" spans="1:15" ht="409.6" x14ac:dyDescent="0.2">
      <c r="A13" s="10">
        <v>20</v>
      </c>
      <c r="B13" s="12" t="s">
        <v>136</v>
      </c>
      <c r="C13" s="13"/>
      <c r="D13" s="13" t="s">
        <v>137</v>
      </c>
      <c r="E13" s="6" t="b">
        <v>0</v>
      </c>
      <c r="F13" s="6" t="b">
        <v>0</v>
      </c>
      <c r="G13" s="6" t="b">
        <v>0</v>
      </c>
      <c r="H13" s="6" t="b">
        <v>0</v>
      </c>
      <c r="I13" s="6" t="b">
        <v>0</v>
      </c>
      <c r="J13" s="6" t="b">
        <v>0</v>
      </c>
      <c r="K13" s="6" t="b">
        <v>0</v>
      </c>
      <c r="L13" s="6" t="b">
        <v>0</v>
      </c>
      <c r="M13" s="6" t="b">
        <v>0</v>
      </c>
      <c r="N13" s="6" t="b">
        <v>0</v>
      </c>
      <c r="O13" s="5" t="s">
        <v>719</v>
      </c>
    </row>
    <row r="14" spans="1:15" ht="85" x14ac:dyDescent="0.2">
      <c r="A14" s="10">
        <v>23</v>
      </c>
      <c r="B14" s="12" t="s">
        <v>143</v>
      </c>
      <c r="C14" s="13"/>
      <c r="D14" s="13" t="s">
        <v>144</v>
      </c>
      <c r="E14" s="6" t="b">
        <v>0</v>
      </c>
      <c r="F14" s="6" t="b">
        <v>0</v>
      </c>
      <c r="G14" s="6" t="b">
        <v>0</v>
      </c>
      <c r="H14" s="6" t="b">
        <v>0</v>
      </c>
      <c r="I14" s="6" t="b">
        <v>0</v>
      </c>
      <c r="J14" s="6" t="b">
        <v>0</v>
      </c>
      <c r="K14" s="6" t="b">
        <v>0</v>
      </c>
      <c r="L14" s="6" t="b">
        <v>0</v>
      </c>
      <c r="M14" s="6" t="b">
        <v>0</v>
      </c>
      <c r="N14" s="6" t="b">
        <v>0</v>
      </c>
      <c r="O14" s="6" t="s">
        <v>721</v>
      </c>
    </row>
    <row r="15" spans="1:15" ht="51" x14ac:dyDescent="0.2">
      <c r="A15" s="10">
        <v>26</v>
      </c>
      <c r="B15" s="12" t="s">
        <v>151</v>
      </c>
      <c r="C15" s="13" t="s">
        <v>153</v>
      </c>
      <c r="D15" s="13" t="s">
        <v>152</v>
      </c>
      <c r="E15" s="6" t="b">
        <v>0</v>
      </c>
      <c r="F15" s="6" t="b">
        <v>0</v>
      </c>
      <c r="G15" s="6" t="b">
        <v>0</v>
      </c>
      <c r="H15" s="6" t="b">
        <v>0</v>
      </c>
      <c r="I15" s="6" t="b">
        <v>0</v>
      </c>
      <c r="J15" s="6" t="b">
        <v>0</v>
      </c>
      <c r="K15" s="6" t="b">
        <v>0</v>
      </c>
      <c r="L15" s="6" t="b">
        <v>0</v>
      </c>
      <c r="M15" s="6" t="b">
        <v>0</v>
      </c>
      <c r="N15" s="6" t="b">
        <v>0</v>
      </c>
      <c r="O15" s="5" t="s">
        <v>719</v>
      </c>
    </row>
    <row r="16" spans="1:15" ht="102" x14ac:dyDescent="0.2">
      <c r="A16" s="10">
        <v>28</v>
      </c>
      <c r="B16" s="12" t="s">
        <v>156</v>
      </c>
      <c r="C16" s="13"/>
      <c r="D16" s="13" t="s">
        <v>157</v>
      </c>
      <c r="E16" s="6" t="b">
        <v>0</v>
      </c>
      <c r="F16" s="6" t="b">
        <v>0</v>
      </c>
      <c r="G16" s="6" t="b">
        <v>0</v>
      </c>
      <c r="H16" s="6" t="b">
        <v>0</v>
      </c>
      <c r="I16" s="6" t="b">
        <v>0</v>
      </c>
      <c r="J16" s="6" t="b">
        <v>0</v>
      </c>
      <c r="K16" s="6" t="b">
        <v>0</v>
      </c>
      <c r="L16" s="6" t="b">
        <v>0</v>
      </c>
      <c r="M16" s="6" t="b">
        <v>0</v>
      </c>
      <c r="N16" s="6" t="b">
        <v>0</v>
      </c>
      <c r="O16" s="5" t="s">
        <v>719</v>
      </c>
    </row>
    <row r="17" spans="1:15" ht="68" x14ac:dyDescent="0.2">
      <c r="A17" s="10">
        <v>29</v>
      </c>
      <c r="B17" s="12" t="s">
        <v>158</v>
      </c>
      <c r="C17" s="13"/>
      <c r="D17" s="13" t="s">
        <v>159</v>
      </c>
      <c r="E17" s="6" t="b">
        <v>0</v>
      </c>
      <c r="F17" s="6" t="b">
        <v>0</v>
      </c>
      <c r="G17" s="6" t="b">
        <v>0</v>
      </c>
      <c r="H17" s="6" t="b">
        <v>0</v>
      </c>
      <c r="I17" s="6" t="b">
        <v>0</v>
      </c>
      <c r="J17" s="6" t="b">
        <v>0</v>
      </c>
      <c r="K17" s="6" t="b">
        <v>0</v>
      </c>
      <c r="L17" s="6" t="b">
        <v>0</v>
      </c>
      <c r="M17" s="6" t="b">
        <v>0</v>
      </c>
      <c r="N17" s="6" t="b">
        <v>0</v>
      </c>
      <c r="O17" s="6" t="s">
        <v>721</v>
      </c>
    </row>
    <row r="18" spans="1:15" ht="153" x14ac:dyDescent="0.2">
      <c r="A18" s="10">
        <v>31</v>
      </c>
      <c r="B18" s="12" t="s">
        <v>163</v>
      </c>
      <c r="C18" s="13"/>
      <c r="D18" s="13" t="s">
        <v>738</v>
      </c>
      <c r="E18" s="6" t="b">
        <v>0</v>
      </c>
      <c r="F18" s="6" t="b">
        <v>0</v>
      </c>
      <c r="G18" s="6" t="b">
        <v>0</v>
      </c>
      <c r="H18" s="6" t="b">
        <v>0</v>
      </c>
      <c r="I18" s="6" t="b">
        <v>0</v>
      </c>
      <c r="J18" s="6" t="b">
        <v>0</v>
      </c>
      <c r="K18" s="6" t="b">
        <v>0</v>
      </c>
      <c r="L18" s="6" t="b">
        <v>0</v>
      </c>
      <c r="M18" s="6" t="b">
        <v>0</v>
      </c>
      <c r="N18" s="6" t="b">
        <v>0</v>
      </c>
      <c r="O18" s="6" t="s">
        <v>721</v>
      </c>
    </row>
    <row r="19" spans="1:15" ht="204" x14ac:dyDescent="0.2">
      <c r="A19" s="10">
        <v>33</v>
      </c>
      <c r="B19" s="12" t="s">
        <v>171</v>
      </c>
      <c r="C19" s="13"/>
      <c r="D19" s="13" t="s">
        <v>741</v>
      </c>
      <c r="E19" s="6" t="b">
        <v>0</v>
      </c>
      <c r="F19" s="6" t="b">
        <v>0</v>
      </c>
      <c r="G19" s="6" t="b">
        <v>0</v>
      </c>
      <c r="H19" s="6" t="b">
        <v>0</v>
      </c>
      <c r="I19" s="6" t="b">
        <v>0</v>
      </c>
      <c r="J19" s="6" t="b">
        <v>0</v>
      </c>
      <c r="K19" s="6" t="b">
        <v>0</v>
      </c>
      <c r="L19" s="6" t="b">
        <v>0</v>
      </c>
      <c r="M19" s="6" t="b">
        <v>0</v>
      </c>
      <c r="N19" s="6" t="b">
        <v>0</v>
      </c>
      <c r="O19" s="6" t="s">
        <v>721</v>
      </c>
    </row>
    <row r="20" spans="1:15" ht="68" x14ac:dyDescent="0.2">
      <c r="A20" s="10">
        <v>34</v>
      </c>
      <c r="B20" s="12" t="s">
        <v>172</v>
      </c>
      <c r="C20" s="13"/>
      <c r="D20" s="13" t="s">
        <v>740</v>
      </c>
      <c r="E20" s="6" t="b">
        <v>0</v>
      </c>
      <c r="F20" s="6" t="b">
        <v>0</v>
      </c>
      <c r="G20" s="6" t="b">
        <v>0</v>
      </c>
      <c r="H20" s="6" t="b">
        <v>0</v>
      </c>
      <c r="I20" s="6" t="b">
        <v>0</v>
      </c>
      <c r="J20" s="6" t="b">
        <v>0</v>
      </c>
      <c r="K20" s="6" t="b">
        <v>0</v>
      </c>
      <c r="L20" s="6" t="b">
        <v>0</v>
      </c>
      <c r="M20" s="6" t="b">
        <v>0</v>
      </c>
      <c r="N20" s="6" t="b">
        <v>0</v>
      </c>
      <c r="O20" s="6" t="s">
        <v>721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2EE0-337C-4041-AA62-3ABB058754F2}">
  <dimension ref="A1:G12"/>
  <sheetViews>
    <sheetView workbookViewId="0">
      <pane ySplit="1" topLeftCell="A2" activePane="bottomLeft" state="frozen"/>
      <selection activeCell="W7" sqref="W7"/>
      <selection pane="bottomLeft" activeCell="W7" sqref="W7"/>
    </sheetView>
  </sheetViews>
  <sheetFormatPr baseColWidth="10" defaultRowHeight="16" x14ac:dyDescent="0.2"/>
  <cols>
    <col min="1" max="1" width="10.83203125" style="10"/>
    <col min="2" max="4" width="27" style="10" customWidth="1"/>
    <col min="5" max="5" width="25" style="1" bestFit="1" customWidth="1"/>
    <col min="6" max="6" width="23.6640625" style="1" bestFit="1" customWidth="1"/>
    <col min="7" max="16384" width="10.83203125" style="1"/>
  </cols>
  <sheetData>
    <row r="1" spans="1:7" ht="50" customHeight="1" x14ac:dyDescent="0.2">
      <c r="A1" s="2" t="s">
        <v>75</v>
      </c>
      <c r="B1" s="2" t="s">
        <v>182</v>
      </c>
      <c r="C1" s="2" t="s">
        <v>183</v>
      </c>
      <c r="D1" s="2" t="s">
        <v>82</v>
      </c>
      <c r="E1" s="3" t="s">
        <v>717</v>
      </c>
      <c r="F1" s="3" t="s">
        <v>718</v>
      </c>
      <c r="G1" s="8"/>
    </row>
    <row r="2" spans="1:7" ht="153" x14ac:dyDescent="0.2">
      <c r="A2" s="15" t="s">
        <v>190</v>
      </c>
      <c r="B2" s="16" t="s">
        <v>191</v>
      </c>
      <c r="C2" s="16" t="s">
        <v>192</v>
      </c>
      <c r="D2" s="16" t="s">
        <v>193</v>
      </c>
      <c r="E2" s="4" t="b">
        <v>1</v>
      </c>
      <c r="F2" s="17" t="s">
        <v>194</v>
      </c>
      <c r="G2" s="8"/>
    </row>
    <row r="3" spans="1:7" ht="221" x14ac:dyDescent="0.2">
      <c r="A3" s="10">
        <v>2</v>
      </c>
      <c r="B3" s="12" t="s">
        <v>91</v>
      </c>
      <c r="C3" s="13" t="s">
        <v>93</v>
      </c>
      <c r="D3" s="13" t="s">
        <v>724</v>
      </c>
      <c r="E3" s="6" t="b">
        <v>0</v>
      </c>
    </row>
    <row r="4" spans="1:7" ht="136" x14ac:dyDescent="0.2">
      <c r="A4" s="10">
        <v>4</v>
      </c>
      <c r="B4" s="12" t="s">
        <v>98</v>
      </c>
      <c r="C4" s="13"/>
      <c r="D4" s="13" t="s">
        <v>726</v>
      </c>
      <c r="E4" s="6" t="b">
        <v>0</v>
      </c>
    </row>
    <row r="5" spans="1:7" ht="170" x14ac:dyDescent="0.2">
      <c r="A5" s="10">
        <v>5</v>
      </c>
      <c r="B5" s="12" t="s">
        <v>100</v>
      </c>
      <c r="C5" s="13"/>
      <c r="D5" s="13" t="s">
        <v>722</v>
      </c>
      <c r="E5" s="6" t="b">
        <v>0</v>
      </c>
    </row>
    <row r="6" spans="1:7" ht="272" x14ac:dyDescent="0.2">
      <c r="A6" s="10">
        <v>9</v>
      </c>
      <c r="B6" s="12" t="s">
        <v>110</v>
      </c>
      <c r="C6" s="13" t="s">
        <v>112</v>
      </c>
      <c r="D6" s="13" t="s">
        <v>729</v>
      </c>
      <c r="E6" s="6" t="b">
        <v>0</v>
      </c>
    </row>
    <row r="7" spans="1:7" ht="153" x14ac:dyDescent="0.2">
      <c r="A7" s="10">
        <v>17</v>
      </c>
      <c r="B7" s="12" t="s">
        <v>129</v>
      </c>
      <c r="C7" s="13" t="s">
        <v>131</v>
      </c>
      <c r="D7" s="13" t="s">
        <v>130</v>
      </c>
      <c r="E7" s="6" t="b">
        <v>0</v>
      </c>
    </row>
    <row r="8" spans="1:7" ht="85" x14ac:dyDescent="0.2">
      <c r="A8" s="10">
        <v>18</v>
      </c>
      <c r="B8" s="12" t="s">
        <v>132</v>
      </c>
      <c r="C8" s="13"/>
      <c r="D8" s="13" t="s">
        <v>133</v>
      </c>
      <c r="E8" s="6" t="b">
        <v>0</v>
      </c>
    </row>
    <row r="9" spans="1:7" ht="204" x14ac:dyDescent="0.2">
      <c r="A9" s="10">
        <v>19</v>
      </c>
      <c r="B9" s="12" t="s">
        <v>134</v>
      </c>
      <c r="C9" s="13"/>
      <c r="D9" s="13" t="s">
        <v>733</v>
      </c>
      <c r="E9" s="6" t="b">
        <v>0</v>
      </c>
    </row>
    <row r="10" spans="1:7" ht="409.6" x14ac:dyDescent="0.2">
      <c r="A10" s="10">
        <v>20</v>
      </c>
      <c r="B10" s="12" t="s">
        <v>136</v>
      </c>
      <c r="C10" s="13"/>
      <c r="D10" s="13" t="s">
        <v>137</v>
      </c>
      <c r="E10" s="6" t="b">
        <v>0</v>
      </c>
    </row>
    <row r="11" spans="1:7" ht="51" x14ac:dyDescent="0.2">
      <c r="A11" s="10">
        <v>26</v>
      </c>
      <c r="B11" s="12" t="s">
        <v>151</v>
      </c>
      <c r="C11" s="13" t="s">
        <v>153</v>
      </c>
      <c r="D11" s="13" t="s">
        <v>152</v>
      </c>
      <c r="E11" s="6" t="b">
        <v>0</v>
      </c>
    </row>
    <row r="12" spans="1:7" ht="102" x14ac:dyDescent="0.2">
      <c r="A12" s="10">
        <v>28</v>
      </c>
      <c r="B12" s="12" t="s">
        <v>156</v>
      </c>
      <c r="C12" s="13"/>
      <c r="D12" s="13" t="s">
        <v>157</v>
      </c>
      <c r="E12" s="6" t="b">
        <v>0</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Partecipant_1_1</vt:lpstr>
      <vt:lpstr>Partecipant_1_2</vt:lpstr>
      <vt:lpstr>Partecipant_2_1</vt:lpstr>
      <vt:lpstr>Partecipant_2_2</vt:lpstr>
      <vt:lpstr>Cohen's Kappa</vt:lpstr>
      <vt:lpstr>Taxonomy_Before_Validation</vt:lpstr>
      <vt:lpstr>Taxonomy_After_Validation</vt:lpstr>
      <vt:lpstr>Category_Validation_1</vt:lpstr>
      <vt:lpstr>Hierarchy_Validation_1</vt:lpstr>
      <vt:lpstr>Category_Validation_2</vt:lpstr>
      <vt:lpstr>Hierarchy_Validation_2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Gerardo IULIANO</cp:lastModifiedBy>
  <dcterms:modified xsi:type="dcterms:W3CDTF">2025-11-12T16:31:20Z</dcterms:modified>
</cp:coreProperties>
</file>